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Хмільник" sheetId="1" state="visible" r:id="rId3"/>
    <sheet name="Козятин" sheetId="2" state="visible" r:id="rId4"/>
    <sheet name="Калинівка" sheetId="3" state="visible" r:id="rId5"/>
    <sheet name="Загальна" sheetId="4" state="visible" r:id="rId6"/>
    <sheet name="Хмільник 1" sheetId="5" state="visible" r:id="rId7"/>
    <sheet name="Козятин 1" sheetId="6" state="visible" r:id="rId8"/>
    <sheet name="Калинівка 1" sheetId="7" state="visible" r:id="rId9"/>
    <sheet name="Хмільник 13" sheetId="8" state="visible" r:id="rId10"/>
  </sheets>
  <externalReferences>
    <externalReference r:id="rId11"/>
  </externalReferences>
  <definedNames>
    <definedName function="false" hidden="true" localSheetId="3" name="_xlnm._FilterDatabase" vbProcedure="false">Загальна!$A$2:$J$363</definedName>
    <definedName function="false" hidden="true" localSheetId="2" name="_xlnm._FilterDatabase" vbProcedure="false">Калинівка!$A$18:$K$379</definedName>
    <definedName function="false" hidden="true" localSheetId="6" name="_xlnm._FilterDatabase" vbProcedure="false">'Калинівка 1'!$A$17:$H$378</definedName>
    <definedName function="false" hidden="true" localSheetId="5" name="_xlnm._FilterDatabase" vbProcedure="false">'Козятин 1'!$A$17:$H$378</definedName>
    <definedName function="false" hidden="true" localSheetId="4" name="_xlnm._FilterDatabase" vbProcedure="false">'Хмільник 1'!$A$17:$H$378</definedName>
    <definedName function="false" hidden="false" localSheetId="4" name="solver_eng" vbProcedure="false">1</definedName>
    <definedName function="false" hidden="false" localSheetId="4" name="solver_lin" vbProcedure="false">0</definedName>
    <definedName function="false" hidden="false" localSheetId="4" name="solver_neg" vbProcedure="false">1</definedName>
    <definedName function="false" hidden="false" localSheetId="4" name="solver_num" vbProcedure="false">0</definedName>
    <definedName function="false" hidden="false" localSheetId="4" name="solver_opt" vbProcedure="false">'Хмільник 1'!$A$19</definedName>
    <definedName function="false" hidden="false" localSheetId="4" name="solver_typ" vbProcedure="false">1</definedName>
    <definedName function="false" hidden="false" localSheetId="4" name="solver_val" vbProcedure="false">0</definedName>
    <definedName function="false" hidden="false" localSheetId="4" name="solver_ver" vbProcedure="false">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<sst xmlns="http://schemas.openxmlformats.org/spreadsheetml/2006/main" count="5427" uniqueCount="433">
  <si>
    <t xml:space="preserve">                   Додаток 57</t>
  </si>
  <si>
    <t xml:space="preserve">                   до наказу Міністра Оборони України</t>
  </si>
  <si>
    <t xml:space="preserve">                   від 17.08.2017р. №440</t>
  </si>
  <si>
    <t xml:space="preserve">Дійсна до "___"____________20__року</t>
  </si>
  <si>
    <t xml:space="preserve">НАКЛАДНА №246</t>
  </si>
  <si>
    <t xml:space="preserve">Реєстра-ційний номер</t>
  </si>
  <si>
    <t xml:space="preserve">Номер аркуша</t>
  </si>
  <si>
    <t xml:space="preserve">Номер документа</t>
  </si>
  <si>
    <t xml:space="preserve">Дата документа</t>
  </si>
  <si>
    <t xml:space="preserve">Підстава (мета) операції</t>
  </si>
  <si>
    <t xml:space="preserve">Дата операції</t>
  </si>
  <si>
    <t xml:space="preserve">Служба забезпечення</t>
  </si>
  <si>
    <t xml:space="preserve">Код номенклатури</t>
  </si>
  <si>
    <t xml:space="preserve">Вантажоодержувач</t>
  </si>
  <si>
    <t xml:space="preserve">Відповідальний одержувач</t>
  </si>
  <si>
    <t xml:space="preserve">Продовольча</t>
  </si>
  <si>
    <t xml:space="preserve">П. Калужиський</t>
  </si>
  <si>
    <t xml:space="preserve">О. Камбаров </t>
  </si>
  <si>
    <t xml:space="preserve"> </t>
  </si>
  <si>
    <t xml:space="preserve">№ з/п</t>
  </si>
  <si>
    <t xml:space="preserve">Найменування військового майна (індекс, номер креслення)</t>
  </si>
  <si>
    <t xml:space="preserve">Одиниця виміру</t>
  </si>
  <si>
    <t xml:space="preserve">Категорія(сорт)</t>
  </si>
  <si>
    <t xml:space="preserve">Видати  (прийняти)</t>
  </si>
  <si>
    <t xml:space="preserve">Видано (прийнято)</t>
  </si>
  <si>
    <t xml:space="preserve">Примітки</t>
  </si>
  <si>
    <t xml:space="preserve">Баклажани свіжі</t>
  </si>
  <si>
    <t xml:space="preserve">кг</t>
  </si>
  <si>
    <t xml:space="preserve">Баклажани свіжі сезонні</t>
  </si>
  <si>
    <t xml:space="preserve">Буряк столовий свіжий</t>
  </si>
  <si>
    <t xml:space="preserve">Гарбуз продовольчий свіжий</t>
  </si>
  <si>
    <t xml:space="preserve">Горошок зелений консервований</t>
  </si>
  <si>
    <t xml:space="preserve">Ікра баклажанна</t>
  </si>
  <si>
    <t xml:space="preserve">Ікра кабачкова</t>
  </si>
  <si>
    <t xml:space="preserve">Кабачки консервовані</t>
  </si>
  <si>
    <t xml:space="preserve">Кабачки свіжі</t>
  </si>
  <si>
    <t xml:space="preserve">Кабачки свіжі сезонні</t>
  </si>
  <si>
    <t xml:space="preserve">Капуста білоголова свіжа</t>
  </si>
  <si>
    <t xml:space="preserve">Капуста броколі свіжа сезонна</t>
  </si>
  <si>
    <t xml:space="preserve">Капуста квашена</t>
  </si>
  <si>
    <t xml:space="preserve">Капуста пекінська свіжа</t>
  </si>
  <si>
    <t xml:space="preserve">Капуста цвітна свіжа</t>
  </si>
  <si>
    <t xml:space="preserve">Капуста цвітна свіжа сезонна</t>
  </si>
  <si>
    <t xml:space="preserve">Картопля рання</t>
  </si>
  <si>
    <t xml:space="preserve">Квасоля продовольча</t>
  </si>
  <si>
    <t xml:space="preserve">Квасоля консервована</t>
  </si>
  <si>
    <t xml:space="preserve">Квасоля консервована в томаті</t>
  </si>
  <si>
    <t xml:space="preserve">Консерви, заправки для перших страв</t>
  </si>
  <si>
    <t xml:space="preserve">Кукурудза консервована</t>
  </si>
  <si>
    <t xml:space="preserve">Маслини без кісточки</t>
  </si>
  <si>
    <t xml:space="preserve">Морква свіжа</t>
  </si>
  <si>
    <t xml:space="preserve">Огірки свіжі</t>
  </si>
  <si>
    <t xml:space="preserve">Огірки консервовані</t>
  </si>
  <si>
    <t xml:space="preserve">Огірки солоні</t>
  </si>
  <si>
    <t xml:space="preserve">Огірки свіжі сезонні</t>
  </si>
  <si>
    <t xml:space="preserve">Оливки без кісточки</t>
  </si>
  <si>
    <t xml:space="preserve">Перець солодкий свіжий </t>
  </si>
  <si>
    <t xml:space="preserve">Перець солодкий свіжий сезонний</t>
  </si>
  <si>
    <t xml:space="preserve">Перець стручковий свіжий червоний</t>
  </si>
  <si>
    <t xml:space="preserve">Перець консервований солодкий </t>
  </si>
  <si>
    <t xml:space="preserve">Салат свіжий</t>
  </si>
  <si>
    <t xml:space="preserve">Салат свіжий сезонний</t>
  </si>
  <si>
    <t xml:space="preserve">Томат свіжий</t>
  </si>
  <si>
    <t xml:space="preserve">Томат свіжий сезонний</t>
  </si>
  <si>
    <t xml:space="preserve">Томат консервований</t>
  </si>
  <si>
    <t xml:space="preserve">Томат солоний</t>
  </si>
  <si>
    <t xml:space="preserve">Цибуля зелена свіжа</t>
  </si>
  <si>
    <t xml:space="preserve">Цибуля порей свіжа</t>
  </si>
  <si>
    <t xml:space="preserve">Цибуля ріпчаста свіжа</t>
  </si>
  <si>
    <t xml:space="preserve">Часник свіжий</t>
  </si>
  <si>
    <t xml:space="preserve">Печериці свіжі</t>
  </si>
  <si>
    <t xml:space="preserve">Печериці консервовані</t>
  </si>
  <si>
    <t xml:space="preserve">Щавель свіжий</t>
  </si>
  <si>
    <t xml:space="preserve">Щавель консервований</t>
  </si>
  <si>
    <t xml:space="preserve">Салат овочевий закусочний</t>
  </si>
  <si>
    <t xml:space="preserve">Редис свіжий</t>
  </si>
  <si>
    <t xml:space="preserve">Редька свіжа</t>
  </si>
  <si>
    <t xml:space="preserve">Капуста морська (салати капусти морської) </t>
  </si>
  <si>
    <t xml:space="preserve">М’ята свіжа</t>
  </si>
  <si>
    <t xml:space="preserve">Цибуля напівгострих сортів </t>
  </si>
  <si>
    <t xml:space="preserve">Цибуля солодких сортів </t>
  </si>
  <si>
    <t xml:space="preserve">Картопля пізня</t>
  </si>
  <si>
    <t xml:space="preserve">Капуста червоноголова свіжа</t>
  </si>
  <si>
    <t xml:space="preserve">Рукола свіжа</t>
  </si>
  <si>
    <t xml:space="preserve">Капуста броколі заморожена</t>
  </si>
  <si>
    <t xml:space="preserve">Вишня заморожена</t>
  </si>
  <si>
    <t xml:space="preserve">Горошок зелений заморожений</t>
  </si>
  <si>
    <t xml:space="preserve">Капуста цвітна заморожена</t>
  </si>
  <si>
    <t xml:space="preserve">Картопля фрі заморожена</t>
  </si>
  <si>
    <t xml:space="preserve">Кукурудза заморожена</t>
  </si>
  <si>
    <t xml:space="preserve">Перець солодкий заморожений</t>
  </si>
  <si>
    <t xml:space="preserve">Полуниця заморожена</t>
  </si>
  <si>
    <t xml:space="preserve">Слива заморожена</t>
  </si>
  <si>
    <t xml:space="preserve">Смородина чорна заморожена</t>
  </si>
  <si>
    <t xml:space="preserve">Квасоля стручкова заморожена</t>
  </si>
  <si>
    <t xml:space="preserve">Чорниця заморожена</t>
  </si>
  <si>
    <t xml:space="preserve">Обліпиха заморожена</t>
  </si>
  <si>
    <t xml:space="preserve">Журавлина заморожена</t>
  </si>
  <si>
    <t xml:space="preserve">Крупа горохова швидкого приготування</t>
  </si>
  <si>
    <t xml:space="preserve">Крупа гречана швидкого приготування</t>
  </si>
  <si>
    <t xml:space="preserve">Макаронні вироби швидкого приготування</t>
  </si>
  <si>
    <t xml:space="preserve">Концентрати харчові (перші страви)</t>
  </si>
  <si>
    <t xml:space="preserve">Концентрати харчові (другі страви)</t>
  </si>
  <si>
    <t xml:space="preserve">Пластівці вівсяні “Екстра”</t>
  </si>
  <si>
    <t xml:space="preserve">Крупа вівсяна неподрібнена</t>
  </si>
  <si>
    <t xml:space="preserve">Крупа вівсяна плющена</t>
  </si>
  <si>
    <t xml:space="preserve">Крупа горохова колота</t>
  </si>
  <si>
    <t xml:space="preserve">Крупа гречана ядриця</t>
  </si>
  <si>
    <t xml:space="preserve">Крупа кукурудзяна шліфована</t>
  </si>
  <si>
    <t xml:space="preserve">Крупа манна</t>
  </si>
  <si>
    <t xml:space="preserve">Крупа перлова</t>
  </si>
  <si>
    <t xml:space="preserve">Крупа пшенична</t>
  </si>
  <si>
    <t xml:space="preserve">Крупа пшоняна</t>
  </si>
  <si>
    <t xml:space="preserve">Крупа ячна</t>
  </si>
  <si>
    <t xml:space="preserve">Пластівці кукурудзяні</t>
  </si>
  <si>
    <t xml:space="preserve">Пластівці круп’яні зі смаковими добавками</t>
  </si>
  <si>
    <t xml:space="preserve">Плаcтівці круп’яні </t>
  </si>
  <si>
    <t xml:space="preserve">Нут</t>
  </si>
  <si>
    <t xml:space="preserve">Рис довгозернистий шліфований</t>
  </si>
  <si>
    <t xml:space="preserve">Рис круглозернистий (середньозернистий)</t>
  </si>
  <si>
    <t xml:space="preserve">Рис нешліфований</t>
  </si>
  <si>
    <t xml:space="preserve">Сніданки сухі</t>
  </si>
  <si>
    <t xml:space="preserve">Крупа кускус</t>
  </si>
  <si>
    <t xml:space="preserve">Крупа булгур</t>
  </si>
  <si>
    <t xml:space="preserve">Крупа сочевиця </t>
  </si>
  <si>
    <t xml:space="preserve">Вермішель довга (твердих сортів)</t>
  </si>
  <si>
    <t xml:space="preserve">Макарони</t>
  </si>
  <si>
    <t xml:space="preserve">Трубчасті макаронні вироби (ріжки, перо)</t>
  </si>
  <si>
    <t xml:space="preserve">Локшина </t>
  </si>
  <si>
    <t xml:space="preserve">Фігурні макаронні вироби</t>
  </si>
  <si>
    <t xml:space="preserve">Базилік (спеції)</t>
  </si>
  <si>
    <t xml:space="preserve">Гірчиця харчова</t>
  </si>
  <si>
    <t xml:space="preserve">Дріжджі хлібопекарські пресовані</t>
  </si>
  <si>
    <t xml:space="preserve">Дріжджі хлібопекарські сухі</t>
  </si>
  <si>
    <t xml:space="preserve">Желатин харчовий</t>
  </si>
  <si>
    <t xml:space="preserve">Кетчуп</t>
  </si>
  <si>
    <t xml:space="preserve">Корінь селери</t>
  </si>
  <si>
    <t xml:space="preserve">Кріп свіжий</t>
  </si>
  <si>
    <t xml:space="preserve">Кріп сушений</t>
  </si>
  <si>
    <t xml:space="preserve">Крохмаль картопляний</t>
  </si>
  <si>
    <t xml:space="preserve">Лист лавровий сухий</t>
  </si>
  <si>
    <t xml:space="preserve">Майонезний соус </t>
  </si>
  <si>
    <t xml:space="preserve">Майонез (понад 55 %)</t>
  </si>
  <si>
    <t xml:space="preserve">Орегано (спеції)</t>
  </si>
  <si>
    <t xml:space="preserve">Оцет 9 %</t>
  </si>
  <si>
    <t xml:space="preserve">Перець червоний мелений</t>
  </si>
  <si>
    <t xml:space="preserve">Петрушка свіжа</t>
  </si>
  <si>
    <t xml:space="preserve">Петрушка сушена</t>
  </si>
  <si>
    <t xml:space="preserve">Порошок гірчичний</t>
  </si>
  <si>
    <t xml:space="preserve">Приправи для моркви по-корейськи</t>
  </si>
  <si>
    <t xml:space="preserve">Перець чорний горошком</t>
  </si>
  <si>
    <t xml:space="preserve">Перець чорний мелений</t>
  </si>
  <si>
    <t xml:space="preserve">Сіль кухонна екстра</t>
  </si>
  <si>
    <t xml:space="preserve">Сіль кухонна</t>
  </si>
  <si>
    <t xml:space="preserve">Томатна паста</t>
  </si>
  <si>
    <t xml:space="preserve">Хрін</t>
  </si>
  <si>
    <t xml:space="preserve">Кориця мелена</t>
  </si>
  <si>
    <t xml:space="preserve">Ванілін</t>
  </si>
  <si>
    <t xml:space="preserve">Ванільний цукор</t>
  </si>
  <si>
    <t xml:space="preserve">Сіль йодована</t>
  </si>
  <si>
    <t xml:space="preserve">Оцет яблучний 9 %</t>
  </si>
  <si>
    <t xml:space="preserve">Кислота лимонна</t>
  </si>
  <si>
    <t xml:space="preserve">Сода харчова</t>
  </si>
  <si>
    <t xml:space="preserve">Перець духмяний горошком</t>
  </si>
  <si>
    <t xml:space="preserve">Коріандр (прянощі)</t>
  </si>
  <si>
    <t xml:space="preserve">Суміш спецій (без солі)</t>
  </si>
  <si>
    <t xml:space="preserve">Паприка копчена мелена</t>
  </si>
  <si>
    <t xml:space="preserve">Грудинка безкісткова копчена</t>
  </si>
  <si>
    <t xml:space="preserve">Ковбаса варена вищого ґатунку</t>
  </si>
  <si>
    <t xml:space="preserve">Ковбаса напівкопчена першого ґатунку</t>
  </si>
  <si>
    <t xml:space="preserve">Ковбаса напівкопчена вищого ґатунку</t>
  </si>
  <si>
    <t xml:space="preserve">Ковбаса сирокопчена вищого ґатунку</t>
  </si>
  <si>
    <t xml:space="preserve">Консерви “Паштети м’ясні”</t>
  </si>
  <si>
    <t xml:space="preserve">Консерви “Паштети печінкові”</t>
  </si>
  <si>
    <t xml:space="preserve">Консерви м’ясорослинні в асортименті </t>
  </si>
  <si>
    <t xml:space="preserve">Консерви сніданки м'ясні</t>
  </si>
  <si>
    <t xml:space="preserve">Консерви “Свинина тушкована”</t>
  </si>
  <si>
    <t xml:space="preserve">Консерви “Яловичина тушкована вищ ґат”</t>
  </si>
  <si>
    <t xml:space="preserve">Качина тушка охолоджена</t>
  </si>
  <si>
    <t xml:space="preserve">Індиче філе заморожене</t>
  </si>
  <si>
    <t xml:space="preserve">Індиче стегно заморожене</t>
  </si>
  <si>
    <t xml:space="preserve">Куряче філе заморожене</t>
  </si>
  <si>
    <t xml:space="preserve">Куряче філе охолоджене</t>
  </si>
  <si>
    <t xml:space="preserve">Куряча гомілка заморожена</t>
  </si>
  <si>
    <t xml:space="preserve">Куряча гомілка охолоджена</t>
  </si>
  <si>
    <t xml:space="preserve">Куряче крило заморожене</t>
  </si>
  <si>
    <t xml:space="preserve">Куряче стегно заморожене</t>
  </si>
  <si>
    <t xml:space="preserve">Куряче стегно охолоджене</t>
  </si>
  <si>
    <t xml:space="preserve">Куряча тушка заморожена</t>
  </si>
  <si>
    <t xml:space="preserve">Куряча тушка охолоджена</t>
  </si>
  <si>
    <t xml:space="preserve">Печінка куряча заморожена</t>
  </si>
  <si>
    <t xml:space="preserve">Сало свіже </t>
  </si>
  <si>
    <t xml:space="preserve">Сало солоне</t>
  </si>
  <si>
    <t xml:space="preserve">Сардельки першого ґатунку</t>
  </si>
  <si>
    <t xml:space="preserve">Сардельки вищого ґатунку</t>
  </si>
  <si>
    <t xml:space="preserve">Свинина, грудинка безкісткова охолоджена</t>
  </si>
  <si>
    <t xml:space="preserve">Свинина, корейка без кістки заморожена</t>
  </si>
  <si>
    <t xml:space="preserve">Свинина, корейка без кістки охолоджена</t>
  </si>
  <si>
    <t xml:space="preserve">Свинина, корейка з кісткою заморожена</t>
  </si>
  <si>
    <t xml:space="preserve">Свинина, корейка з кісткою охолоджена</t>
  </si>
  <si>
    <t xml:space="preserve">Свинина, лопатка без кістки заморожена</t>
  </si>
  <si>
    <t xml:space="preserve">Свинина, лопатка без кістки охолоджена</t>
  </si>
  <si>
    <t xml:space="preserve">Свинина півтуші, заморожена</t>
  </si>
  <si>
    <t xml:space="preserve">Свинина, ошийок охолоджений</t>
  </si>
  <si>
    <t xml:space="preserve">Свинина, печінка заморожена</t>
  </si>
  <si>
    <t xml:space="preserve">Свинина, ребра заморожені</t>
  </si>
  <si>
    <t xml:space="preserve">Свинина, стегно заморожене</t>
  </si>
  <si>
    <t xml:space="preserve">Свинина, стегно охолоджене</t>
  </si>
  <si>
    <t xml:space="preserve">Сосиски вищого ґатунку</t>
  </si>
  <si>
    <t xml:space="preserve">Шинка копчена</t>
  </si>
  <si>
    <t xml:space="preserve">Яйця курячі першого ґатунку</t>
  </si>
  <si>
    <t xml:space="preserve">шт</t>
  </si>
  <si>
    <t xml:space="preserve">Яйця курячі вищого ґатунку</t>
  </si>
  <si>
    <t xml:space="preserve">Яловичина, задня частина зам. без кістки</t>
  </si>
  <si>
    <t xml:space="preserve">Яловичина, лопатка заморожена без кістки</t>
  </si>
  <si>
    <t xml:space="preserve">Яловичина, лопатка охолоджена без кістки</t>
  </si>
  <si>
    <t xml:space="preserve">Яловичина півтуші, заморожена</t>
  </si>
  <si>
    <t xml:space="preserve">Яловичина, печінка заморожена</t>
  </si>
  <si>
    <t xml:space="preserve">Яловичина, стейк (биток)</t>
  </si>
  <si>
    <t xml:space="preserve">М’ясні субпродукти другої категорії</t>
  </si>
  <si>
    <t xml:space="preserve">Телятина, лопатка заморожена без кістки</t>
  </si>
  <si>
    <t xml:space="preserve">М’ясо кролика, тушка охолоджена</t>
  </si>
  <si>
    <t xml:space="preserve">Серце яловиче заморожене</t>
  </si>
  <si>
    <t xml:space="preserve">Субпродукти курячі (серце, шлунки)</t>
  </si>
  <si>
    <t xml:space="preserve">Хек (мерлуза) філе заморожене</t>
  </si>
  <si>
    <t xml:space="preserve">Горбуша без голови заморожена</t>
  </si>
  <si>
    <t xml:space="preserve">Консерви тунець в олії</t>
  </si>
  <si>
    <t xml:space="preserve">Консерви з риби дрібної у томаті </t>
  </si>
  <si>
    <t xml:space="preserve">Консерви скумбрія в олії </t>
  </si>
  <si>
    <t xml:space="preserve">Пресерви оселедець в олії (філе) </t>
  </si>
  <si>
    <t xml:space="preserve">Консерви рибні у томаті </t>
  </si>
  <si>
    <t xml:space="preserve">Консерви сардини в олії </t>
  </si>
  <si>
    <t xml:space="preserve">Консерви шпроти в олії </t>
  </si>
  <si>
    <t xml:space="preserve">Печінка тріски (консерва)</t>
  </si>
  <si>
    <t xml:space="preserve">Короп охолоджений</t>
  </si>
  <si>
    <t xml:space="preserve">Крабові палички заморожені</t>
  </si>
  <si>
    <t xml:space="preserve">Минтай, філе заморожене</t>
  </si>
  <si>
    <t xml:space="preserve">Минтай без голови заморожений</t>
  </si>
  <si>
    <t xml:space="preserve">Сайда заморожена (без голови)</t>
  </si>
  <si>
    <t xml:space="preserve">Товстолоб без голови патраний зам.</t>
  </si>
  <si>
    <t xml:space="preserve">Тріска без голови заморожена </t>
  </si>
  <si>
    <t xml:space="preserve">Скумбрія заморожена (без голови)</t>
  </si>
  <si>
    <t xml:space="preserve">Форель охолоджена</t>
  </si>
  <si>
    <t xml:space="preserve">Хек заморожений (без голови)</t>
  </si>
  <si>
    <t xml:space="preserve">Зубатка, стейк заморожений</t>
  </si>
  <si>
    <t xml:space="preserve">Оселедець солений</t>
  </si>
  <si>
    <t xml:space="preserve">Маргарин столовий </t>
  </si>
  <si>
    <t xml:space="preserve">Масло вершкове селянське 72,5 % - 79,9 %</t>
  </si>
  <si>
    <t xml:space="preserve">Масло вер. сел. 72,5 % - 79,9 % (інд. пак.)</t>
  </si>
  <si>
    <t xml:space="preserve">Масло вершкове бутер. 61,5 % - 72,4 %</t>
  </si>
  <si>
    <t xml:space="preserve">Олія оливкова</t>
  </si>
  <si>
    <t xml:space="preserve">Олія соняшникова нерафінована</t>
  </si>
  <si>
    <t xml:space="preserve">Олія соняшникова рафінована</t>
  </si>
  <si>
    <t xml:space="preserve">Жир тваринний</t>
  </si>
  <si>
    <t xml:space="preserve">Варення з малини</t>
  </si>
  <si>
    <t xml:space="preserve">Варення з полуниці</t>
  </si>
  <si>
    <t xml:space="preserve">Варення плодово-ягідне</t>
  </si>
  <si>
    <t xml:space="preserve">Джем плодово-ягідний</t>
  </si>
  <si>
    <t xml:space="preserve">Льодяники різні</t>
  </si>
  <si>
    <t xml:space="preserve">Мед натуральний</t>
  </si>
  <si>
    <t xml:space="preserve">Повидло яблучне</t>
  </si>
  <si>
    <t xml:space="preserve">Варення з малини індивідуального пак.</t>
  </si>
  <si>
    <t xml:space="preserve">Варення з полуниці індивідуального пак.</t>
  </si>
  <si>
    <t xml:space="preserve">Варення плодово-ягідне індив. пакування</t>
  </si>
  <si>
    <t xml:space="preserve">Джем плодово-ягідний індив. пакування</t>
  </si>
  <si>
    <t xml:space="preserve">Мед натуральний індивідуального пакув.</t>
  </si>
  <si>
    <t xml:space="preserve">Горіхова паста</t>
  </si>
  <si>
    <t xml:space="preserve">Батончик енергетичний</t>
  </si>
  <si>
    <t xml:space="preserve">Шоколад молочний</t>
  </si>
  <si>
    <t xml:space="preserve">Шоколад молочний індивідуального пакув.</t>
  </si>
  <si>
    <t xml:space="preserve">Шоколад темний (чорний)</t>
  </si>
  <si>
    <t xml:space="preserve">Шоколад темний (чорний) індив. пакування</t>
  </si>
  <si>
    <t xml:space="preserve">Батончик шоколадний з арахісом</t>
  </si>
  <si>
    <t xml:space="preserve">Бринза</t>
  </si>
  <si>
    <t xml:space="preserve">Вершки питні</t>
  </si>
  <si>
    <t xml:space="preserve">Йогурт від 1,5 % (з наповнювачами)</t>
  </si>
  <si>
    <t xml:space="preserve">Йогурт від 1,5 % (без харчових добавок )</t>
  </si>
  <si>
    <t xml:space="preserve">Кефір нежирний</t>
  </si>
  <si>
    <t xml:space="preserve">Кефір від 2,5 %</t>
  </si>
  <si>
    <t xml:space="preserve">Молоко згущене від 8,5 %</t>
  </si>
  <si>
    <t xml:space="preserve">Молоко пастеризоване 1 % - 2,45 %</t>
  </si>
  <si>
    <t xml:space="preserve">Молоко ультрапастеризоване 1-1,6 %</t>
  </si>
  <si>
    <t xml:space="preserve">Молоко ультрапастеризоване 2,5 %</t>
  </si>
  <si>
    <t xml:space="preserve">Молоко ультрапастеризоване 3,2 %</t>
  </si>
  <si>
    <t xml:space="preserve">Сир кисломолочний 9-18 %</t>
  </si>
  <si>
    <t xml:space="preserve">Сир кисломолочний нежирний</t>
  </si>
  <si>
    <t xml:space="preserve">Сир плавлений </t>
  </si>
  <si>
    <t xml:space="preserve">Сир твердий (український асортимент)</t>
  </si>
  <si>
    <t xml:space="preserve">Сир напівтвердий</t>
  </si>
  <si>
    <t xml:space="preserve">Сир твердий сичужний</t>
  </si>
  <si>
    <t xml:space="preserve">Сир м’який</t>
  </si>
  <si>
    <t xml:space="preserve">Сметана 15 % - 19 %</t>
  </si>
  <si>
    <t xml:space="preserve">Сметана 20 % - 24 %</t>
  </si>
  <si>
    <t xml:space="preserve">Молоко пастеризоване від 2,5 %</t>
  </si>
  <si>
    <t xml:space="preserve">Десерт сирковий</t>
  </si>
  <si>
    <t xml:space="preserve">Сир розсільний</t>
  </si>
  <si>
    <t xml:space="preserve">Сметана 25% - 40 %</t>
  </si>
  <si>
    <t xml:space="preserve">Сир кисломолочний 5%</t>
  </si>
  <si>
    <t xml:space="preserve">Апельсиновий нектар до 0,3 л</t>
  </si>
  <si>
    <t xml:space="preserve">Апельсиновий нектар</t>
  </si>
  <si>
    <t xml:space="preserve">Яблучно-виноградний сік до 0,3 л</t>
  </si>
  <si>
    <t xml:space="preserve">Яблучно-виноградний сік</t>
  </si>
  <si>
    <t xml:space="preserve">Вишневий нектар до 0,3 л</t>
  </si>
  <si>
    <t xml:space="preserve">Вишневий нектар</t>
  </si>
  <si>
    <t xml:space="preserve">Вода газована солодка 0,5 л</t>
  </si>
  <si>
    <t xml:space="preserve">Вода мінеральна столова сильно газ. 0,5 л</t>
  </si>
  <si>
    <t xml:space="preserve">Вода мінеральна столова негазована 0,5 л</t>
  </si>
  <si>
    <t xml:space="preserve">Вода мінеральна столова негазована 1,5 л</t>
  </si>
  <si>
    <t xml:space="preserve">Вода питна бутильована до 1,5 л</t>
  </si>
  <si>
    <t xml:space="preserve">Гранатовий нектар</t>
  </si>
  <si>
    <t xml:space="preserve">Кава натуральна мелена</t>
  </si>
  <si>
    <t xml:space="preserve">Кава розчинна</t>
  </si>
  <si>
    <t xml:space="preserve">Кавовий напій</t>
  </si>
  <si>
    <t xml:space="preserve">Какао-порошок</t>
  </si>
  <si>
    <t xml:space="preserve">Мультивітамінний сік</t>
  </si>
  <si>
    <t xml:space="preserve">Томатний сік</t>
  </si>
  <si>
    <t xml:space="preserve">Цукор індивідуального пакування</t>
  </si>
  <si>
    <t xml:space="preserve">Цукор</t>
  </si>
  <si>
    <t xml:space="preserve">Чай зелений пакетований</t>
  </si>
  <si>
    <t xml:space="preserve">Чай зелений нефасований</t>
  </si>
  <si>
    <t xml:space="preserve">Чай чорний з добавками пакетований</t>
  </si>
  <si>
    <t xml:space="preserve">Чай чорний пакетований</t>
  </si>
  <si>
    <t xml:space="preserve">Чай чорний нефасований</t>
  </si>
  <si>
    <t xml:space="preserve">Яблучний сік до 0,3 л</t>
  </si>
  <si>
    <t xml:space="preserve">Яблучний сік</t>
  </si>
  <si>
    <t xml:space="preserve">Персиковий нектар</t>
  </si>
  <si>
    <t xml:space="preserve">Чай зелений з добавками пакетований</t>
  </si>
  <si>
    <t xml:space="preserve">Сік морквяний</t>
  </si>
  <si>
    <t xml:space="preserve">Ананас консервований</t>
  </si>
  <si>
    <t xml:space="preserve">Ананас свіжий</t>
  </si>
  <si>
    <t xml:space="preserve">Апельсин</t>
  </si>
  <si>
    <t xml:space="preserve">Банан</t>
  </si>
  <si>
    <t xml:space="preserve">Виноград</t>
  </si>
  <si>
    <t xml:space="preserve">Арахіс смажений</t>
  </si>
  <si>
    <t xml:space="preserve">Горіх волоський ядро</t>
  </si>
  <si>
    <t xml:space="preserve">Горіх кеш'ю</t>
  </si>
  <si>
    <t xml:space="preserve">Горіх фундук ядро сушений</t>
  </si>
  <si>
    <t xml:space="preserve">Грейпфрут</t>
  </si>
  <si>
    <t xml:space="preserve">Груша свіжа ранніх термінів достигання </t>
  </si>
  <si>
    <t xml:space="preserve">Груша свіжа сер. та пізн. терм. достигання</t>
  </si>
  <si>
    <t xml:space="preserve">Груша консервована</t>
  </si>
  <si>
    <t xml:space="preserve">Диня</t>
  </si>
  <si>
    <t xml:space="preserve">Кавун</t>
  </si>
  <si>
    <t xml:space="preserve">Ківі</t>
  </si>
  <si>
    <t xml:space="preserve">Курага</t>
  </si>
  <si>
    <t xml:space="preserve">Лимон</t>
  </si>
  <si>
    <t xml:space="preserve">Малина свіжа</t>
  </si>
  <si>
    <t xml:space="preserve">Мандарин</t>
  </si>
  <si>
    <t xml:space="preserve">Персик консервований</t>
  </si>
  <si>
    <t xml:space="preserve">Родзинки</t>
  </si>
  <si>
    <t xml:space="preserve">Суміш сухофруктів</t>
  </si>
  <si>
    <t xml:space="preserve">Суміш фруктів консервована</t>
  </si>
  <si>
    <t xml:space="preserve">Хурма</t>
  </si>
  <si>
    <t xml:space="preserve">Черешня</t>
  </si>
  <si>
    <t xml:space="preserve">Чорнослив без кісточки</t>
  </si>
  <si>
    <t xml:space="preserve">Нектарин</t>
  </si>
  <si>
    <t xml:space="preserve">Яблука свіжі ранніх термінів достигання</t>
  </si>
  <si>
    <t xml:space="preserve">Яблука свіжі пізніх (серед.) терм. достиган.</t>
  </si>
  <si>
    <t xml:space="preserve">Насіння льону</t>
  </si>
  <si>
    <t xml:space="preserve">Шипшина сушена</t>
  </si>
  <si>
    <t xml:space="preserve">Слива свіжа сезонна</t>
  </si>
  <si>
    <t xml:space="preserve">Гарбузове насіння чищене</t>
  </si>
  <si>
    <t xml:space="preserve">Інжир сушений</t>
  </si>
  <si>
    <t xml:space="preserve">Абрикос</t>
  </si>
  <si>
    <t xml:space="preserve">Персик</t>
  </si>
  <si>
    <t xml:space="preserve">Полуниця</t>
  </si>
  <si>
    <t xml:space="preserve">Смородина чорна</t>
  </si>
  <si>
    <t xml:space="preserve">Авокадо</t>
  </si>
  <si>
    <t xml:space="preserve">Батон</t>
  </si>
  <si>
    <t xml:space="preserve">Борошно пшеничне першого ґатунку</t>
  </si>
  <si>
    <t xml:space="preserve">Борошно пшеничне другого ґатунку</t>
  </si>
  <si>
    <t xml:space="preserve">Борошно пшеничне вищого ґатунку</t>
  </si>
  <si>
    <t xml:space="preserve">Сушки</t>
  </si>
  <si>
    <t xml:space="preserve">Вафлі з начинкою </t>
  </si>
  <si>
    <t xml:space="preserve">Вафлі з фруктовими начинками</t>
  </si>
  <si>
    <t xml:space="preserve">Галети</t>
  </si>
  <si>
    <t xml:space="preserve">Здобна випічка</t>
  </si>
  <si>
    <t xml:space="preserve">Печиво вівсяне</t>
  </si>
  <si>
    <t xml:space="preserve">Печиво цукрове</t>
  </si>
  <si>
    <t xml:space="preserve">Печиво листкове</t>
  </si>
  <si>
    <t xml:space="preserve">Печиво затяжне</t>
  </si>
  <si>
    <t xml:space="preserve">Сухарі</t>
  </si>
  <si>
    <t xml:space="preserve">Хліб житній (нарізний)</t>
  </si>
  <si>
    <t xml:space="preserve">Хліб із суміші жит. і пшен. борошна (наріз)</t>
  </si>
  <si>
    <t xml:space="preserve">Хліб з пшенич. бор. першого ґат (нарізний)</t>
  </si>
  <si>
    <t xml:space="preserve">Булочка для гамбургера</t>
  </si>
  <si>
    <t xml:space="preserve">Хліб цільнозерновий</t>
  </si>
  <si>
    <t xml:space="preserve">Лаваш тонкий </t>
  </si>
  <si>
    <t xml:space="preserve">ВСЬОГО</t>
  </si>
  <si>
    <t xml:space="preserve">Вантажовідправник</t>
  </si>
  <si>
    <t xml:space="preserve">02,09,24</t>
  </si>
  <si>
    <t xml:space="preserve">І. Черешнюк</t>
  </si>
  <si>
    <t xml:space="preserve">В. Куриленко</t>
  </si>
  <si>
    <t xml:space="preserve">НАКЛАДНА №</t>
  </si>
  <si>
    <t xml:space="preserve">СУХИНА Ігор Миколайович</t>
  </si>
  <si>
    <t xml:space="preserve">IІ-й відділ
 РТЦК та СП</t>
  </si>
  <si>
    <t xml:space="preserve">СЄДОВ Павло Миколайович</t>
  </si>
  <si>
    <t xml:space="preserve">Кількість</t>
  </si>
  <si>
    <t xml:space="preserve">Хмільник</t>
  </si>
  <si>
    <t xml:space="preserve">Козятин</t>
  </si>
  <si>
    <t xml:space="preserve">Калинівка</t>
  </si>
  <si>
    <t xml:space="preserve">Дійсна до "01"  12  2024 року</t>
  </si>
  <si>
    <t xml:space="preserve">НАКЛАДНА №75</t>
  </si>
  <si>
    <t xml:space="preserve">__________________________________________________________________________________________</t>
  </si>
  <si>
    <t xml:space="preserve">П.М.КАЛУЖИСЬКИЙ </t>
  </si>
  <si>
    <t xml:space="preserve">(Посада , військове звання,підпис,</t>
  </si>
  <si>
    <t xml:space="preserve">призвище,</t>
  </si>
  <si>
    <t xml:space="preserve">ініціали )</t>
  </si>
  <si>
    <t xml:space="preserve">Видав (отримав )  __________________________________ О.Т. КОМБАРОВ</t>
  </si>
  <si>
    <t xml:space="preserve">Отримав ( прийняв) ________________________________Н.Л.ТЕРЕЩУК</t>
  </si>
  <si>
    <t xml:space="preserve">НАКЛАДНА №336</t>
  </si>
  <si>
    <t xml:space="preserve">Ю. Чех</t>
  </si>
  <si>
    <t xml:space="preserve">ВИДАВ ( здав ) ______________________</t>
  </si>
  <si>
    <t xml:space="preserve">ПРИЙНЯВ ___________________________</t>
  </si>
  <si>
    <t xml:space="preserve">Ю.Чех</t>
  </si>
  <si>
    <t xml:space="preserve">В. Каракуля</t>
  </si>
  <si>
    <t xml:space="preserve">А. Самборська</t>
  </si>
  <si>
    <t xml:space="preserve">ВИДАВ (отримав ) ___________________</t>
  </si>
  <si>
    <t xml:space="preserve">В.Каракуля</t>
  </si>
  <si>
    <t xml:space="preserve">ПРИЙНЯВ ( отримав )_________________</t>
  </si>
  <si>
    <t xml:space="preserve">А. Самборська </t>
  </si>
  <si>
    <t xml:space="preserve">Дата запису</t>
  </si>
  <si>
    <t xml:space="preserve">Найменування документа</t>
  </si>
  <si>
    <t xml:space="preserve">Номер і дата документа </t>
  </si>
  <si>
    <t xml:space="preserve">Постачальник (одержувач)</t>
  </si>
  <si>
    <t xml:space="preserve">Наменування військового майна та їх категорія</t>
  </si>
  <si>
    <t xml:space="preserve">Гарбуз продовольчий 
свіжий</t>
  </si>
  <si>
    <t xml:space="preserve">Сир кисломолочний 9-18%</t>
  </si>
  <si>
    <t xml:space="preserve">Ціна за одиницю</t>
  </si>
  <si>
    <t xml:space="preserve">надійшло</t>
  </si>
  <si>
    <t xml:space="preserve">вибуло </t>
  </si>
  <si>
    <t xml:space="preserve">становить</t>
  </si>
  <si>
    <t xml:space="preserve">На початок тижня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</si>
</sst>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0.00"/>
    <numFmt numFmtId="166" formatCode="dd/mm/yyyy"/>
    <numFmt numFmtId="167" formatCode="@"/>
    <numFmt numFmtId="168" formatCode="0"/>
    <numFmt numFmtId="169" formatCode="0.000"/>
    <numFmt numFmtId="170" formatCode="General"/>
    <numFmt numFmtId="171" formatCode="0.0000"/>
    <numFmt numFmtId="172" formatCode="#,##0.000;\-#,##0.000;&quot; - &quot;"/>
    <numFmt numFmtId="173" formatCode="#,##0.000_ ;\-#,##0.000\ "/>
  </numFmts>
  <fonts count="15">
    <font>
      <sz val="11"/>
      <color rgb="FF000000"/>
      <name val="Calibri"/>
      <family val="0"/>
      <charset val="13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Times New Roman"/>
      <family val="0"/>
      <charset val="204"/>
    </font>
    <font>
      <b val="true"/>
      <sz val="9"/>
      <color rgb="FF000000"/>
      <name val="Times New Roman"/>
      <family val="0"/>
      <charset val="204"/>
    </font>
    <font>
      <sz val="9"/>
      <color rgb="FF000000"/>
      <name val="Times New Roman"/>
      <family val="0"/>
      <charset val="204"/>
    </font>
    <font>
      <sz val="10"/>
      <color rgb="FF000000"/>
      <name val="Times New Roman"/>
      <family val="0"/>
      <charset val="204"/>
    </font>
    <font>
      <b val="true"/>
      <sz val="14"/>
      <color rgb="FF000000"/>
      <name val="Times New Roman"/>
      <family val="0"/>
      <charset val="204"/>
    </font>
    <font>
      <sz val="12"/>
      <color rgb="FF000000"/>
      <name val="Times New Roman"/>
      <family val="0"/>
      <charset val="204"/>
    </font>
    <font>
      <b val="true"/>
      <sz val="11"/>
      <color rgb="FF000000"/>
      <name val="Times New Roman"/>
      <family val="0"/>
      <charset val="204"/>
    </font>
    <font>
      <sz val="11"/>
      <name val="Times New Roman"/>
      <family val="0"/>
      <charset val="204"/>
    </font>
    <font>
      <sz val="11"/>
      <color rgb="FFFF0000"/>
      <name val="Times New Roman"/>
      <family val="0"/>
      <charset val="204"/>
    </font>
    <font>
      <b val="true"/>
      <sz val="11"/>
      <color rgb="FF000000"/>
      <name val="Calibri"/>
      <family val="0"/>
      <charset val="204"/>
    </font>
    <font>
      <sz val="14"/>
      <color rgb="FF000000"/>
      <name val="Times New Roman"/>
      <family val="0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thin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 style="thick"/>
      <right style="thick"/>
      <top style="thin"/>
      <bottom style="thin"/>
      <diagonal/>
    </border>
    <border diagonalUp="false" diagonalDown="false">
      <left/>
      <right style="thick"/>
      <top style="thin"/>
      <bottom style="thin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 style="thick"/>
      <right style="thin"/>
      <top/>
      <bottom style="thick"/>
      <diagonal/>
    </border>
    <border diagonalUp="false" diagonalDown="false">
      <left style="thin"/>
      <right style="thin"/>
      <top/>
      <bottom style="thick"/>
      <diagonal/>
    </border>
    <border diagonalUp="false" diagonalDown="false">
      <left style="thin"/>
      <right style="thick"/>
      <top/>
      <bottom style="thick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ck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ck"/>
      <top style="thin"/>
      <bottom style="medium"/>
      <diagonal/>
    </border>
    <border diagonalUp="false" diagonalDown="false">
      <left/>
      <right style="thin"/>
      <top style="thin"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1" applyFont="true" applyBorder="true" applyAlignment="true" applyProtection="true">
      <alignment horizontal="center" vertical="bottom" textRotation="0" wrapText="false" indent="0" shrinkToFit="false"/>
      <protection locked="true" hidden="false"/>
    </xf>
  </cellStyleXfs>
  <cellXfs count="1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1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3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4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1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4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6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7" fillId="0" borderId="7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7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9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0" borderId="8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0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7" fillId="0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7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7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7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7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7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7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2" fontId="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3" fontId="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Стиль 1" xfId="20"/>
  </cellStyles>
  <dxfs count="6">
    <dxf>
      <fill>
        <patternFill patternType="solid">
          <fgColor rgb="00FFFFFF"/>
        </patternFill>
      </fill>
    </dxf>
    <dxf>
      <fill>
        <patternFill patternType="solid">
          <fgColor rgb="FFF7F7F7"/>
          <bgColor rgb="FF272727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 patternType="solid">
          <fgColor rgb="FFFFFF00"/>
        </patternFill>
      </fill>
    </dxf>
    <dxf>
      <fill>
        <patternFill>
          <bgColor rgb="FFBFBFB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externalLink" Target="externalLinks/externalLink1.xml"/><Relationship Id="rId12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&#1044;&#1086;&#1076;&#1072;&#1090;&#1086;&#1082;%2013%20&#1082;&#1085;&#1080;&#1075;&#1072;%20&#1073;&#1083;&#1072;&#1085;&#1082;%20&#8211;%20&#1082;&#1086;&#1087;&#1110;&#1103;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Аркуш1"/>
      <sheetName val="НАДІЙШЛО2"/>
      <sheetName val="ВИБУЛО2"/>
      <sheetName val="НАДІЙШЛО "/>
      <sheetName val="ВИБУЛО  "/>
    </sheetNames>
    <sheetDataSet>
      <sheetData sheetId="0"/>
      <sheetData sheetId="1">
        <row r="3">
          <cell r="D3">
            <v>0</v>
          </cell>
          <cell r="E3">
            <v>0</v>
          </cell>
        </row>
        <row r="3"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0</v>
          </cell>
          <cell r="BY3">
            <v>0</v>
          </cell>
          <cell r="BZ3">
            <v>0</v>
          </cell>
          <cell r="CA3">
            <v>0</v>
          </cell>
          <cell r="CB3">
            <v>0</v>
          </cell>
          <cell r="CC3">
            <v>0</v>
          </cell>
          <cell r="CD3">
            <v>0</v>
          </cell>
          <cell r="CE3">
            <v>0</v>
          </cell>
          <cell r="CF3">
            <v>0</v>
          </cell>
          <cell r="CG3">
            <v>0</v>
          </cell>
          <cell r="CH3">
            <v>0</v>
          </cell>
          <cell r="CI3">
            <v>0</v>
          </cell>
          <cell r="CJ3">
            <v>0</v>
          </cell>
          <cell r="CK3">
            <v>0</v>
          </cell>
          <cell r="CL3">
            <v>0</v>
          </cell>
          <cell r="CM3">
            <v>0</v>
          </cell>
          <cell r="CN3">
            <v>0</v>
          </cell>
          <cell r="CO3">
            <v>0</v>
          </cell>
          <cell r="CP3">
            <v>0</v>
          </cell>
          <cell r="CQ3">
            <v>0</v>
          </cell>
          <cell r="CR3">
            <v>0</v>
          </cell>
          <cell r="CS3">
            <v>0</v>
          </cell>
          <cell r="CT3">
            <v>0</v>
          </cell>
          <cell r="CU3">
            <v>0</v>
          </cell>
          <cell r="CV3">
            <v>0</v>
          </cell>
          <cell r="CW3">
            <v>0</v>
          </cell>
          <cell r="CX3">
            <v>0</v>
          </cell>
          <cell r="CY3">
            <v>0</v>
          </cell>
          <cell r="CZ3">
            <v>0</v>
          </cell>
          <cell r="DA3">
            <v>0</v>
          </cell>
          <cell r="DB3">
            <v>0</v>
          </cell>
          <cell r="DC3">
            <v>0</v>
          </cell>
          <cell r="DD3">
            <v>0</v>
          </cell>
          <cell r="DE3">
            <v>0</v>
          </cell>
          <cell r="DF3">
            <v>0</v>
          </cell>
          <cell r="DG3">
            <v>0</v>
          </cell>
          <cell r="DH3">
            <v>0</v>
          </cell>
          <cell r="DI3">
            <v>0</v>
          </cell>
          <cell r="DJ3">
            <v>0</v>
          </cell>
          <cell r="DK3">
            <v>0</v>
          </cell>
          <cell r="DL3">
            <v>0</v>
          </cell>
          <cell r="DM3">
            <v>0</v>
          </cell>
          <cell r="DN3">
            <v>0</v>
          </cell>
          <cell r="DO3">
            <v>0</v>
          </cell>
          <cell r="DP3">
            <v>0</v>
          </cell>
          <cell r="DQ3">
            <v>0</v>
          </cell>
          <cell r="DR3">
            <v>0</v>
          </cell>
          <cell r="DS3">
            <v>0</v>
          </cell>
          <cell r="DT3">
            <v>0</v>
          </cell>
          <cell r="DU3">
            <v>0</v>
          </cell>
          <cell r="DV3">
            <v>0</v>
          </cell>
          <cell r="DW3">
            <v>0</v>
          </cell>
          <cell r="DX3">
            <v>0</v>
          </cell>
          <cell r="DY3">
            <v>0</v>
          </cell>
          <cell r="DZ3">
            <v>0</v>
          </cell>
          <cell r="EA3">
            <v>0</v>
          </cell>
          <cell r="EB3">
            <v>0</v>
          </cell>
          <cell r="EC3">
            <v>0</v>
          </cell>
          <cell r="ED3">
            <v>0</v>
          </cell>
          <cell r="EE3">
            <v>0</v>
          </cell>
          <cell r="EF3">
            <v>0</v>
          </cell>
          <cell r="EG3">
            <v>0</v>
          </cell>
          <cell r="EH3">
            <v>0</v>
          </cell>
          <cell r="EI3">
            <v>0</v>
          </cell>
          <cell r="EJ3">
            <v>0</v>
          </cell>
          <cell r="EK3">
            <v>0</v>
          </cell>
          <cell r="EL3">
            <v>0</v>
          </cell>
          <cell r="EM3">
            <v>0</v>
          </cell>
          <cell r="EN3">
            <v>0</v>
          </cell>
          <cell r="EO3">
            <v>0</v>
          </cell>
          <cell r="EP3">
            <v>0</v>
          </cell>
          <cell r="EQ3">
            <v>0</v>
          </cell>
          <cell r="ER3">
            <v>0</v>
          </cell>
          <cell r="ES3">
            <v>0</v>
          </cell>
          <cell r="ET3">
            <v>0</v>
          </cell>
          <cell r="EU3">
            <v>0</v>
          </cell>
          <cell r="EV3">
            <v>0</v>
          </cell>
          <cell r="EW3">
            <v>0</v>
          </cell>
          <cell r="EX3">
            <v>0</v>
          </cell>
          <cell r="EY3">
            <v>0</v>
          </cell>
          <cell r="EZ3">
            <v>0</v>
          </cell>
          <cell r="FA3">
            <v>0</v>
          </cell>
          <cell r="FB3">
            <v>0</v>
          </cell>
          <cell r="FC3">
            <v>0</v>
          </cell>
          <cell r="FD3">
            <v>0</v>
          </cell>
          <cell r="FE3">
            <v>0</v>
          </cell>
          <cell r="FF3">
            <v>0</v>
          </cell>
          <cell r="FG3">
            <v>0</v>
          </cell>
          <cell r="FH3">
            <v>0</v>
          </cell>
          <cell r="FI3">
            <v>0</v>
          </cell>
          <cell r="FJ3">
            <v>0</v>
          </cell>
          <cell r="FK3">
            <v>0</v>
          </cell>
          <cell r="FL3">
            <v>0</v>
          </cell>
          <cell r="FM3">
            <v>0</v>
          </cell>
          <cell r="FN3">
            <v>0</v>
          </cell>
          <cell r="FO3">
            <v>0</v>
          </cell>
          <cell r="FP3">
            <v>0</v>
          </cell>
          <cell r="FQ3">
            <v>0</v>
          </cell>
          <cell r="FR3">
            <v>0</v>
          </cell>
          <cell r="FS3">
            <v>0</v>
          </cell>
          <cell r="FT3">
            <v>0</v>
          </cell>
          <cell r="FU3">
            <v>0</v>
          </cell>
          <cell r="FV3">
            <v>0</v>
          </cell>
          <cell r="FW3">
            <v>0</v>
          </cell>
          <cell r="FX3">
            <v>0</v>
          </cell>
          <cell r="FY3">
            <v>0</v>
          </cell>
          <cell r="FZ3">
            <v>0</v>
          </cell>
          <cell r="GA3">
            <v>0</v>
          </cell>
          <cell r="GB3">
            <v>0</v>
          </cell>
          <cell r="GC3">
            <v>0</v>
          </cell>
          <cell r="GD3">
            <v>0</v>
          </cell>
          <cell r="GE3">
            <v>0</v>
          </cell>
          <cell r="GF3">
            <v>0</v>
          </cell>
          <cell r="GG3">
            <v>0</v>
          </cell>
          <cell r="GH3">
            <v>0</v>
          </cell>
          <cell r="GI3">
            <v>0</v>
          </cell>
          <cell r="GJ3">
            <v>0</v>
          </cell>
          <cell r="GK3">
            <v>0</v>
          </cell>
          <cell r="GL3">
            <v>0</v>
          </cell>
          <cell r="GM3">
            <v>0</v>
          </cell>
          <cell r="GN3">
            <v>0</v>
          </cell>
          <cell r="GO3">
            <v>0</v>
          </cell>
          <cell r="GP3">
            <v>0</v>
          </cell>
          <cell r="GQ3">
            <v>0</v>
          </cell>
          <cell r="GR3">
            <v>0</v>
          </cell>
          <cell r="GS3">
            <v>0</v>
          </cell>
          <cell r="GT3">
            <v>0</v>
          </cell>
          <cell r="GU3">
            <v>0</v>
          </cell>
          <cell r="GV3">
            <v>0</v>
          </cell>
          <cell r="GW3">
            <v>0</v>
          </cell>
          <cell r="GX3">
            <v>0</v>
          </cell>
          <cell r="GY3">
            <v>0</v>
          </cell>
          <cell r="GZ3">
            <v>0</v>
          </cell>
          <cell r="HA3">
            <v>0</v>
          </cell>
          <cell r="HB3">
            <v>0</v>
          </cell>
          <cell r="HC3">
            <v>0</v>
          </cell>
          <cell r="HD3">
            <v>0</v>
          </cell>
          <cell r="HE3">
            <v>0</v>
          </cell>
          <cell r="HF3">
            <v>0</v>
          </cell>
          <cell r="HG3">
            <v>0</v>
          </cell>
          <cell r="HH3">
            <v>0</v>
          </cell>
          <cell r="HI3">
            <v>0</v>
          </cell>
          <cell r="HJ3">
            <v>0</v>
          </cell>
          <cell r="HK3">
            <v>0</v>
          </cell>
          <cell r="HL3">
            <v>0</v>
          </cell>
          <cell r="HM3">
            <v>0</v>
          </cell>
          <cell r="HN3">
            <v>0</v>
          </cell>
          <cell r="HO3">
            <v>0</v>
          </cell>
          <cell r="HP3">
            <v>0</v>
          </cell>
          <cell r="HQ3">
            <v>0</v>
          </cell>
          <cell r="HR3">
            <v>0</v>
          </cell>
          <cell r="HS3">
            <v>0</v>
          </cell>
          <cell r="HT3">
            <v>0</v>
          </cell>
          <cell r="HU3">
            <v>0</v>
          </cell>
          <cell r="HV3">
            <v>0</v>
          </cell>
          <cell r="HW3">
            <v>0</v>
          </cell>
          <cell r="HX3">
            <v>0</v>
          </cell>
          <cell r="HY3">
            <v>0</v>
          </cell>
          <cell r="HZ3">
            <v>0</v>
          </cell>
          <cell r="IA3">
            <v>0</v>
          </cell>
          <cell r="IB3">
            <v>0</v>
          </cell>
          <cell r="IC3">
            <v>0</v>
          </cell>
          <cell r="ID3">
            <v>0</v>
          </cell>
          <cell r="IE3">
            <v>0</v>
          </cell>
          <cell r="IF3">
            <v>0</v>
          </cell>
          <cell r="IG3">
            <v>0</v>
          </cell>
          <cell r="IH3">
            <v>0</v>
          </cell>
          <cell r="II3">
            <v>0</v>
          </cell>
          <cell r="IJ3">
            <v>0</v>
          </cell>
          <cell r="IK3">
            <v>0</v>
          </cell>
          <cell r="IL3">
            <v>0</v>
          </cell>
          <cell r="IM3">
            <v>0</v>
          </cell>
          <cell r="IN3">
            <v>0</v>
          </cell>
          <cell r="IO3">
            <v>0</v>
          </cell>
          <cell r="IP3">
            <v>0</v>
          </cell>
          <cell r="IQ3">
            <v>0</v>
          </cell>
          <cell r="IR3">
            <v>0</v>
          </cell>
          <cell r="IS3">
            <v>0</v>
          </cell>
          <cell r="IT3">
            <v>0</v>
          </cell>
          <cell r="IU3">
            <v>0</v>
          </cell>
          <cell r="IV3">
            <v>0</v>
          </cell>
          <cell r="IW3">
            <v>0</v>
          </cell>
          <cell r="IX3">
            <v>0</v>
          </cell>
          <cell r="IY3">
            <v>0</v>
          </cell>
          <cell r="IZ3">
            <v>0</v>
          </cell>
          <cell r="JA3">
            <v>0</v>
          </cell>
          <cell r="JB3">
            <v>0</v>
          </cell>
          <cell r="JC3">
            <v>0</v>
          </cell>
          <cell r="JD3">
            <v>0</v>
          </cell>
          <cell r="JE3">
            <v>0</v>
          </cell>
          <cell r="JF3">
            <v>0</v>
          </cell>
          <cell r="JG3">
            <v>0</v>
          </cell>
          <cell r="JH3">
            <v>0</v>
          </cell>
          <cell r="JI3">
            <v>0</v>
          </cell>
          <cell r="JJ3">
            <v>0</v>
          </cell>
          <cell r="JK3">
            <v>0</v>
          </cell>
          <cell r="JL3">
            <v>0</v>
          </cell>
          <cell r="JM3">
            <v>0</v>
          </cell>
          <cell r="JN3">
            <v>0</v>
          </cell>
          <cell r="JO3">
            <v>0</v>
          </cell>
          <cell r="JP3">
            <v>0</v>
          </cell>
          <cell r="JQ3">
            <v>0</v>
          </cell>
          <cell r="JR3">
            <v>0</v>
          </cell>
          <cell r="JS3">
            <v>0</v>
          </cell>
          <cell r="JT3">
            <v>0</v>
          </cell>
          <cell r="JU3">
            <v>0</v>
          </cell>
          <cell r="JV3">
            <v>0</v>
          </cell>
          <cell r="JW3">
            <v>0</v>
          </cell>
          <cell r="JX3">
            <v>0</v>
          </cell>
          <cell r="JY3">
            <v>0</v>
          </cell>
          <cell r="JZ3">
            <v>0</v>
          </cell>
          <cell r="KA3">
            <v>0</v>
          </cell>
          <cell r="KB3">
            <v>0</v>
          </cell>
          <cell r="KC3">
            <v>0</v>
          </cell>
          <cell r="KD3">
            <v>0</v>
          </cell>
          <cell r="KE3">
            <v>0</v>
          </cell>
          <cell r="KF3">
            <v>0</v>
          </cell>
          <cell r="KG3">
            <v>0</v>
          </cell>
          <cell r="KH3">
            <v>0</v>
          </cell>
          <cell r="KI3">
            <v>0</v>
          </cell>
          <cell r="KJ3">
            <v>0</v>
          </cell>
          <cell r="KK3">
            <v>0</v>
          </cell>
          <cell r="KL3">
            <v>0</v>
          </cell>
          <cell r="KM3">
            <v>0</v>
          </cell>
          <cell r="KN3">
            <v>0</v>
          </cell>
          <cell r="KO3">
            <v>0</v>
          </cell>
          <cell r="KP3">
            <v>0</v>
          </cell>
          <cell r="KQ3">
            <v>0</v>
          </cell>
          <cell r="KR3">
            <v>0</v>
          </cell>
          <cell r="KS3">
            <v>0</v>
          </cell>
          <cell r="KT3">
            <v>0</v>
          </cell>
          <cell r="KU3">
            <v>0</v>
          </cell>
          <cell r="KV3">
            <v>0</v>
          </cell>
          <cell r="KW3">
            <v>0</v>
          </cell>
          <cell r="KX3">
            <v>0</v>
          </cell>
          <cell r="KY3">
            <v>0</v>
          </cell>
          <cell r="KZ3">
            <v>0</v>
          </cell>
          <cell r="LA3">
            <v>0</v>
          </cell>
          <cell r="LB3">
            <v>0</v>
          </cell>
          <cell r="LC3">
            <v>0</v>
          </cell>
          <cell r="LD3">
            <v>0</v>
          </cell>
          <cell r="LE3">
            <v>0</v>
          </cell>
          <cell r="LF3">
            <v>0</v>
          </cell>
          <cell r="LG3">
            <v>0</v>
          </cell>
          <cell r="LH3">
            <v>0</v>
          </cell>
          <cell r="LI3">
            <v>0</v>
          </cell>
          <cell r="LJ3">
            <v>0</v>
          </cell>
          <cell r="LK3">
            <v>0</v>
          </cell>
          <cell r="LL3">
            <v>0</v>
          </cell>
          <cell r="LM3">
            <v>0</v>
          </cell>
          <cell r="LN3">
            <v>0</v>
          </cell>
          <cell r="LO3">
            <v>0</v>
          </cell>
          <cell r="LP3">
            <v>0</v>
          </cell>
          <cell r="LQ3">
            <v>0</v>
          </cell>
          <cell r="LR3">
            <v>0</v>
          </cell>
          <cell r="LS3">
            <v>0</v>
          </cell>
          <cell r="LT3">
            <v>0</v>
          </cell>
          <cell r="LU3">
            <v>0</v>
          </cell>
          <cell r="LV3">
            <v>0</v>
          </cell>
          <cell r="LW3">
            <v>0</v>
          </cell>
          <cell r="LX3">
            <v>0</v>
          </cell>
          <cell r="LY3">
            <v>0</v>
          </cell>
          <cell r="LZ3">
            <v>0</v>
          </cell>
          <cell r="MA3">
            <v>0</v>
          </cell>
          <cell r="MB3">
            <v>0</v>
          </cell>
          <cell r="MC3">
            <v>0</v>
          </cell>
          <cell r="MD3">
            <v>0</v>
          </cell>
          <cell r="ME3">
            <v>0</v>
          </cell>
        </row>
        <row r="4"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H4">
            <v>0</v>
          </cell>
          <cell r="DI4">
            <v>0</v>
          </cell>
          <cell r="DJ4">
            <v>0</v>
          </cell>
          <cell r="DK4">
            <v>0</v>
          </cell>
          <cell r="DL4">
            <v>0</v>
          </cell>
          <cell r="DM4">
            <v>0</v>
          </cell>
          <cell r="DN4">
            <v>0</v>
          </cell>
          <cell r="DO4">
            <v>0</v>
          </cell>
          <cell r="DP4">
            <v>0</v>
          </cell>
          <cell r="DQ4">
            <v>0</v>
          </cell>
          <cell r="DR4">
            <v>0</v>
          </cell>
          <cell r="DS4">
            <v>0</v>
          </cell>
          <cell r="DT4">
            <v>0</v>
          </cell>
          <cell r="DU4">
            <v>0</v>
          </cell>
          <cell r="DV4">
            <v>0</v>
          </cell>
          <cell r="DW4">
            <v>0</v>
          </cell>
          <cell r="DX4">
            <v>0</v>
          </cell>
          <cell r="DY4">
            <v>0</v>
          </cell>
          <cell r="DZ4">
            <v>0</v>
          </cell>
          <cell r="EA4">
            <v>0</v>
          </cell>
          <cell r="EB4">
            <v>0</v>
          </cell>
          <cell r="EC4">
            <v>0</v>
          </cell>
          <cell r="ED4">
            <v>0</v>
          </cell>
          <cell r="EE4">
            <v>0</v>
          </cell>
          <cell r="EF4">
            <v>0</v>
          </cell>
          <cell r="EG4">
            <v>0</v>
          </cell>
          <cell r="EH4">
            <v>0</v>
          </cell>
          <cell r="EI4">
            <v>0</v>
          </cell>
          <cell r="EJ4">
            <v>0</v>
          </cell>
          <cell r="EK4">
            <v>0</v>
          </cell>
          <cell r="EL4">
            <v>0</v>
          </cell>
          <cell r="EM4">
            <v>0</v>
          </cell>
          <cell r="EN4">
            <v>0</v>
          </cell>
          <cell r="EO4">
            <v>0</v>
          </cell>
          <cell r="EP4">
            <v>0</v>
          </cell>
          <cell r="EQ4">
            <v>0</v>
          </cell>
          <cell r="ER4">
            <v>0</v>
          </cell>
          <cell r="ES4">
            <v>0</v>
          </cell>
          <cell r="ET4">
            <v>0</v>
          </cell>
          <cell r="EU4">
            <v>0</v>
          </cell>
          <cell r="EV4">
            <v>0</v>
          </cell>
          <cell r="EW4">
            <v>0</v>
          </cell>
          <cell r="EX4">
            <v>0</v>
          </cell>
          <cell r="EY4">
            <v>0</v>
          </cell>
          <cell r="EZ4">
            <v>0</v>
          </cell>
          <cell r="FA4">
            <v>0</v>
          </cell>
          <cell r="FB4">
            <v>0</v>
          </cell>
          <cell r="FC4">
            <v>0</v>
          </cell>
          <cell r="FD4">
            <v>0</v>
          </cell>
          <cell r="FE4">
            <v>0</v>
          </cell>
          <cell r="FF4">
            <v>0</v>
          </cell>
          <cell r="FG4">
            <v>0</v>
          </cell>
          <cell r="FH4">
            <v>0</v>
          </cell>
          <cell r="FI4">
            <v>0</v>
          </cell>
          <cell r="FJ4">
            <v>0</v>
          </cell>
          <cell r="FK4">
            <v>0</v>
          </cell>
          <cell r="FL4">
            <v>0</v>
          </cell>
          <cell r="FM4">
            <v>0</v>
          </cell>
          <cell r="FN4">
            <v>0</v>
          </cell>
          <cell r="FO4">
            <v>0</v>
          </cell>
          <cell r="FP4">
            <v>0</v>
          </cell>
          <cell r="FQ4">
            <v>0</v>
          </cell>
          <cell r="FR4">
            <v>0</v>
          </cell>
          <cell r="FS4">
            <v>0</v>
          </cell>
          <cell r="FT4">
            <v>0</v>
          </cell>
          <cell r="FU4">
            <v>0</v>
          </cell>
          <cell r="FV4">
            <v>0</v>
          </cell>
          <cell r="FW4">
            <v>0</v>
          </cell>
          <cell r="FX4">
            <v>0</v>
          </cell>
          <cell r="FY4">
            <v>0</v>
          </cell>
          <cell r="FZ4">
            <v>0</v>
          </cell>
          <cell r="GA4">
            <v>0</v>
          </cell>
          <cell r="GB4">
            <v>0</v>
          </cell>
          <cell r="GC4">
            <v>0</v>
          </cell>
          <cell r="GD4">
            <v>0</v>
          </cell>
          <cell r="GE4">
            <v>0</v>
          </cell>
          <cell r="GF4">
            <v>0</v>
          </cell>
          <cell r="GG4">
            <v>0</v>
          </cell>
          <cell r="GH4">
            <v>0</v>
          </cell>
          <cell r="GI4">
            <v>0</v>
          </cell>
          <cell r="GJ4">
            <v>0</v>
          </cell>
          <cell r="GK4">
            <v>0</v>
          </cell>
          <cell r="GL4">
            <v>0</v>
          </cell>
          <cell r="GM4">
            <v>0</v>
          </cell>
          <cell r="GN4">
            <v>0</v>
          </cell>
          <cell r="GO4">
            <v>0</v>
          </cell>
          <cell r="GP4">
            <v>0</v>
          </cell>
          <cell r="GQ4">
            <v>0</v>
          </cell>
          <cell r="GR4">
            <v>0</v>
          </cell>
          <cell r="GS4">
            <v>0</v>
          </cell>
          <cell r="GT4">
            <v>0</v>
          </cell>
          <cell r="GU4">
            <v>0</v>
          </cell>
          <cell r="GV4">
            <v>0</v>
          </cell>
          <cell r="GW4">
            <v>0</v>
          </cell>
          <cell r="GX4">
            <v>0</v>
          </cell>
          <cell r="GY4">
            <v>0</v>
          </cell>
          <cell r="GZ4">
            <v>0</v>
          </cell>
          <cell r="HA4">
            <v>0</v>
          </cell>
          <cell r="HB4">
            <v>0</v>
          </cell>
          <cell r="HC4">
            <v>0</v>
          </cell>
          <cell r="HD4">
            <v>0</v>
          </cell>
          <cell r="HE4">
            <v>0</v>
          </cell>
          <cell r="HF4">
            <v>0</v>
          </cell>
          <cell r="HG4">
            <v>0</v>
          </cell>
          <cell r="HH4">
            <v>0</v>
          </cell>
          <cell r="HI4">
            <v>0</v>
          </cell>
          <cell r="HJ4">
            <v>0</v>
          </cell>
          <cell r="HK4">
            <v>0</v>
          </cell>
          <cell r="HL4">
            <v>0</v>
          </cell>
          <cell r="HM4">
            <v>0</v>
          </cell>
          <cell r="HN4">
            <v>0</v>
          </cell>
          <cell r="HO4">
            <v>0</v>
          </cell>
          <cell r="HP4">
            <v>0</v>
          </cell>
          <cell r="HQ4">
            <v>0</v>
          </cell>
          <cell r="HR4">
            <v>0</v>
          </cell>
          <cell r="HS4">
            <v>0</v>
          </cell>
          <cell r="HT4">
            <v>0</v>
          </cell>
          <cell r="HU4">
            <v>0</v>
          </cell>
          <cell r="HV4">
            <v>0</v>
          </cell>
          <cell r="HW4">
            <v>0</v>
          </cell>
          <cell r="HX4">
            <v>0</v>
          </cell>
          <cell r="HY4">
            <v>0</v>
          </cell>
          <cell r="HZ4">
            <v>0</v>
          </cell>
          <cell r="IA4">
            <v>0</v>
          </cell>
          <cell r="IB4">
            <v>0</v>
          </cell>
          <cell r="IC4">
            <v>0</v>
          </cell>
          <cell r="ID4">
            <v>0</v>
          </cell>
          <cell r="IE4">
            <v>0</v>
          </cell>
          <cell r="IF4">
            <v>0</v>
          </cell>
          <cell r="IG4">
            <v>0</v>
          </cell>
          <cell r="IH4">
            <v>0</v>
          </cell>
          <cell r="II4">
            <v>0</v>
          </cell>
          <cell r="IJ4">
            <v>0</v>
          </cell>
          <cell r="IK4">
            <v>0</v>
          </cell>
          <cell r="IL4">
            <v>0</v>
          </cell>
          <cell r="IM4">
            <v>0</v>
          </cell>
          <cell r="IN4">
            <v>0</v>
          </cell>
          <cell r="IO4">
            <v>0</v>
          </cell>
          <cell r="IP4">
            <v>0</v>
          </cell>
          <cell r="IQ4">
            <v>0</v>
          </cell>
          <cell r="IR4">
            <v>0</v>
          </cell>
          <cell r="IS4">
            <v>0</v>
          </cell>
          <cell r="IT4">
            <v>0</v>
          </cell>
          <cell r="IU4">
            <v>0</v>
          </cell>
          <cell r="IV4">
            <v>0</v>
          </cell>
          <cell r="IW4">
            <v>0</v>
          </cell>
          <cell r="IX4">
            <v>0</v>
          </cell>
          <cell r="IY4">
            <v>0</v>
          </cell>
          <cell r="IZ4">
            <v>0</v>
          </cell>
          <cell r="JA4">
            <v>0</v>
          </cell>
          <cell r="JB4">
            <v>0</v>
          </cell>
          <cell r="JC4">
            <v>0</v>
          </cell>
          <cell r="JD4">
            <v>0</v>
          </cell>
          <cell r="JE4">
            <v>0</v>
          </cell>
          <cell r="JF4">
            <v>0</v>
          </cell>
          <cell r="JG4">
            <v>0</v>
          </cell>
          <cell r="JH4">
            <v>0</v>
          </cell>
          <cell r="JI4">
            <v>0</v>
          </cell>
          <cell r="JJ4">
            <v>0</v>
          </cell>
          <cell r="JK4">
            <v>0</v>
          </cell>
          <cell r="JL4">
            <v>0</v>
          </cell>
          <cell r="JM4">
            <v>0</v>
          </cell>
          <cell r="JN4">
            <v>0</v>
          </cell>
          <cell r="JO4">
            <v>0</v>
          </cell>
          <cell r="JP4">
            <v>0</v>
          </cell>
          <cell r="JQ4">
            <v>0</v>
          </cell>
          <cell r="JR4">
            <v>0</v>
          </cell>
          <cell r="JS4">
            <v>0</v>
          </cell>
          <cell r="JT4">
            <v>0</v>
          </cell>
          <cell r="JU4">
            <v>0</v>
          </cell>
          <cell r="JV4">
            <v>0</v>
          </cell>
          <cell r="JW4">
            <v>0</v>
          </cell>
          <cell r="JX4">
            <v>0</v>
          </cell>
          <cell r="JY4">
            <v>0</v>
          </cell>
          <cell r="JZ4">
            <v>0</v>
          </cell>
          <cell r="KA4">
            <v>0</v>
          </cell>
          <cell r="KB4">
            <v>0</v>
          </cell>
          <cell r="KC4">
            <v>0</v>
          </cell>
          <cell r="KD4">
            <v>0</v>
          </cell>
          <cell r="KE4">
            <v>0</v>
          </cell>
          <cell r="KF4">
            <v>0</v>
          </cell>
          <cell r="KG4">
            <v>0</v>
          </cell>
          <cell r="KH4">
            <v>0</v>
          </cell>
          <cell r="KI4">
            <v>0</v>
          </cell>
          <cell r="KJ4">
            <v>0</v>
          </cell>
          <cell r="KK4">
            <v>0</v>
          </cell>
          <cell r="KL4">
            <v>0</v>
          </cell>
          <cell r="KM4">
            <v>0</v>
          </cell>
          <cell r="KN4">
            <v>0</v>
          </cell>
          <cell r="KO4">
            <v>0</v>
          </cell>
          <cell r="KP4">
            <v>0</v>
          </cell>
          <cell r="KQ4">
            <v>0</v>
          </cell>
          <cell r="KR4">
            <v>0</v>
          </cell>
          <cell r="KS4">
            <v>0</v>
          </cell>
          <cell r="KT4">
            <v>0</v>
          </cell>
          <cell r="KU4">
            <v>0</v>
          </cell>
          <cell r="KV4">
            <v>0</v>
          </cell>
          <cell r="KW4">
            <v>0</v>
          </cell>
          <cell r="KX4">
            <v>0</v>
          </cell>
          <cell r="KY4">
            <v>0</v>
          </cell>
          <cell r="KZ4">
            <v>0</v>
          </cell>
          <cell r="LA4">
            <v>0</v>
          </cell>
          <cell r="LB4">
            <v>0</v>
          </cell>
          <cell r="LC4">
            <v>0</v>
          </cell>
          <cell r="LD4">
            <v>0</v>
          </cell>
          <cell r="LE4">
            <v>0</v>
          </cell>
          <cell r="LF4">
            <v>0</v>
          </cell>
          <cell r="LG4">
            <v>0</v>
          </cell>
          <cell r="LH4">
            <v>0</v>
          </cell>
          <cell r="LI4">
            <v>0</v>
          </cell>
          <cell r="LJ4">
            <v>0</v>
          </cell>
          <cell r="LK4">
            <v>0</v>
          </cell>
          <cell r="LL4">
            <v>0</v>
          </cell>
          <cell r="LM4">
            <v>0</v>
          </cell>
          <cell r="LN4">
            <v>0</v>
          </cell>
          <cell r="LO4">
            <v>0</v>
          </cell>
          <cell r="LP4">
            <v>0</v>
          </cell>
          <cell r="LQ4">
            <v>0</v>
          </cell>
          <cell r="LR4">
            <v>0</v>
          </cell>
          <cell r="LS4">
            <v>0</v>
          </cell>
          <cell r="LT4">
            <v>0</v>
          </cell>
          <cell r="LU4">
            <v>0</v>
          </cell>
          <cell r="LV4">
            <v>0</v>
          </cell>
          <cell r="LW4">
            <v>0</v>
          </cell>
          <cell r="LX4">
            <v>0</v>
          </cell>
          <cell r="LY4">
            <v>0</v>
          </cell>
          <cell r="LZ4">
            <v>0</v>
          </cell>
          <cell r="MA4">
            <v>0</v>
          </cell>
          <cell r="MB4">
            <v>0</v>
          </cell>
          <cell r="MC4">
            <v>0</v>
          </cell>
          <cell r="MD4">
            <v>0</v>
          </cell>
          <cell r="ME4">
            <v>0</v>
          </cell>
        </row>
        <row r="5"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0</v>
          </cell>
          <cell r="BY5">
            <v>0</v>
          </cell>
          <cell r="BZ5">
            <v>0</v>
          </cell>
          <cell r="CA5">
            <v>0</v>
          </cell>
          <cell r="CB5">
            <v>0</v>
          </cell>
          <cell r="CC5">
            <v>0</v>
          </cell>
          <cell r="CD5">
            <v>0</v>
          </cell>
          <cell r="CE5">
            <v>0</v>
          </cell>
          <cell r="CF5">
            <v>0</v>
          </cell>
          <cell r="CG5">
            <v>0</v>
          </cell>
          <cell r="CH5">
            <v>0</v>
          </cell>
          <cell r="CI5">
            <v>0</v>
          </cell>
          <cell r="CJ5">
            <v>0</v>
          </cell>
          <cell r="CK5">
            <v>0</v>
          </cell>
          <cell r="CL5">
            <v>0</v>
          </cell>
          <cell r="CM5">
            <v>0</v>
          </cell>
          <cell r="CN5">
            <v>0</v>
          </cell>
          <cell r="CO5">
            <v>0</v>
          </cell>
          <cell r="CP5">
            <v>0</v>
          </cell>
          <cell r="CQ5">
            <v>0</v>
          </cell>
          <cell r="CR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I5">
            <v>0</v>
          </cell>
          <cell r="DJ5">
            <v>0</v>
          </cell>
          <cell r="DK5">
            <v>0</v>
          </cell>
          <cell r="DL5">
            <v>0</v>
          </cell>
          <cell r="DM5">
            <v>0</v>
          </cell>
          <cell r="DN5">
            <v>0</v>
          </cell>
          <cell r="DO5">
            <v>0</v>
          </cell>
          <cell r="DP5">
            <v>0</v>
          </cell>
          <cell r="DQ5">
            <v>0</v>
          </cell>
          <cell r="DR5">
            <v>0</v>
          </cell>
          <cell r="DS5">
            <v>0</v>
          </cell>
          <cell r="DT5">
            <v>0</v>
          </cell>
          <cell r="DU5">
            <v>0</v>
          </cell>
          <cell r="DV5">
            <v>0</v>
          </cell>
          <cell r="DW5">
            <v>0</v>
          </cell>
          <cell r="DX5">
            <v>0</v>
          </cell>
          <cell r="DY5">
            <v>0</v>
          </cell>
          <cell r="DZ5">
            <v>0</v>
          </cell>
          <cell r="EA5">
            <v>0</v>
          </cell>
          <cell r="EB5">
            <v>0</v>
          </cell>
          <cell r="EC5">
            <v>0</v>
          </cell>
          <cell r="ED5">
            <v>0</v>
          </cell>
          <cell r="EE5">
            <v>0</v>
          </cell>
          <cell r="EF5">
            <v>0</v>
          </cell>
          <cell r="EG5">
            <v>0</v>
          </cell>
          <cell r="EH5">
            <v>0</v>
          </cell>
          <cell r="EI5">
            <v>0</v>
          </cell>
          <cell r="EJ5">
            <v>0</v>
          </cell>
          <cell r="EK5">
            <v>0</v>
          </cell>
          <cell r="EL5">
            <v>0</v>
          </cell>
          <cell r="EM5">
            <v>0</v>
          </cell>
          <cell r="EN5">
            <v>0</v>
          </cell>
          <cell r="EO5">
            <v>0</v>
          </cell>
          <cell r="EP5">
            <v>0</v>
          </cell>
          <cell r="EQ5">
            <v>0</v>
          </cell>
          <cell r="ER5">
            <v>0</v>
          </cell>
          <cell r="ES5">
            <v>0</v>
          </cell>
          <cell r="ET5">
            <v>0</v>
          </cell>
          <cell r="EU5">
            <v>0</v>
          </cell>
          <cell r="EV5">
            <v>0</v>
          </cell>
          <cell r="EW5">
            <v>0</v>
          </cell>
          <cell r="EX5">
            <v>0</v>
          </cell>
          <cell r="EY5">
            <v>0</v>
          </cell>
          <cell r="EZ5">
            <v>0</v>
          </cell>
          <cell r="FA5">
            <v>0</v>
          </cell>
          <cell r="FB5">
            <v>0</v>
          </cell>
          <cell r="FC5">
            <v>0</v>
          </cell>
          <cell r="FD5">
            <v>0</v>
          </cell>
          <cell r="FE5">
            <v>0</v>
          </cell>
          <cell r="FF5">
            <v>0</v>
          </cell>
          <cell r="FG5">
            <v>0</v>
          </cell>
          <cell r="FH5">
            <v>0</v>
          </cell>
          <cell r="FI5">
            <v>0</v>
          </cell>
          <cell r="FJ5">
            <v>0</v>
          </cell>
          <cell r="FK5">
            <v>0</v>
          </cell>
          <cell r="FL5">
            <v>0</v>
          </cell>
          <cell r="FM5">
            <v>0</v>
          </cell>
          <cell r="FN5">
            <v>0</v>
          </cell>
          <cell r="FO5">
            <v>0</v>
          </cell>
          <cell r="FP5">
            <v>0</v>
          </cell>
          <cell r="FQ5">
            <v>0</v>
          </cell>
          <cell r="FR5">
            <v>0</v>
          </cell>
          <cell r="FS5">
            <v>0</v>
          </cell>
          <cell r="FT5">
            <v>0</v>
          </cell>
          <cell r="FU5">
            <v>0</v>
          </cell>
          <cell r="FV5">
            <v>0</v>
          </cell>
          <cell r="FW5">
            <v>0</v>
          </cell>
          <cell r="FX5">
            <v>0</v>
          </cell>
          <cell r="FY5">
            <v>0</v>
          </cell>
          <cell r="FZ5">
            <v>0</v>
          </cell>
          <cell r="GA5">
            <v>0</v>
          </cell>
          <cell r="GB5">
            <v>0</v>
          </cell>
          <cell r="GC5">
            <v>0</v>
          </cell>
          <cell r="GD5">
            <v>0</v>
          </cell>
          <cell r="GE5">
            <v>0</v>
          </cell>
          <cell r="GF5">
            <v>0</v>
          </cell>
          <cell r="GG5">
            <v>0</v>
          </cell>
          <cell r="GH5">
            <v>0</v>
          </cell>
          <cell r="GI5">
            <v>0</v>
          </cell>
          <cell r="GJ5">
            <v>0</v>
          </cell>
          <cell r="GK5">
            <v>0</v>
          </cell>
          <cell r="GL5">
            <v>0</v>
          </cell>
          <cell r="GM5">
            <v>0</v>
          </cell>
          <cell r="GN5">
            <v>0</v>
          </cell>
          <cell r="GO5">
            <v>0</v>
          </cell>
          <cell r="GP5">
            <v>0</v>
          </cell>
          <cell r="GQ5">
            <v>0</v>
          </cell>
          <cell r="GR5">
            <v>0</v>
          </cell>
          <cell r="GS5">
            <v>0</v>
          </cell>
          <cell r="GT5">
            <v>0</v>
          </cell>
          <cell r="GU5">
            <v>0</v>
          </cell>
          <cell r="GV5">
            <v>0</v>
          </cell>
          <cell r="GW5">
            <v>0</v>
          </cell>
          <cell r="GX5">
            <v>0</v>
          </cell>
          <cell r="GY5">
            <v>0</v>
          </cell>
          <cell r="GZ5">
            <v>0</v>
          </cell>
          <cell r="HA5">
            <v>0</v>
          </cell>
          <cell r="HB5">
            <v>0</v>
          </cell>
          <cell r="HC5">
            <v>0</v>
          </cell>
          <cell r="HD5">
            <v>0</v>
          </cell>
          <cell r="HE5">
            <v>0</v>
          </cell>
          <cell r="HF5">
            <v>0</v>
          </cell>
          <cell r="HG5">
            <v>0</v>
          </cell>
          <cell r="HH5">
            <v>0</v>
          </cell>
          <cell r="HI5">
            <v>0</v>
          </cell>
          <cell r="HJ5">
            <v>0</v>
          </cell>
          <cell r="HK5">
            <v>0</v>
          </cell>
          <cell r="HL5">
            <v>0</v>
          </cell>
          <cell r="HM5">
            <v>0</v>
          </cell>
          <cell r="HN5">
            <v>0</v>
          </cell>
          <cell r="HO5">
            <v>0</v>
          </cell>
          <cell r="HP5">
            <v>0</v>
          </cell>
          <cell r="HQ5">
            <v>0</v>
          </cell>
          <cell r="HR5">
            <v>0</v>
          </cell>
          <cell r="HS5">
            <v>0</v>
          </cell>
          <cell r="HT5">
            <v>0</v>
          </cell>
          <cell r="HU5">
            <v>0</v>
          </cell>
          <cell r="HV5">
            <v>0</v>
          </cell>
          <cell r="HW5">
            <v>0</v>
          </cell>
          <cell r="HX5">
            <v>0</v>
          </cell>
          <cell r="HY5">
            <v>0</v>
          </cell>
          <cell r="HZ5">
            <v>0</v>
          </cell>
          <cell r="IA5">
            <v>0</v>
          </cell>
          <cell r="IB5">
            <v>0</v>
          </cell>
          <cell r="IC5">
            <v>0</v>
          </cell>
          <cell r="ID5">
            <v>0</v>
          </cell>
          <cell r="IE5">
            <v>0</v>
          </cell>
          <cell r="IF5">
            <v>0</v>
          </cell>
          <cell r="IG5">
            <v>0</v>
          </cell>
          <cell r="IH5">
            <v>0</v>
          </cell>
          <cell r="II5">
            <v>0</v>
          </cell>
          <cell r="IJ5">
            <v>0</v>
          </cell>
          <cell r="IK5">
            <v>0</v>
          </cell>
          <cell r="IL5">
            <v>0</v>
          </cell>
          <cell r="IM5">
            <v>0</v>
          </cell>
          <cell r="IN5">
            <v>0</v>
          </cell>
          <cell r="IO5">
            <v>0</v>
          </cell>
          <cell r="IP5">
            <v>0</v>
          </cell>
          <cell r="IQ5">
            <v>0</v>
          </cell>
          <cell r="IR5">
            <v>0</v>
          </cell>
          <cell r="IS5">
            <v>0</v>
          </cell>
          <cell r="IT5">
            <v>0</v>
          </cell>
          <cell r="IU5">
            <v>0</v>
          </cell>
          <cell r="IV5">
            <v>0</v>
          </cell>
          <cell r="IW5">
            <v>0</v>
          </cell>
          <cell r="IX5">
            <v>0</v>
          </cell>
          <cell r="IY5">
            <v>0</v>
          </cell>
          <cell r="IZ5">
            <v>0</v>
          </cell>
          <cell r="JA5">
            <v>0</v>
          </cell>
          <cell r="JB5">
            <v>0</v>
          </cell>
          <cell r="JC5">
            <v>0</v>
          </cell>
          <cell r="JD5">
            <v>0</v>
          </cell>
          <cell r="JE5">
            <v>0</v>
          </cell>
          <cell r="JF5">
            <v>0</v>
          </cell>
          <cell r="JG5">
            <v>0</v>
          </cell>
          <cell r="JH5">
            <v>0</v>
          </cell>
          <cell r="JI5">
            <v>0</v>
          </cell>
          <cell r="JJ5">
            <v>0</v>
          </cell>
          <cell r="JK5">
            <v>0</v>
          </cell>
          <cell r="JL5">
            <v>0</v>
          </cell>
          <cell r="JM5">
            <v>0</v>
          </cell>
          <cell r="JN5">
            <v>0</v>
          </cell>
          <cell r="JO5">
            <v>0</v>
          </cell>
          <cell r="JP5">
            <v>0</v>
          </cell>
          <cell r="JQ5">
            <v>0</v>
          </cell>
          <cell r="JR5">
            <v>0</v>
          </cell>
          <cell r="JS5">
            <v>0</v>
          </cell>
          <cell r="JT5">
            <v>0</v>
          </cell>
          <cell r="JU5">
            <v>0</v>
          </cell>
          <cell r="JV5">
            <v>0</v>
          </cell>
          <cell r="JW5">
            <v>0</v>
          </cell>
          <cell r="JX5">
            <v>0</v>
          </cell>
          <cell r="JY5">
            <v>0</v>
          </cell>
          <cell r="JZ5">
            <v>0</v>
          </cell>
          <cell r="KA5">
            <v>0</v>
          </cell>
          <cell r="KB5">
            <v>0</v>
          </cell>
          <cell r="KC5">
            <v>0</v>
          </cell>
          <cell r="KD5">
            <v>0</v>
          </cell>
          <cell r="KE5">
            <v>0</v>
          </cell>
          <cell r="KF5">
            <v>0</v>
          </cell>
          <cell r="KG5">
            <v>0</v>
          </cell>
          <cell r="KH5">
            <v>0</v>
          </cell>
          <cell r="KI5">
            <v>0</v>
          </cell>
          <cell r="KJ5">
            <v>0</v>
          </cell>
          <cell r="KK5">
            <v>0</v>
          </cell>
          <cell r="KL5">
            <v>0</v>
          </cell>
          <cell r="KM5">
            <v>0</v>
          </cell>
          <cell r="KN5">
            <v>0</v>
          </cell>
          <cell r="KO5">
            <v>0</v>
          </cell>
          <cell r="KP5">
            <v>0</v>
          </cell>
          <cell r="KQ5">
            <v>0</v>
          </cell>
          <cell r="KR5">
            <v>0</v>
          </cell>
          <cell r="KS5">
            <v>0</v>
          </cell>
          <cell r="KT5">
            <v>0</v>
          </cell>
          <cell r="KU5">
            <v>0</v>
          </cell>
          <cell r="KV5">
            <v>0</v>
          </cell>
          <cell r="KW5">
            <v>0</v>
          </cell>
          <cell r="KX5">
            <v>0</v>
          </cell>
          <cell r="KY5">
            <v>0</v>
          </cell>
          <cell r="KZ5">
            <v>0</v>
          </cell>
          <cell r="LA5">
            <v>0</v>
          </cell>
          <cell r="LB5">
            <v>0</v>
          </cell>
          <cell r="LC5">
            <v>0</v>
          </cell>
          <cell r="LD5">
            <v>0</v>
          </cell>
          <cell r="LE5">
            <v>0</v>
          </cell>
          <cell r="LF5">
            <v>0</v>
          </cell>
          <cell r="LG5">
            <v>0</v>
          </cell>
          <cell r="LH5">
            <v>0</v>
          </cell>
          <cell r="LI5">
            <v>0</v>
          </cell>
          <cell r="LJ5">
            <v>0</v>
          </cell>
          <cell r="LK5">
            <v>0</v>
          </cell>
          <cell r="LL5">
            <v>0</v>
          </cell>
          <cell r="LM5">
            <v>0</v>
          </cell>
          <cell r="LN5">
            <v>0</v>
          </cell>
          <cell r="LO5">
            <v>0</v>
          </cell>
          <cell r="LP5">
            <v>0</v>
          </cell>
          <cell r="LQ5">
            <v>0</v>
          </cell>
          <cell r="LR5">
            <v>0</v>
          </cell>
          <cell r="LS5">
            <v>0</v>
          </cell>
          <cell r="LT5">
            <v>0</v>
          </cell>
          <cell r="LU5">
            <v>0</v>
          </cell>
          <cell r="LV5">
            <v>0</v>
          </cell>
          <cell r="LW5">
            <v>0</v>
          </cell>
          <cell r="LX5">
            <v>0</v>
          </cell>
          <cell r="LY5">
            <v>0</v>
          </cell>
          <cell r="LZ5">
            <v>0</v>
          </cell>
          <cell r="MA5">
            <v>0</v>
          </cell>
          <cell r="MB5">
            <v>0</v>
          </cell>
          <cell r="MC5">
            <v>0</v>
          </cell>
          <cell r="MD5">
            <v>0</v>
          </cell>
          <cell r="ME5">
            <v>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  <cell r="CC6">
            <v>0</v>
          </cell>
          <cell r="CD6">
            <v>0</v>
          </cell>
          <cell r="CE6">
            <v>0</v>
          </cell>
          <cell r="CF6">
            <v>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>
            <v>0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I6">
            <v>0</v>
          </cell>
          <cell r="DJ6">
            <v>0</v>
          </cell>
          <cell r="DK6">
            <v>0</v>
          </cell>
          <cell r="DL6">
            <v>0</v>
          </cell>
          <cell r="DM6">
            <v>0</v>
          </cell>
          <cell r="DN6">
            <v>0</v>
          </cell>
          <cell r="DO6">
            <v>0</v>
          </cell>
          <cell r="DP6">
            <v>0</v>
          </cell>
          <cell r="DQ6">
            <v>0</v>
          </cell>
          <cell r="DR6">
            <v>0</v>
          </cell>
          <cell r="DS6">
            <v>0</v>
          </cell>
          <cell r="DT6">
            <v>0</v>
          </cell>
          <cell r="DU6">
            <v>0</v>
          </cell>
          <cell r="DV6">
            <v>0</v>
          </cell>
          <cell r="DW6">
            <v>0</v>
          </cell>
          <cell r="DX6">
            <v>0</v>
          </cell>
          <cell r="DY6">
            <v>0</v>
          </cell>
          <cell r="DZ6">
            <v>0</v>
          </cell>
          <cell r="EA6">
            <v>0</v>
          </cell>
          <cell r="EB6">
            <v>0</v>
          </cell>
          <cell r="EC6">
            <v>0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</v>
          </cell>
          <cell r="EK6">
            <v>0</v>
          </cell>
          <cell r="EL6">
            <v>0</v>
          </cell>
          <cell r="EM6">
            <v>0</v>
          </cell>
          <cell r="EN6">
            <v>0</v>
          </cell>
          <cell r="EO6">
            <v>0</v>
          </cell>
          <cell r="EP6">
            <v>0</v>
          </cell>
          <cell r="EQ6">
            <v>0</v>
          </cell>
          <cell r="ER6">
            <v>0</v>
          </cell>
          <cell r="ES6">
            <v>0</v>
          </cell>
          <cell r="ET6">
            <v>0</v>
          </cell>
          <cell r="EU6">
            <v>0</v>
          </cell>
          <cell r="EV6">
            <v>0</v>
          </cell>
          <cell r="EW6">
            <v>0</v>
          </cell>
          <cell r="EX6">
            <v>0</v>
          </cell>
          <cell r="EY6">
            <v>0</v>
          </cell>
          <cell r="EZ6">
            <v>0</v>
          </cell>
          <cell r="FA6">
            <v>0</v>
          </cell>
          <cell r="FB6">
            <v>0</v>
          </cell>
          <cell r="FC6">
            <v>0</v>
          </cell>
          <cell r="FD6">
            <v>0</v>
          </cell>
          <cell r="FE6">
            <v>0</v>
          </cell>
          <cell r="FF6">
            <v>0</v>
          </cell>
          <cell r="FG6">
            <v>0</v>
          </cell>
          <cell r="FH6">
            <v>0</v>
          </cell>
          <cell r="FI6">
            <v>0</v>
          </cell>
          <cell r="FJ6">
            <v>0</v>
          </cell>
          <cell r="FK6">
            <v>0</v>
          </cell>
          <cell r="FL6">
            <v>0</v>
          </cell>
          <cell r="FM6">
            <v>0</v>
          </cell>
          <cell r="FN6">
            <v>0</v>
          </cell>
          <cell r="FO6">
            <v>0</v>
          </cell>
          <cell r="FP6">
            <v>0</v>
          </cell>
          <cell r="FQ6">
            <v>0</v>
          </cell>
          <cell r="FR6">
            <v>0</v>
          </cell>
          <cell r="FS6">
            <v>0</v>
          </cell>
          <cell r="FT6">
            <v>0</v>
          </cell>
          <cell r="FU6">
            <v>0</v>
          </cell>
          <cell r="FV6">
            <v>0</v>
          </cell>
          <cell r="FW6">
            <v>0</v>
          </cell>
          <cell r="FX6">
            <v>0</v>
          </cell>
          <cell r="FY6">
            <v>0</v>
          </cell>
          <cell r="FZ6">
            <v>0</v>
          </cell>
          <cell r="GA6">
            <v>0</v>
          </cell>
          <cell r="GB6">
            <v>0</v>
          </cell>
          <cell r="GC6">
            <v>0</v>
          </cell>
          <cell r="GD6">
            <v>0</v>
          </cell>
          <cell r="GE6">
            <v>0</v>
          </cell>
          <cell r="GF6">
            <v>0</v>
          </cell>
          <cell r="GG6">
            <v>0</v>
          </cell>
          <cell r="GH6">
            <v>0</v>
          </cell>
          <cell r="GI6">
            <v>0</v>
          </cell>
          <cell r="GJ6">
            <v>0</v>
          </cell>
          <cell r="GK6">
            <v>0</v>
          </cell>
          <cell r="GL6">
            <v>0</v>
          </cell>
          <cell r="GM6">
            <v>0</v>
          </cell>
          <cell r="GN6">
            <v>0</v>
          </cell>
          <cell r="GO6">
            <v>0</v>
          </cell>
          <cell r="GP6">
            <v>0</v>
          </cell>
          <cell r="GQ6">
            <v>0</v>
          </cell>
          <cell r="GR6">
            <v>0</v>
          </cell>
          <cell r="GS6">
            <v>0</v>
          </cell>
          <cell r="GT6">
            <v>0</v>
          </cell>
          <cell r="GU6">
            <v>0</v>
          </cell>
          <cell r="GV6">
            <v>0</v>
          </cell>
          <cell r="GW6">
            <v>0</v>
          </cell>
          <cell r="GX6">
            <v>0</v>
          </cell>
          <cell r="GY6">
            <v>0</v>
          </cell>
          <cell r="GZ6">
            <v>0</v>
          </cell>
          <cell r="HA6">
            <v>0</v>
          </cell>
          <cell r="HB6">
            <v>0</v>
          </cell>
          <cell r="HC6">
            <v>0</v>
          </cell>
          <cell r="HD6">
            <v>0</v>
          </cell>
          <cell r="HE6">
            <v>0</v>
          </cell>
          <cell r="HF6">
            <v>0</v>
          </cell>
          <cell r="HG6">
            <v>0</v>
          </cell>
          <cell r="HH6">
            <v>0</v>
          </cell>
          <cell r="HI6">
            <v>0</v>
          </cell>
          <cell r="HJ6">
            <v>0</v>
          </cell>
          <cell r="HK6">
            <v>0</v>
          </cell>
          <cell r="HL6">
            <v>0</v>
          </cell>
          <cell r="HM6">
            <v>0</v>
          </cell>
          <cell r="HN6">
            <v>0</v>
          </cell>
          <cell r="HO6">
            <v>0</v>
          </cell>
          <cell r="HP6">
            <v>0</v>
          </cell>
          <cell r="HQ6">
            <v>0</v>
          </cell>
          <cell r="HR6">
            <v>0</v>
          </cell>
          <cell r="HS6">
            <v>0</v>
          </cell>
          <cell r="HT6">
            <v>0</v>
          </cell>
          <cell r="HU6">
            <v>0</v>
          </cell>
          <cell r="HV6">
            <v>0</v>
          </cell>
          <cell r="HW6">
            <v>0</v>
          </cell>
          <cell r="HX6">
            <v>0</v>
          </cell>
          <cell r="HY6">
            <v>0</v>
          </cell>
          <cell r="HZ6">
            <v>0</v>
          </cell>
          <cell r="IA6">
            <v>0</v>
          </cell>
          <cell r="IB6">
            <v>0</v>
          </cell>
          <cell r="IC6">
            <v>0</v>
          </cell>
          <cell r="ID6">
            <v>0</v>
          </cell>
          <cell r="IE6">
            <v>0</v>
          </cell>
          <cell r="IF6">
            <v>0</v>
          </cell>
          <cell r="IG6">
            <v>0</v>
          </cell>
          <cell r="IH6">
            <v>0</v>
          </cell>
          <cell r="II6">
            <v>0</v>
          </cell>
          <cell r="IJ6">
            <v>0</v>
          </cell>
          <cell r="IK6">
            <v>0</v>
          </cell>
          <cell r="IL6">
            <v>0</v>
          </cell>
          <cell r="IM6">
            <v>0</v>
          </cell>
          <cell r="IN6">
            <v>0</v>
          </cell>
          <cell r="IO6">
            <v>0</v>
          </cell>
          <cell r="IP6">
            <v>0</v>
          </cell>
          <cell r="IQ6">
            <v>0</v>
          </cell>
          <cell r="IR6">
            <v>0</v>
          </cell>
          <cell r="IS6">
            <v>0</v>
          </cell>
          <cell r="IT6">
            <v>0</v>
          </cell>
          <cell r="IU6">
            <v>0</v>
          </cell>
          <cell r="IV6">
            <v>0</v>
          </cell>
          <cell r="IW6">
            <v>0</v>
          </cell>
          <cell r="IX6">
            <v>0</v>
          </cell>
          <cell r="IY6">
            <v>0</v>
          </cell>
          <cell r="IZ6">
            <v>0</v>
          </cell>
          <cell r="JA6">
            <v>0</v>
          </cell>
          <cell r="JB6">
            <v>0</v>
          </cell>
          <cell r="JC6">
            <v>0</v>
          </cell>
          <cell r="JD6">
            <v>0</v>
          </cell>
          <cell r="JE6">
            <v>0</v>
          </cell>
          <cell r="JF6">
            <v>0</v>
          </cell>
          <cell r="JG6">
            <v>0</v>
          </cell>
          <cell r="JH6">
            <v>0</v>
          </cell>
          <cell r="JI6">
            <v>0</v>
          </cell>
          <cell r="JJ6">
            <v>0</v>
          </cell>
          <cell r="JK6">
            <v>0</v>
          </cell>
          <cell r="JL6">
            <v>0</v>
          </cell>
          <cell r="JM6">
            <v>0</v>
          </cell>
          <cell r="JN6">
            <v>0</v>
          </cell>
          <cell r="JO6">
            <v>0</v>
          </cell>
          <cell r="JP6">
            <v>0</v>
          </cell>
          <cell r="JQ6">
            <v>0</v>
          </cell>
          <cell r="JR6">
            <v>0</v>
          </cell>
          <cell r="JS6">
            <v>0</v>
          </cell>
          <cell r="JT6">
            <v>0</v>
          </cell>
          <cell r="JU6">
            <v>0</v>
          </cell>
          <cell r="JV6">
            <v>0</v>
          </cell>
          <cell r="JW6">
            <v>0</v>
          </cell>
          <cell r="JX6">
            <v>0</v>
          </cell>
          <cell r="JY6">
            <v>0</v>
          </cell>
          <cell r="JZ6">
            <v>0</v>
          </cell>
          <cell r="KA6">
            <v>0</v>
          </cell>
          <cell r="KB6">
            <v>0</v>
          </cell>
          <cell r="KC6">
            <v>0</v>
          </cell>
          <cell r="KD6">
            <v>0</v>
          </cell>
          <cell r="KE6">
            <v>0</v>
          </cell>
          <cell r="KF6">
            <v>0</v>
          </cell>
          <cell r="KG6">
            <v>0</v>
          </cell>
          <cell r="KH6">
            <v>0</v>
          </cell>
          <cell r="KI6">
            <v>0</v>
          </cell>
          <cell r="KJ6">
            <v>0</v>
          </cell>
          <cell r="KK6">
            <v>0</v>
          </cell>
          <cell r="KL6">
            <v>0</v>
          </cell>
          <cell r="KM6">
            <v>0</v>
          </cell>
          <cell r="KN6">
            <v>0</v>
          </cell>
          <cell r="KO6">
            <v>0</v>
          </cell>
          <cell r="KP6">
            <v>0</v>
          </cell>
          <cell r="KQ6">
            <v>0</v>
          </cell>
          <cell r="KR6">
            <v>0</v>
          </cell>
          <cell r="KS6">
            <v>0</v>
          </cell>
          <cell r="KT6">
            <v>0</v>
          </cell>
          <cell r="KU6">
            <v>0</v>
          </cell>
          <cell r="KV6">
            <v>0</v>
          </cell>
          <cell r="KW6">
            <v>0</v>
          </cell>
          <cell r="KX6">
            <v>0</v>
          </cell>
          <cell r="KY6">
            <v>0</v>
          </cell>
          <cell r="KZ6">
            <v>0</v>
          </cell>
          <cell r="LA6">
            <v>0</v>
          </cell>
          <cell r="LB6">
            <v>0</v>
          </cell>
          <cell r="LC6">
            <v>0</v>
          </cell>
          <cell r="LD6">
            <v>0</v>
          </cell>
          <cell r="LE6">
            <v>0</v>
          </cell>
          <cell r="LF6">
            <v>0</v>
          </cell>
          <cell r="LG6">
            <v>0</v>
          </cell>
          <cell r="LH6">
            <v>0</v>
          </cell>
          <cell r="LI6">
            <v>0</v>
          </cell>
          <cell r="LJ6">
            <v>0</v>
          </cell>
          <cell r="LK6">
            <v>0</v>
          </cell>
          <cell r="LL6">
            <v>0</v>
          </cell>
          <cell r="LM6">
            <v>0</v>
          </cell>
          <cell r="LN6">
            <v>0</v>
          </cell>
          <cell r="LO6">
            <v>0</v>
          </cell>
          <cell r="LP6">
            <v>0</v>
          </cell>
          <cell r="LQ6">
            <v>0</v>
          </cell>
          <cell r="LR6">
            <v>0</v>
          </cell>
          <cell r="LS6">
            <v>0</v>
          </cell>
          <cell r="LT6">
            <v>0</v>
          </cell>
          <cell r="LU6">
            <v>0</v>
          </cell>
          <cell r="LV6">
            <v>0</v>
          </cell>
          <cell r="LW6">
            <v>0</v>
          </cell>
          <cell r="LX6">
            <v>0</v>
          </cell>
          <cell r="LY6">
            <v>0</v>
          </cell>
          <cell r="LZ6">
            <v>0</v>
          </cell>
          <cell r="MA6">
            <v>0</v>
          </cell>
          <cell r="MB6">
            <v>0</v>
          </cell>
          <cell r="MC6">
            <v>0</v>
          </cell>
          <cell r="MD6">
            <v>0</v>
          </cell>
          <cell r="ME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  <cell r="CM7">
            <v>0</v>
          </cell>
          <cell r="CN7">
            <v>0</v>
          </cell>
          <cell r="CO7">
            <v>0</v>
          </cell>
          <cell r="CP7">
            <v>0</v>
          </cell>
          <cell r="CQ7">
            <v>0</v>
          </cell>
          <cell r="CR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I7">
            <v>0</v>
          </cell>
          <cell r="DJ7">
            <v>0</v>
          </cell>
          <cell r="DK7">
            <v>0</v>
          </cell>
          <cell r="DL7">
            <v>0</v>
          </cell>
          <cell r="DM7">
            <v>0</v>
          </cell>
          <cell r="DN7">
            <v>0</v>
          </cell>
          <cell r="DO7">
            <v>0</v>
          </cell>
          <cell r="DP7">
            <v>0</v>
          </cell>
          <cell r="DQ7">
            <v>0</v>
          </cell>
          <cell r="DR7">
            <v>0</v>
          </cell>
          <cell r="DS7">
            <v>0</v>
          </cell>
          <cell r="DT7">
            <v>0</v>
          </cell>
          <cell r="DU7">
            <v>0</v>
          </cell>
          <cell r="DV7">
            <v>0</v>
          </cell>
          <cell r="DW7">
            <v>0</v>
          </cell>
          <cell r="DX7">
            <v>0</v>
          </cell>
          <cell r="DY7">
            <v>0</v>
          </cell>
          <cell r="DZ7">
            <v>0</v>
          </cell>
          <cell r="EA7">
            <v>0</v>
          </cell>
          <cell r="EB7">
            <v>0</v>
          </cell>
          <cell r="EC7">
            <v>0</v>
          </cell>
          <cell r="ED7">
            <v>0</v>
          </cell>
          <cell r="EE7">
            <v>0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0</v>
          </cell>
          <cell r="EK7">
            <v>0</v>
          </cell>
          <cell r="EL7">
            <v>0</v>
          </cell>
          <cell r="EM7">
            <v>0</v>
          </cell>
          <cell r="EN7">
            <v>0</v>
          </cell>
          <cell r="EO7">
            <v>0</v>
          </cell>
          <cell r="EP7">
            <v>0</v>
          </cell>
          <cell r="EQ7">
            <v>0</v>
          </cell>
          <cell r="ER7">
            <v>0</v>
          </cell>
          <cell r="ES7">
            <v>0</v>
          </cell>
          <cell r="ET7">
            <v>0</v>
          </cell>
          <cell r="EU7">
            <v>0</v>
          </cell>
          <cell r="EV7">
            <v>0</v>
          </cell>
          <cell r="EW7">
            <v>0</v>
          </cell>
          <cell r="EX7">
            <v>0</v>
          </cell>
          <cell r="EY7">
            <v>0</v>
          </cell>
          <cell r="EZ7">
            <v>0</v>
          </cell>
          <cell r="FA7">
            <v>0</v>
          </cell>
          <cell r="FB7">
            <v>0</v>
          </cell>
          <cell r="FC7">
            <v>0</v>
          </cell>
          <cell r="FD7">
            <v>0</v>
          </cell>
          <cell r="FE7">
            <v>0</v>
          </cell>
          <cell r="FF7">
            <v>0</v>
          </cell>
          <cell r="FG7">
            <v>0</v>
          </cell>
          <cell r="FH7">
            <v>0</v>
          </cell>
          <cell r="FI7">
            <v>0</v>
          </cell>
          <cell r="FJ7">
            <v>0</v>
          </cell>
          <cell r="FK7">
            <v>0</v>
          </cell>
          <cell r="FL7">
            <v>0</v>
          </cell>
          <cell r="FM7">
            <v>0</v>
          </cell>
          <cell r="FN7">
            <v>0</v>
          </cell>
          <cell r="FO7">
            <v>0</v>
          </cell>
          <cell r="FP7">
            <v>0</v>
          </cell>
          <cell r="FQ7">
            <v>0</v>
          </cell>
          <cell r="FR7">
            <v>0</v>
          </cell>
          <cell r="FS7">
            <v>0</v>
          </cell>
          <cell r="FT7">
            <v>0</v>
          </cell>
          <cell r="FU7">
            <v>0</v>
          </cell>
          <cell r="FV7">
            <v>0</v>
          </cell>
          <cell r="FW7">
            <v>0</v>
          </cell>
          <cell r="FX7">
            <v>0</v>
          </cell>
          <cell r="FY7">
            <v>0</v>
          </cell>
          <cell r="FZ7">
            <v>0</v>
          </cell>
          <cell r="GA7">
            <v>0</v>
          </cell>
          <cell r="GB7">
            <v>0</v>
          </cell>
          <cell r="GC7">
            <v>0</v>
          </cell>
          <cell r="GD7">
            <v>0</v>
          </cell>
          <cell r="GE7">
            <v>0</v>
          </cell>
          <cell r="GF7">
            <v>0</v>
          </cell>
          <cell r="GG7">
            <v>0</v>
          </cell>
          <cell r="GH7">
            <v>0</v>
          </cell>
          <cell r="GI7">
            <v>0</v>
          </cell>
          <cell r="GJ7">
            <v>0</v>
          </cell>
          <cell r="GK7">
            <v>0</v>
          </cell>
          <cell r="GL7">
            <v>0</v>
          </cell>
          <cell r="GM7">
            <v>0</v>
          </cell>
          <cell r="GN7">
            <v>0</v>
          </cell>
          <cell r="GO7">
            <v>0</v>
          </cell>
          <cell r="GP7">
            <v>0</v>
          </cell>
          <cell r="GQ7">
            <v>0</v>
          </cell>
          <cell r="GR7">
            <v>0</v>
          </cell>
          <cell r="GS7">
            <v>0</v>
          </cell>
          <cell r="GT7">
            <v>0</v>
          </cell>
          <cell r="GU7">
            <v>0</v>
          </cell>
          <cell r="GV7">
            <v>0</v>
          </cell>
          <cell r="GW7">
            <v>0</v>
          </cell>
          <cell r="GX7">
            <v>0</v>
          </cell>
          <cell r="GY7">
            <v>0</v>
          </cell>
          <cell r="GZ7">
            <v>0</v>
          </cell>
          <cell r="HA7">
            <v>0</v>
          </cell>
          <cell r="HB7">
            <v>0</v>
          </cell>
          <cell r="HC7">
            <v>0</v>
          </cell>
          <cell r="HD7">
            <v>0</v>
          </cell>
          <cell r="HE7">
            <v>0</v>
          </cell>
          <cell r="HF7">
            <v>0</v>
          </cell>
          <cell r="HG7">
            <v>0</v>
          </cell>
          <cell r="HH7">
            <v>0</v>
          </cell>
          <cell r="HI7">
            <v>0</v>
          </cell>
          <cell r="HJ7">
            <v>0</v>
          </cell>
          <cell r="HK7">
            <v>0</v>
          </cell>
          <cell r="HL7">
            <v>0</v>
          </cell>
          <cell r="HM7">
            <v>0</v>
          </cell>
          <cell r="HN7">
            <v>0</v>
          </cell>
          <cell r="HO7">
            <v>0</v>
          </cell>
          <cell r="HP7">
            <v>0</v>
          </cell>
          <cell r="HQ7">
            <v>0</v>
          </cell>
          <cell r="HR7">
            <v>0</v>
          </cell>
          <cell r="HS7">
            <v>0</v>
          </cell>
          <cell r="HT7">
            <v>0</v>
          </cell>
          <cell r="HU7">
            <v>0</v>
          </cell>
          <cell r="HV7">
            <v>0</v>
          </cell>
          <cell r="HW7">
            <v>0</v>
          </cell>
          <cell r="HX7">
            <v>0</v>
          </cell>
          <cell r="HY7">
            <v>0</v>
          </cell>
          <cell r="HZ7">
            <v>0</v>
          </cell>
          <cell r="IA7">
            <v>0</v>
          </cell>
          <cell r="IB7">
            <v>0</v>
          </cell>
          <cell r="IC7">
            <v>0</v>
          </cell>
          <cell r="ID7">
            <v>0</v>
          </cell>
          <cell r="IE7">
            <v>0</v>
          </cell>
          <cell r="IF7">
            <v>0</v>
          </cell>
          <cell r="IG7">
            <v>0</v>
          </cell>
          <cell r="IH7">
            <v>0</v>
          </cell>
          <cell r="II7">
            <v>0</v>
          </cell>
          <cell r="IJ7">
            <v>0</v>
          </cell>
          <cell r="IK7">
            <v>0</v>
          </cell>
          <cell r="IL7">
            <v>0</v>
          </cell>
          <cell r="IM7">
            <v>0</v>
          </cell>
          <cell r="IN7">
            <v>0</v>
          </cell>
          <cell r="IO7">
            <v>0</v>
          </cell>
          <cell r="IP7">
            <v>0</v>
          </cell>
          <cell r="IQ7">
            <v>0</v>
          </cell>
          <cell r="IR7">
            <v>0</v>
          </cell>
          <cell r="IS7">
            <v>0</v>
          </cell>
          <cell r="IT7">
            <v>0</v>
          </cell>
          <cell r="IU7">
            <v>0</v>
          </cell>
          <cell r="IV7">
            <v>0</v>
          </cell>
          <cell r="IW7">
            <v>0</v>
          </cell>
          <cell r="IX7">
            <v>0</v>
          </cell>
          <cell r="IY7">
            <v>0</v>
          </cell>
          <cell r="IZ7">
            <v>0</v>
          </cell>
          <cell r="JA7">
            <v>0</v>
          </cell>
          <cell r="JB7">
            <v>0</v>
          </cell>
          <cell r="JC7">
            <v>0</v>
          </cell>
          <cell r="JD7">
            <v>0</v>
          </cell>
          <cell r="JE7">
            <v>0</v>
          </cell>
          <cell r="JF7">
            <v>0</v>
          </cell>
          <cell r="JG7">
            <v>0</v>
          </cell>
          <cell r="JH7">
            <v>0</v>
          </cell>
          <cell r="JI7">
            <v>0</v>
          </cell>
          <cell r="JJ7">
            <v>0</v>
          </cell>
          <cell r="JK7">
            <v>0</v>
          </cell>
          <cell r="JL7">
            <v>0</v>
          </cell>
          <cell r="JM7">
            <v>0</v>
          </cell>
          <cell r="JN7">
            <v>0</v>
          </cell>
          <cell r="JO7">
            <v>0</v>
          </cell>
          <cell r="JP7">
            <v>0</v>
          </cell>
          <cell r="JQ7">
            <v>0</v>
          </cell>
          <cell r="JR7">
            <v>0</v>
          </cell>
          <cell r="JS7">
            <v>0</v>
          </cell>
          <cell r="JT7">
            <v>0</v>
          </cell>
          <cell r="JU7">
            <v>0</v>
          </cell>
          <cell r="JV7">
            <v>0</v>
          </cell>
          <cell r="JW7">
            <v>0</v>
          </cell>
          <cell r="JX7">
            <v>0</v>
          </cell>
          <cell r="JY7">
            <v>0</v>
          </cell>
          <cell r="JZ7">
            <v>0</v>
          </cell>
          <cell r="KA7">
            <v>0</v>
          </cell>
          <cell r="KB7">
            <v>0</v>
          </cell>
          <cell r="KC7">
            <v>0</v>
          </cell>
          <cell r="KD7">
            <v>0</v>
          </cell>
          <cell r="KE7">
            <v>0</v>
          </cell>
          <cell r="KF7">
            <v>0</v>
          </cell>
          <cell r="KG7">
            <v>0</v>
          </cell>
          <cell r="KH7">
            <v>0</v>
          </cell>
          <cell r="KI7">
            <v>0</v>
          </cell>
          <cell r="KJ7">
            <v>0</v>
          </cell>
          <cell r="KK7">
            <v>0</v>
          </cell>
          <cell r="KL7">
            <v>0</v>
          </cell>
          <cell r="KM7">
            <v>0</v>
          </cell>
          <cell r="KN7">
            <v>0</v>
          </cell>
          <cell r="KO7">
            <v>0</v>
          </cell>
          <cell r="KP7">
            <v>0</v>
          </cell>
          <cell r="KQ7">
            <v>0</v>
          </cell>
          <cell r="KR7">
            <v>0</v>
          </cell>
          <cell r="KS7">
            <v>0</v>
          </cell>
          <cell r="KT7">
            <v>0</v>
          </cell>
          <cell r="KU7">
            <v>0</v>
          </cell>
          <cell r="KV7">
            <v>0</v>
          </cell>
          <cell r="KW7">
            <v>0</v>
          </cell>
          <cell r="KX7">
            <v>0</v>
          </cell>
          <cell r="KY7">
            <v>0</v>
          </cell>
          <cell r="KZ7">
            <v>0</v>
          </cell>
          <cell r="LA7">
            <v>0</v>
          </cell>
          <cell r="LB7">
            <v>0</v>
          </cell>
          <cell r="LC7">
            <v>0</v>
          </cell>
          <cell r="LD7">
            <v>0</v>
          </cell>
          <cell r="LE7">
            <v>0</v>
          </cell>
          <cell r="LF7">
            <v>0</v>
          </cell>
          <cell r="LG7">
            <v>0</v>
          </cell>
          <cell r="LH7">
            <v>0</v>
          </cell>
          <cell r="LI7">
            <v>0</v>
          </cell>
          <cell r="LJ7">
            <v>0</v>
          </cell>
          <cell r="LK7">
            <v>0</v>
          </cell>
          <cell r="LL7">
            <v>0</v>
          </cell>
          <cell r="LM7">
            <v>0</v>
          </cell>
          <cell r="LN7">
            <v>0</v>
          </cell>
          <cell r="LO7">
            <v>0</v>
          </cell>
          <cell r="LP7">
            <v>0</v>
          </cell>
          <cell r="LQ7">
            <v>0</v>
          </cell>
          <cell r="LR7">
            <v>0</v>
          </cell>
          <cell r="LS7">
            <v>0</v>
          </cell>
          <cell r="LT7">
            <v>0</v>
          </cell>
          <cell r="LU7">
            <v>0</v>
          </cell>
          <cell r="LV7">
            <v>0</v>
          </cell>
          <cell r="LW7">
            <v>0</v>
          </cell>
          <cell r="LX7">
            <v>0</v>
          </cell>
          <cell r="LY7">
            <v>0</v>
          </cell>
          <cell r="LZ7">
            <v>0</v>
          </cell>
          <cell r="MA7">
            <v>0</v>
          </cell>
          <cell r="MB7">
            <v>0</v>
          </cell>
          <cell r="MC7">
            <v>0</v>
          </cell>
          <cell r="MD7">
            <v>0</v>
          </cell>
          <cell r="ME7">
            <v>0</v>
          </cell>
        </row>
        <row r="8"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>
            <v>0</v>
          </cell>
          <cell r="CC8">
            <v>0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  <cell r="CM8">
            <v>0</v>
          </cell>
          <cell r="CN8">
            <v>0</v>
          </cell>
          <cell r="CO8">
            <v>0</v>
          </cell>
          <cell r="CP8">
            <v>0</v>
          </cell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0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I8">
            <v>0</v>
          </cell>
          <cell r="DJ8">
            <v>0</v>
          </cell>
          <cell r="DK8">
            <v>0</v>
          </cell>
          <cell r="DL8">
            <v>0</v>
          </cell>
          <cell r="DM8">
            <v>0</v>
          </cell>
          <cell r="DN8">
            <v>0</v>
          </cell>
          <cell r="DO8">
            <v>0</v>
          </cell>
          <cell r="DP8">
            <v>0</v>
          </cell>
          <cell r="DQ8">
            <v>0</v>
          </cell>
          <cell r="DR8">
            <v>0</v>
          </cell>
          <cell r="DS8">
            <v>0</v>
          </cell>
          <cell r="DT8">
            <v>0</v>
          </cell>
          <cell r="DU8">
            <v>0</v>
          </cell>
          <cell r="DV8">
            <v>0</v>
          </cell>
          <cell r="DW8">
            <v>0</v>
          </cell>
          <cell r="DX8">
            <v>0</v>
          </cell>
          <cell r="DY8">
            <v>0</v>
          </cell>
          <cell r="DZ8">
            <v>0</v>
          </cell>
          <cell r="EA8">
            <v>0</v>
          </cell>
          <cell r="EB8">
            <v>0</v>
          </cell>
          <cell r="EC8">
            <v>0</v>
          </cell>
          <cell r="ED8">
            <v>0</v>
          </cell>
          <cell r="EE8">
            <v>0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0</v>
          </cell>
          <cell r="EK8">
            <v>0</v>
          </cell>
          <cell r="EL8">
            <v>0</v>
          </cell>
          <cell r="EM8">
            <v>0</v>
          </cell>
          <cell r="EN8">
            <v>0</v>
          </cell>
          <cell r="EO8">
            <v>0</v>
          </cell>
          <cell r="EP8">
            <v>0</v>
          </cell>
          <cell r="EQ8">
            <v>0</v>
          </cell>
          <cell r="ER8">
            <v>0</v>
          </cell>
          <cell r="ES8">
            <v>0</v>
          </cell>
          <cell r="ET8">
            <v>0</v>
          </cell>
          <cell r="EU8">
            <v>0</v>
          </cell>
          <cell r="EV8">
            <v>0</v>
          </cell>
          <cell r="EW8">
            <v>0</v>
          </cell>
          <cell r="EX8">
            <v>0</v>
          </cell>
          <cell r="EY8">
            <v>0</v>
          </cell>
          <cell r="EZ8">
            <v>0</v>
          </cell>
          <cell r="FA8">
            <v>0</v>
          </cell>
          <cell r="FB8">
            <v>0</v>
          </cell>
          <cell r="FC8">
            <v>0</v>
          </cell>
          <cell r="FD8">
            <v>0</v>
          </cell>
          <cell r="FE8">
            <v>0</v>
          </cell>
          <cell r="FF8">
            <v>0</v>
          </cell>
          <cell r="FG8">
            <v>0</v>
          </cell>
          <cell r="FH8">
            <v>0</v>
          </cell>
          <cell r="FI8">
            <v>0</v>
          </cell>
          <cell r="FJ8">
            <v>0</v>
          </cell>
          <cell r="FK8">
            <v>0</v>
          </cell>
          <cell r="FL8">
            <v>0</v>
          </cell>
          <cell r="FM8">
            <v>0</v>
          </cell>
          <cell r="FN8">
            <v>0</v>
          </cell>
          <cell r="FO8">
            <v>0</v>
          </cell>
          <cell r="FP8">
            <v>0</v>
          </cell>
          <cell r="FQ8">
            <v>0</v>
          </cell>
          <cell r="FR8">
            <v>0</v>
          </cell>
          <cell r="FS8">
            <v>0</v>
          </cell>
          <cell r="FT8">
            <v>0</v>
          </cell>
          <cell r="FU8">
            <v>0</v>
          </cell>
          <cell r="FV8">
            <v>0</v>
          </cell>
          <cell r="FW8">
            <v>0</v>
          </cell>
          <cell r="FX8">
            <v>0</v>
          </cell>
          <cell r="FY8">
            <v>0</v>
          </cell>
          <cell r="FZ8">
            <v>0</v>
          </cell>
          <cell r="GA8">
            <v>0</v>
          </cell>
          <cell r="GB8">
            <v>0</v>
          </cell>
          <cell r="GC8">
            <v>0</v>
          </cell>
          <cell r="GD8">
            <v>0</v>
          </cell>
          <cell r="GE8">
            <v>0</v>
          </cell>
          <cell r="GF8">
            <v>0</v>
          </cell>
          <cell r="GG8">
            <v>0</v>
          </cell>
          <cell r="GH8">
            <v>0</v>
          </cell>
          <cell r="GI8">
            <v>0</v>
          </cell>
          <cell r="GJ8">
            <v>0</v>
          </cell>
          <cell r="GK8">
            <v>0</v>
          </cell>
          <cell r="GL8">
            <v>0</v>
          </cell>
          <cell r="GM8">
            <v>0</v>
          </cell>
          <cell r="GN8">
            <v>0</v>
          </cell>
          <cell r="GO8">
            <v>0</v>
          </cell>
          <cell r="GP8">
            <v>0</v>
          </cell>
          <cell r="GQ8">
            <v>0</v>
          </cell>
          <cell r="GR8">
            <v>0</v>
          </cell>
          <cell r="GS8">
            <v>0</v>
          </cell>
          <cell r="GT8">
            <v>0</v>
          </cell>
          <cell r="GU8">
            <v>0</v>
          </cell>
          <cell r="GV8">
            <v>0</v>
          </cell>
          <cell r="GW8">
            <v>0</v>
          </cell>
          <cell r="GX8">
            <v>0</v>
          </cell>
          <cell r="GY8">
            <v>0</v>
          </cell>
          <cell r="GZ8">
            <v>0</v>
          </cell>
          <cell r="HA8">
            <v>0</v>
          </cell>
          <cell r="HB8">
            <v>0</v>
          </cell>
          <cell r="HC8">
            <v>0</v>
          </cell>
          <cell r="HD8">
            <v>0</v>
          </cell>
          <cell r="HE8">
            <v>0</v>
          </cell>
          <cell r="HF8">
            <v>0</v>
          </cell>
          <cell r="HG8">
            <v>0</v>
          </cell>
          <cell r="HH8">
            <v>0</v>
          </cell>
          <cell r="HI8">
            <v>0</v>
          </cell>
          <cell r="HJ8">
            <v>0</v>
          </cell>
          <cell r="HK8">
            <v>0</v>
          </cell>
          <cell r="HL8">
            <v>0</v>
          </cell>
          <cell r="HM8">
            <v>0</v>
          </cell>
          <cell r="HN8">
            <v>0</v>
          </cell>
          <cell r="HO8">
            <v>0</v>
          </cell>
          <cell r="HP8">
            <v>0</v>
          </cell>
          <cell r="HQ8">
            <v>0</v>
          </cell>
          <cell r="HR8">
            <v>0</v>
          </cell>
          <cell r="HS8">
            <v>0</v>
          </cell>
          <cell r="HT8">
            <v>0</v>
          </cell>
          <cell r="HU8">
            <v>0</v>
          </cell>
          <cell r="HV8">
            <v>0</v>
          </cell>
          <cell r="HW8">
            <v>0</v>
          </cell>
          <cell r="HX8">
            <v>0</v>
          </cell>
          <cell r="HY8">
            <v>0</v>
          </cell>
          <cell r="HZ8">
            <v>0</v>
          </cell>
          <cell r="IA8">
            <v>0</v>
          </cell>
          <cell r="IB8">
            <v>0</v>
          </cell>
          <cell r="IC8">
            <v>0</v>
          </cell>
          <cell r="ID8">
            <v>0</v>
          </cell>
          <cell r="IE8">
            <v>0</v>
          </cell>
          <cell r="IF8">
            <v>0</v>
          </cell>
          <cell r="IG8">
            <v>0</v>
          </cell>
          <cell r="IH8">
            <v>0</v>
          </cell>
          <cell r="II8">
            <v>0</v>
          </cell>
          <cell r="IJ8">
            <v>0</v>
          </cell>
          <cell r="IK8">
            <v>0</v>
          </cell>
          <cell r="IL8">
            <v>0</v>
          </cell>
          <cell r="IM8">
            <v>0</v>
          </cell>
          <cell r="IN8">
            <v>0</v>
          </cell>
          <cell r="IO8">
            <v>0</v>
          </cell>
          <cell r="IP8">
            <v>0</v>
          </cell>
          <cell r="IQ8">
            <v>0</v>
          </cell>
          <cell r="IR8">
            <v>0</v>
          </cell>
          <cell r="IS8">
            <v>0</v>
          </cell>
          <cell r="IT8">
            <v>0</v>
          </cell>
          <cell r="IU8">
            <v>0</v>
          </cell>
          <cell r="IV8">
            <v>0</v>
          </cell>
          <cell r="IW8">
            <v>0</v>
          </cell>
          <cell r="IX8">
            <v>0</v>
          </cell>
          <cell r="IY8">
            <v>0</v>
          </cell>
          <cell r="IZ8">
            <v>0</v>
          </cell>
          <cell r="JA8">
            <v>0</v>
          </cell>
          <cell r="JB8">
            <v>0</v>
          </cell>
          <cell r="JC8">
            <v>0</v>
          </cell>
          <cell r="JD8">
            <v>0</v>
          </cell>
          <cell r="JE8">
            <v>0</v>
          </cell>
          <cell r="JF8">
            <v>0</v>
          </cell>
          <cell r="JG8">
            <v>0</v>
          </cell>
          <cell r="JH8">
            <v>0</v>
          </cell>
          <cell r="JI8">
            <v>0</v>
          </cell>
          <cell r="JJ8">
            <v>0</v>
          </cell>
          <cell r="JK8">
            <v>0</v>
          </cell>
          <cell r="JL8">
            <v>0</v>
          </cell>
          <cell r="JM8">
            <v>0</v>
          </cell>
          <cell r="JN8">
            <v>0</v>
          </cell>
          <cell r="JO8">
            <v>0</v>
          </cell>
          <cell r="JP8">
            <v>0</v>
          </cell>
          <cell r="JQ8">
            <v>0</v>
          </cell>
          <cell r="JR8">
            <v>0</v>
          </cell>
          <cell r="JS8">
            <v>0</v>
          </cell>
          <cell r="JT8">
            <v>0</v>
          </cell>
          <cell r="JU8">
            <v>0</v>
          </cell>
          <cell r="JV8">
            <v>0</v>
          </cell>
          <cell r="JW8">
            <v>0</v>
          </cell>
          <cell r="JX8">
            <v>0</v>
          </cell>
          <cell r="JY8">
            <v>0</v>
          </cell>
          <cell r="JZ8">
            <v>0</v>
          </cell>
          <cell r="KA8">
            <v>0</v>
          </cell>
          <cell r="KB8">
            <v>0</v>
          </cell>
          <cell r="KC8">
            <v>0</v>
          </cell>
          <cell r="KD8">
            <v>0</v>
          </cell>
          <cell r="KE8">
            <v>0</v>
          </cell>
          <cell r="KF8">
            <v>0</v>
          </cell>
          <cell r="KG8">
            <v>0</v>
          </cell>
          <cell r="KH8">
            <v>0</v>
          </cell>
          <cell r="KI8">
            <v>0</v>
          </cell>
          <cell r="KJ8">
            <v>0</v>
          </cell>
          <cell r="KK8">
            <v>0</v>
          </cell>
          <cell r="KL8">
            <v>0</v>
          </cell>
          <cell r="KM8">
            <v>0</v>
          </cell>
          <cell r="KN8">
            <v>0</v>
          </cell>
          <cell r="KO8">
            <v>0</v>
          </cell>
          <cell r="KP8">
            <v>0</v>
          </cell>
          <cell r="KQ8">
            <v>0</v>
          </cell>
          <cell r="KR8">
            <v>0</v>
          </cell>
          <cell r="KS8">
            <v>0</v>
          </cell>
          <cell r="KT8">
            <v>0</v>
          </cell>
          <cell r="KU8">
            <v>0</v>
          </cell>
          <cell r="KV8">
            <v>0</v>
          </cell>
          <cell r="KW8">
            <v>0</v>
          </cell>
          <cell r="KX8">
            <v>0</v>
          </cell>
          <cell r="KY8">
            <v>0</v>
          </cell>
          <cell r="KZ8">
            <v>0</v>
          </cell>
          <cell r="LA8">
            <v>0</v>
          </cell>
          <cell r="LB8">
            <v>0</v>
          </cell>
          <cell r="LC8">
            <v>0</v>
          </cell>
          <cell r="LD8">
            <v>0</v>
          </cell>
          <cell r="LE8">
            <v>0</v>
          </cell>
          <cell r="LF8">
            <v>0</v>
          </cell>
          <cell r="LG8">
            <v>0</v>
          </cell>
          <cell r="LH8">
            <v>0</v>
          </cell>
          <cell r="LI8">
            <v>0</v>
          </cell>
          <cell r="LJ8">
            <v>0</v>
          </cell>
          <cell r="LK8">
            <v>0</v>
          </cell>
          <cell r="LL8">
            <v>0</v>
          </cell>
          <cell r="LM8">
            <v>0</v>
          </cell>
          <cell r="LN8">
            <v>0</v>
          </cell>
          <cell r="LO8">
            <v>0</v>
          </cell>
          <cell r="LP8">
            <v>0</v>
          </cell>
          <cell r="LQ8">
            <v>0</v>
          </cell>
          <cell r="LR8">
            <v>0</v>
          </cell>
          <cell r="LS8">
            <v>0</v>
          </cell>
          <cell r="LT8">
            <v>0</v>
          </cell>
          <cell r="LU8">
            <v>0</v>
          </cell>
          <cell r="LV8">
            <v>0</v>
          </cell>
          <cell r="LW8">
            <v>0</v>
          </cell>
          <cell r="LX8">
            <v>0</v>
          </cell>
          <cell r="LY8">
            <v>0</v>
          </cell>
          <cell r="LZ8">
            <v>0</v>
          </cell>
          <cell r="MA8">
            <v>0</v>
          </cell>
          <cell r="MB8">
            <v>0</v>
          </cell>
          <cell r="MC8">
            <v>0</v>
          </cell>
          <cell r="MD8">
            <v>0</v>
          </cell>
          <cell r="ME8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  <cell r="CC9">
            <v>0</v>
          </cell>
          <cell r="CD9">
            <v>0</v>
          </cell>
          <cell r="CE9">
            <v>0</v>
          </cell>
          <cell r="CF9">
            <v>0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  <cell r="CM9">
            <v>0</v>
          </cell>
          <cell r="CN9">
            <v>0</v>
          </cell>
          <cell r="CO9">
            <v>0</v>
          </cell>
          <cell r="CP9">
            <v>0</v>
          </cell>
          <cell r="CQ9">
            <v>0</v>
          </cell>
          <cell r="CR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0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I9">
            <v>0</v>
          </cell>
          <cell r="DJ9">
            <v>0</v>
          </cell>
          <cell r="DK9">
            <v>0</v>
          </cell>
          <cell r="DL9">
            <v>0</v>
          </cell>
          <cell r="DM9">
            <v>0</v>
          </cell>
          <cell r="DN9">
            <v>0</v>
          </cell>
          <cell r="DO9">
            <v>0</v>
          </cell>
          <cell r="DP9">
            <v>0</v>
          </cell>
          <cell r="DQ9">
            <v>0</v>
          </cell>
          <cell r="DR9">
            <v>0</v>
          </cell>
          <cell r="DS9">
            <v>0</v>
          </cell>
          <cell r="DT9">
            <v>0</v>
          </cell>
          <cell r="DU9">
            <v>0</v>
          </cell>
          <cell r="DV9">
            <v>0</v>
          </cell>
          <cell r="DW9">
            <v>0</v>
          </cell>
          <cell r="DX9">
            <v>0</v>
          </cell>
          <cell r="DY9">
            <v>0</v>
          </cell>
          <cell r="DZ9">
            <v>0</v>
          </cell>
          <cell r="EA9">
            <v>0</v>
          </cell>
          <cell r="EB9">
            <v>0</v>
          </cell>
          <cell r="EC9">
            <v>0</v>
          </cell>
          <cell r="ED9">
            <v>0</v>
          </cell>
          <cell r="EE9">
            <v>0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0</v>
          </cell>
          <cell r="EK9">
            <v>0</v>
          </cell>
          <cell r="EL9">
            <v>0</v>
          </cell>
          <cell r="EM9">
            <v>0</v>
          </cell>
          <cell r="EN9">
            <v>0</v>
          </cell>
          <cell r="EO9">
            <v>0</v>
          </cell>
          <cell r="EP9">
            <v>0</v>
          </cell>
          <cell r="EQ9">
            <v>0</v>
          </cell>
          <cell r="ER9">
            <v>0</v>
          </cell>
          <cell r="ES9">
            <v>0</v>
          </cell>
          <cell r="ET9">
            <v>0</v>
          </cell>
          <cell r="EU9">
            <v>0</v>
          </cell>
          <cell r="EV9">
            <v>0</v>
          </cell>
          <cell r="EW9">
            <v>0</v>
          </cell>
          <cell r="EX9">
            <v>0</v>
          </cell>
          <cell r="EY9">
            <v>0</v>
          </cell>
          <cell r="EZ9">
            <v>0</v>
          </cell>
          <cell r="FA9">
            <v>0</v>
          </cell>
          <cell r="FB9">
            <v>0</v>
          </cell>
          <cell r="FC9">
            <v>0</v>
          </cell>
          <cell r="FD9">
            <v>0</v>
          </cell>
          <cell r="FE9">
            <v>0</v>
          </cell>
          <cell r="FF9">
            <v>0</v>
          </cell>
          <cell r="FG9">
            <v>0</v>
          </cell>
          <cell r="FH9">
            <v>0</v>
          </cell>
          <cell r="FI9">
            <v>0</v>
          </cell>
          <cell r="FJ9">
            <v>0</v>
          </cell>
          <cell r="FK9">
            <v>0</v>
          </cell>
          <cell r="FL9">
            <v>0</v>
          </cell>
          <cell r="FM9">
            <v>0</v>
          </cell>
          <cell r="FN9">
            <v>0</v>
          </cell>
          <cell r="FO9">
            <v>0</v>
          </cell>
          <cell r="FP9">
            <v>0</v>
          </cell>
          <cell r="FQ9">
            <v>0</v>
          </cell>
          <cell r="FR9">
            <v>0</v>
          </cell>
          <cell r="FS9">
            <v>0</v>
          </cell>
          <cell r="FT9">
            <v>0</v>
          </cell>
          <cell r="FU9">
            <v>0</v>
          </cell>
          <cell r="FV9">
            <v>0</v>
          </cell>
          <cell r="FW9">
            <v>0</v>
          </cell>
          <cell r="FX9">
            <v>0</v>
          </cell>
          <cell r="FY9">
            <v>0</v>
          </cell>
          <cell r="FZ9">
            <v>0</v>
          </cell>
          <cell r="GA9">
            <v>0</v>
          </cell>
          <cell r="GB9">
            <v>0</v>
          </cell>
          <cell r="GC9">
            <v>0</v>
          </cell>
          <cell r="GD9">
            <v>0</v>
          </cell>
          <cell r="GE9">
            <v>0</v>
          </cell>
          <cell r="GF9">
            <v>0</v>
          </cell>
          <cell r="GG9">
            <v>0</v>
          </cell>
          <cell r="GH9">
            <v>0</v>
          </cell>
          <cell r="GI9">
            <v>0</v>
          </cell>
          <cell r="GJ9">
            <v>0</v>
          </cell>
          <cell r="GK9">
            <v>0</v>
          </cell>
          <cell r="GL9">
            <v>0</v>
          </cell>
          <cell r="GM9">
            <v>0</v>
          </cell>
          <cell r="GN9">
            <v>0</v>
          </cell>
          <cell r="GO9">
            <v>0</v>
          </cell>
          <cell r="GP9">
            <v>0</v>
          </cell>
          <cell r="GQ9">
            <v>0</v>
          </cell>
          <cell r="GR9">
            <v>0</v>
          </cell>
          <cell r="GS9">
            <v>0</v>
          </cell>
          <cell r="GT9">
            <v>0</v>
          </cell>
          <cell r="GU9">
            <v>0</v>
          </cell>
          <cell r="GV9">
            <v>0</v>
          </cell>
          <cell r="GW9">
            <v>0</v>
          </cell>
          <cell r="GX9">
            <v>0</v>
          </cell>
          <cell r="GY9">
            <v>0</v>
          </cell>
          <cell r="GZ9">
            <v>0</v>
          </cell>
          <cell r="HA9">
            <v>0</v>
          </cell>
          <cell r="HB9">
            <v>0</v>
          </cell>
          <cell r="HC9">
            <v>0</v>
          </cell>
          <cell r="HD9">
            <v>0</v>
          </cell>
          <cell r="HE9">
            <v>0</v>
          </cell>
          <cell r="HF9">
            <v>0</v>
          </cell>
          <cell r="HG9">
            <v>0</v>
          </cell>
          <cell r="HH9">
            <v>0</v>
          </cell>
          <cell r="HI9">
            <v>0</v>
          </cell>
          <cell r="HJ9">
            <v>0</v>
          </cell>
          <cell r="HK9">
            <v>0</v>
          </cell>
          <cell r="HL9">
            <v>0</v>
          </cell>
          <cell r="HM9">
            <v>0</v>
          </cell>
          <cell r="HN9">
            <v>0</v>
          </cell>
          <cell r="HO9">
            <v>0</v>
          </cell>
          <cell r="HP9">
            <v>0</v>
          </cell>
          <cell r="HQ9">
            <v>0</v>
          </cell>
          <cell r="HR9">
            <v>0</v>
          </cell>
          <cell r="HS9">
            <v>0</v>
          </cell>
          <cell r="HT9">
            <v>0</v>
          </cell>
          <cell r="HU9">
            <v>0</v>
          </cell>
          <cell r="HV9">
            <v>0</v>
          </cell>
          <cell r="HW9">
            <v>0</v>
          </cell>
          <cell r="HX9">
            <v>0</v>
          </cell>
          <cell r="HY9">
            <v>0</v>
          </cell>
          <cell r="HZ9">
            <v>0</v>
          </cell>
          <cell r="IA9">
            <v>0</v>
          </cell>
          <cell r="IB9">
            <v>0</v>
          </cell>
          <cell r="IC9">
            <v>0</v>
          </cell>
          <cell r="ID9">
            <v>0</v>
          </cell>
          <cell r="IE9">
            <v>0</v>
          </cell>
          <cell r="IF9">
            <v>0</v>
          </cell>
          <cell r="IG9">
            <v>0</v>
          </cell>
          <cell r="IH9">
            <v>0</v>
          </cell>
          <cell r="II9">
            <v>0</v>
          </cell>
          <cell r="IJ9">
            <v>0</v>
          </cell>
          <cell r="IK9">
            <v>0</v>
          </cell>
          <cell r="IL9">
            <v>0</v>
          </cell>
          <cell r="IM9">
            <v>0</v>
          </cell>
          <cell r="IN9">
            <v>0</v>
          </cell>
          <cell r="IO9">
            <v>0</v>
          </cell>
          <cell r="IP9">
            <v>0</v>
          </cell>
          <cell r="IQ9">
            <v>0</v>
          </cell>
          <cell r="IR9">
            <v>0</v>
          </cell>
          <cell r="IS9">
            <v>0</v>
          </cell>
          <cell r="IT9">
            <v>0</v>
          </cell>
          <cell r="IU9">
            <v>0</v>
          </cell>
          <cell r="IV9">
            <v>0</v>
          </cell>
          <cell r="IW9">
            <v>0</v>
          </cell>
          <cell r="IX9">
            <v>0</v>
          </cell>
          <cell r="IY9">
            <v>0</v>
          </cell>
          <cell r="IZ9">
            <v>0</v>
          </cell>
          <cell r="JA9">
            <v>0</v>
          </cell>
          <cell r="JB9">
            <v>0</v>
          </cell>
          <cell r="JC9">
            <v>0</v>
          </cell>
          <cell r="JD9">
            <v>0</v>
          </cell>
          <cell r="JE9">
            <v>0</v>
          </cell>
          <cell r="JF9">
            <v>0</v>
          </cell>
          <cell r="JG9">
            <v>0</v>
          </cell>
          <cell r="JH9">
            <v>0</v>
          </cell>
          <cell r="JI9">
            <v>0</v>
          </cell>
          <cell r="JJ9">
            <v>0</v>
          </cell>
          <cell r="JK9">
            <v>0</v>
          </cell>
          <cell r="JL9">
            <v>0</v>
          </cell>
          <cell r="JM9">
            <v>0</v>
          </cell>
          <cell r="JN9">
            <v>0</v>
          </cell>
          <cell r="JO9">
            <v>0</v>
          </cell>
          <cell r="JP9">
            <v>0</v>
          </cell>
          <cell r="JQ9">
            <v>0</v>
          </cell>
          <cell r="JR9">
            <v>0</v>
          </cell>
          <cell r="JS9">
            <v>0</v>
          </cell>
          <cell r="JT9">
            <v>0</v>
          </cell>
          <cell r="JU9">
            <v>0</v>
          </cell>
          <cell r="JV9">
            <v>0</v>
          </cell>
          <cell r="JW9">
            <v>0</v>
          </cell>
          <cell r="JX9">
            <v>0</v>
          </cell>
          <cell r="JY9">
            <v>0</v>
          </cell>
          <cell r="JZ9">
            <v>0</v>
          </cell>
          <cell r="KA9">
            <v>0</v>
          </cell>
          <cell r="KB9">
            <v>0</v>
          </cell>
          <cell r="KC9">
            <v>0</v>
          </cell>
          <cell r="KD9">
            <v>0</v>
          </cell>
          <cell r="KE9">
            <v>0</v>
          </cell>
          <cell r="KF9">
            <v>0</v>
          </cell>
          <cell r="KG9">
            <v>0</v>
          </cell>
          <cell r="KH9">
            <v>0</v>
          </cell>
          <cell r="KI9">
            <v>0</v>
          </cell>
          <cell r="KJ9">
            <v>0</v>
          </cell>
          <cell r="KK9">
            <v>0</v>
          </cell>
          <cell r="KL9">
            <v>0</v>
          </cell>
          <cell r="KM9">
            <v>0</v>
          </cell>
          <cell r="KN9">
            <v>0</v>
          </cell>
          <cell r="KO9">
            <v>0</v>
          </cell>
          <cell r="KP9">
            <v>0</v>
          </cell>
          <cell r="KQ9">
            <v>0</v>
          </cell>
          <cell r="KR9">
            <v>0</v>
          </cell>
          <cell r="KS9">
            <v>0</v>
          </cell>
          <cell r="KT9">
            <v>0</v>
          </cell>
          <cell r="KU9">
            <v>0</v>
          </cell>
          <cell r="KV9">
            <v>0</v>
          </cell>
          <cell r="KW9">
            <v>0</v>
          </cell>
          <cell r="KX9">
            <v>0</v>
          </cell>
          <cell r="KY9">
            <v>0</v>
          </cell>
          <cell r="KZ9">
            <v>0</v>
          </cell>
          <cell r="LA9">
            <v>0</v>
          </cell>
          <cell r="LB9">
            <v>0</v>
          </cell>
          <cell r="LC9">
            <v>0</v>
          </cell>
          <cell r="LD9">
            <v>0</v>
          </cell>
          <cell r="LE9">
            <v>0</v>
          </cell>
          <cell r="LF9">
            <v>0</v>
          </cell>
          <cell r="LG9">
            <v>0</v>
          </cell>
          <cell r="LH9">
            <v>0</v>
          </cell>
          <cell r="LI9">
            <v>0</v>
          </cell>
          <cell r="LJ9">
            <v>0</v>
          </cell>
          <cell r="LK9">
            <v>0</v>
          </cell>
          <cell r="LL9">
            <v>0</v>
          </cell>
          <cell r="LM9">
            <v>0</v>
          </cell>
          <cell r="LN9">
            <v>0</v>
          </cell>
          <cell r="LO9">
            <v>0</v>
          </cell>
          <cell r="LP9">
            <v>0</v>
          </cell>
          <cell r="LQ9">
            <v>0</v>
          </cell>
          <cell r="LR9">
            <v>0</v>
          </cell>
          <cell r="LS9">
            <v>0</v>
          </cell>
          <cell r="LT9">
            <v>0</v>
          </cell>
          <cell r="LU9">
            <v>0</v>
          </cell>
          <cell r="LV9">
            <v>0</v>
          </cell>
          <cell r="LW9">
            <v>0</v>
          </cell>
          <cell r="LX9">
            <v>0</v>
          </cell>
          <cell r="LY9">
            <v>0</v>
          </cell>
          <cell r="LZ9">
            <v>0</v>
          </cell>
          <cell r="MA9">
            <v>0</v>
          </cell>
          <cell r="MB9">
            <v>0</v>
          </cell>
          <cell r="MC9">
            <v>0</v>
          </cell>
          <cell r="MD9">
            <v>0</v>
          </cell>
          <cell r="ME9">
            <v>0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DK10">
            <v>0</v>
          </cell>
          <cell r="DL10">
            <v>0</v>
          </cell>
          <cell r="DM10">
            <v>0</v>
          </cell>
          <cell r="DN10">
            <v>0</v>
          </cell>
          <cell r="DO10">
            <v>0</v>
          </cell>
          <cell r="DP10">
            <v>0</v>
          </cell>
          <cell r="DQ10">
            <v>0</v>
          </cell>
          <cell r="DR10">
            <v>0</v>
          </cell>
          <cell r="DS10">
            <v>0</v>
          </cell>
          <cell r="DT10">
            <v>0</v>
          </cell>
          <cell r="DU10">
            <v>0</v>
          </cell>
          <cell r="DV10">
            <v>0</v>
          </cell>
          <cell r="DW10">
            <v>0</v>
          </cell>
          <cell r="DX10">
            <v>0</v>
          </cell>
          <cell r="DY10">
            <v>0</v>
          </cell>
          <cell r="DZ10">
            <v>0</v>
          </cell>
          <cell r="EA10">
            <v>0</v>
          </cell>
          <cell r="EB10">
            <v>0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  <cell r="EJ10">
            <v>0</v>
          </cell>
          <cell r="EK10">
            <v>0</v>
          </cell>
          <cell r="EL10">
            <v>0</v>
          </cell>
          <cell r="EM10">
            <v>0</v>
          </cell>
          <cell r="EN10">
            <v>0</v>
          </cell>
          <cell r="EO10">
            <v>0</v>
          </cell>
          <cell r="EP10">
            <v>0</v>
          </cell>
          <cell r="EQ10">
            <v>0</v>
          </cell>
          <cell r="ER10">
            <v>0</v>
          </cell>
          <cell r="ES10">
            <v>0</v>
          </cell>
          <cell r="ET10">
            <v>0</v>
          </cell>
          <cell r="EU10">
            <v>0</v>
          </cell>
          <cell r="EV10">
            <v>0</v>
          </cell>
          <cell r="EW10">
            <v>0</v>
          </cell>
          <cell r="EX10">
            <v>0</v>
          </cell>
          <cell r="EY10">
            <v>0</v>
          </cell>
          <cell r="EZ10">
            <v>0</v>
          </cell>
          <cell r="FA10">
            <v>0</v>
          </cell>
          <cell r="FB10">
            <v>0</v>
          </cell>
          <cell r="FC10">
            <v>0</v>
          </cell>
          <cell r="FD10">
            <v>0</v>
          </cell>
          <cell r="FE10">
            <v>0</v>
          </cell>
          <cell r="FF10">
            <v>0</v>
          </cell>
          <cell r="FG10">
            <v>0</v>
          </cell>
          <cell r="FH10">
            <v>0</v>
          </cell>
          <cell r="FI10">
            <v>0</v>
          </cell>
          <cell r="FJ10">
            <v>0</v>
          </cell>
          <cell r="FK10">
            <v>0</v>
          </cell>
          <cell r="FL10">
            <v>0</v>
          </cell>
          <cell r="FM10">
            <v>0</v>
          </cell>
          <cell r="FN10">
            <v>0</v>
          </cell>
          <cell r="FO10">
            <v>0</v>
          </cell>
          <cell r="FP10">
            <v>0</v>
          </cell>
          <cell r="FQ10">
            <v>0</v>
          </cell>
          <cell r="FR10">
            <v>0</v>
          </cell>
          <cell r="FS10">
            <v>0</v>
          </cell>
          <cell r="FT10">
            <v>0</v>
          </cell>
          <cell r="FU10">
            <v>0</v>
          </cell>
          <cell r="FV10">
            <v>0</v>
          </cell>
          <cell r="FW10">
            <v>0</v>
          </cell>
          <cell r="FX10">
            <v>0</v>
          </cell>
          <cell r="FY10">
            <v>0</v>
          </cell>
          <cell r="FZ10">
            <v>0</v>
          </cell>
          <cell r="GA10">
            <v>0</v>
          </cell>
          <cell r="GB10">
            <v>0</v>
          </cell>
          <cell r="GC10">
            <v>0</v>
          </cell>
          <cell r="GD10">
            <v>0</v>
          </cell>
          <cell r="GE10">
            <v>0</v>
          </cell>
          <cell r="GF10">
            <v>0</v>
          </cell>
          <cell r="GG10">
            <v>0</v>
          </cell>
          <cell r="GH10">
            <v>0</v>
          </cell>
          <cell r="GI10">
            <v>0</v>
          </cell>
          <cell r="GJ10">
            <v>0</v>
          </cell>
          <cell r="GK10">
            <v>0</v>
          </cell>
          <cell r="GL10">
            <v>0</v>
          </cell>
          <cell r="GM10">
            <v>0</v>
          </cell>
          <cell r="GN10">
            <v>0</v>
          </cell>
          <cell r="GO10">
            <v>0</v>
          </cell>
          <cell r="GP10">
            <v>0</v>
          </cell>
          <cell r="GQ10">
            <v>0</v>
          </cell>
          <cell r="GR10">
            <v>0</v>
          </cell>
          <cell r="GS10">
            <v>0</v>
          </cell>
          <cell r="GT10">
            <v>0</v>
          </cell>
          <cell r="GU10">
            <v>0</v>
          </cell>
          <cell r="GV10">
            <v>0</v>
          </cell>
          <cell r="GW10">
            <v>0</v>
          </cell>
          <cell r="GX10">
            <v>0</v>
          </cell>
          <cell r="GY10">
            <v>0</v>
          </cell>
          <cell r="GZ10">
            <v>0</v>
          </cell>
          <cell r="HA10">
            <v>0</v>
          </cell>
          <cell r="HB10">
            <v>0</v>
          </cell>
          <cell r="HC10">
            <v>0</v>
          </cell>
          <cell r="HD10">
            <v>0</v>
          </cell>
          <cell r="HE10">
            <v>0</v>
          </cell>
          <cell r="HF10">
            <v>0</v>
          </cell>
          <cell r="HG10">
            <v>0</v>
          </cell>
          <cell r="HH10">
            <v>0</v>
          </cell>
          <cell r="HI10">
            <v>0</v>
          </cell>
          <cell r="HJ10">
            <v>0</v>
          </cell>
          <cell r="HK10">
            <v>0</v>
          </cell>
          <cell r="HL10">
            <v>0</v>
          </cell>
          <cell r="HM10">
            <v>0</v>
          </cell>
          <cell r="HN10">
            <v>0</v>
          </cell>
          <cell r="HO10">
            <v>0</v>
          </cell>
          <cell r="HP10">
            <v>0</v>
          </cell>
          <cell r="HQ10">
            <v>0</v>
          </cell>
          <cell r="HR10">
            <v>0</v>
          </cell>
          <cell r="HS10">
            <v>0</v>
          </cell>
          <cell r="HT10">
            <v>0</v>
          </cell>
          <cell r="HU10">
            <v>0</v>
          </cell>
          <cell r="HV10">
            <v>0</v>
          </cell>
          <cell r="HW10">
            <v>0</v>
          </cell>
          <cell r="HX10">
            <v>0</v>
          </cell>
          <cell r="HY10">
            <v>0</v>
          </cell>
          <cell r="HZ10">
            <v>0</v>
          </cell>
          <cell r="IA10">
            <v>0</v>
          </cell>
          <cell r="IB10">
            <v>0</v>
          </cell>
          <cell r="IC10">
            <v>0</v>
          </cell>
          <cell r="ID10">
            <v>0</v>
          </cell>
          <cell r="IE10">
            <v>0</v>
          </cell>
          <cell r="IF10">
            <v>0</v>
          </cell>
          <cell r="IG10">
            <v>0</v>
          </cell>
          <cell r="IH10">
            <v>0</v>
          </cell>
          <cell r="II10">
            <v>0</v>
          </cell>
          <cell r="IJ10">
            <v>0</v>
          </cell>
          <cell r="IK10">
            <v>0</v>
          </cell>
          <cell r="IL10">
            <v>0</v>
          </cell>
          <cell r="IM10">
            <v>0</v>
          </cell>
          <cell r="IN10">
            <v>0</v>
          </cell>
          <cell r="IO10">
            <v>0</v>
          </cell>
          <cell r="IP10">
            <v>0</v>
          </cell>
          <cell r="IQ10">
            <v>0</v>
          </cell>
          <cell r="IR10">
            <v>0</v>
          </cell>
          <cell r="IS10">
            <v>0</v>
          </cell>
          <cell r="IT10">
            <v>0</v>
          </cell>
          <cell r="IU10">
            <v>0</v>
          </cell>
          <cell r="IV10">
            <v>0</v>
          </cell>
          <cell r="IW10">
            <v>0</v>
          </cell>
          <cell r="IX10">
            <v>0</v>
          </cell>
          <cell r="IY10">
            <v>0</v>
          </cell>
          <cell r="IZ10">
            <v>0</v>
          </cell>
          <cell r="JA10">
            <v>0</v>
          </cell>
          <cell r="JB10">
            <v>0</v>
          </cell>
          <cell r="JC10">
            <v>0</v>
          </cell>
          <cell r="JD10">
            <v>0</v>
          </cell>
          <cell r="JE10">
            <v>0</v>
          </cell>
          <cell r="JF10">
            <v>0</v>
          </cell>
          <cell r="JG10">
            <v>0</v>
          </cell>
          <cell r="JH10">
            <v>0</v>
          </cell>
          <cell r="JI10">
            <v>0</v>
          </cell>
          <cell r="JJ10">
            <v>0</v>
          </cell>
          <cell r="JK10">
            <v>0</v>
          </cell>
          <cell r="JL10">
            <v>0</v>
          </cell>
          <cell r="JM10">
            <v>0</v>
          </cell>
          <cell r="JN10">
            <v>0</v>
          </cell>
          <cell r="JO10">
            <v>0</v>
          </cell>
          <cell r="JP10">
            <v>0</v>
          </cell>
          <cell r="JQ10">
            <v>0</v>
          </cell>
          <cell r="JR10">
            <v>0</v>
          </cell>
          <cell r="JS10">
            <v>0</v>
          </cell>
          <cell r="JT10">
            <v>0</v>
          </cell>
          <cell r="JU10">
            <v>0</v>
          </cell>
          <cell r="JV10">
            <v>0</v>
          </cell>
          <cell r="JW10">
            <v>0</v>
          </cell>
          <cell r="JX10">
            <v>0</v>
          </cell>
          <cell r="JY10">
            <v>0</v>
          </cell>
          <cell r="JZ10">
            <v>0</v>
          </cell>
          <cell r="KA10">
            <v>0</v>
          </cell>
          <cell r="KB10">
            <v>0</v>
          </cell>
          <cell r="KC10">
            <v>0</v>
          </cell>
          <cell r="KD10">
            <v>0</v>
          </cell>
          <cell r="KE10">
            <v>0</v>
          </cell>
          <cell r="KF10">
            <v>0</v>
          </cell>
          <cell r="KG10">
            <v>0</v>
          </cell>
          <cell r="KH10">
            <v>0</v>
          </cell>
          <cell r="KI10">
            <v>0</v>
          </cell>
          <cell r="KJ10">
            <v>0</v>
          </cell>
          <cell r="KK10">
            <v>0</v>
          </cell>
          <cell r="KL10">
            <v>0</v>
          </cell>
          <cell r="KM10">
            <v>0</v>
          </cell>
          <cell r="KN10">
            <v>0</v>
          </cell>
          <cell r="KO10">
            <v>0</v>
          </cell>
          <cell r="KP10">
            <v>0</v>
          </cell>
          <cell r="KQ10">
            <v>0</v>
          </cell>
          <cell r="KR10">
            <v>0</v>
          </cell>
          <cell r="KS10">
            <v>0</v>
          </cell>
          <cell r="KT10">
            <v>0</v>
          </cell>
          <cell r="KU10">
            <v>0</v>
          </cell>
          <cell r="KV10">
            <v>0</v>
          </cell>
          <cell r="KW10">
            <v>0</v>
          </cell>
          <cell r="KX10">
            <v>0</v>
          </cell>
          <cell r="KY10">
            <v>0</v>
          </cell>
          <cell r="KZ10">
            <v>0</v>
          </cell>
          <cell r="LA10">
            <v>0</v>
          </cell>
          <cell r="LB10">
            <v>0</v>
          </cell>
          <cell r="LC10">
            <v>0</v>
          </cell>
          <cell r="LD10">
            <v>0</v>
          </cell>
          <cell r="LE10">
            <v>0</v>
          </cell>
          <cell r="LF10">
            <v>0</v>
          </cell>
          <cell r="LG10">
            <v>0</v>
          </cell>
          <cell r="LH10">
            <v>0</v>
          </cell>
          <cell r="LI10">
            <v>0</v>
          </cell>
          <cell r="LJ10">
            <v>0</v>
          </cell>
          <cell r="LK10">
            <v>0</v>
          </cell>
          <cell r="LL10">
            <v>0</v>
          </cell>
          <cell r="LM10">
            <v>0</v>
          </cell>
          <cell r="LN10">
            <v>0</v>
          </cell>
          <cell r="LO10">
            <v>0</v>
          </cell>
          <cell r="LP10">
            <v>0</v>
          </cell>
          <cell r="LQ10">
            <v>0</v>
          </cell>
          <cell r="LR10">
            <v>0</v>
          </cell>
          <cell r="LS10">
            <v>0</v>
          </cell>
          <cell r="LT10">
            <v>0</v>
          </cell>
          <cell r="LU10">
            <v>0</v>
          </cell>
          <cell r="LV10">
            <v>0</v>
          </cell>
          <cell r="LW10">
            <v>0</v>
          </cell>
          <cell r="LX10">
            <v>0</v>
          </cell>
          <cell r="LY10">
            <v>0</v>
          </cell>
          <cell r="LZ10">
            <v>0</v>
          </cell>
          <cell r="MA10">
            <v>0</v>
          </cell>
          <cell r="MB10">
            <v>0</v>
          </cell>
          <cell r="MC10">
            <v>0</v>
          </cell>
          <cell r="MD10">
            <v>0</v>
          </cell>
          <cell r="ME10">
            <v>0</v>
          </cell>
        </row>
        <row r="11"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  <cell r="CC11">
            <v>0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  <cell r="CM11">
            <v>0</v>
          </cell>
          <cell r="CN11">
            <v>0</v>
          </cell>
          <cell r="CO11">
            <v>0</v>
          </cell>
          <cell r="CP11">
            <v>0</v>
          </cell>
          <cell r="CQ11">
            <v>0</v>
          </cell>
          <cell r="CR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0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I11">
            <v>0</v>
          </cell>
          <cell r="DJ11">
            <v>0</v>
          </cell>
          <cell r="DK11">
            <v>0</v>
          </cell>
          <cell r="DL11">
            <v>0</v>
          </cell>
          <cell r="DM11">
            <v>0</v>
          </cell>
          <cell r="DN11">
            <v>0</v>
          </cell>
          <cell r="DO11">
            <v>0</v>
          </cell>
          <cell r="DP11">
            <v>0</v>
          </cell>
          <cell r="DQ11">
            <v>0</v>
          </cell>
          <cell r="DR11">
            <v>0</v>
          </cell>
          <cell r="DS11">
            <v>0</v>
          </cell>
          <cell r="DT11">
            <v>0</v>
          </cell>
          <cell r="DU11">
            <v>0</v>
          </cell>
          <cell r="DV11">
            <v>0</v>
          </cell>
          <cell r="DW11">
            <v>0</v>
          </cell>
          <cell r="DX11">
            <v>0</v>
          </cell>
          <cell r="DY11">
            <v>0</v>
          </cell>
          <cell r="DZ11">
            <v>0</v>
          </cell>
          <cell r="EA11">
            <v>0</v>
          </cell>
          <cell r="EB11">
            <v>0</v>
          </cell>
          <cell r="EC11">
            <v>0</v>
          </cell>
          <cell r="ED11">
            <v>0</v>
          </cell>
          <cell r="EE11">
            <v>0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0</v>
          </cell>
          <cell r="EK11">
            <v>0</v>
          </cell>
          <cell r="EL11">
            <v>0</v>
          </cell>
          <cell r="EM11">
            <v>0</v>
          </cell>
          <cell r="EN11">
            <v>0</v>
          </cell>
          <cell r="EO11">
            <v>0</v>
          </cell>
          <cell r="EP11">
            <v>0</v>
          </cell>
          <cell r="EQ11">
            <v>0</v>
          </cell>
          <cell r="ER11">
            <v>0</v>
          </cell>
          <cell r="ES11">
            <v>0</v>
          </cell>
          <cell r="ET11">
            <v>0</v>
          </cell>
          <cell r="EU11">
            <v>0</v>
          </cell>
          <cell r="EV11">
            <v>0</v>
          </cell>
          <cell r="EW11">
            <v>0</v>
          </cell>
          <cell r="EX11">
            <v>0</v>
          </cell>
          <cell r="EY11">
            <v>0</v>
          </cell>
          <cell r="EZ11">
            <v>0</v>
          </cell>
          <cell r="FA11">
            <v>0</v>
          </cell>
          <cell r="FB11">
            <v>0</v>
          </cell>
          <cell r="FC11">
            <v>0</v>
          </cell>
          <cell r="FD11">
            <v>0</v>
          </cell>
          <cell r="FE11">
            <v>0</v>
          </cell>
          <cell r="FF11">
            <v>0</v>
          </cell>
          <cell r="FG11">
            <v>0</v>
          </cell>
          <cell r="FH11">
            <v>0</v>
          </cell>
          <cell r="FI11">
            <v>0</v>
          </cell>
          <cell r="FJ11">
            <v>0</v>
          </cell>
          <cell r="FK11">
            <v>0</v>
          </cell>
          <cell r="FL11">
            <v>0</v>
          </cell>
          <cell r="FM11">
            <v>0</v>
          </cell>
          <cell r="FN11">
            <v>0</v>
          </cell>
          <cell r="FO11">
            <v>0</v>
          </cell>
          <cell r="FP11">
            <v>0</v>
          </cell>
          <cell r="FQ11">
            <v>0</v>
          </cell>
          <cell r="FR11">
            <v>0</v>
          </cell>
          <cell r="FS11">
            <v>0</v>
          </cell>
          <cell r="FT11">
            <v>0</v>
          </cell>
          <cell r="FU11">
            <v>0</v>
          </cell>
          <cell r="FV11">
            <v>0</v>
          </cell>
          <cell r="FW11">
            <v>0</v>
          </cell>
          <cell r="FX11">
            <v>0</v>
          </cell>
          <cell r="FY11">
            <v>0</v>
          </cell>
          <cell r="FZ11">
            <v>0</v>
          </cell>
          <cell r="GA11">
            <v>0</v>
          </cell>
          <cell r="GB11">
            <v>0</v>
          </cell>
          <cell r="GC11">
            <v>0</v>
          </cell>
          <cell r="GD11">
            <v>0</v>
          </cell>
          <cell r="GE11">
            <v>0</v>
          </cell>
          <cell r="GF11">
            <v>0</v>
          </cell>
          <cell r="GG11">
            <v>0</v>
          </cell>
          <cell r="GH11">
            <v>0</v>
          </cell>
          <cell r="GI11">
            <v>0</v>
          </cell>
          <cell r="GJ11">
            <v>0</v>
          </cell>
          <cell r="GK11">
            <v>0</v>
          </cell>
          <cell r="GL11">
            <v>0</v>
          </cell>
          <cell r="GM11">
            <v>0</v>
          </cell>
          <cell r="GN11">
            <v>0</v>
          </cell>
          <cell r="GO11">
            <v>0</v>
          </cell>
          <cell r="GP11">
            <v>0</v>
          </cell>
          <cell r="GQ11">
            <v>0</v>
          </cell>
          <cell r="GR11">
            <v>0</v>
          </cell>
          <cell r="GS11">
            <v>0</v>
          </cell>
          <cell r="GT11">
            <v>0</v>
          </cell>
          <cell r="GU11">
            <v>0</v>
          </cell>
          <cell r="GV11">
            <v>0</v>
          </cell>
          <cell r="GW11">
            <v>0</v>
          </cell>
          <cell r="GX11">
            <v>0</v>
          </cell>
          <cell r="GY11">
            <v>0</v>
          </cell>
          <cell r="GZ11">
            <v>0</v>
          </cell>
          <cell r="HA11">
            <v>0</v>
          </cell>
          <cell r="HB11">
            <v>0</v>
          </cell>
          <cell r="HC11">
            <v>0</v>
          </cell>
          <cell r="HD11">
            <v>0</v>
          </cell>
          <cell r="HE11">
            <v>0</v>
          </cell>
          <cell r="HF11">
            <v>0</v>
          </cell>
          <cell r="HG11">
            <v>0</v>
          </cell>
          <cell r="HH11">
            <v>0</v>
          </cell>
          <cell r="HI11">
            <v>0</v>
          </cell>
          <cell r="HJ11">
            <v>0</v>
          </cell>
          <cell r="HK11">
            <v>0</v>
          </cell>
          <cell r="HL11">
            <v>0</v>
          </cell>
          <cell r="HM11">
            <v>0</v>
          </cell>
          <cell r="HN11">
            <v>0</v>
          </cell>
          <cell r="HO11">
            <v>0</v>
          </cell>
          <cell r="HP11">
            <v>0</v>
          </cell>
          <cell r="HQ11">
            <v>0</v>
          </cell>
          <cell r="HR11">
            <v>0</v>
          </cell>
          <cell r="HS11">
            <v>0</v>
          </cell>
          <cell r="HT11">
            <v>0</v>
          </cell>
          <cell r="HU11">
            <v>0</v>
          </cell>
          <cell r="HV11">
            <v>0</v>
          </cell>
          <cell r="HW11">
            <v>0</v>
          </cell>
          <cell r="HX11">
            <v>0</v>
          </cell>
          <cell r="HY11">
            <v>0</v>
          </cell>
          <cell r="HZ11">
            <v>0</v>
          </cell>
          <cell r="IA11">
            <v>0</v>
          </cell>
          <cell r="IB11">
            <v>0</v>
          </cell>
          <cell r="IC11">
            <v>0</v>
          </cell>
          <cell r="ID11">
            <v>0</v>
          </cell>
          <cell r="IE11">
            <v>0</v>
          </cell>
          <cell r="IF11">
            <v>0</v>
          </cell>
          <cell r="IG11">
            <v>0</v>
          </cell>
          <cell r="IH11">
            <v>0</v>
          </cell>
          <cell r="II11">
            <v>0</v>
          </cell>
          <cell r="IJ11">
            <v>0</v>
          </cell>
          <cell r="IK11">
            <v>0</v>
          </cell>
          <cell r="IL11">
            <v>0</v>
          </cell>
          <cell r="IM11">
            <v>0</v>
          </cell>
          <cell r="IN11">
            <v>0</v>
          </cell>
          <cell r="IO11">
            <v>0</v>
          </cell>
          <cell r="IP11">
            <v>0</v>
          </cell>
          <cell r="IQ11">
            <v>0</v>
          </cell>
          <cell r="IR11">
            <v>0</v>
          </cell>
          <cell r="IS11">
            <v>0</v>
          </cell>
          <cell r="IT11">
            <v>0</v>
          </cell>
          <cell r="IU11">
            <v>0</v>
          </cell>
          <cell r="IV11">
            <v>0</v>
          </cell>
          <cell r="IW11">
            <v>0</v>
          </cell>
          <cell r="IX11">
            <v>0</v>
          </cell>
          <cell r="IY11">
            <v>0</v>
          </cell>
          <cell r="IZ11">
            <v>0</v>
          </cell>
          <cell r="JA11">
            <v>0</v>
          </cell>
          <cell r="JB11">
            <v>0</v>
          </cell>
          <cell r="JC11">
            <v>0</v>
          </cell>
          <cell r="JD11">
            <v>0</v>
          </cell>
          <cell r="JE11">
            <v>0</v>
          </cell>
          <cell r="JF11">
            <v>0</v>
          </cell>
          <cell r="JG11">
            <v>0</v>
          </cell>
          <cell r="JH11">
            <v>0</v>
          </cell>
          <cell r="JI11">
            <v>0</v>
          </cell>
          <cell r="JJ11">
            <v>0</v>
          </cell>
          <cell r="JK11">
            <v>0</v>
          </cell>
          <cell r="JL11">
            <v>0</v>
          </cell>
          <cell r="JM11">
            <v>0</v>
          </cell>
          <cell r="JN11">
            <v>0</v>
          </cell>
          <cell r="JO11">
            <v>0</v>
          </cell>
          <cell r="JP11">
            <v>0</v>
          </cell>
          <cell r="JQ11">
            <v>0</v>
          </cell>
          <cell r="JR11">
            <v>0</v>
          </cell>
          <cell r="JS11">
            <v>0</v>
          </cell>
          <cell r="JT11">
            <v>0</v>
          </cell>
          <cell r="JU11">
            <v>0</v>
          </cell>
          <cell r="JV11">
            <v>0</v>
          </cell>
          <cell r="JW11">
            <v>0</v>
          </cell>
          <cell r="JX11">
            <v>0</v>
          </cell>
          <cell r="JY11">
            <v>0</v>
          </cell>
          <cell r="JZ11">
            <v>0</v>
          </cell>
          <cell r="KA11">
            <v>0</v>
          </cell>
          <cell r="KB11">
            <v>0</v>
          </cell>
          <cell r="KC11">
            <v>0</v>
          </cell>
          <cell r="KD11">
            <v>0</v>
          </cell>
          <cell r="KE11">
            <v>0</v>
          </cell>
          <cell r="KF11">
            <v>0</v>
          </cell>
          <cell r="KG11">
            <v>0</v>
          </cell>
          <cell r="KH11">
            <v>0</v>
          </cell>
          <cell r="KI11">
            <v>0</v>
          </cell>
          <cell r="KJ11">
            <v>0</v>
          </cell>
          <cell r="KK11">
            <v>0</v>
          </cell>
          <cell r="KL11">
            <v>0</v>
          </cell>
          <cell r="KM11">
            <v>0</v>
          </cell>
          <cell r="KN11">
            <v>0</v>
          </cell>
          <cell r="KO11">
            <v>0</v>
          </cell>
          <cell r="KP11">
            <v>0</v>
          </cell>
          <cell r="KQ11">
            <v>0</v>
          </cell>
          <cell r="KR11">
            <v>0</v>
          </cell>
          <cell r="KS11">
            <v>0</v>
          </cell>
          <cell r="KT11">
            <v>0</v>
          </cell>
          <cell r="KU11">
            <v>0</v>
          </cell>
          <cell r="KV11">
            <v>0</v>
          </cell>
          <cell r="KW11">
            <v>0</v>
          </cell>
          <cell r="KX11">
            <v>0</v>
          </cell>
          <cell r="KY11">
            <v>0</v>
          </cell>
          <cell r="KZ11">
            <v>0</v>
          </cell>
          <cell r="LA11">
            <v>0</v>
          </cell>
          <cell r="LB11">
            <v>0</v>
          </cell>
          <cell r="LC11">
            <v>0</v>
          </cell>
          <cell r="LD11">
            <v>0</v>
          </cell>
          <cell r="LE11">
            <v>0</v>
          </cell>
          <cell r="LF11">
            <v>0</v>
          </cell>
          <cell r="LG11">
            <v>0</v>
          </cell>
          <cell r="LH11">
            <v>0</v>
          </cell>
          <cell r="LI11">
            <v>0</v>
          </cell>
          <cell r="LJ11">
            <v>0</v>
          </cell>
          <cell r="LK11">
            <v>0</v>
          </cell>
          <cell r="LL11">
            <v>0</v>
          </cell>
          <cell r="LM11">
            <v>0</v>
          </cell>
          <cell r="LN11">
            <v>0</v>
          </cell>
          <cell r="LO11">
            <v>0</v>
          </cell>
          <cell r="LP11">
            <v>0</v>
          </cell>
          <cell r="LQ11">
            <v>0</v>
          </cell>
          <cell r="LR11">
            <v>0</v>
          </cell>
          <cell r="LS11">
            <v>0</v>
          </cell>
          <cell r="LT11">
            <v>0</v>
          </cell>
          <cell r="LU11">
            <v>0</v>
          </cell>
          <cell r="LV11">
            <v>0</v>
          </cell>
          <cell r="LW11">
            <v>0</v>
          </cell>
          <cell r="LX11">
            <v>0</v>
          </cell>
          <cell r="LY11">
            <v>0</v>
          </cell>
          <cell r="LZ11">
            <v>0</v>
          </cell>
          <cell r="MA11">
            <v>0</v>
          </cell>
          <cell r="MB11">
            <v>0</v>
          </cell>
          <cell r="MC11">
            <v>0</v>
          </cell>
          <cell r="MD11">
            <v>0</v>
          </cell>
          <cell r="ME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  <cell r="CC12">
            <v>0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>
            <v>0</v>
          </cell>
          <cell r="CO12">
            <v>0</v>
          </cell>
          <cell r="CP12">
            <v>0</v>
          </cell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0</v>
          </cell>
          <cell r="DJ12">
            <v>0</v>
          </cell>
          <cell r="DK12">
            <v>0</v>
          </cell>
          <cell r="DL12">
            <v>0</v>
          </cell>
          <cell r="DM12">
            <v>0</v>
          </cell>
          <cell r="DN12">
            <v>0</v>
          </cell>
          <cell r="DO12">
            <v>0</v>
          </cell>
          <cell r="DP12">
            <v>0</v>
          </cell>
          <cell r="DQ12">
            <v>0</v>
          </cell>
          <cell r="DR12">
            <v>0</v>
          </cell>
          <cell r="DS12">
            <v>0</v>
          </cell>
          <cell r="DT12">
            <v>0</v>
          </cell>
          <cell r="DU12">
            <v>0</v>
          </cell>
          <cell r="DV12">
            <v>0</v>
          </cell>
          <cell r="DW12">
            <v>0</v>
          </cell>
          <cell r="DX12">
            <v>0</v>
          </cell>
          <cell r="DY12">
            <v>0</v>
          </cell>
          <cell r="DZ12">
            <v>0</v>
          </cell>
          <cell r="EA12">
            <v>0</v>
          </cell>
          <cell r="EB12">
            <v>0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0</v>
          </cell>
          <cell r="EL12">
            <v>0</v>
          </cell>
          <cell r="EM12">
            <v>0</v>
          </cell>
          <cell r="EN12">
            <v>0</v>
          </cell>
          <cell r="EO12">
            <v>0</v>
          </cell>
          <cell r="EP12">
            <v>0</v>
          </cell>
          <cell r="EQ12">
            <v>0</v>
          </cell>
          <cell r="ER12">
            <v>0</v>
          </cell>
          <cell r="ES12">
            <v>0</v>
          </cell>
          <cell r="ET12">
            <v>0</v>
          </cell>
          <cell r="EU12">
            <v>0</v>
          </cell>
          <cell r="EV12">
            <v>0</v>
          </cell>
          <cell r="EW12">
            <v>0</v>
          </cell>
          <cell r="EX12">
            <v>0</v>
          </cell>
          <cell r="EY12">
            <v>0</v>
          </cell>
          <cell r="EZ12">
            <v>0</v>
          </cell>
          <cell r="FA12">
            <v>0</v>
          </cell>
          <cell r="FB12">
            <v>0</v>
          </cell>
          <cell r="FC12">
            <v>0</v>
          </cell>
          <cell r="FD12">
            <v>0</v>
          </cell>
          <cell r="FE12">
            <v>0</v>
          </cell>
          <cell r="FF12">
            <v>0</v>
          </cell>
          <cell r="FG12">
            <v>0</v>
          </cell>
          <cell r="FH12">
            <v>0</v>
          </cell>
          <cell r="FI12">
            <v>0</v>
          </cell>
          <cell r="FJ12">
            <v>0</v>
          </cell>
          <cell r="FK12">
            <v>0</v>
          </cell>
          <cell r="FL12">
            <v>0</v>
          </cell>
          <cell r="FM12">
            <v>0</v>
          </cell>
          <cell r="FN12">
            <v>0</v>
          </cell>
          <cell r="FO12">
            <v>0</v>
          </cell>
          <cell r="FP12">
            <v>0</v>
          </cell>
          <cell r="FQ12">
            <v>0</v>
          </cell>
          <cell r="FR12">
            <v>0</v>
          </cell>
          <cell r="FS12">
            <v>0</v>
          </cell>
          <cell r="FT12">
            <v>0</v>
          </cell>
          <cell r="FU12">
            <v>0</v>
          </cell>
          <cell r="FV12">
            <v>0</v>
          </cell>
          <cell r="FW12">
            <v>0</v>
          </cell>
          <cell r="FX12">
            <v>0</v>
          </cell>
          <cell r="FY12">
            <v>0</v>
          </cell>
          <cell r="FZ12">
            <v>0</v>
          </cell>
          <cell r="GA12">
            <v>0</v>
          </cell>
          <cell r="GB12">
            <v>0</v>
          </cell>
          <cell r="GC12">
            <v>0</v>
          </cell>
          <cell r="GD12">
            <v>0</v>
          </cell>
          <cell r="GE12">
            <v>0</v>
          </cell>
          <cell r="GF12">
            <v>0</v>
          </cell>
          <cell r="GG12">
            <v>0</v>
          </cell>
          <cell r="GH12">
            <v>0</v>
          </cell>
          <cell r="GI12">
            <v>0</v>
          </cell>
          <cell r="GJ12">
            <v>0</v>
          </cell>
          <cell r="GK12">
            <v>0</v>
          </cell>
          <cell r="GL12">
            <v>0</v>
          </cell>
          <cell r="GM12">
            <v>0</v>
          </cell>
          <cell r="GN12">
            <v>0</v>
          </cell>
          <cell r="GO12">
            <v>0</v>
          </cell>
          <cell r="GP12">
            <v>0</v>
          </cell>
          <cell r="GQ12">
            <v>0</v>
          </cell>
          <cell r="GR12">
            <v>0</v>
          </cell>
          <cell r="GS12">
            <v>0</v>
          </cell>
          <cell r="GT12">
            <v>0</v>
          </cell>
          <cell r="GU12">
            <v>0</v>
          </cell>
          <cell r="GV12">
            <v>0</v>
          </cell>
          <cell r="GW12">
            <v>0</v>
          </cell>
          <cell r="GX12">
            <v>0</v>
          </cell>
          <cell r="GY12">
            <v>0</v>
          </cell>
          <cell r="GZ12">
            <v>0</v>
          </cell>
          <cell r="HA12">
            <v>0</v>
          </cell>
          <cell r="HB12">
            <v>0</v>
          </cell>
          <cell r="HC12">
            <v>0</v>
          </cell>
          <cell r="HD12">
            <v>0</v>
          </cell>
          <cell r="HE12">
            <v>0</v>
          </cell>
          <cell r="HF12">
            <v>0</v>
          </cell>
          <cell r="HG12">
            <v>0</v>
          </cell>
          <cell r="HH12">
            <v>0</v>
          </cell>
          <cell r="HI12">
            <v>0</v>
          </cell>
          <cell r="HJ12">
            <v>0</v>
          </cell>
          <cell r="HK12">
            <v>0</v>
          </cell>
          <cell r="HL12">
            <v>0</v>
          </cell>
          <cell r="HM12">
            <v>0</v>
          </cell>
          <cell r="HN12">
            <v>0</v>
          </cell>
          <cell r="HO12">
            <v>0</v>
          </cell>
          <cell r="HP12">
            <v>0</v>
          </cell>
          <cell r="HQ12">
            <v>0</v>
          </cell>
          <cell r="HR12">
            <v>0</v>
          </cell>
          <cell r="HS12">
            <v>0</v>
          </cell>
          <cell r="HT12">
            <v>0</v>
          </cell>
          <cell r="HU12">
            <v>0</v>
          </cell>
          <cell r="HV12">
            <v>0</v>
          </cell>
          <cell r="HW12">
            <v>0</v>
          </cell>
          <cell r="HX12">
            <v>0</v>
          </cell>
          <cell r="HY12">
            <v>0</v>
          </cell>
          <cell r="HZ12">
            <v>0</v>
          </cell>
          <cell r="IA12">
            <v>0</v>
          </cell>
          <cell r="IB12">
            <v>0</v>
          </cell>
          <cell r="IC12">
            <v>0</v>
          </cell>
          <cell r="ID12">
            <v>0</v>
          </cell>
          <cell r="IE12">
            <v>0</v>
          </cell>
          <cell r="IF12">
            <v>0</v>
          </cell>
          <cell r="IG12">
            <v>0</v>
          </cell>
          <cell r="IH12">
            <v>0</v>
          </cell>
          <cell r="II12">
            <v>0</v>
          </cell>
          <cell r="IJ12">
            <v>0</v>
          </cell>
          <cell r="IK12">
            <v>0</v>
          </cell>
          <cell r="IL12">
            <v>0</v>
          </cell>
          <cell r="IM12">
            <v>0</v>
          </cell>
          <cell r="IN12">
            <v>0</v>
          </cell>
          <cell r="IO12">
            <v>0</v>
          </cell>
          <cell r="IP12">
            <v>0</v>
          </cell>
          <cell r="IQ12">
            <v>0</v>
          </cell>
          <cell r="IR12">
            <v>0</v>
          </cell>
          <cell r="IS12">
            <v>0</v>
          </cell>
          <cell r="IT12">
            <v>0</v>
          </cell>
          <cell r="IU12">
            <v>0</v>
          </cell>
          <cell r="IV12">
            <v>0</v>
          </cell>
          <cell r="IW12">
            <v>0</v>
          </cell>
          <cell r="IX12">
            <v>0</v>
          </cell>
          <cell r="IY12">
            <v>0</v>
          </cell>
          <cell r="IZ12">
            <v>0</v>
          </cell>
          <cell r="JA12">
            <v>0</v>
          </cell>
          <cell r="JB12">
            <v>0</v>
          </cell>
          <cell r="JC12">
            <v>0</v>
          </cell>
          <cell r="JD12">
            <v>0</v>
          </cell>
          <cell r="JE12">
            <v>0</v>
          </cell>
          <cell r="JF12">
            <v>0</v>
          </cell>
          <cell r="JG12">
            <v>0</v>
          </cell>
          <cell r="JH12">
            <v>0</v>
          </cell>
          <cell r="JI12">
            <v>0</v>
          </cell>
          <cell r="JJ12">
            <v>0</v>
          </cell>
          <cell r="JK12">
            <v>0</v>
          </cell>
          <cell r="JL12">
            <v>0</v>
          </cell>
          <cell r="JM12">
            <v>0</v>
          </cell>
          <cell r="JN12">
            <v>0</v>
          </cell>
          <cell r="JO12">
            <v>0</v>
          </cell>
          <cell r="JP12">
            <v>0</v>
          </cell>
          <cell r="JQ12">
            <v>0</v>
          </cell>
          <cell r="JR12">
            <v>0</v>
          </cell>
          <cell r="JS12">
            <v>0</v>
          </cell>
          <cell r="JT12">
            <v>0</v>
          </cell>
          <cell r="JU12">
            <v>0</v>
          </cell>
          <cell r="JV12">
            <v>0</v>
          </cell>
          <cell r="JW12">
            <v>0</v>
          </cell>
          <cell r="JX12">
            <v>0</v>
          </cell>
          <cell r="JY12">
            <v>0</v>
          </cell>
          <cell r="JZ12">
            <v>0</v>
          </cell>
          <cell r="KA12">
            <v>0</v>
          </cell>
          <cell r="KB12">
            <v>0</v>
          </cell>
          <cell r="KC12">
            <v>0</v>
          </cell>
          <cell r="KD12">
            <v>0</v>
          </cell>
          <cell r="KE12">
            <v>0</v>
          </cell>
          <cell r="KF12">
            <v>0</v>
          </cell>
          <cell r="KG12">
            <v>0</v>
          </cell>
          <cell r="KH12">
            <v>0</v>
          </cell>
          <cell r="KI12">
            <v>0</v>
          </cell>
          <cell r="KJ12">
            <v>0</v>
          </cell>
          <cell r="KK12">
            <v>0</v>
          </cell>
          <cell r="KL12">
            <v>0</v>
          </cell>
          <cell r="KM12">
            <v>0</v>
          </cell>
          <cell r="KN12">
            <v>0</v>
          </cell>
          <cell r="KO12">
            <v>0</v>
          </cell>
          <cell r="KP12">
            <v>0</v>
          </cell>
          <cell r="KQ12">
            <v>0</v>
          </cell>
          <cell r="KR12">
            <v>0</v>
          </cell>
          <cell r="KS12">
            <v>0</v>
          </cell>
          <cell r="KT12">
            <v>0</v>
          </cell>
          <cell r="KU12">
            <v>0</v>
          </cell>
          <cell r="KV12">
            <v>0</v>
          </cell>
          <cell r="KW12">
            <v>0</v>
          </cell>
          <cell r="KX12">
            <v>0</v>
          </cell>
          <cell r="KY12">
            <v>0</v>
          </cell>
          <cell r="KZ12">
            <v>0</v>
          </cell>
          <cell r="LA12">
            <v>0</v>
          </cell>
          <cell r="LB12">
            <v>0</v>
          </cell>
          <cell r="LC12">
            <v>0</v>
          </cell>
          <cell r="LD12">
            <v>0</v>
          </cell>
          <cell r="LE12">
            <v>0</v>
          </cell>
          <cell r="LF12">
            <v>0</v>
          </cell>
          <cell r="LG12">
            <v>0</v>
          </cell>
          <cell r="LH12">
            <v>0</v>
          </cell>
          <cell r="LI12">
            <v>0</v>
          </cell>
          <cell r="LJ12">
            <v>0</v>
          </cell>
          <cell r="LK12">
            <v>0</v>
          </cell>
          <cell r="LL12">
            <v>0</v>
          </cell>
          <cell r="LM12">
            <v>0</v>
          </cell>
          <cell r="LN12">
            <v>0</v>
          </cell>
          <cell r="LO12">
            <v>0</v>
          </cell>
          <cell r="LP12">
            <v>0</v>
          </cell>
          <cell r="LQ12">
            <v>0</v>
          </cell>
          <cell r="LR12">
            <v>0</v>
          </cell>
          <cell r="LS12">
            <v>0</v>
          </cell>
          <cell r="LT12">
            <v>0</v>
          </cell>
          <cell r="LU12">
            <v>0</v>
          </cell>
          <cell r="LV12">
            <v>0</v>
          </cell>
          <cell r="LW12">
            <v>0</v>
          </cell>
          <cell r="LX12">
            <v>0</v>
          </cell>
          <cell r="LY12">
            <v>0</v>
          </cell>
          <cell r="LZ12">
            <v>0</v>
          </cell>
          <cell r="MA12">
            <v>0</v>
          </cell>
          <cell r="MB12">
            <v>0</v>
          </cell>
          <cell r="MC12">
            <v>0</v>
          </cell>
          <cell r="MD12">
            <v>0</v>
          </cell>
          <cell r="ME12">
            <v>0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CC13">
            <v>0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P13">
            <v>0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I13">
            <v>0</v>
          </cell>
          <cell r="DJ13">
            <v>0</v>
          </cell>
          <cell r="DK13">
            <v>0</v>
          </cell>
          <cell r="DL13">
            <v>0</v>
          </cell>
          <cell r="DM13">
            <v>0</v>
          </cell>
          <cell r="DN13">
            <v>0</v>
          </cell>
          <cell r="DO13">
            <v>0</v>
          </cell>
          <cell r="DP13">
            <v>0</v>
          </cell>
          <cell r="DQ13">
            <v>0</v>
          </cell>
          <cell r="DR13">
            <v>0</v>
          </cell>
          <cell r="DS13">
            <v>0</v>
          </cell>
          <cell r="DT13">
            <v>0</v>
          </cell>
          <cell r="DU13">
            <v>0</v>
          </cell>
          <cell r="DV13">
            <v>0</v>
          </cell>
          <cell r="DW13">
            <v>0</v>
          </cell>
          <cell r="DX13">
            <v>0</v>
          </cell>
          <cell r="DY13">
            <v>0</v>
          </cell>
          <cell r="DZ13">
            <v>0</v>
          </cell>
          <cell r="EA13">
            <v>0</v>
          </cell>
          <cell r="EB13">
            <v>0</v>
          </cell>
          <cell r="EC13">
            <v>0</v>
          </cell>
          <cell r="ED13">
            <v>0</v>
          </cell>
          <cell r="EE13">
            <v>0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</v>
          </cell>
          <cell r="EM13">
            <v>0</v>
          </cell>
          <cell r="EN13">
            <v>0</v>
          </cell>
          <cell r="EO13">
            <v>0</v>
          </cell>
          <cell r="EP13">
            <v>0</v>
          </cell>
          <cell r="EQ13">
            <v>0</v>
          </cell>
          <cell r="ER13">
            <v>0</v>
          </cell>
          <cell r="ES13">
            <v>0</v>
          </cell>
          <cell r="ET13">
            <v>0</v>
          </cell>
          <cell r="EU13">
            <v>0</v>
          </cell>
          <cell r="EV13">
            <v>0</v>
          </cell>
          <cell r="EW13">
            <v>0</v>
          </cell>
          <cell r="EX13">
            <v>0</v>
          </cell>
          <cell r="EY13">
            <v>0</v>
          </cell>
          <cell r="EZ13">
            <v>0</v>
          </cell>
          <cell r="FA13">
            <v>0</v>
          </cell>
          <cell r="FB13">
            <v>0</v>
          </cell>
          <cell r="FC13">
            <v>0</v>
          </cell>
          <cell r="FD13">
            <v>0</v>
          </cell>
          <cell r="FE13">
            <v>0</v>
          </cell>
          <cell r="FF13">
            <v>0</v>
          </cell>
          <cell r="FG13">
            <v>0</v>
          </cell>
          <cell r="FH13">
            <v>0</v>
          </cell>
          <cell r="FI13">
            <v>0</v>
          </cell>
          <cell r="FJ13">
            <v>0</v>
          </cell>
          <cell r="FK13">
            <v>0</v>
          </cell>
          <cell r="FL13">
            <v>0</v>
          </cell>
          <cell r="FM13">
            <v>0</v>
          </cell>
          <cell r="FN13">
            <v>0</v>
          </cell>
          <cell r="FO13">
            <v>0</v>
          </cell>
          <cell r="FP13">
            <v>0</v>
          </cell>
          <cell r="FQ13">
            <v>0</v>
          </cell>
          <cell r="FR13">
            <v>0</v>
          </cell>
          <cell r="FS13">
            <v>0</v>
          </cell>
          <cell r="FT13">
            <v>0</v>
          </cell>
          <cell r="FU13">
            <v>0</v>
          </cell>
          <cell r="FV13">
            <v>0</v>
          </cell>
          <cell r="FW13">
            <v>0</v>
          </cell>
          <cell r="FX13">
            <v>0</v>
          </cell>
          <cell r="FY13">
            <v>0</v>
          </cell>
          <cell r="FZ13">
            <v>0</v>
          </cell>
          <cell r="GA13">
            <v>0</v>
          </cell>
          <cell r="GB13">
            <v>0</v>
          </cell>
          <cell r="GC13">
            <v>0</v>
          </cell>
          <cell r="GD13">
            <v>0</v>
          </cell>
          <cell r="GE13">
            <v>0</v>
          </cell>
          <cell r="GF13">
            <v>0</v>
          </cell>
          <cell r="GG13">
            <v>0</v>
          </cell>
          <cell r="GH13">
            <v>0</v>
          </cell>
          <cell r="GI13">
            <v>0</v>
          </cell>
          <cell r="GJ13">
            <v>0</v>
          </cell>
          <cell r="GK13">
            <v>0</v>
          </cell>
          <cell r="GL13">
            <v>0</v>
          </cell>
          <cell r="GM13">
            <v>0</v>
          </cell>
          <cell r="GN13">
            <v>0</v>
          </cell>
          <cell r="GO13">
            <v>0</v>
          </cell>
          <cell r="GP13">
            <v>0</v>
          </cell>
          <cell r="GQ13">
            <v>0</v>
          </cell>
          <cell r="GR13">
            <v>0</v>
          </cell>
          <cell r="GS13">
            <v>0</v>
          </cell>
          <cell r="GT13">
            <v>0</v>
          </cell>
          <cell r="GU13">
            <v>0</v>
          </cell>
          <cell r="GV13">
            <v>0</v>
          </cell>
          <cell r="GW13">
            <v>0</v>
          </cell>
          <cell r="GX13">
            <v>0</v>
          </cell>
          <cell r="GY13">
            <v>0</v>
          </cell>
          <cell r="GZ13">
            <v>0</v>
          </cell>
          <cell r="HA13">
            <v>0</v>
          </cell>
          <cell r="HB13">
            <v>0</v>
          </cell>
          <cell r="HC13">
            <v>0</v>
          </cell>
          <cell r="HD13">
            <v>0</v>
          </cell>
          <cell r="HE13">
            <v>0</v>
          </cell>
          <cell r="HF13">
            <v>0</v>
          </cell>
          <cell r="HG13">
            <v>0</v>
          </cell>
          <cell r="HH13">
            <v>0</v>
          </cell>
          <cell r="HI13">
            <v>0</v>
          </cell>
          <cell r="HJ13">
            <v>0</v>
          </cell>
          <cell r="HK13">
            <v>0</v>
          </cell>
          <cell r="HL13">
            <v>0</v>
          </cell>
          <cell r="HM13">
            <v>0</v>
          </cell>
          <cell r="HN13">
            <v>0</v>
          </cell>
          <cell r="HO13">
            <v>0</v>
          </cell>
          <cell r="HP13">
            <v>0</v>
          </cell>
          <cell r="HQ13">
            <v>0</v>
          </cell>
          <cell r="HR13">
            <v>0</v>
          </cell>
          <cell r="HS13">
            <v>0</v>
          </cell>
          <cell r="HT13">
            <v>0</v>
          </cell>
          <cell r="HU13">
            <v>0</v>
          </cell>
          <cell r="HV13">
            <v>0</v>
          </cell>
          <cell r="HW13">
            <v>0</v>
          </cell>
          <cell r="HX13">
            <v>0</v>
          </cell>
          <cell r="HY13">
            <v>0</v>
          </cell>
          <cell r="HZ13">
            <v>0</v>
          </cell>
          <cell r="IA13">
            <v>0</v>
          </cell>
          <cell r="IB13">
            <v>0</v>
          </cell>
          <cell r="IC13">
            <v>0</v>
          </cell>
          <cell r="ID13">
            <v>0</v>
          </cell>
          <cell r="IE13">
            <v>0</v>
          </cell>
          <cell r="IF13">
            <v>0</v>
          </cell>
          <cell r="IG13">
            <v>0</v>
          </cell>
          <cell r="IH13">
            <v>0</v>
          </cell>
          <cell r="II13">
            <v>0</v>
          </cell>
          <cell r="IJ13">
            <v>0</v>
          </cell>
          <cell r="IK13">
            <v>0</v>
          </cell>
          <cell r="IL13">
            <v>0</v>
          </cell>
          <cell r="IM13">
            <v>0</v>
          </cell>
          <cell r="IN13">
            <v>0</v>
          </cell>
          <cell r="IO13">
            <v>0</v>
          </cell>
          <cell r="IP13">
            <v>0</v>
          </cell>
          <cell r="IQ13">
            <v>0</v>
          </cell>
          <cell r="IR13">
            <v>0</v>
          </cell>
          <cell r="IS13">
            <v>0</v>
          </cell>
          <cell r="IT13">
            <v>0</v>
          </cell>
          <cell r="IU13">
            <v>0</v>
          </cell>
          <cell r="IV13">
            <v>0</v>
          </cell>
          <cell r="IW13">
            <v>0</v>
          </cell>
          <cell r="IX13">
            <v>0</v>
          </cell>
          <cell r="IY13">
            <v>0</v>
          </cell>
          <cell r="IZ13">
            <v>0</v>
          </cell>
          <cell r="JA13">
            <v>0</v>
          </cell>
          <cell r="JB13">
            <v>0</v>
          </cell>
          <cell r="JC13">
            <v>0</v>
          </cell>
          <cell r="JD13">
            <v>0</v>
          </cell>
          <cell r="JE13">
            <v>0</v>
          </cell>
          <cell r="JF13">
            <v>0</v>
          </cell>
          <cell r="JG13">
            <v>0</v>
          </cell>
          <cell r="JH13">
            <v>0</v>
          </cell>
          <cell r="JI13">
            <v>0</v>
          </cell>
          <cell r="JJ13">
            <v>0</v>
          </cell>
          <cell r="JK13">
            <v>0</v>
          </cell>
          <cell r="JL13">
            <v>0</v>
          </cell>
          <cell r="JM13">
            <v>0</v>
          </cell>
          <cell r="JN13">
            <v>0</v>
          </cell>
          <cell r="JO13">
            <v>0</v>
          </cell>
          <cell r="JP13">
            <v>0</v>
          </cell>
          <cell r="JQ13">
            <v>0</v>
          </cell>
          <cell r="JR13">
            <v>0</v>
          </cell>
          <cell r="JS13">
            <v>0</v>
          </cell>
          <cell r="JT13">
            <v>0</v>
          </cell>
          <cell r="JU13">
            <v>0</v>
          </cell>
          <cell r="JV13">
            <v>0</v>
          </cell>
          <cell r="JW13">
            <v>0</v>
          </cell>
          <cell r="JX13">
            <v>0</v>
          </cell>
          <cell r="JY13">
            <v>0</v>
          </cell>
          <cell r="JZ13">
            <v>0</v>
          </cell>
          <cell r="KA13">
            <v>0</v>
          </cell>
          <cell r="KB13">
            <v>0</v>
          </cell>
          <cell r="KC13">
            <v>0</v>
          </cell>
          <cell r="KD13">
            <v>0</v>
          </cell>
          <cell r="KE13">
            <v>0</v>
          </cell>
          <cell r="KF13">
            <v>0</v>
          </cell>
          <cell r="KG13">
            <v>0</v>
          </cell>
          <cell r="KH13">
            <v>0</v>
          </cell>
          <cell r="KI13">
            <v>0</v>
          </cell>
          <cell r="KJ13">
            <v>0</v>
          </cell>
          <cell r="KK13">
            <v>0</v>
          </cell>
          <cell r="KL13">
            <v>0</v>
          </cell>
          <cell r="KM13">
            <v>0</v>
          </cell>
          <cell r="KN13">
            <v>0</v>
          </cell>
          <cell r="KO13">
            <v>0</v>
          </cell>
          <cell r="KP13">
            <v>0</v>
          </cell>
          <cell r="KQ13">
            <v>0</v>
          </cell>
          <cell r="KR13">
            <v>0</v>
          </cell>
          <cell r="KS13">
            <v>0</v>
          </cell>
          <cell r="KT13">
            <v>0</v>
          </cell>
          <cell r="KU13">
            <v>0</v>
          </cell>
          <cell r="KV13">
            <v>0</v>
          </cell>
          <cell r="KW13">
            <v>0</v>
          </cell>
          <cell r="KX13">
            <v>0</v>
          </cell>
          <cell r="KY13">
            <v>0</v>
          </cell>
          <cell r="KZ13">
            <v>0</v>
          </cell>
          <cell r="LA13">
            <v>0</v>
          </cell>
          <cell r="LB13">
            <v>0</v>
          </cell>
          <cell r="LC13">
            <v>0</v>
          </cell>
          <cell r="LD13">
            <v>0</v>
          </cell>
          <cell r="LE13">
            <v>0</v>
          </cell>
          <cell r="LF13">
            <v>0</v>
          </cell>
          <cell r="LG13">
            <v>0</v>
          </cell>
          <cell r="LH13">
            <v>0</v>
          </cell>
          <cell r="LI13">
            <v>0</v>
          </cell>
          <cell r="LJ13">
            <v>0</v>
          </cell>
          <cell r="LK13">
            <v>0</v>
          </cell>
          <cell r="LL13">
            <v>0</v>
          </cell>
          <cell r="LM13">
            <v>0</v>
          </cell>
          <cell r="LN13">
            <v>0</v>
          </cell>
          <cell r="LO13">
            <v>0</v>
          </cell>
          <cell r="LP13">
            <v>0</v>
          </cell>
          <cell r="LQ13">
            <v>0</v>
          </cell>
          <cell r="LR13">
            <v>0</v>
          </cell>
          <cell r="LS13">
            <v>0</v>
          </cell>
          <cell r="LT13">
            <v>0</v>
          </cell>
          <cell r="LU13">
            <v>0</v>
          </cell>
          <cell r="LV13">
            <v>0</v>
          </cell>
          <cell r="LW13">
            <v>0</v>
          </cell>
          <cell r="LX13">
            <v>0</v>
          </cell>
          <cell r="LY13">
            <v>0</v>
          </cell>
          <cell r="LZ13">
            <v>0</v>
          </cell>
          <cell r="MA13">
            <v>0</v>
          </cell>
          <cell r="MB13">
            <v>0</v>
          </cell>
          <cell r="MC13">
            <v>0</v>
          </cell>
          <cell r="MD13">
            <v>0</v>
          </cell>
          <cell r="ME13">
            <v>0</v>
          </cell>
        </row>
        <row r="14"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  <cell r="CC14">
            <v>0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I14">
            <v>0</v>
          </cell>
          <cell r="DJ14">
            <v>0</v>
          </cell>
          <cell r="DK14">
            <v>0</v>
          </cell>
          <cell r="DL14">
            <v>0</v>
          </cell>
          <cell r="DM14">
            <v>0</v>
          </cell>
          <cell r="DN14">
            <v>0</v>
          </cell>
          <cell r="DO14">
            <v>0</v>
          </cell>
          <cell r="DP14">
            <v>0</v>
          </cell>
          <cell r="DQ14">
            <v>0</v>
          </cell>
          <cell r="DR14">
            <v>0</v>
          </cell>
          <cell r="DS14">
            <v>0</v>
          </cell>
          <cell r="DT14">
            <v>0</v>
          </cell>
          <cell r="DU14">
            <v>0</v>
          </cell>
          <cell r="DV14">
            <v>0</v>
          </cell>
          <cell r="DW14">
            <v>0</v>
          </cell>
          <cell r="DX14">
            <v>0</v>
          </cell>
          <cell r="DY14">
            <v>0</v>
          </cell>
          <cell r="DZ14">
            <v>0</v>
          </cell>
          <cell r="EA14">
            <v>0</v>
          </cell>
          <cell r="EB14">
            <v>0</v>
          </cell>
          <cell r="EC14">
            <v>0</v>
          </cell>
          <cell r="ED14">
            <v>0</v>
          </cell>
          <cell r="EE14">
            <v>0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0</v>
          </cell>
          <cell r="EK14">
            <v>0</v>
          </cell>
          <cell r="EL14">
            <v>0</v>
          </cell>
          <cell r="EM14">
            <v>0</v>
          </cell>
          <cell r="EN14">
            <v>0</v>
          </cell>
          <cell r="EO14">
            <v>0</v>
          </cell>
          <cell r="EP14">
            <v>0</v>
          </cell>
          <cell r="EQ14">
            <v>0</v>
          </cell>
          <cell r="ER14">
            <v>0</v>
          </cell>
          <cell r="ES14">
            <v>0</v>
          </cell>
          <cell r="ET14">
            <v>0</v>
          </cell>
          <cell r="EU14">
            <v>0</v>
          </cell>
          <cell r="EV14">
            <v>0</v>
          </cell>
          <cell r="EW14">
            <v>0</v>
          </cell>
          <cell r="EX14">
            <v>0</v>
          </cell>
          <cell r="EY14">
            <v>0</v>
          </cell>
          <cell r="EZ14">
            <v>0</v>
          </cell>
          <cell r="FA14">
            <v>0</v>
          </cell>
          <cell r="FB14">
            <v>0</v>
          </cell>
          <cell r="FC14">
            <v>0</v>
          </cell>
          <cell r="FD14">
            <v>0</v>
          </cell>
          <cell r="FE14">
            <v>0</v>
          </cell>
          <cell r="FF14">
            <v>0</v>
          </cell>
          <cell r="FG14">
            <v>0</v>
          </cell>
          <cell r="FH14">
            <v>0</v>
          </cell>
          <cell r="FI14">
            <v>0</v>
          </cell>
          <cell r="FJ14">
            <v>0</v>
          </cell>
          <cell r="FK14">
            <v>0</v>
          </cell>
          <cell r="FL14">
            <v>0</v>
          </cell>
          <cell r="FM14">
            <v>0</v>
          </cell>
          <cell r="FN14">
            <v>0</v>
          </cell>
          <cell r="FO14">
            <v>0</v>
          </cell>
          <cell r="FP14">
            <v>0</v>
          </cell>
          <cell r="FQ14">
            <v>0</v>
          </cell>
          <cell r="FR14">
            <v>0</v>
          </cell>
          <cell r="FS14">
            <v>0</v>
          </cell>
          <cell r="FT14">
            <v>0</v>
          </cell>
          <cell r="FU14">
            <v>0</v>
          </cell>
          <cell r="FV14">
            <v>0</v>
          </cell>
          <cell r="FW14">
            <v>0</v>
          </cell>
          <cell r="FX14">
            <v>0</v>
          </cell>
          <cell r="FY14">
            <v>0</v>
          </cell>
          <cell r="FZ14">
            <v>0</v>
          </cell>
          <cell r="GA14">
            <v>0</v>
          </cell>
          <cell r="GB14">
            <v>0</v>
          </cell>
          <cell r="GC14">
            <v>0</v>
          </cell>
          <cell r="GD14">
            <v>0</v>
          </cell>
          <cell r="GE14">
            <v>0</v>
          </cell>
          <cell r="GF14">
            <v>0</v>
          </cell>
          <cell r="GG14">
            <v>0</v>
          </cell>
          <cell r="GH14">
            <v>0</v>
          </cell>
          <cell r="GI14">
            <v>0</v>
          </cell>
          <cell r="GJ14">
            <v>0</v>
          </cell>
          <cell r="GK14">
            <v>0</v>
          </cell>
          <cell r="GL14">
            <v>0</v>
          </cell>
          <cell r="GM14">
            <v>0</v>
          </cell>
          <cell r="GN14">
            <v>0</v>
          </cell>
          <cell r="GO14">
            <v>0</v>
          </cell>
          <cell r="GP14">
            <v>0</v>
          </cell>
          <cell r="GQ14">
            <v>0</v>
          </cell>
          <cell r="GR14">
            <v>0</v>
          </cell>
          <cell r="GS14">
            <v>0</v>
          </cell>
          <cell r="GT14">
            <v>0</v>
          </cell>
          <cell r="GU14">
            <v>0</v>
          </cell>
          <cell r="GV14">
            <v>0</v>
          </cell>
          <cell r="GW14">
            <v>0</v>
          </cell>
          <cell r="GX14">
            <v>0</v>
          </cell>
          <cell r="GY14">
            <v>0</v>
          </cell>
          <cell r="GZ14">
            <v>0</v>
          </cell>
          <cell r="HA14">
            <v>0</v>
          </cell>
          <cell r="HB14">
            <v>0</v>
          </cell>
          <cell r="HC14">
            <v>0</v>
          </cell>
          <cell r="HD14">
            <v>0</v>
          </cell>
          <cell r="HE14">
            <v>0</v>
          </cell>
          <cell r="HF14">
            <v>0</v>
          </cell>
          <cell r="HG14">
            <v>0</v>
          </cell>
          <cell r="HH14">
            <v>0</v>
          </cell>
          <cell r="HI14">
            <v>0</v>
          </cell>
          <cell r="HJ14">
            <v>0</v>
          </cell>
          <cell r="HK14">
            <v>0</v>
          </cell>
          <cell r="HL14">
            <v>0</v>
          </cell>
          <cell r="HM14">
            <v>0</v>
          </cell>
          <cell r="HN14">
            <v>0</v>
          </cell>
          <cell r="HO14">
            <v>0</v>
          </cell>
          <cell r="HP14">
            <v>0</v>
          </cell>
          <cell r="HQ14">
            <v>0</v>
          </cell>
          <cell r="HR14">
            <v>0</v>
          </cell>
          <cell r="HS14">
            <v>0</v>
          </cell>
          <cell r="HT14">
            <v>0</v>
          </cell>
          <cell r="HU14">
            <v>0</v>
          </cell>
          <cell r="HV14">
            <v>0</v>
          </cell>
          <cell r="HW14">
            <v>0</v>
          </cell>
          <cell r="HX14">
            <v>0</v>
          </cell>
          <cell r="HY14">
            <v>0</v>
          </cell>
          <cell r="HZ14">
            <v>0</v>
          </cell>
          <cell r="IA14">
            <v>0</v>
          </cell>
          <cell r="IB14">
            <v>0</v>
          </cell>
          <cell r="IC14">
            <v>0</v>
          </cell>
          <cell r="ID14">
            <v>0</v>
          </cell>
          <cell r="IE14">
            <v>0</v>
          </cell>
          <cell r="IF14">
            <v>0</v>
          </cell>
          <cell r="IG14">
            <v>0</v>
          </cell>
          <cell r="IH14">
            <v>0</v>
          </cell>
          <cell r="II14">
            <v>0</v>
          </cell>
          <cell r="IJ14">
            <v>0</v>
          </cell>
          <cell r="IK14">
            <v>0</v>
          </cell>
          <cell r="IL14">
            <v>0</v>
          </cell>
          <cell r="IM14">
            <v>0</v>
          </cell>
          <cell r="IN14">
            <v>0</v>
          </cell>
          <cell r="IO14">
            <v>0</v>
          </cell>
          <cell r="IP14">
            <v>0</v>
          </cell>
          <cell r="IQ14">
            <v>0</v>
          </cell>
          <cell r="IR14">
            <v>0</v>
          </cell>
          <cell r="IS14">
            <v>0</v>
          </cell>
          <cell r="IT14">
            <v>0</v>
          </cell>
          <cell r="IU14">
            <v>0</v>
          </cell>
          <cell r="IV14">
            <v>0</v>
          </cell>
          <cell r="IW14">
            <v>0</v>
          </cell>
          <cell r="IX14">
            <v>0</v>
          </cell>
          <cell r="IY14">
            <v>0</v>
          </cell>
          <cell r="IZ14">
            <v>0</v>
          </cell>
          <cell r="JA14">
            <v>0</v>
          </cell>
          <cell r="JB14">
            <v>0</v>
          </cell>
          <cell r="JC14">
            <v>0</v>
          </cell>
          <cell r="JD14">
            <v>0</v>
          </cell>
          <cell r="JE14">
            <v>0</v>
          </cell>
          <cell r="JF14">
            <v>0</v>
          </cell>
          <cell r="JG14">
            <v>0</v>
          </cell>
          <cell r="JH14">
            <v>0</v>
          </cell>
          <cell r="JI14">
            <v>0</v>
          </cell>
          <cell r="JJ14">
            <v>0</v>
          </cell>
          <cell r="JK14">
            <v>0</v>
          </cell>
          <cell r="JL14">
            <v>0</v>
          </cell>
          <cell r="JM14">
            <v>0</v>
          </cell>
          <cell r="JN14">
            <v>0</v>
          </cell>
          <cell r="JO14">
            <v>0</v>
          </cell>
          <cell r="JP14">
            <v>0</v>
          </cell>
          <cell r="JQ14">
            <v>0</v>
          </cell>
          <cell r="JR14">
            <v>0</v>
          </cell>
          <cell r="JS14">
            <v>0</v>
          </cell>
          <cell r="JT14">
            <v>0</v>
          </cell>
          <cell r="JU14">
            <v>0</v>
          </cell>
          <cell r="JV14">
            <v>0</v>
          </cell>
          <cell r="JW14">
            <v>0</v>
          </cell>
          <cell r="JX14">
            <v>0</v>
          </cell>
          <cell r="JY14">
            <v>0</v>
          </cell>
          <cell r="JZ14">
            <v>0</v>
          </cell>
          <cell r="KA14">
            <v>0</v>
          </cell>
          <cell r="KB14">
            <v>0</v>
          </cell>
          <cell r="KC14">
            <v>0</v>
          </cell>
          <cell r="KD14">
            <v>0</v>
          </cell>
          <cell r="KE14">
            <v>0</v>
          </cell>
          <cell r="KF14">
            <v>0</v>
          </cell>
          <cell r="KG14">
            <v>0</v>
          </cell>
          <cell r="KH14">
            <v>0</v>
          </cell>
          <cell r="KI14">
            <v>0</v>
          </cell>
          <cell r="KJ14">
            <v>0</v>
          </cell>
          <cell r="KK14">
            <v>0</v>
          </cell>
          <cell r="KL14">
            <v>0</v>
          </cell>
          <cell r="KM14">
            <v>0</v>
          </cell>
          <cell r="KN14">
            <v>0</v>
          </cell>
          <cell r="KO14">
            <v>0</v>
          </cell>
          <cell r="KP14">
            <v>0</v>
          </cell>
          <cell r="KQ14">
            <v>0</v>
          </cell>
          <cell r="KR14">
            <v>0</v>
          </cell>
          <cell r="KS14">
            <v>0</v>
          </cell>
          <cell r="KT14">
            <v>0</v>
          </cell>
          <cell r="KU14">
            <v>0</v>
          </cell>
          <cell r="KV14">
            <v>0</v>
          </cell>
          <cell r="KW14">
            <v>0</v>
          </cell>
          <cell r="KX14">
            <v>0</v>
          </cell>
          <cell r="KY14">
            <v>0</v>
          </cell>
          <cell r="KZ14">
            <v>0</v>
          </cell>
          <cell r="LA14">
            <v>0</v>
          </cell>
          <cell r="LB14">
            <v>0</v>
          </cell>
          <cell r="LC14">
            <v>0</v>
          </cell>
          <cell r="LD14">
            <v>0</v>
          </cell>
          <cell r="LE14">
            <v>0</v>
          </cell>
          <cell r="LF14">
            <v>0</v>
          </cell>
          <cell r="LG14">
            <v>0</v>
          </cell>
          <cell r="LH14">
            <v>0</v>
          </cell>
          <cell r="LI14">
            <v>0</v>
          </cell>
          <cell r="LJ14">
            <v>0</v>
          </cell>
          <cell r="LK14">
            <v>0</v>
          </cell>
          <cell r="LL14">
            <v>0</v>
          </cell>
          <cell r="LM14">
            <v>0</v>
          </cell>
          <cell r="LN14">
            <v>0</v>
          </cell>
          <cell r="LO14">
            <v>0</v>
          </cell>
          <cell r="LP14">
            <v>0</v>
          </cell>
          <cell r="LQ14">
            <v>0</v>
          </cell>
          <cell r="LR14">
            <v>0</v>
          </cell>
          <cell r="LS14">
            <v>0</v>
          </cell>
          <cell r="LT14">
            <v>0</v>
          </cell>
          <cell r="LU14">
            <v>0</v>
          </cell>
          <cell r="LV14">
            <v>0</v>
          </cell>
          <cell r="LW14">
            <v>0</v>
          </cell>
          <cell r="LX14">
            <v>0</v>
          </cell>
          <cell r="LY14">
            <v>0</v>
          </cell>
          <cell r="LZ14">
            <v>0</v>
          </cell>
          <cell r="MA14">
            <v>0</v>
          </cell>
          <cell r="MB14">
            <v>0</v>
          </cell>
          <cell r="MC14">
            <v>0</v>
          </cell>
          <cell r="MD14">
            <v>0</v>
          </cell>
          <cell r="ME14">
            <v>0</v>
          </cell>
        </row>
        <row r="15"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C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L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Q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V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A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K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P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U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EZ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E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J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O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T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Y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D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I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N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S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X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C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H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M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R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W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B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G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L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Q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V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A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F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K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P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U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JZ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E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J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O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T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Y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D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I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N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S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X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C15">
            <v>0</v>
          </cell>
          <cell r="MD15">
            <v>0</v>
          </cell>
          <cell r="ME15">
            <v>0</v>
          </cell>
        </row>
        <row r="16"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>
            <v>0</v>
          </cell>
          <cell r="CO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I16">
            <v>0</v>
          </cell>
          <cell r="DJ16">
            <v>0</v>
          </cell>
          <cell r="DK16">
            <v>0</v>
          </cell>
          <cell r="DL16">
            <v>0</v>
          </cell>
          <cell r="DM16">
            <v>0</v>
          </cell>
          <cell r="DN16">
            <v>0</v>
          </cell>
          <cell r="DO16">
            <v>0</v>
          </cell>
          <cell r="DP16">
            <v>0</v>
          </cell>
          <cell r="DQ16">
            <v>0</v>
          </cell>
          <cell r="DR16">
            <v>0</v>
          </cell>
          <cell r="DS16">
            <v>0</v>
          </cell>
          <cell r="DT16">
            <v>0</v>
          </cell>
          <cell r="DU16">
            <v>0</v>
          </cell>
          <cell r="DV16">
            <v>0</v>
          </cell>
          <cell r="DW16">
            <v>0</v>
          </cell>
          <cell r="DX16">
            <v>0</v>
          </cell>
          <cell r="DY16">
            <v>0</v>
          </cell>
          <cell r="DZ16">
            <v>0</v>
          </cell>
          <cell r="EA16">
            <v>0</v>
          </cell>
          <cell r="EB16">
            <v>0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0</v>
          </cell>
          <cell r="EK16">
            <v>0</v>
          </cell>
          <cell r="EL16">
            <v>0</v>
          </cell>
          <cell r="EM16">
            <v>0</v>
          </cell>
          <cell r="EN16">
            <v>0</v>
          </cell>
          <cell r="EO16">
            <v>0</v>
          </cell>
          <cell r="EP16">
            <v>0</v>
          </cell>
          <cell r="EQ16">
            <v>0</v>
          </cell>
          <cell r="ER16">
            <v>0</v>
          </cell>
          <cell r="ES16">
            <v>0</v>
          </cell>
          <cell r="ET16">
            <v>0</v>
          </cell>
          <cell r="EU16">
            <v>0</v>
          </cell>
          <cell r="EV16">
            <v>0</v>
          </cell>
          <cell r="EW16">
            <v>0</v>
          </cell>
          <cell r="EX16">
            <v>0</v>
          </cell>
          <cell r="EY16">
            <v>0</v>
          </cell>
          <cell r="EZ16">
            <v>0</v>
          </cell>
          <cell r="FA16">
            <v>0</v>
          </cell>
          <cell r="FB16">
            <v>0</v>
          </cell>
          <cell r="FC16">
            <v>0</v>
          </cell>
          <cell r="FD16">
            <v>0</v>
          </cell>
          <cell r="FE16">
            <v>0</v>
          </cell>
          <cell r="FF16">
            <v>0</v>
          </cell>
          <cell r="FG16">
            <v>0</v>
          </cell>
          <cell r="FH16">
            <v>0</v>
          </cell>
          <cell r="FI16">
            <v>0</v>
          </cell>
          <cell r="FJ16">
            <v>0</v>
          </cell>
          <cell r="FK16">
            <v>0</v>
          </cell>
          <cell r="FL16">
            <v>0</v>
          </cell>
          <cell r="FM16">
            <v>0</v>
          </cell>
          <cell r="FN16">
            <v>0</v>
          </cell>
          <cell r="FO16">
            <v>0</v>
          </cell>
          <cell r="FP16">
            <v>0</v>
          </cell>
          <cell r="FQ16">
            <v>0</v>
          </cell>
          <cell r="FR16">
            <v>0</v>
          </cell>
          <cell r="FS16">
            <v>0</v>
          </cell>
          <cell r="FT16">
            <v>0</v>
          </cell>
          <cell r="FU16">
            <v>0</v>
          </cell>
          <cell r="FV16">
            <v>0</v>
          </cell>
          <cell r="FW16">
            <v>0</v>
          </cell>
          <cell r="FX16">
            <v>0</v>
          </cell>
          <cell r="FY16">
            <v>0</v>
          </cell>
          <cell r="FZ16">
            <v>0</v>
          </cell>
          <cell r="GA16">
            <v>0</v>
          </cell>
          <cell r="GB16">
            <v>0</v>
          </cell>
          <cell r="GC16">
            <v>0</v>
          </cell>
          <cell r="GD16">
            <v>0</v>
          </cell>
          <cell r="GE16">
            <v>0</v>
          </cell>
          <cell r="GF16">
            <v>0</v>
          </cell>
          <cell r="GG16">
            <v>0</v>
          </cell>
          <cell r="GH16">
            <v>0</v>
          </cell>
          <cell r="GI16">
            <v>0</v>
          </cell>
          <cell r="GJ16">
            <v>0</v>
          </cell>
          <cell r="GK16">
            <v>0</v>
          </cell>
          <cell r="GL16">
            <v>0</v>
          </cell>
          <cell r="GM16">
            <v>0</v>
          </cell>
          <cell r="GN16">
            <v>0</v>
          </cell>
          <cell r="GO16">
            <v>0</v>
          </cell>
          <cell r="GP16">
            <v>0</v>
          </cell>
          <cell r="GQ16">
            <v>0</v>
          </cell>
          <cell r="GR16">
            <v>0</v>
          </cell>
          <cell r="GS16">
            <v>0</v>
          </cell>
          <cell r="GT16">
            <v>0</v>
          </cell>
          <cell r="GU16">
            <v>0</v>
          </cell>
          <cell r="GV16">
            <v>0</v>
          </cell>
          <cell r="GW16">
            <v>0</v>
          </cell>
          <cell r="GX16">
            <v>0</v>
          </cell>
          <cell r="GY16">
            <v>0</v>
          </cell>
          <cell r="GZ16">
            <v>0</v>
          </cell>
          <cell r="HA16">
            <v>0</v>
          </cell>
          <cell r="HB16">
            <v>0</v>
          </cell>
          <cell r="HC16">
            <v>0</v>
          </cell>
          <cell r="HD16">
            <v>0</v>
          </cell>
          <cell r="HE16">
            <v>0</v>
          </cell>
          <cell r="HF16">
            <v>0</v>
          </cell>
          <cell r="HG16">
            <v>0</v>
          </cell>
          <cell r="HH16">
            <v>0</v>
          </cell>
          <cell r="HI16">
            <v>0</v>
          </cell>
          <cell r="HJ16">
            <v>0</v>
          </cell>
          <cell r="HK16">
            <v>0</v>
          </cell>
          <cell r="HL16">
            <v>0</v>
          </cell>
          <cell r="HM16">
            <v>0</v>
          </cell>
          <cell r="HN16">
            <v>0</v>
          </cell>
          <cell r="HO16">
            <v>0</v>
          </cell>
          <cell r="HP16">
            <v>0</v>
          </cell>
          <cell r="HQ16">
            <v>0</v>
          </cell>
          <cell r="HR16">
            <v>0</v>
          </cell>
          <cell r="HS16">
            <v>0</v>
          </cell>
          <cell r="HT16">
            <v>0</v>
          </cell>
          <cell r="HU16">
            <v>0</v>
          </cell>
          <cell r="HV16">
            <v>0</v>
          </cell>
          <cell r="HW16">
            <v>0</v>
          </cell>
          <cell r="HX16">
            <v>0</v>
          </cell>
          <cell r="HY16">
            <v>0</v>
          </cell>
          <cell r="HZ16">
            <v>0</v>
          </cell>
          <cell r="IA16">
            <v>0</v>
          </cell>
          <cell r="IB16">
            <v>0</v>
          </cell>
          <cell r="IC16">
            <v>0</v>
          </cell>
          <cell r="ID16">
            <v>0</v>
          </cell>
          <cell r="IE16">
            <v>0</v>
          </cell>
          <cell r="IF16">
            <v>0</v>
          </cell>
          <cell r="IG16">
            <v>0</v>
          </cell>
          <cell r="IH16">
            <v>0</v>
          </cell>
          <cell r="II16">
            <v>0</v>
          </cell>
          <cell r="IJ16">
            <v>0</v>
          </cell>
          <cell r="IK16">
            <v>0</v>
          </cell>
          <cell r="IL16">
            <v>0</v>
          </cell>
          <cell r="IM16">
            <v>0</v>
          </cell>
          <cell r="IN16">
            <v>0</v>
          </cell>
          <cell r="IO16">
            <v>0</v>
          </cell>
          <cell r="IP16">
            <v>0</v>
          </cell>
          <cell r="IQ16">
            <v>0</v>
          </cell>
          <cell r="IR16">
            <v>0</v>
          </cell>
          <cell r="IS16">
            <v>0</v>
          </cell>
          <cell r="IT16">
            <v>0</v>
          </cell>
          <cell r="IU16">
            <v>0</v>
          </cell>
          <cell r="IV16">
            <v>0</v>
          </cell>
          <cell r="IW16">
            <v>0</v>
          </cell>
          <cell r="IX16">
            <v>0</v>
          </cell>
          <cell r="IY16">
            <v>0</v>
          </cell>
          <cell r="IZ16">
            <v>0</v>
          </cell>
          <cell r="JA16">
            <v>0</v>
          </cell>
          <cell r="JB16">
            <v>0</v>
          </cell>
          <cell r="JC16">
            <v>0</v>
          </cell>
          <cell r="JD16">
            <v>0</v>
          </cell>
          <cell r="JE16">
            <v>0</v>
          </cell>
          <cell r="JF16">
            <v>0</v>
          </cell>
          <cell r="JG16">
            <v>0</v>
          </cell>
          <cell r="JH16">
            <v>0</v>
          </cell>
          <cell r="JI16">
            <v>0</v>
          </cell>
          <cell r="JJ16">
            <v>0</v>
          </cell>
          <cell r="JK16">
            <v>0</v>
          </cell>
          <cell r="JL16">
            <v>0</v>
          </cell>
          <cell r="JM16">
            <v>0</v>
          </cell>
          <cell r="JN16">
            <v>0</v>
          </cell>
          <cell r="JO16">
            <v>0</v>
          </cell>
          <cell r="JP16">
            <v>0</v>
          </cell>
          <cell r="JQ16">
            <v>0</v>
          </cell>
          <cell r="JR16">
            <v>0</v>
          </cell>
          <cell r="JS16">
            <v>0</v>
          </cell>
          <cell r="JT16">
            <v>0</v>
          </cell>
          <cell r="JU16">
            <v>0</v>
          </cell>
          <cell r="JV16">
            <v>0</v>
          </cell>
          <cell r="JW16">
            <v>0</v>
          </cell>
          <cell r="JX16">
            <v>0</v>
          </cell>
          <cell r="JY16">
            <v>0</v>
          </cell>
          <cell r="JZ16">
            <v>0</v>
          </cell>
          <cell r="KA16">
            <v>0</v>
          </cell>
          <cell r="KB16">
            <v>0</v>
          </cell>
          <cell r="KC16">
            <v>0</v>
          </cell>
          <cell r="KD16">
            <v>0</v>
          </cell>
          <cell r="KE16">
            <v>0</v>
          </cell>
          <cell r="KF16">
            <v>0</v>
          </cell>
          <cell r="KG16">
            <v>0</v>
          </cell>
          <cell r="KH16">
            <v>0</v>
          </cell>
          <cell r="KI16">
            <v>0</v>
          </cell>
          <cell r="KJ16">
            <v>0</v>
          </cell>
          <cell r="KK16">
            <v>0</v>
          </cell>
          <cell r="KL16">
            <v>0</v>
          </cell>
          <cell r="KM16">
            <v>0</v>
          </cell>
          <cell r="KN16">
            <v>0</v>
          </cell>
          <cell r="KO16">
            <v>0</v>
          </cell>
          <cell r="KP16">
            <v>0</v>
          </cell>
          <cell r="KQ16">
            <v>0</v>
          </cell>
          <cell r="KR16">
            <v>0</v>
          </cell>
          <cell r="KS16">
            <v>0</v>
          </cell>
          <cell r="KT16">
            <v>0</v>
          </cell>
          <cell r="KU16">
            <v>0</v>
          </cell>
          <cell r="KV16">
            <v>0</v>
          </cell>
          <cell r="KW16">
            <v>0</v>
          </cell>
          <cell r="KX16">
            <v>0</v>
          </cell>
          <cell r="KY16">
            <v>0</v>
          </cell>
          <cell r="KZ16">
            <v>0</v>
          </cell>
          <cell r="LA16">
            <v>0</v>
          </cell>
          <cell r="LB16">
            <v>0</v>
          </cell>
          <cell r="LC16">
            <v>0</v>
          </cell>
          <cell r="LD16">
            <v>0</v>
          </cell>
          <cell r="LE16">
            <v>0</v>
          </cell>
          <cell r="LF16">
            <v>0</v>
          </cell>
          <cell r="LG16">
            <v>0</v>
          </cell>
          <cell r="LH16">
            <v>0</v>
          </cell>
          <cell r="LI16">
            <v>0</v>
          </cell>
          <cell r="LJ16">
            <v>0</v>
          </cell>
          <cell r="LK16">
            <v>0</v>
          </cell>
          <cell r="LL16">
            <v>0</v>
          </cell>
          <cell r="LM16">
            <v>0</v>
          </cell>
          <cell r="LN16">
            <v>0</v>
          </cell>
          <cell r="LO16">
            <v>0</v>
          </cell>
          <cell r="LP16">
            <v>0</v>
          </cell>
          <cell r="LQ16">
            <v>0</v>
          </cell>
          <cell r="LR16">
            <v>0</v>
          </cell>
          <cell r="LS16">
            <v>0</v>
          </cell>
          <cell r="LT16">
            <v>0</v>
          </cell>
          <cell r="LU16">
            <v>0</v>
          </cell>
          <cell r="LV16">
            <v>0</v>
          </cell>
          <cell r="LW16">
            <v>0</v>
          </cell>
          <cell r="LX16">
            <v>0</v>
          </cell>
          <cell r="LY16">
            <v>0</v>
          </cell>
          <cell r="LZ16">
            <v>0</v>
          </cell>
          <cell r="MA16">
            <v>0</v>
          </cell>
          <cell r="MB16">
            <v>0</v>
          </cell>
          <cell r="MC16">
            <v>0</v>
          </cell>
          <cell r="MD16">
            <v>0</v>
          </cell>
          <cell r="ME16">
            <v>0</v>
          </cell>
        </row>
        <row r="17"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  <cell r="CM17">
            <v>0</v>
          </cell>
          <cell r="CN17">
            <v>0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I17">
            <v>0</v>
          </cell>
          <cell r="DJ17">
            <v>0</v>
          </cell>
          <cell r="DK17">
            <v>0</v>
          </cell>
          <cell r="DL17">
            <v>0</v>
          </cell>
          <cell r="DM17">
            <v>0</v>
          </cell>
          <cell r="DN17">
            <v>0</v>
          </cell>
          <cell r="DO17">
            <v>0</v>
          </cell>
          <cell r="DP17">
            <v>0</v>
          </cell>
          <cell r="DQ17">
            <v>0</v>
          </cell>
          <cell r="DR17">
            <v>0</v>
          </cell>
          <cell r="DS17">
            <v>0</v>
          </cell>
          <cell r="DT17">
            <v>0</v>
          </cell>
          <cell r="DU17">
            <v>0</v>
          </cell>
          <cell r="DV17">
            <v>0</v>
          </cell>
          <cell r="DW17">
            <v>0</v>
          </cell>
          <cell r="DX17">
            <v>0</v>
          </cell>
          <cell r="DY17">
            <v>0</v>
          </cell>
          <cell r="DZ17">
            <v>0</v>
          </cell>
          <cell r="EA17">
            <v>0</v>
          </cell>
          <cell r="EB17">
            <v>0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0</v>
          </cell>
          <cell r="EK17">
            <v>0</v>
          </cell>
          <cell r="EL17">
            <v>0</v>
          </cell>
          <cell r="EM17">
            <v>0</v>
          </cell>
          <cell r="EN17">
            <v>0</v>
          </cell>
          <cell r="EO17">
            <v>0</v>
          </cell>
          <cell r="EP17">
            <v>0</v>
          </cell>
          <cell r="EQ17">
            <v>0</v>
          </cell>
          <cell r="ER17">
            <v>0</v>
          </cell>
          <cell r="ES17">
            <v>0</v>
          </cell>
          <cell r="ET17">
            <v>0</v>
          </cell>
          <cell r="EU17">
            <v>0</v>
          </cell>
          <cell r="EV17">
            <v>0</v>
          </cell>
          <cell r="EW17">
            <v>0</v>
          </cell>
          <cell r="EX17">
            <v>0</v>
          </cell>
          <cell r="EY17">
            <v>0</v>
          </cell>
          <cell r="EZ17">
            <v>0</v>
          </cell>
          <cell r="FA17">
            <v>0</v>
          </cell>
          <cell r="FB17">
            <v>0</v>
          </cell>
          <cell r="FC17">
            <v>0</v>
          </cell>
          <cell r="FD17">
            <v>0</v>
          </cell>
          <cell r="FE17">
            <v>0</v>
          </cell>
          <cell r="FF17">
            <v>0</v>
          </cell>
          <cell r="FG17">
            <v>0</v>
          </cell>
          <cell r="FH17">
            <v>0</v>
          </cell>
          <cell r="FI17">
            <v>0</v>
          </cell>
          <cell r="FJ17">
            <v>0</v>
          </cell>
          <cell r="FK17">
            <v>0</v>
          </cell>
          <cell r="FL17">
            <v>0</v>
          </cell>
          <cell r="FM17">
            <v>0</v>
          </cell>
          <cell r="FN17">
            <v>0</v>
          </cell>
          <cell r="FO17">
            <v>0</v>
          </cell>
          <cell r="FP17">
            <v>0</v>
          </cell>
          <cell r="FQ17">
            <v>0</v>
          </cell>
          <cell r="FR17">
            <v>0</v>
          </cell>
          <cell r="FS17">
            <v>0</v>
          </cell>
          <cell r="FT17">
            <v>0</v>
          </cell>
          <cell r="FU17">
            <v>0</v>
          </cell>
          <cell r="FV17">
            <v>0</v>
          </cell>
          <cell r="FW17">
            <v>0</v>
          </cell>
          <cell r="FX17">
            <v>0</v>
          </cell>
          <cell r="FY17">
            <v>0</v>
          </cell>
          <cell r="FZ17">
            <v>0</v>
          </cell>
          <cell r="GA17">
            <v>0</v>
          </cell>
          <cell r="GB17">
            <v>0</v>
          </cell>
          <cell r="GC17">
            <v>0</v>
          </cell>
          <cell r="GD17">
            <v>0</v>
          </cell>
          <cell r="GE17">
            <v>0</v>
          </cell>
          <cell r="GF17">
            <v>0</v>
          </cell>
          <cell r="GG17">
            <v>0</v>
          </cell>
          <cell r="GH17">
            <v>0</v>
          </cell>
          <cell r="GI17">
            <v>0</v>
          </cell>
          <cell r="GJ17">
            <v>0</v>
          </cell>
          <cell r="GK17">
            <v>0</v>
          </cell>
          <cell r="GL17">
            <v>0</v>
          </cell>
          <cell r="GM17">
            <v>0</v>
          </cell>
          <cell r="GN17">
            <v>0</v>
          </cell>
          <cell r="GO17">
            <v>0</v>
          </cell>
          <cell r="GP17">
            <v>0</v>
          </cell>
          <cell r="GQ17">
            <v>0</v>
          </cell>
          <cell r="GR17">
            <v>0</v>
          </cell>
          <cell r="GS17">
            <v>0</v>
          </cell>
          <cell r="GT17">
            <v>0</v>
          </cell>
          <cell r="GU17">
            <v>0</v>
          </cell>
          <cell r="GV17">
            <v>0</v>
          </cell>
          <cell r="GW17">
            <v>0</v>
          </cell>
          <cell r="GX17">
            <v>0</v>
          </cell>
          <cell r="GY17">
            <v>0</v>
          </cell>
          <cell r="GZ17">
            <v>0</v>
          </cell>
          <cell r="HA17">
            <v>0</v>
          </cell>
          <cell r="HB17">
            <v>0</v>
          </cell>
          <cell r="HC17">
            <v>0</v>
          </cell>
          <cell r="HD17">
            <v>0</v>
          </cell>
          <cell r="HE17">
            <v>0</v>
          </cell>
          <cell r="HF17">
            <v>0</v>
          </cell>
          <cell r="HG17">
            <v>0</v>
          </cell>
          <cell r="HH17">
            <v>0</v>
          </cell>
          <cell r="HI17">
            <v>0</v>
          </cell>
          <cell r="HJ17">
            <v>0</v>
          </cell>
          <cell r="HK17">
            <v>0</v>
          </cell>
          <cell r="HL17">
            <v>0</v>
          </cell>
          <cell r="HM17">
            <v>0</v>
          </cell>
          <cell r="HN17">
            <v>0</v>
          </cell>
          <cell r="HO17">
            <v>0</v>
          </cell>
          <cell r="HP17">
            <v>0</v>
          </cell>
          <cell r="HQ17">
            <v>0</v>
          </cell>
          <cell r="HR17">
            <v>0</v>
          </cell>
          <cell r="HS17">
            <v>0</v>
          </cell>
          <cell r="HT17">
            <v>0</v>
          </cell>
          <cell r="HU17">
            <v>0</v>
          </cell>
          <cell r="HV17">
            <v>0</v>
          </cell>
          <cell r="HW17">
            <v>0</v>
          </cell>
          <cell r="HX17">
            <v>0</v>
          </cell>
          <cell r="HY17">
            <v>0</v>
          </cell>
          <cell r="HZ17">
            <v>0</v>
          </cell>
          <cell r="IA17">
            <v>0</v>
          </cell>
          <cell r="IB17">
            <v>0</v>
          </cell>
          <cell r="IC17">
            <v>0</v>
          </cell>
          <cell r="ID17">
            <v>0</v>
          </cell>
          <cell r="IE17">
            <v>0</v>
          </cell>
          <cell r="IF17">
            <v>0</v>
          </cell>
          <cell r="IG17">
            <v>0</v>
          </cell>
          <cell r="IH17">
            <v>0</v>
          </cell>
          <cell r="II17">
            <v>0</v>
          </cell>
          <cell r="IJ17">
            <v>0</v>
          </cell>
          <cell r="IK17">
            <v>0</v>
          </cell>
          <cell r="IL17">
            <v>0</v>
          </cell>
          <cell r="IM17">
            <v>0</v>
          </cell>
          <cell r="IN17">
            <v>0</v>
          </cell>
          <cell r="IO17">
            <v>0</v>
          </cell>
          <cell r="IP17">
            <v>0</v>
          </cell>
          <cell r="IQ17">
            <v>0</v>
          </cell>
          <cell r="IR17">
            <v>0</v>
          </cell>
          <cell r="IS17">
            <v>0</v>
          </cell>
          <cell r="IT17">
            <v>0</v>
          </cell>
          <cell r="IU17">
            <v>0</v>
          </cell>
          <cell r="IV17">
            <v>0</v>
          </cell>
          <cell r="IW17">
            <v>0</v>
          </cell>
          <cell r="IX17">
            <v>0</v>
          </cell>
          <cell r="IY17">
            <v>0</v>
          </cell>
          <cell r="IZ17">
            <v>0</v>
          </cell>
          <cell r="JA17">
            <v>0</v>
          </cell>
          <cell r="JB17">
            <v>0</v>
          </cell>
          <cell r="JC17">
            <v>0</v>
          </cell>
          <cell r="JD17">
            <v>0</v>
          </cell>
          <cell r="JE17">
            <v>0</v>
          </cell>
          <cell r="JF17">
            <v>0</v>
          </cell>
          <cell r="JG17">
            <v>0</v>
          </cell>
          <cell r="JH17">
            <v>0</v>
          </cell>
          <cell r="JI17">
            <v>0</v>
          </cell>
          <cell r="JJ17">
            <v>0</v>
          </cell>
          <cell r="JK17">
            <v>0</v>
          </cell>
          <cell r="JL17">
            <v>0</v>
          </cell>
          <cell r="JM17">
            <v>0</v>
          </cell>
          <cell r="JN17">
            <v>0</v>
          </cell>
          <cell r="JO17">
            <v>0</v>
          </cell>
          <cell r="JP17">
            <v>0</v>
          </cell>
          <cell r="JQ17">
            <v>0</v>
          </cell>
          <cell r="JR17">
            <v>0</v>
          </cell>
          <cell r="JS17">
            <v>0</v>
          </cell>
          <cell r="JT17">
            <v>0</v>
          </cell>
          <cell r="JU17">
            <v>0</v>
          </cell>
          <cell r="JV17">
            <v>0</v>
          </cell>
          <cell r="JW17">
            <v>0</v>
          </cell>
          <cell r="JX17">
            <v>0</v>
          </cell>
          <cell r="JY17">
            <v>0</v>
          </cell>
          <cell r="JZ17">
            <v>0</v>
          </cell>
          <cell r="KA17">
            <v>0</v>
          </cell>
          <cell r="KB17">
            <v>0</v>
          </cell>
          <cell r="KC17">
            <v>0</v>
          </cell>
          <cell r="KD17">
            <v>0</v>
          </cell>
          <cell r="KE17">
            <v>0</v>
          </cell>
          <cell r="KF17">
            <v>0</v>
          </cell>
          <cell r="KG17">
            <v>0</v>
          </cell>
          <cell r="KH17">
            <v>0</v>
          </cell>
          <cell r="KI17">
            <v>0</v>
          </cell>
          <cell r="KJ17">
            <v>0</v>
          </cell>
          <cell r="KK17">
            <v>0</v>
          </cell>
          <cell r="KL17">
            <v>0</v>
          </cell>
          <cell r="KM17">
            <v>0</v>
          </cell>
          <cell r="KN17">
            <v>0</v>
          </cell>
          <cell r="KO17">
            <v>0</v>
          </cell>
          <cell r="KP17">
            <v>0</v>
          </cell>
          <cell r="KQ17">
            <v>0</v>
          </cell>
          <cell r="KR17">
            <v>0</v>
          </cell>
          <cell r="KS17">
            <v>0</v>
          </cell>
          <cell r="KT17">
            <v>0</v>
          </cell>
          <cell r="KU17">
            <v>0</v>
          </cell>
          <cell r="KV17">
            <v>0</v>
          </cell>
          <cell r="KW17">
            <v>0</v>
          </cell>
          <cell r="KX17">
            <v>0</v>
          </cell>
          <cell r="KY17">
            <v>0</v>
          </cell>
          <cell r="KZ17">
            <v>0</v>
          </cell>
          <cell r="LA17">
            <v>0</v>
          </cell>
          <cell r="LB17">
            <v>0</v>
          </cell>
          <cell r="LC17">
            <v>0</v>
          </cell>
          <cell r="LD17">
            <v>0</v>
          </cell>
          <cell r="LE17">
            <v>0</v>
          </cell>
          <cell r="LF17">
            <v>0</v>
          </cell>
          <cell r="LG17">
            <v>0</v>
          </cell>
          <cell r="LH17">
            <v>0</v>
          </cell>
          <cell r="LI17">
            <v>0</v>
          </cell>
          <cell r="LJ17">
            <v>0</v>
          </cell>
          <cell r="LK17">
            <v>0</v>
          </cell>
          <cell r="LL17">
            <v>0</v>
          </cell>
          <cell r="LM17">
            <v>0</v>
          </cell>
          <cell r="LN17">
            <v>0</v>
          </cell>
          <cell r="LO17">
            <v>0</v>
          </cell>
          <cell r="LP17">
            <v>0</v>
          </cell>
          <cell r="LQ17">
            <v>0</v>
          </cell>
          <cell r="LR17">
            <v>0</v>
          </cell>
          <cell r="LS17">
            <v>0</v>
          </cell>
          <cell r="LT17">
            <v>0</v>
          </cell>
          <cell r="LU17">
            <v>0</v>
          </cell>
          <cell r="LV17">
            <v>0</v>
          </cell>
          <cell r="LW17">
            <v>0</v>
          </cell>
          <cell r="LX17">
            <v>0</v>
          </cell>
          <cell r="LY17">
            <v>0</v>
          </cell>
          <cell r="LZ17">
            <v>0</v>
          </cell>
          <cell r="MA17">
            <v>0</v>
          </cell>
          <cell r="MB17">
            <v>0</v>
          </cell>
          <cell r="MC17">
            <v>0</v>
          </cell>
          <cell r="MD17">
            <v>0</v>
          </cell>
          <cell r="ME17">
            <v>0</v>
          </cell>
        </row>
        <row r="18"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0</v>
          </cell>
          <cell r="EL18">
            <v>0</v>
          </cell>
          <cell r="EM18">
            <v>0</v>
          </cell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  <cell r="ES18">
            <v>0</v>
          </cell>
          <cell r="ET18">
            <v>0</v>
          </cell>
          <cell r="EU18">
            <v>0</v>
          </cell>
          <cell r="EV18">
            <v>0</v>
          </cell>
          <cell r="EW18">
            <v>0</v>
          </cell>
          <cell r="EX18">
            <v>0</v>
          </cell>
          <cell r="EY18">
            <v>0</v>
          </cell>
          <cell r="EZ18">
            <v>0</v>
          </cell>
          <cell r="FA18">
            <v>0</v>
          </cell>
          <cell r="FB18">
            <v>0</v>
          </cell>
          <cell r="FC18">
            <v>0</v>
          </cell>
          <cell r="FD18">
            <v>0</v>
          </cell>
          <cell r="FE18">
            <v>0</v>
          </cell>
          <cell r="FF18">
            <v>0</v>
          </cell>
          <cell r="FG18">
            <v>0</v>
          </cell>
          <cell r="FH18">
            <v>0</v>
          </cell>
          <cell r="FI18">
            <v>0</v>
          </cell>
          <cell r="FJ18">
            <v>0</v>
          </cell>
          <cell r="FK18">
            <v>0</v>
          </cell>
          <cell r="FL18">
            <v>0</v>
          </cell>
          <cell r="FM18">
            <v>0</v>
          </cell>
          <cell r="FN18">
            <v>0</v>
          </cell>
          <cell r="FO18">
            <v>0</v>
          </cell>
          <cell r="FP18">
            <v>0</v>
          </cell>
          <cell r="FQ18">
            <v>0</v>
          </cell>
          <cell r="FR18">
            <v>0</v>
          </cell>
          <cell r="FS18">
            <v>0</v>
          </cell>
          <cell r="FT18">
            <v>0</v>
          </cell>
          <cell r="FU18">
            <v>0</v>
          </cell>
          <cell r="FV18">
            <v>0</v>
          </cell>
          <cell r="FW18">
            <v>0</v>
          </cell>
          <cell r="FX18">
            <v>0</v>
          </cell>
          <cell r="FY18">
            <v>0</v>
          </cell>
          <cell r="FZ18">
            <v>0</v>
          </cell>
          <cell r="GA18">
            <v>0</v>
          </cell>
          <cell r="GB18">
            <v>0</v>
          </cell>
          <cell r="GC18">
            <v>0</v>
          </cell>
          <cell r="GD18">
            <v>0</v>
          </cell>
          <cell r="GE18">
            <v>0</v>
          </cell>
          <cell r="GF18">
            <v>0</v>
          </cell>
          <cell r="GG18">
            <v>0</v>
          </cell>
          <cell r="GH18">
            <v>0</v>
          </cell>
          <cell r="GI18">
            <v>0</v>
          </cell>
          <cell r="GJ18">
            <v>0</v>
          </cell>
          <cell r="GK18">
            <v>0</v>
          </cell>
          <cell r="GL18">
            <v>0</v>
          </cell>
          <cell r="GM18">
            <v>0</v>
          </cell>
          <cell r="GN18">
            <v>0</v>
          </cell>
          <cell r="GO18">
            <v>0</v>
          </cell>
          <cell r="GP18">
            <v>0</v>
          </cell>
          <cell r="GQ18">
            <v>0</v>
          </cell>
          <cell r="GR18">
            <v>0</v>
          </cell>
          <cell r="GS18">
            <v>0</v>
          </cell>
          <cell r="GT18">
            <v>0</v>
          </cell>
          <cell r="GU18">
            <v>0</v>
          </cell>
          <cell r="GV18">
            <v>0</v>
          </cell>
          <cell r="GW18">
            <v>0</v>
          </cell>
          <cell r="GX18">
            <v>0</v>
          </cell>
          <cell r="GY18">
            <v>0</v>
          </cell>
          <cell r="GZ18">
            <v>0</v>
          </cell>
          <cell r="HA18">
            <v>0</v>
          </cell>
          <cell r="HB18">
            <v>0</v>
          </cell>
          <cell r="HC18">
            <v>0</v>
          </cell>
          <cell r="HD18">
            <v>0</v>
          </cell>
          <cell r="HE18">
            <v>0</v>
          </cell>
          <cell r="HF18">
            <v>0</v>
          </cell>
          <cell r="HG18">
            <v>0</v>
          </cell>
          <cell r="HH18">
            <v>0</v>
          </cell>
          <cell r="HI18">
            <v>0</v>
          </cell>
          <cell r="HJ18">
            <v>0</v>
          </cell>
          <cell r="HK18">
            <v>0</v>
          </cell>
          <cell r="HL18">
            <v>0</v>
          </cell>
          <cell r="HM18">
            <v>0</v>
          </cell>
          <cell r="HN18">
            <v>0</v>
          </cell>
          <cell r="HO18">
            <v>0</v>
          </cell>
          <cell r="HP18">
            <v>0</v>
          </cell>
          <cell r="HQ18">
            <v>0</v>
          </cell>
          <cell r="HR18">
            <v>0</v>
          </cell>
          <cell r="HS18">
            <v>0</v>
          </cell>
          <cell r="HT18">
            <v>0</v>
          </cell>
          <cell r="HU18">
            <v>0</v>
          </cell>
          <cell r="HV18">
            <v>0</v>
          </cell>
          <cell r="HW18">
            <v>0</v>
          </cell>
          <cell r="HX18">
            <v>0</v>
          </cell>
          <cell r="HY18">
            <v>0</v>
          </cell>
          <cell r="HZ18">
            <v>0</v>
          </cell>
          <cell r="IA18">
            <v>0</v>
          </cell>
          <cell r="IB18">
            <v>0</v>
          </cell>
          <cell r="IC18">
            <v>0</v>
          </cell>
          <cell r="ID18">
            <v>0</v>
          </cell>
          <cell r="IE18">
            <v>0</v>
          </cell>
          <cell r="IF18">
            <v>0</v>
          </cell>
          <cell r="IG18">
            <v>0</v>
          </cell>
          <cell r="IH18">
            <v>0</v>
          </cell>
          <cell r="II18">
            <v>0</v>
          </cell>
          <cell r="IJ18">
            <v>0</v>
          </cell>
          <cell r="IK18">
            <v>0</v>
          </cell>
          <cell r="IL18">
            <v>0</v>
          </cell>
          <cell r="IM18">
            <v>0</v>
          </cell>
          <cell r="IN18">
            <v>0</v>
          </cell>
          <cell r="IO18">
            <v>0</v>
          </cell>
          <cell r="IP18">
            <v>0</v>
          </cell>
          <cell r="IQ18">
            <v>0</v>
          </cell>
          <cell r="IR18">
            <v>0</v>
          </cell>
          <cell r="IS18">
            <v>0</v>
          </cell>
          <cell r="IT18">
            <v>0</v>
          </cell>
          <cell r="IU18">
            <v>0</v>
          </cell>
          <cell r="IV18">
            <v>0</v>
          </cell>
          <cell r="IW18">
            <v>0</v>
          </cell>
          <cell r="IX18">
            <v>0</v>
          </cell>
          <cell r="IY18">
            <v>0</v>
          </cell>
          <cell r="IZ18">
            <v>0</v>
          </cell>
          <cell r="JA18">
            <v>0</v>
          </cell>
          <cell r="JB18">
            <v>0</v>
          </cell>
          <cell r="JC18">
            <v>0</v>
          </cell>
          <cell r="JD18">
            <v>0</v>
          </cell>
          <cell r="JE18">
            <v>0</v>
          </cell>
          <cell r="JF18">
            <v>0</v>
          </cell>
          <cell r="JG18">
            <v>0</v>
          </cell>
          <cell r="JH18">
            <v>0</v>
          </cell>
          <cell r="JI18">
            <v>0</v>
          </cell>
          <cell r="JJ18">
            <v>0</v>
          </cell>
          <cell r="JK18">
            <v>0</v>
          </cell>
          <cell r="JL18">
            <v>0</v>
          </cell>
          <cell r="JM18">
            <v>0</v>
          </cell>
          <cell r="JN18">
            <v>0</v>
          </cell>
          <cell r="JO18">
            <v>0</v>
          </cell>
          <cell r="JP18">
            <v>0</v>
          </cell>
          <cell r="JQ18">
            <v>0</v>
          </cell>
          <cell r="JR18">
            <v>0</v>
          </cell>
          <cell r="JS18">
            <v>0</v>
          </cell>
          <cell r="JT18">
            <v>0</v>
          </cell>
          <cell r="JU18">
            <v>0</v>
          </cell>
          <cell r="JV18">
            <v>0</v>
          </cell>
          <cell r="JW18">
            <v>0</v>
          </cell>
          <cell r="JX18">
            <v>0</v>
          </cell>
          <cell r="JY18">
            <v>0</v>
          </cell>
          <cell r="JZ18">
            <v>0</v>
          </cell>
          <cell r="KA18">
            <v>0</v>
          </cell>
          <cell r="KB18">
            <v>0</v>
          </cell>
          <cell r="KC18">
            <v>0</v>
          </cell>
          <cell r="KD18">
            <v>0</v>
          </cell>
          <cell r="KE18">
            <v>0</v>
          </cell>
          <cell r="KF18">
            <v>0</v>
          </cell>
          <cell r="KG18">
            <v>0</v>
          </cell>
          <cell r="KH18">
            <v>0</v>
          </cell>
          <cell r="KI18">
            <v>0</v>
          </cell>
          <cell r="KJ18">
            <v>0</v>
          </cell>
          <cell r="KK18">
            <v>0</v>
          </cell>
          <cell r="KL18">
            <v>0</v>
          </cell>
          <cell r="KM18">
            <v>0</v>
          </cell>
          <cell r="KN18">
            <v>0</v>
          </cell>
          <cell r="KO18">
            <v>0</v>
          </cell>
          <cell r="KP18">
            <v>0</v>
          </cell>
          <cell r="KQ18">
            <v>0</v>
          </cell>
          <cell r="KR18">
            <v>0</v>
          </cell>
          <cell r="KS18">
            <v>0</v>
          </cell>
          <cell r="KT18">
            <v>0</v>
          </cell>
          <cell r="KU18">
            <v>0</v>
          </cell>
          <cell r="KV18">
            <v>0</v>
          </cell>
          <cell r="KW18">
            <v>0</v>
          </cell>
          <cell r="KX18">
            <v>0</v>
          </cell>
          <cell r="KY18">
            <v>0</v>
          </cell>
          <cell r="KZ18">
            <v>0</v>
          </cell>
          <cell r="LA18">
            <v>0</v>
          </cell>
          <cell r="LB18">
            <v>0</v>
          </cell>
          <cell r="LC18">
            <v>0</v>
          </cell>
          <cell r="LD18">
            <v>0</v>
          </cell>
          <cell r="LE18">
            <v>0</v>
          </cell>
          <cell r="LF18">
            <v>0</v>
          </cell>
          <cell r="LG18">
            <v>0</v>
          </cell>
          <cell r="LH18">
            <v>0</v>
          </cell>
          <cell r="LI18">
            <v>0</v>
          </cell>
          <cell r="LJ18">
            <v>0</v>
          </cell>
          <cell r="LK18">
            <v>0</v>
          </cell>
          <cell r="LL18">
            <v>0</v>
          </cell>
          <cell r="LM18">
            <v>0</v>
          </cell>
          <cell r="LN18">
            <v>0</v>
          </cell>
          <cell r="LO18">
            <v>0</v>
          </cell>
          <cell r="LP18">
            <v>0</v>
          </cell>
          <cell r="LQ18">
            <v>0</v>
          </cell>
          <cell r="LR18">
            <v>0</v>
          </cell>
          <cell r="LS18">
            <v>0</v>
          </cell>
          <cell r="LT18">
            <v>0</v>
          </cell>
          <cell r="LU18">
            <v>0</v>
          </cell>
          <cell r="LV18">
            <v>0</v>
          </cell>
          <cell r="LW18">
            <v>0</v>
          </cell>
          <cell r="LX18">
            <v>0</v>
          </cell>
          <cell r="LY18">
            <v>0</v>
          </cell>
          <cell r="LZ18">
            <v>0</v>
          </cell>
          <cell r="MA18">
            <v>0</v>
          </cell>
          <cell r="MB18">
            <v>0</v>
          </cell>
          <cell r="MC18">
            <v>0</v>
          </cell>
          <cell r="MD18">
            <v>0</v>
          </cell>
          <cell r="ME18">
            <v>0</v>
          </cell>
        </row>
        <row r="19"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>
            <v>0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DK19">
            <v>0</v>
          </cell>
          <cell r="DL19">
            <v>0</v>
          </cell>
          <cell r="DM19">
            <v>0</v>
          </cell>
          <cell r="DN19">
            <v>0</v>
          </cell>
          <cell r="DO19">
            <v>0</v>
          </cell>
          <cell r="DP19">
            <v>0</v>
          </cell>
          <cell r="DQ19">
            <v>0</v>
          </cell>
          <cell r="DR19">
            <v>0</v>
          </cell>
          <cell r="DS19">
            <v>0</v>
          </cell>
          <cell r="DT19">
            <v>0</v>
          </cell>
          <cell r="DU19">
            <v>0</v>
          </cell>
          <cell r="DV19">
            <v>0</v>
          </cell>
          <cell r="DW19">
            <v>0</v>
          </cell>
          <cell r="DX19">
            <v>0</v>
          </cell>
          <cell r="DY19">
            <v>0</v>
          </cell>
          <cell r="DZ19">
            <v>0</v>
          </cell>
          <cell r="EA19">
            <v>0</v>
          </cell>
          <cell r="EB19">
            <v>0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</v>
          </cell>
          <cell r="EK19">
            <v>0</v>
          </cell>
          <cell r="EL19">
            <v>0</v>
          </cell>
          <cell r="EM19">
            <v>0</v>
          </cell>
          <cell r="EN19">
            <v>0</v>
          </cell>
          <cell r="EO19">
            <v>0</v>
          </cell>
          <cell r="EP19">
            <v>0</v>
          </cell>
          <cell r="EQ19">
            <v>0</v>
          </cell>
          <cell r="ER19">
            <v>0</v>
          </cell>
          <cell r="ES19">
            <v>0</v>
          </cell>
          <cell r="ET19">
            <v>0</v>
          </cell>
          <cell r="EU19">
            <v>0</v>
          </cell>
          <cell r="EV19">
            <v>0</v>
          </cell>
          <cell r="EW19">
            <v>0</v>
          </cell>
          <cell r="EX19">
            <v>0</v>
          </cell>
          <cell r="EY19">
            <v>0</v>
          </cell>
          <cell r="EZ19">
            <v>0</v>
          </cell>
          <cell r="FA19">
            <v>0</v>
          </cell>
          <cell r="FB19">
            <v>0</v>
          </cell>
          <cell r="FC19">
            <v>0</v>
          </cell>
          <cell r="FD19">
            <v>0</v>
          </cell>
          <cell r="FE19">
            <v>0</v>
          </cell>
          <cell r="FF19">
            <v>0</v>
          </cell>
          <cell r="FG19">
            <v>0</v>
          </cell>
          <cell r="FH19">
            <v>0</v>
          </cell>
          <cell r="FI19">
            <v>0</v>
          </cell>
          <cell r="FJ19">
            <v>0</v>
          </cell>
          <cell r="FK19">
            <v>0</v>
          </cell>
          <cell r="FL19">
            <v>0</v>
          </cell>
          <cell r="FM19">
            <v>0</v>
          </cell>
          <cell r="FN19">
            <v>0</v>
          </cell>
          <cell r="FO19">
            <v>0</v>
          </cell>
          <cell r="FP19">
            <v>0</v>
          </cell>
          <cell r="FQ19">
            <v>0</v>
          </cell>
          <cell r="FR19">
            <v>0</v>
          </cell>
          <cell r="FS19">
            <v>0</v>
          </cell>
          <cell r="FT19">
            <v>0</v>
          </cell>
          <cell r="FU19">
            <v>0</v>
          </cell>
          <cell r="FV19">
            <v>0</v>
          </cell>
          <cell r="FW19">
            <v>0</v>
          </cell>
          <cell r="FX19">
            <v>0</v>
          </cell>
          <cell r="FY19">
            <v>0</v>
          </cell>
          <cell r="FZ19">
            <v>0</v>
          </cell>
          <cell r="GA19">
            <v>0</v>
          </cell>
          <cell r="GB19">
            <v>0</v>
          </cell>
          <cell r="GC19">
            <v>0</v>
          </cell>
          <cell r="GD19">
            <v>0</v>
          </cell>
          <cell r="GE19">
            <v>0</v>
          </cell>
          <cell r="GF19">
            <v>0</v>
          </cell>
          <cell r="GG19">
            <v>0</v>
          </cell>
          <cell r="GH19">
            <v>0</v>
          </cell>
          <cell r="GI19">
            <v>0</v>
          </cell>
          <cell r="GJ19">
            <v>0</v>
          </cell>
          <cell r="GK19">
            <v>0</v>
          </cell>
          <cell r="GL19">
            <v>0</v>
          </cell>
          <cell r="GM19">
            <v>0</v>
          </cell>
          <cell r="GN19">
            <v>0</v>
          </cell>
          <cell r="GO19">
            <v>0</v>
          </cell>
          <cell r="GP19">
            <v>0</v>
          </cell>
          <cell r="GQ19">
            <v>0</v>
          </cell>
          <cell r="GR19">
            <v>0</v>
          </cell>
          <cell r="GS19">
            <v>0</v>
          </cell>
          <cell r="GT19">
            <v>0</v>
          </cell>
          <cell r="GU19">
            <v>0</v>
          </cell>
          <cell r="GV19">
            <v>0</v>
          </cell>
          <cell r="GW19">
            <v>0</v>
          </cell>
          <cell r="GX19">
            <v>0</v>
          </cell>
          <cell r="GY19">
            <v>0</v>
          </cell>
          <cell r="GZ19">
            <v>0</v>
          </cell>
          <cell r="HA19">
            <v>0</v>
          </cell>
          <cell r="HB19">
            <v>0</v>
          </cell>
          <cell r="HC19">
            <v>0</v>
          </cell>
          <cell r="HD19">
            <v>0</v>
          </cell>
          <cell r="HE19">
            <v>0</v>
          </cell>
          <cell r="HF19">
            <v>0</v>
          </cell>
          <cell r="HG19">
            <v>0</v>
          </cell>
          <cell r="HH19">
            <v>0</v>
          </cell>
          <cell r="HI19">
            <v>0</v>
          </cell>
          <cell r="HJ19">
            <v>0</v>
          </cell>
          <cell r="HK19">
            <v>0</v>
          </cell>
          <cell r="HL19">
            <v>0</v>
          </cell>
          <cell r="HM19">
            <v>0</v>
          </cell>
          <cell r="HN19">
            <v>0</v>
          </cell>
          <cell r="HO19">
            <v>0</v>
          </cell>
          <cell r="HP19">
            <v>0</v>
          </cell>
          <cell r="HQ19">
            <v>0</v>
          </cell>
          <cell r="HR19">
            <v>0</v>
          </cell>
          <cell r="HS19">
            <v>0</v>
          </cell>
          <cell r="HT19">
            <v>0</v>
          </cell>
          <cell r="HU19">
            <v>0</v>
          </cell>
          <cell r="HV19">
            <v>0</v>
          </cell>
          <cell r="HW19">
            <v>0</v>
          </cell>
          <cell r="HX19">
            <v>0</v>
          </cell>
          <cell r="HY19">
            <v>0</v>
          </cell>
          <cell r="HZ19">
            <v>0</v>
          </cell>
          <cell r="IA19">
            <v>0</v>
          </cell>
          <cell r="IB19">
            <v>0</v>
          </cell>
          <cell r="IC19">
            <v>0</v>
          </cell>
          <cell r="ID19">
            <v>0</v>
          </cell>
          <cell r="IE19">
            <v>0</v>
          </cell>
          <cell r="IF19">
            <v>0</v>
          </cell>
          <cell r="IG19">
            <v>0</v>
          </cell>
          <cell r="IH19">
            <v>0</v>
          </cell>
          <cell r="II19">
            <v>0</v>
          </cell>
          <cell r="IJ19">
            <v>0</v>
          </cell>
          <cell r="IK19">
            <v>0</v>
          </cell>
          <cell r="IL19">
            <v>0</v>
          </cell>
          <cell r="IM19">
            <v>0</v>
          </cell>
          <cell r="IN19">
            <v>0</v>
          </cell>
          <cell r="IO19">
            <v>0</v>
          </cell>
          <cell r="IP19">
            <v>0</v>
          </cell>
          <cell r="IQ19">
            <v>0</v>
          </cell>
          <cell r="IR19">
            <v>0</v>
          </cell>
          <cell r="IS19">
            <v>0</v>
          </cell>
          <cell r="IT19">
            <v>0</v>
          </cell>
          <cell r="IU19">
            <v>0</v>
          </cell>
          <cell r="IV19">
            <v>0</v>
          </cell>
          <cell r="IW19">
            <v>0</v>
          </cell>
          <cell r="IX19">
            <v>0</v>
          </cell>
          <cell r="IY19">
            <v>0</v>
          </cell>
          <cell r="IZ19">
            <v>0</v>
          </cell>
          <cell r="JA19">
            <v>0</v>
          </cell>
          <cell r="JB19">
            <v>0</v>
          </cell>
          <cell r="JC19">
            <v>0</v>
          </cell>
          <cell r="JD19">
            <v>0</v>
          </cell>
          <cell r="JE19">
            <v>0</v>
          </cell>
          <cell r="JF19">
            <v>0</v>
          </cell>
          <cell r="JG19">
            <v>0</v>
          </cell>
          <cell r="JH19">
            <v>0</v>
          </cell>
          <cell r="JI19">
            <v>0</v>
          </cell>
          <cell r="JJ19">
            <v>0</v>
          </cell>
          <cell r="JK19">
            <v>0</v>
          </cell>
          <cell r="JL19">
            <v>0</v>
          </cell>
          <cell r="JM19">
            <v>0</v>
          </cell>
          <cell r="JN19">
            <v>0</v>
          </cell>
          <cell r="JO19">
            <v>0</v>
          </cell>
          <cell r="JP19">
            <v>0</v>
          </cell>
          <cell r="JQ19">
            <v>0</v>
          </cell>
          <cell r="JR19">
            <v>0</v>
          </cell>
          <cell r="JS19">
            <v>0</v>
          </cell>
          <cell r="JT19">
            <v>0</v>
          </cell>
          <cell r="JU19">
            <v>0</v>
          </cell>
          <cell r="JV19">
            <v>0</v>
          </cell>
          <cell r="JW19">
            <v>0</v>
          </cell>
          <cell r="JX19">
            <v>0</v>
          </cell>
          <cell r="JY19">
            <v>0</v>
          </cell>
          <cell r="JZ19">
            <v>0</v>
          </cell>
          <cell r="KA19">
            <v>0</v>
          </cell>
          <cell r="KB19">
            <v>0</v>
          </cell>
          <cell r="KC19">
            <v>0</v>
          </cell>
          <cell r="KD19">
            <v>0</v>
          </cell>
          <cell r="KE19">
            <v>0</v>
          </cell>
          <cell r="KF19">
            <v>0</v>
          </cell>
          <cell r="KG19">
            <v>0</v>
          </cell>
          <cell r="KH19">
            <v>0</v>
          </cell>
          <cell r="KI19">
            <v>0</v>
          </cell>
          <cell r="KJ19">
            <v>0</v>
          </cell>
          <cell r="KK19">
            <v>0</v>
          </cell>
          <cell r="KL19">
            <v>0</v>
          </cell>
          <cell r="KM19">
            <v>0</v>
          </cell>
          <cell r="KN19">
            <v>0</v>
          </cell>
          <cell r="KO19">
            <v>0</v>
          </cell>
          <cell r="KP19">
            <v>0</v>
          </cell>
          <cell r="KQ19">
            <v>0</v>
          </cell>
          <cell r="KR19">
            <v>0</v>
          </cell>
          <cell r="KS19">
            <v>0</v>
          </cell>
          <cell r="KT19">
            <v>0</v>
          </cell>
          <cell r="KU19">
            <v>0</v>
          </cell>
          <cell r="KV19">
            <v>0</v>
          </cell>
          <cell r="KW19">
            <v>0</v>
          </cell>
          <cell r="KX19">
            <v>0</v>
          </cell>
          <cell r="KY19">
            <v>0</v>
          </cell>
          <cell r="KZ19">
            <v>0</v>
          </cell>
          <cell r="LA19">
            <v>0</v>
          </cell>
          <cell r="LB19">
            <v>0</v>
          </cell>
          <cell r="LC19">
            <v>0</v>
          </cell>
          <cell r="LD19">
            <v>0</v>
          </cell>
          <cell r="LE19">
            <v>0</v>
          </cell>
          <cell r="LF19">
            <v>0</v>
          </cell>
          <cell r="LG19">
            <v>0</v>
          </cell>
          <cell r="LH19">
            <v>0</v>
          </cell>
          <cell r="LI19">
            <v>0</v>
          </cell>
          <cell r="LJ19">
            <v>0</v>
          </cell>
          <cell r="LK19">
            <v>0</v>
          </cell>
          <cell r="LL19">
            <v>0</v>
          </cell>
          <cell r="LM19">
            <v>0</v>
          </cell>
          <cell r="LN19">
            <v>0</v>
          </cell>
          <cell r="LO19">
            <v>0</v>
          </cell>
          <cell r="LP19">
            <v>0</v>
          </cell>
          <cell r="LQ19">
            <v>0</v>
          </cell>
          <cell r="LR19">
            <v>0</v>
          </cell>
          <cell r="LS19">
            <v>0</v>
          </cell>
          <cell r="LT19">
            <v>0</v>
          </cell>
          <cell r="LU19">
            <v>0</v>
          </cell>
          <cell r="LV19">
            <v>0</v>
          </cell>
          <cell r="LW19">
            <v>0</v>
          </cell>
          <cell r="LX19">
            <v>0</v>
          </cell>
          <cell r="LY19">
            <v>0</v>
          </cell>
          <cell r="LZ19">
            <v>0</v>
          </cell>
          <cell r="MA19">
            <v>0</v>
          </cell>
          <cell r="MB19">
            <v>0</v>
          </cell>
          <cell r="MC19">
            <v>0</v>
          </cell>
          <cell r="MD19">
            <v>0</v>
          </cell>
          <cell r="ME19">
            <v>0</v>
          </cell>
        </row>
        <row r="20"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0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DK20">
            <v>0</v>
          </cell>
          <cell r="DL20">
            <v>0</v>
          </cell>
          <cell r="DM20">
            <v>0</v>
          </cell>
          <cell r="DN20">
            <v>0</v>
          </cell>
          <cell r="DO20">
            <v>0</v>
          </cell>
          <cell r="DP20">
            <v>0</v>
          </cell>
          <cell r="DQ20">
            <v>0</v>
          </cell>
          <cell r="DR20">
            <v>0</v>
          </cell>
          <cell r="DS20">
            <v>0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0</v>
          </cell>
          <cell r="DY20">
            <v>0</v>
          </cell>
          <cell r="DZ20">
            <v>0</v>
          </cell>
          <cell r="EA20">
            <v>0</v>
          </cell>
          <cell r="EB20">
            <v>0</v>
          </cell>
          <cell r="EC20">
            <v>0</v>
          </cell>
          <cell r="ED20">
            <v>0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0</v>
          </cell>
          <cell r="EK20">
            <v>0</v>
          </cell>
          <cell r="EL20">
            <v>0</v>
          </cell>
          <cell r="EM20">
            <v>0</v>
          </cell>
          <cell r="EN20">
            <v>0</v>
          </cell>
          <cell r="EO20">
            <v>0</v>
          </cell>
          <cell r="EP20">
            <v>0</v>
          </cell>
          <cell r="EQ20">
            <v>0</v>
          </cell>
          <cell r="ER20">
            <v>0</v>
          </cell>
          <cell r="ES20">
            <v>0</v>
          </cell>
          <cell r="ET20">
            <v>0</v>
          </cell>
          <cell r="EU20">
            <v>0</v>
          </cell>
          <cell r="EV20">
            <v>0</v>
          </cell>
          <cell r="EW20">
            <v>0</v>
          </cell>
          <cell r="EX20">
            <v>0</v>
          </cell>
          <cell r="EY20">
            <v>0</v>
          </cell>
          <cell r="EZ20">
            <v>0</v>
          </cell>
          <cell r="FA20">
            <v>0</v>
          </cell>
          <cell r="FB20">
            <v>0</v>
          </cell>
          <cell r="FC20">
            <v>0</v>
          </cell>
          <cell r="FD20">
            <v>0</v>
          </cell>
          <cell r="FE20">
            <v>0</v>
          </cell>
          <cell r="FF20">
            <v>0</v>
          </cell>
          <cell r="FG20">
            <v>0</v>
          </cell>
          <cell r="FH20">
            <v>0</v>
          </cell>
          <cell r="FI20">
            <v>0</v>
          </cell>
          <cell r="FJ20">
            <v>0</v>
          </cell>
          <cell r="FK20">
            <v>0</v>
          </cell>
          <cell r="FL20">
            <v>0</v>
          </cell>
          <cell r="FM20">
            <v>0</v>
          </cell>
          <cell r="FN20">
            <v>0</v>
          </cell>
          <cell r="FO20">
            <v>0</v>
          </cell>
          <cell r="FP20">
            <v>0</v>
          </cell>
          <cell r="FQ20">
            <v>0</v>
          </cell>
          <cell r="FR20">
            <v>0</v>
          </cell>
          <cell r="FS20">
            <v>0</v>
          </cell>
          <cell r="FT20">
            <v>0</v>
          </cell>
          <cell r="FU20">
            <v>0</v>
          </cell>
          <cell r="FV20">
            <v>0</v>
          </cell>
          <cell r="FW20">
            <v>0</v>
          </cell>
          <cell r="FX20">
            <v>0</v>
          </cell>
          <cell r="FY20">
            <v>0</v>
          </cell>
          <cell r="FZ20">
            <v>0</v>
          </cell>
          <cell r="GA20">
            <v>0</v>
          </cell>
          <cell r="GB20">
            <v>0</v>
          </cell>
          <cell r="GC20">
            <v>0</v>
          </cell>
          <cell r="GD20">
            <v>0</v>
          </cell>
          <cell r="GE20">
            <v>0</v>
          </cell>
          <cell r="GF20">
            <v>0</v>
          </cell>
          <cell r="GG20">
            <v>0</v>
          </cell>
          <cell r="GH20">
            <v>0</v>
          </cell>
          <cell r="GI20">
            <v>0</v>
          </cell>
          <cell r="GJ20">
            <v>0</v>
          </cell>
          <cell r="GK20">
            <v>0</v>
          </cell>
          <cell r="GL20">
            <v>0</v>
          </cell>
          <cell r="GM20">
            <v>0</v>
          </cell>
          <cell r="GN20">
            <v>0</v>
          </cell>
          <cell r="GO20">
            <v>0</v>
          </cell>
          <cell r="GP20">
            <v>0</v>
          </cell>
          <cell r="GQ20">
            <v>0</v>
          </cell>
          <cell r="GR20">
            <v>0</v>
          </cell>
          <cell r="GS20">
            <v>0</v>
          </cell>
          <cell r="GT20">
            <v>0</v>
          </cell>
          <cell r="GU20">
            <v>0</v>
          </cell>
          <cell r="GV20">
            <v>0</v>
          </cell>
          <cell r="GW20">
            <v>0</v>
          </cell>
          <cell r="GX20">
            <v>0</v>
          </cell>
          <cell r="GY20">
            <v>0</v>
          </cell>
          <cell r="GZ20">
            <v>0</v>
          </cell>
          <cell r="HA20">
            <v>0</v>
          </cell>
          <cell r="HB20">
            <v>0</v>
          </cell>
          <cell r="HC20">
            <v>0</v>
          </cell>
          <cell r="HD20">
            <v>0</v>
          </cell>
          <cell r="HE20">
            <v>0</v>
          </cell>
          <cell r="HF20">
            <v>0</v>
          </cell>
          <cell r="HG20">
            <v>0</v>
          </cell>
          <cell r="HH20">
            <v>0</v>
          </cell>
          <cell r="HI20">
            <v>0</v>
          </cell>
          <cell r="HJ20">
            <v>0</v>
          </cell>
          <cell r="HK20">
            <v>0</v>
          </cell>
          <cell r="HL20">
            <v>0</v>
          </cell>
          <cell r="HM20">
            <v>0</v>
          </cell>
          <cell r="HN20">
            <v>0</v>
          </cell>
          <cell r="HO20">
            <v>0</v>
          </cell>
          <cell r="HP20">
            <v>0</v>
          </cell>
          <cell r="HQ20">
            <v>0</v>
          </cell>
          <cell r="HR20">
            <v>0</v>
          </cell>
          <cell r="HS20">
            <v>0</v>
          </cell>
          <cell r="HT20">
            <v>0</v>
          </cell>
          <cell r="HU20">
            <v>0</v>
          </cell>
          <cell r="HV20">
            <v>0</v>
          </cell>
          <cell r="HW20">
            <v>0</v>
          </cell>
          <cell r="HX20">
            <v>0</v>
          </cell>
          <cell r="HY20">
            <v>0</v>
          </cell>
          <cell r="HZ20">
            <v>0</v>
          </cell>
          <cell r="IA20">
            <v>0</v>
          </cell>
          <cell r="IB20">
            <v>0</v>
          </cell>
          <cell r="IC20">
            <v>0</v>
          </cell>
          <cell r="ID20">
            <v>0</v>
          </cell>
          <cell r="IE20">
            <v>0</v>
          </cell>
          <cell r="IF20">
            <v>0</v>
          </cell>
          <cell r="IG20">
            <v>0</v>
          </cell>
          <cell r="IH20">
            <v>0</v>
          </cell>
          <cell r="II20">
            <v>0</v>
          </cell>
          <cell r="IJ20">
            <v>0</v>
          </cell>
          <cell r="IK20">
            <v>0</v>
          </cell>
          <cell r="IL20">
            <v>0</v>
          </cell>
          <cell r="IM20">
            <v>0</v>
          </cell>
          <cell r="IN20">
            <v>0</v>
          </cell>
          <cell r="IO20">
            <v>0</v>
          </cell>
          <cell r="IP20">
            <v>0</v>
          </cell>
          <cell r="IQ20">
            <v>0</v>
          </cell>
          <cell r="IR20">
            <v>0</v>
          </cell>
          <cell r="IS20">
            <v>0</v>
          </cell>
          <cell r="IT20">
            <v>0</v>
          </cell>
          <cell r="IU20">
            <v>0</v>
          </cell>
          <cell r="IV20">
            <v>0</v>
          </cell>
          <cell r="IW20">
            <v>0</v>
          </cell>
          <cell r="IX20">
            <v>0</v>
          </cell>
          <cell r="IY20">
            <v>0</v>
          </cell>
          <cell r="IZ20">
            <v>0</v>
          </cell>
          <cell r="JA20">
            <v>0</v>
          </cell>
          <cell r="JB20">
            <v>0</v>
          </cell>
          <cell r="JC20">
            <v>0</v>
          </cell>
          <cell r="JD20">
            <v>0</v>
          </cell>
          <cell r="JE20">
            <v>0</v>
          </cell>
          <cell r="JF20">
            <v>0</v>
          </cell>
          <cell r="JG20">
            <v>0</v>
          </cell>
          <cell r="JH20">
            <v>0</v>
          </cell>
          <cell r="JI20">
            <v>0</v>
          </cell>
          <cell r="JJ20">
            <v>0</v>
          </cell>
          <cell r="JK20">
            <v>0</v>
          </cell>
          <cell r="JL20">
            <v>0</v>
          </cell>
          <cell r="JM20">
            <v>0</v>
          </cell>
          <cell r="JN20">
            <v>0</v>
          </cell>
          <cell r="JO20">
            <v>0</v>
          </cell>
          <cell r="JP20">
            <v>0</v>
          </cell>
          <cell r="JQ20">
            <v>0</v>
          </cell>
          <cell r="JR20">
            <v>0</v>
          </cell>
          <cell r="JS20">
            <v>0</v>
          </cell>
          <cell r="JT20">
            <v>0</v>
          </cell>
          <cell r="JU20">
            <v>0</v>
          </cell>
          <cell r="JV20">
            <v>0</v>
          </cell>
          <cell r="JW20">
            <v>0</v>
          </cell>
          <cell r="JX20">
            <v>0</v>
          </cell>
          <cell r="JY20">
            <v>0</v>
          </cell>
          <cell r="JZ20">
            <v>0</v>
          </cell>
          <cell r="KA20">
            <v>0</v>
          </cell>
          <cell r="KB20">
            <v>0</v>
          </cell>
          <cell r="KC20">
            <v>0</v>
          </cell>
          <cell r="KD20">
            <v>0</v>
          </cell>
          <cell r="KE20">
            <v>0</v>
          </cell>
          <cell r="KF20">
            <v>0</v>
          </cell>
          <cell r="KG20">
            <v>0</v>
          </cell>
          <cell r="KH20">
            <v>0</v>
          </cell>
          <cell r="KI20">
            <v>0</v>
          </cell>
          <cell r="KJ20">
            <v>0</v>
          </cell>
          <cell r="KK20">
            <v>0</v>
          </cell>
          <cell r="KL20">
            <v>0</v>
          </cell>
          <cell r="KM20">
            <v>0</v>
          </cell>
          <cell r="KN20">
            <v>0</v>
          </cell>
          <cell r="KO20">
            <v>0</v>
          </cell>
          <cell r="KP20">
            <v>0</v>
          </cell>
          <cell r="KQ20">
            <v>0</v>
          </cell>
          <cell r="KR20">
            <v>0</v>
          </cell>
          <cell r="KS20">
            <v>0</v>
          </cell>
          <cell r="KT20">
            <v>0</v>
          </cell>
          <cell r="KU20">
            <v>0</v>
          </cell>
          <cell r="KV20">
            <v>0</v>
          </cell>
          <cell r="KW20">
            <v>0</v>
          </cell>
          <cell r="KX20">
            <v>0</v>
          </cell>
          <cell r="KY20">
            <v>0</v>
          </cell>
          <cell r="KZ20">
            <v>0</v>
          </cell>
          <cell r="LA20">
            <v>0</v>
          </cell>
          <cell r="LB20">
            <v>0</v>
          </cell>
          <cell r="LC20">
            <v>0</v>
          </cell>
          <cell r="LD20">
            <v>0</v>
          </cell>
          <cell r="LE20">
            <v>0</v>
          </cell>
          <cell r="LF20">
            <v>0</v>
          </cell>
          <cell r="LG20">
            <v>0</v>
          </cell>
          <cell r="LH20">
            <v>0</v>
          </cell>
          <cell r="LI20">
            <v>0</v>
          </cell>
          <cell r="LJ20">
            <v>0</v>
          </cell>
          <cell r="LK20">
            <v>0</v>
          </cell>
          <cell r="LL20">
            <v>0</v>
          </cell>
          <cell r="LM20">
            <v>0</v>
          </cell>
          <cell r="LN20">
            <v>0</v>
          </cell>
          <cell r="LO20">
            <v>0</v>
          </cell>
          <cell r="LP20">
            <v>0</v>
          </cell>
          <cell r="LQ20">
            <v>0</v>
          </cell>
          <cell r="LR20">
            <v>0</v>
          </cell>
          <cell r="LS20">
            <v>0</v>
          </cell>
          <cell r="LT20">
            <v>0</v>
          </cell>
          <cell r="LU20">
            <v>0</v>
          </cell>
          <cell r="LV20">
            <v>0</v>
          </cell>
          <cell r="LW20">
            <v>0</v>
          </cell>
          <cell r="LX20">
            <v>0</v>
          </cell>
          <cell r="LY20">
            <v>0</v>
          </cell>
          <cell r="LZ20">
            <v>0</v>
          </cell>
          <cell r="MA20">
            <v>0</v>
          </cell>
          <cell r="MB20">
            <v>0</v>
          </cell>
          <cell r="MC20">
            <v>0</v>
          </cell>
          <cell r="MD20">
            <v>0</v>
          </cell>
          <cell r="ME20">
            <v>0</v>
          </cell>
        </row>
        <row r="21"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L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Q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V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A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K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P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U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EZ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E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J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O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T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Y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</v>
          </cell>
          <cell r="GE21">
            <v>0</v>
          </cell>
          <cell r="GF21">
            <v>0</v>
          </cell>
          <cell r="GG21">
            <v>0</v>
          </cell>
          <cell r="GH21">
            <v>0</v>
          </cell>
          <cell r="GI21">
            <v>0</v>
          </cell>
          <cell r="GJ21">
            <v>0</v>
          </cell>
          <cell r="GK21">
            <v>0</v>
          </cell>
          <cell r="GL21">
            <v>0</v>
          </cell>
          <cell r="GM21">
            <v>0</v>
          </cell>
          <cell r="GN21">
            <v>0</v>
          </cell>
          <cell r="GO21">
            <v>0</v>
          </cell>
          <cell r="GP21">
            <v>0</v>
          </cell>
          <cell r="GQ21">
            <v>0</v>
          </cell>
          <cell r="GR21">
            <v>0</v>
          </cell>
          <cell r="GS21">
            <v>0</v>
          </cell>
          <cell r="GT21">
            <v>0</v>
          </cell>
          <cell r="GU21">
            <v>0</v>
          </cell>
          <cell r="GV21">
            <v>0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  <cell r="HJ21">
            <v>0</v>
          </cell>
          <cell r="HK21">
            <v>0</v>
          </cell>
          <cell r="HL21">
            <v>0</v>
          </cell>
          <cell r="HM21">
            <v>0</v>
          </cell>
          <cell r="HN21">
            <v>0</v>
          </cell>
          <cell r="HO21">
            <v>0</v>
          </cell>
          <cell r="HP21">
            <v>0</v>
          </cell>
          <cell r="HQ21">
            <v>0</v>
          </cell>
          <cell r="HR21">
            <v>0</v>
          </cell>
          <cell r="HS21">
            <v>0</v>
          </cell>
          <cell r="HT21">
            <v>0</v>
          </cell>
          <cell r="HU21">
            <v>0</v>
          </cell>
          <cell r="HV21">
            <v>0</v>
          </cell>
          <cell r="HW21">
            <v>0</v>
          </cell>
          <cell r="HX21">
            <v>0</v>
          </cell>
          <cell r="HY21">
            <v>0</v>
          </cell>
          <cell r="HZ21">
            <v>0</v>
          </cell>
          <cell r="IA21">
            <v>0</v>
          </cell>
          <cell r="IB21">
            <v>0</v>
          </cell>
          <cell r="IC21">
            <v>0</v>
          </cell>
          <cell r="ID21">
            <v>0</v>
          </cell>
          <cell r="IE21">
            <v>0</v>
          </cell>
          <cell r="IF21">
            <v>0</v>
          </cell>
          <cell r="IG21">
            <v>0</v>
          </cell>
          <cell r="IH21">
            <v>0</v>
          </cell>
          <cell r="II21">
            <v>0</v>
          </cell>
          <cell r="IJ21">
            <v>0</v>
          </cell>
          <cell r="IK21">
            <v>0</v>
          </cell>
          <cell r="IL21">
            <v>0</v>
          </cell>
          <cell r="IM21">
            <v>0</v>
          </cell>
          <cell r="IN21">
            <v>0</v>
          </cell>
          <cell r="IO21">
            <v>0</v>
          </cell>
          <cell r="IP21">
            <v>0</v>
          </cell>
          <cell r="IQ21">
            <v>0</v>
          </cell>
          <cell r="IR21">
            <v>0</v>
          </cell>
          <cell r="IS21">
            <v>0</v>
          </cell>
          <cell r="IT21">
            <v>0</v>
          </cell>
          <cell r="IU21">
            <v>0</v>
          </cell>
          <cell r="IV21">
            <v>0</v>
          </cell>
          <cell r="IW21">
            <v>0</v>
          </cell>
          <cell r="IX21">
            <v>0</v>
          </cell>
          <cell r="IY21">
            <v>0</v>
          </cell>
          <cell r="IZ21">
            <v>0</v>
          </cell>
          <cell r="JA21">
            <v>0</v>
          </cell>
          <cell r="JB21">
            <v>0</v>
          </cell>
          <cell r="JC21">
            <v>0</v>
          </cell>
          <cell r="JD21">
            <v>0</v>
          </cell>
          <cell r="JE21">
            <v>0</v>
          </cell>
          <cell r="JF21">
            <v>0</v>
          </cell>
          <cell r="JG21">
            <v>0</v>
          </cell>
          <cell r="JH21">
            <v>0</v>
          </cell>
          <cell r="JI21">
            <v>0</v>
          </cell>
          <cell r="JJ21">
            <v>0</v>
          </cell>
          <cell r="JK21">
            <v>0</v>
          </cell>
          <cell r="JL21">
            <v>0</v>
          </cell>
          <cell r="JM21">
            <v>0</v>
          </cell>
          <cell r="JN21">
            <v>0</v>
          </cell>
          <cell r="JO21">
            <v>0</v>
          </cell>
          <cell r="JP21">
            <v>0</v>
          </cell>
          <cell r="JQ21">
            <v>0</v>
          </cell>
          <cell r="JR21">
            <v>0</v>
          </cell>
          <cell r="JS21">
            <v>0</v>
          </cell>
          <cell r="JT21">
            <v>0</v>
          </cell>
          <cell r="JU21">
            <v>0</v>
          </cell>
          <cell r="JV21">
            <v>0</v>
          </cell>
          <cell r="JW21">
            <v>0</v>
          </cell>
          <cell r="JX21">
            <v>0</v>
          </cell>
          <cell r="JY21">
            <v>0</v>
          </cell>
          <cell r="JZ21">
            <v>0</v>
          </cell>
          <cell r="KA21">
            <v>0</v>
          </cell>
          <cell r="KB21">
            <v>0</v>
          </cell>
          <cell r="KC21">
            <v>0</v>
          </cell>
          <cell r="KD21">
            <v>0</v>
          </cell>
          <cell r="KE21">
            <v>0</v>
          </cell>
          <cell r="KF21">
            <v>0</v>
          </cell>
          <cell r="KG21">
            <v>0</v>
          </cell>
          <cell r="KH21">
            <v>0</v>
          </cell>
          <cell r="KI21">
            <v>0</v>
          </cell>
          <cell r="KJ21">
            <v>0</v>
          </cell>
          <cell r="KK21">
            <v>0</v>
          </cell>
          <cell r="KL21">
            <v>0</v>
          </cell>
          <cell r="KM21">
            <v>0</v>
          </cell>
          <cell r="KN21">
            <v>0</v>
          </cell>
          <cell r="KO21">
            <v>0</v>
          </cell>
          <cell r="KP21">
            <v>0</v>
          </cell>
          <cell r="KQ21">
            <v>0</v>
          </cell>
          <cell r="KR21">
            <v>0</v>
          </cell>
          <cell r="KS21">
            <v>0</v>
          </cell>
          <cell r="KT21">
            <v>0</v>
          </cell>
          <cell r="KU21">
            <v>0</v>
          </cell>
          <cell r="KV21">
            <v>0</v>
          </cell>
          <cell r="KW21">
            <v>0</v>
          </cell>
          <cell r="KX21">
            <v>0</v>
          </cell>
          <cell r="KY21">
            <v>0</v>
          </cell>
          <cell r="KZ21">
            <v>0</v>
          </cell>
          <cell r="LA21">
            <v>0</v>
          </cell>
          <cell r="LB21">
            <v>0</v>
          </cell>
          <cell r="LC21">
            <v>0</v>
          </cell>
          <cell r="LD21">
            <v>0</v>
          </cell>
          <cell r="LE21">
            <v>0</v>
          </cell>
          <cell r="LF21">
            <v>0</v>
          </cell>
          <cell r="LG21">
            <v>0</v>
          </cell>
          <cell r="LH21">
            <v>0</v>
          </cell>
          <cell r="LI21">
            <v>0</v>
          </cell>
          <cell r="LJ21">
            <v>0</v>
          </cell>
          <cell r="LK21">
            <v>0</v>
          </cell>
          <cell r="LL21">
            <v>0</v>
          </cell>
          <cell r="LM21">
            <v>0</v>
          </cell>
          <cell r="LN21">
            <v>0</v>
          </cell>
          <cell r="LO21">
            <v>0</v>
          </cell>
          <cell r="LP21">
            <v>0</v>
          </cell>
          <cell r="LQ21">
            <v>0</v>
          </cell>
          <cell r="LR21">
            <v>0</v>
          </cell>
          <cell r="LS21">
            <v>0</v>
          </cell>
          <cell r="LT21">
            <v>0</v>
          </cell>
          <cell r="LU21">
            <v>0</v>
          </cell>
          <cell r="LV21">
            <v>0</v>
          </cell>
          <cell r="LW21">
            <v>0</v>
          </cell>
          <cell r="LX21">
            <v>0</v>
          </cell>
          <cell r="LY21">
            <v>0</v>
          </cell>
          <cell r="LZ21">
            <v>0</v>
          </cell>
          <cell r="MA21">
            <v>0</v>
          </cell>
          <cell r="MB21">
            <v>0</v>
          </cell>
          <cell r="MC21">
            <v>0</v>
          </cell>
          <cell r="MD21">
            <v>0</v>
          </cell>
          <cell r="ME21">
            <v>0</v>
          </cell>
        </row>
        <row r="22"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Q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V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A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0</v>
          </cell>
          <cell r="EK22">
            <v>0</v>
          </cell>
          <cell r="EL22">
            <v>0</v>
          </cell>
          <cell r="EM22">
            <v>0</v>
          </cell>
          <cell r="EN22">
            <v>0</v>
          </cell>
          <cell r="EO22">
            <v>0</v>
          </cell>
          <cell r="EP22">
            <v>0</v>
          </cell>
          <cell r="EQ22">
            <v>0</v>
          </cell>
          <cell r="ER22">
            <v>0</v>
          </cell>
          <cell r="ES22">
            <v>0</v>
          </cell>
          <cell r="ET22">
            <v>0</v>
          </cell>
          <cell r="EU22">
            <v>0</v>
          </cell>
          <cell r="EV22">
            <v>0</v>
          </cell>
          <cell r="EW22">
            <v>0</v>
          </cell>
          <cell r="EX22">
            <v>0</v>
          </cell>
          <cell r="EY22">
            <v>0</v>
          </cell>
          <cell r="EZ22">
            <v>0</v>
          </cell>
          <cell r="FA22">
            <v>0</v>
          </cell>
          <cell r="FB22">
            <v>0</v>
          </cell>
          <cell r="FC22">
            <v>0</v>
          </cell>
          <cell r="FD22">
            <v>0</v>
          </cell>
          <cell r="FE22">
            <v>0</v>
          </cell>
          <cell r="FF22">
            <v>0</v>
          </cell>
          <cell r="FG22">
            <v>0</v>
          </cell>
          <cell r="FH22">
            <v>0</v>
          </cell>
          <cell r="FI22">
            <v>0</v>
          </cell>
          <cell r="FJ22">
            <v>0</v>
          </cell>
          <cell r="FK22">
            <v>0</v>
          </cell>
          <cell r="FL22">
            <v>0</v>
          </cell>
          <cell r="FM22">
            <v>0</v>
          </cell>
          <cell r="FN22">
            <v>0</v>
          </cell>
          <cell r="FO22">
            <v>0</v>
          </cell>
          <cell r="FP22">
            <v>0</v>
          </cell>
          <cell r="FQ22">
            <v>0</v>
          </cell>
          <cell r="FR22">
            <v>0</v>
          </cell>
          <cell r="FS22">
            <v>0</v>
          </cell>
          <cell r="FT22">
            <v>0</v>
          </cell>
          <cell r="FU22">
            <v>0</v>
          </cell>
          <cell r="FV22">
            <v>0</v>
          </cell>
          <cell r="FW22">
            <v>0</v>
          </cell>
          <cell r="FX22">
            <v>0</v>
          </cell>
          <cell r="FY22">
            <v>0</v>
          </cell>
          <cell r="FZ22">
            <v>0</v>
          </cell>
          <cell r="GA22">
            <v>0</v>
          </cell>
          <cell r="GB22">
            <v>0</v>
          </cell>
          <cell r="GC22">
            <v>0</v>
          </cell>
          <cell r="GD22">
            <v>0</v>
          </cell>
          <cell r="GE22">
            <v>0</v>
          </cell>
          <cell r="GF22">
            <v>0</v>
          </cell>
          <cell r="GG22">
            <v>0</v>
          </cell>
          <cell r="GH22">
            <v>0</v>
          </cell>
          <cell r="GI22">
            <v>0</v>
          </cell>
          <cell r="GJ22">
            <v>0</v>
          </cell>
          <cell r="GK22">
            <v>0</v>
          </cell>
          <cell r="GL22">
            <v>0</v>
          </cell>
          <cell r="GM22">
            <v>0</v>
          </cell>
          <cell r="GN22">
            <v>0</v>
          </cell>
          <cell r="GO22">
            <v>0</v>
          </cell>
          <cell r="GP22">
            <v>0</v>
          </cell>
          <cell r="GQ22">
            <v>0</v>
          </cell>
          <cell r="GR22">
            <v>0</v>
          </cell>
          <cell r="GS22">
            <v>0</v>
          </cell>
          <cell r="GT22">
            <v>0</v>
          </cell>
          <cell r="GU22">
            <v>0</v>
          </cell>
          <cell r="GV22">
            <v>0</v>
          </cell>
          <cell r="GW22">
            <v>0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  <cell r="HJ22">
            <v>0</v>
          </cell>
          <cell r="HK22">
            <v>0</v>
          </cell>
          <cell r="HL22">
            <v>0</v>
          </cell>
          <cell r="HM22">
            <v>0</v>
          </cell>
          <cell r="HN22">
            <v>0</v>
          </cell>
          <cell r="HO22">
            <v>0</v>
          </cell>
          <cell r="HP22">
            <v>0</v>
          </cell>
          <cell r="HQ22">
            <v>0</v>
          </cell>
          <cell r="HR22">
            <v>0</v>
          </cell>
          <cell r="HS22">
            <v>0</v>
          </cell>
          <cell r="HT22">
            <v>0</v>
          </cell>
          <cell r="HU22">
            <v>0</v>
          </cell>
          <cell r="HV22">
            <v>0</v>
          </cell>
          <cell r="HW22">
            <v>0</v>
          </cell>
          <cell r="HX22">
            <v>0</v>
          </cell>
          <cell r="HY22">
            <v>0</v>
          </cell>
          <cell r="HZ22">
            <v>0</v>
          </cell>
          <cell r="IA22">
            <v>0</v>
          </cell>
          <cell r="IB22">
            <v>0</v>
          </cell>
          <cell r="IC22">
            <v>0</v>
          </cell>
          <cell r="ID22">
            <v>0</v>
          </cell>
          <cell r="IE22">
            <v>0</v>
          </cell>
          <cell r="IF22">
            <v>0</v>
          </cell>
          <cell r="IG22">
            <v>0</v>
          </cell>
          <cell r="IH22">
            <v>0</v>
          </cell>
          <cell r="II22">
            <v>0</v>
          </cell>
          <cell r="IJ22">
            <v>0</v>
          </cell>
          <cell r="IK22">
            <v>0</v>
          </cell>
          <cell r="IL22">
            <v>0</v>
          </cell>
          <cell r="IM22">
            <v>0</v>
          </cell>
          <cell r="IN22">
            <v>0</v>
          </cell>
          <cell r="IO22">
            <v>0</v>
          </cell>
          <cell r="IP22">
            <v>0</v>
          </cell>
          <cell r="IQ22">
            <v>0</v>
          </cell>
          <cell r="IR22">
            <v>0</v>
          </cell>
          <cell r="IS22">
            <v>0</v>
          </cell>
          <cell r="IT22">
            <v>0</v>
          </cell>
          <cell r="IU22">
            <v>0</v>
          </cell>
          <cell r="IV22">
            <v>0</v>
          </cell>
          <cell r="IW22">
            <v>0</v>
          </cell>
          <cell r="IX22">
            <v>0</v>
          </cell>
          <cell r="IY22">
            <v>0</v>
          </cell>
          <cell r="IZ22">
            <v>0</v>
          </cell>
          <cell r="JA22">
            <v>0</v>
          </cell>
          <cell r="JB22">
            <v>0</v>
          </cell>
          <cell r="JC22">
            <v>0</v>
          </cell>
          <cell r="JD22">
            <v>0</v>
          </cell>
          <cell r="JE22">
            <v>0</v>
          </cell>
          <cell r="JF22">
            <v>0</v>
          </cell>
          <cell r="JG22">
            <v>0</v>
          </cell>
          <cell r="JH22">
            <v>0</v>
          </cell>
          <cell r="JI22">
            <v>0</v>
          </cell>
          <cell r="JJ22">
            <v>0</v>
          </cell>
          <cell r="JK22">
            <v>0</v>
          </cell>
          <cell r="JL22">
            <v>0</v>
          </cell>
          <cell r="JM22">
            <v>0</v>
          </cell>
          <cell r="JN22">
            <v>0</v>
          </cell>
          <cell r="JO22">
            <v>0</v>
          </cell>
          <cell r="JP22">
            <v>0</v>
          </cell>
          <cell r="JQ22">
            <v>0</v>
          </cell>
          <cell r="JR22">
            <v>0</v>
          </cell>
          <cell r="JS22">
            <v>0</v>
          </cell>
          <cell r="JT22">
            <v>0</v>
          </cell>
          <cell r="JU22">
            <v>0</v>
          </cell>
          <cell r="JV22">
            <v>0</v>
          </cell>
          <cell r="JW22">
            <v>0</v>
          </cell>
          <cell r="JX22">
            <v>0</v>
          </cell>
          <cell r="JY22">
            <v>0</v>
          </cell>
          <cell r="JZ22">
            <v>0</v>
          </cell>
          <cell r="KA22">
            <v>0</v>
          </cell>
          <cell r="KB22">
            <v>0</v>
          </cell>
          <cell r="KC22">
            <v>0</v>
          </cell>
          <cell r="KD22">
            <v>0</v>
          </cell>
          <cell r="KE22">
            <v>0</v>
          </cell>
          <cell r="KF22">
            <v>0</v>
          </cell>
          <cell r="KG22">
            <v>0</v>
          </cell>
          <cell r="KH22">
            <v>0</v>
          </cell>
          <cell r="KI22">
            <v>0</v>
          </cell>
          <cell r="KJ22">
            <v>0</v>
          </cell>
          <cell r="KK22">
            <v>0</v>
          </cell>
          <cell r="KL22">
            <v>0</v>
          </cell>
          <cell r="KM22">
            <v>0</v>
          </cell>
          <cell r="KN22">
            <v>0</v>
          </cell>
          <cell r="KO22">
            <v>0</v>
          </cell>
          <cell r="KP22">
            <v>0</v>
          </cell>
          <cell r="KQ22">
            <v>0</v>
          </cell>
          <cell r="KR22">
            <v>0</v>
          </cell>
          <cell r="KS22">
            <v>0</v>
          </cell>
          <cell r="KT22">
            <v>0</v>
          </cell>
          <cell r="KU22">
            <v>0</v>
          </cell>
          <cell r="KV22">
            <v>0</v>
          </cell>
          <cell r="KW22">
            <v>0</v>
          </cell>
          <cell r="KX22">
            <v>0</v>
          </cell>
          <cell r="KY22">
            <v>0</v>
          </cell>
          <cell r="KZ22">
            <v>0</v>
          </cell>
          <cell r="LA22">
            <v>0</v>
          </cell>
          <cell r="LB22">
            <v>0</v>
          </cell>
          <cell r="LC22">
            <v>0</v>
          </cell>
          <cell r="LD22">
            <v>0</v>
          </cell>
          <cell r="LE22">
            <v>0</v>
          </cell>
          <cell r="LF22">
            <v>0</v>
          </cell>
          <cell r="LG22">
            <v>0</v>
          </cell>
          <cell r="LH22">
            <v>0</v>
          </cell>
          <cell r="LI22">
            <v>0</v>
          </cell>
          <cell r="LJ22">
            <v>0</v>
          </cell>
          <cell r="LK22">
            <v>0</v>
          </cell>
          <cell r="LL22">
            <v>0</v>
          </cell>
          <cell r="LM22">
            <v>0</v>
          </cell>
          <cell r="LN22">
            <v>0</v>
          </cell>
          <cell r="LO22">
            <v>0</v>
          </cell>
          <cell r="LP22">
            <v>0</v>
          </cell>
          <cell r="LQ22">
            <v>0</v>
          </cell>
          <cell r="LR22">
            <v>0</v>
          </cell>
          <cell r="LS22">
            <v>0</v>
          </cell>
          <cell r="LT22">
            <v>0</v>
          </cell>
          <cell r="LU22">
            <v>0</v>
          </cell>
          <cell r="LV22">
            <v>0</v>
          </cell>
          <cell r="LW22">
            <v>0</v>
          </cell>
          <cell r="LX22">
            <v>0</v>
          </cell>
          <cell r="LY22">
            <v>0</v>
          </cell>
          <cell r="LZ22">
            <v>0</v>
          </cell>
          <cell r="MA22">
            <v>0</v>
          </cell>
          <cell r="MB22">
            <v>0</v>
          </cell>
          <cell r="MC22">
            <v>0</v>
          </cell>
          <cell r="MD22">
            <v>0</v>
          </cell>
          <cell r="ME22">
            <v>0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L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K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P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0</v>
          </cell>
          <cell r="EV23">
            <v>0</v>
          </cell>
          <cell r="EW23">
            <v>0</v>
          </cell>
          <cell r="EX23">
            <v>0</v>
          </cell>
          <cell r="EY23">
            <v>0</v>
          </cell>
          <cell r="EZ23">
            <v>0</v>
          </cell>
          <cell r="FA23">
            <v>0</v>
          </cell>
          <cell r="FB23">
            <v>0</v>
          </cell>
          <cell r="FC23">
            <v>0</v>
          </cell>
          <cell r="FD23">
            <v>0</v>
          </cell>
          <cell r="FE23">
            <v>0</v>
          </cell>
          <cell r="FF23">
            <v>0</v>
          </cell>
          <cell r="FG23">
            <v>0</v>
          </cell>
          <cell r="FH23">
            <v>0</v>
          </cell>
          <cell r="FI23">
            <v>0</v>
          </cell>
          <cell r="FJ23">
            <v>0</v>
          </cell>
          <cell r="FK23">
            <v>0</v>
          </cell>
          <cell r="FL23">
            <v>0</v>
          </cell>
          <cell r="FM23">
            <v>0</v>
          </cell>
          <cell r="FN23">
            <v>0</v>
          </cell>
          <cell r="FO23">
            <v>0</v>
          </cell>
          <cell r="FP23">
            <v>0</v>
          </cell>
          <cell r="FQ23">
            <v>0</v>
          </cell>
          <cell r="FR23">
            <v>0</v>
          </cell>
          <cell r="FS23">
            <v>0</v>
          </cell>
          <cell r="FT23">
            <v>0</v>
          </cell>
          <cell r="FU23">
            <v>0</v>
          </cell>
          <cell r="FV23">
            <v>0</v>
          </cell>
          <cell r="FW23">
            <v>0</v>
          </cell>
          <cell r="FX23">
            <v>0</v>
          </cell>
          <cell r="FY23">
            <v>0</v>
          </cell>
          <cell r="FZ23">
            <v>0</v>
          </cell>
          <cell r="GA23">
            <v>0</v>
          </cell>
          <cell r="GB23">
            <v>0</v>
          </cell>
          <cell r="GC23">
            <v>0</v>
          </cell>
          <cell r="GD23">
            <v>0</v>
          </cell>
          <cell r="GE23">
            <v>0</v>
          </cell>
          <cell r="GF23">
            <v>0</v>
          </cell>
          <cell r="GG23">
            <v>0</v>
          </cell>
          <cell r="GH23">
            <v>0</v>
          </cell>
          <cell r="GI23">
            <v>0</v>
          </cell>
          <cell r="GJ23">
            <v>0</v>
          </cell>
          <cell r="GK23">
            <v>0</v>
          </cell>
          <cell r="GL23">
            <v>0</v>
          </cell>
          <cell r="GM23">
            <v>0</v>
          </cell>
          <cell r="GN23">
            <v>0</v>
          </cell>
          <cell r="GO23">
            <v>0</v>
          </cell>
          <cell r="GP23">
            <v>0</v>
          </cell>
          <cell r="GQ23">
            <v>0</v>
          </cell>
          <cell r="GR23">
            <v>0</v>
          </cell>
          <cell r="GS23">
            <v>0</v>
          </cell>
          <cell r="GT23">
            <v>0</v>
          </cell>
          <cell r="GU23">
            <v>0</v>
          </cell>
          <cell r="GV23">
            <v>0</v>
          </cell>
          <cell r="GW23">
            <v>0</v>
          </cell>
          <cell r="GX23">
            <v>0</v>
          </cell>
          <cell r="GY23">
            <v>0</v>
          </cell>
          <cell r="GZ23">
            <v>0</v>
          </cell>
          <cell r="HA23">
            <v>0</v>
          </cell>
          <cell r="HB23">
            <v>0</v>
          </cell>
          <cell r="HC23">
            <v>0</v>
          </cell>
          <cell r="HD23">
            <v>0</v>
          </cell>
          <cell r="HE23">
            <v>0</v>
          </cell>
          <cell r="HF23">
            <v>0</v>
          </cell>
          <cell r="HG23">
            <v>0</v>
          </cell>
          <cell r="HH23">
            <v>0</v>
          </cell>
          <cell r="HI23">
            <v>0</v>
          </cell>
          <cell r="HJ23">
            <v>0</v>
          </cell>
          <cell r="HK23">
            <v>0</v>
          </cell>
          <cell r="HL23">
            <v>0</v>
          </cell>
          <cell r="HM23">
            <v>0</v>
          </cell>
          <cell r="HN23">
            <v>0</v>
          </cell>
          <cell r="HO23">
            <v>0</v>
          </cell>
          <cell r="HP23">
            <v>0</v>
          </cell>
          <cell r="HQ23">
            <v>0</v>
          </cell>
          <cell r="HR23">
            <v>0</v>
          </cell>
          <cell r="HS23">
            <v>0</v>
          </cell>
          <cell r="HT23">
            <v>0</v>
          </cell>
          <cell r="HU23">
            <v>0</v>
          </cell>
          <cell r="HV23">
            <v>0</v>
          </cell>
          <cell r="HW23">
            <v>0</v>
          </cell>
          <cell r="HX23">
            <v>0</v>
          </cell>
          <cell r="HY23">
            <v>0</v>
          </cell>
          <cell r="HZ23">
            <v>0</v>
          </cell>
          <cell r="IA23">
            <v>0</v>
          </cell>
          <cell r="IB23">
            <v>0</v>
          </cell>
          <cell r="IC23">
            <v>0</v>
          </cell>
          <cell r="ID23">
            <v>0</v>
          </cell>
          <cell r="IE23">
            <v>0</v>
          </cell>
          <cell r="IF23">
            <v>0</v>
          </cell>
          <cell r="IG23">
            <v>0</v>
          </cell>
          <cell r="IH23">
            <v>0</v>
          </cell>
          <cell r="II23">
            <v>0</v>
          </cell>
          <cell r="IJ23">
            <v>0</v>
          </cell>
          <cell r="IK23">
            <v>0</v>
          </cell>
          <cell r="IL23">
            <v>0</v>
          </cell>
          <cell r="IM23">
            <v>0</v>
          </cell>
          <cell r="IN23">
            <v>0</v>
          </cell>
          <cell r="IO23">
            <v>0</v>
          </cell>
          <cell r="IP23">
            <v>0</v>
          </cell>
          <cell r="IQ23">
            <v>0</v>
          </cell>
          <cell r="IR23">
            <v>0</v>
          </cell>
          <cell r="IS23">
            <v>0</v>
          </cell>
          <cell r="IT23">
            <v>0</v>
          </cell>
          <cell r="IU23">
            <v>0</v>
          </cell>
          <cell r="IV23">
            <v>0</v>
          </cell>
          <cell r="IW23">
            <v>0</v>
          </cell>
          <cell r="IX23">
            <v>0</v>
          </cell>
          <cell r="IY23">
            <v>0</v>
          </cell>
          <cell r="IZ23">
            <v>0</v>
          </cell>
          <cell r="JA23">
            <v>0</v>
          </cell>
          <cell r="JB23">
            <v>0</v>
          </cell>
          <cell r="JC23">
            <v>0</v>
          </cell>
          <cell r="JD23">
            <v>0</v>
          </cell>
          <cell r="JE23">
            <v>0</v>
          </cell>
          <cell r="JF23">
            <v>0</v>
          </cell>
          <cell r="JG23">
            <v>0</v>
          </cell>
          <cell r="JH23">
            <v>0</v>
          </cell>
          <cell r="JI23">
            <v>0</v>
          </cell>
          <cell r="JJ23">
            <v>0</v>
          </cell>
          <cell r="JK23">
            <v>0</v>
          </cell>
          <cell r="JL23">
            <v>0</v>
          </cell>
          <cell r="JM23">
            <v>0</v>
          </cell>
          <cell r="JN23">
            <v>0</v>
          </cell>
          <cell r="JO23">
            <v>0</v>
          </cell>
          <cell r="JP23">
            <v>0</v>
          </cell>
          <cell r="JQ23">
            <v>0</v>
          </cell>
          <cell r="JR23">
            <v>0</v>
          </cell>
          <cell r="JS23">
            <v>0</v>
          </cell>
          <cell r="JT23">
            <v>0</v>
          </cell>
          <cell r="JU23">
            <v>0</v>
          </cell>
          <cell r="JV23">
            <v>0</v>
          </cell>
          <cell r="JW23">
            <v>0</v>
          </cell>
          <cell r="JX23">
            <v>0</v>
          </cell>
          <cell r="JY23">
            <v>0</v>
          </cell>
          <cell r="JZ23">
            <v>0</v>
          </cell>
          <cell r="KA23">
            <v>0</v>
          </cell>
          <cell r="KB23">
            <v>0</v>
          </cell>
          <cell r="KC23">
            <v>0</v>
          </cell>
          <cell r="KD23">
            <v>0</v>
          </cell>
          <cell r="KE23">
            <v>0</v>
          </cell>
          <cell r="KF23">
            <v>0</v>
          </cell>
          <cell r="KG23">
            <v>0</v>
          </cell>
          <cell r="KH23">
            <v>0</v>
          </cell>
          <cell r="KI23">
            <v>0</v>
          </cell>
          <cell r="KJ23">
            <v>0</v>
          </cell>
          <cell r="KK23">
            <v>0</v>
          </cell>
          <cell r="KL23">
            <v>0</v>
          </cell>
          <cell r="KM23">
            <v>0</v>
          </cell>
          <cell r="KN23">
            <v>0</v>
          </cell>
          <cell r="KO23">
            <v>0</v>
          </cell>
          <cell r="KP23">
            <v>0</v>
          </cell>
          <cell r="KQ23">
            <v>0</v>
          </cell>
          <cell r="KR23">
            <v>0</v>
          </cell>
          <cell r="KS23">
            <v>0</v>
          </cell>
          <cell r="KT23">
            <v>0</v>
          </cell>
          <cell r="KU23">
            <v>0</v>
          </cell>
          <cell r="KV23">
            <v>0</v>
          </cell>
          <cell r="KW23">
            <v>0</v>
          </cell>
          <cell r="KX23">
            <v>0</v>
          </cell>
          <cell r="KY23">
            <v>0</v>
          </cell>
          <cell r="KZ23">
            <v>0</v>
          </cell>
          <cell r="LA23">
            <v>0</v>
          </cell>
          <cell r="LB23">
            <v>0</v>
          </cell>
          <cell r="LC23">
            <v>0</v>
          </cell>
          <cell r="LD23">
            <v>0</v>
          </cell>
          <cell r="LE23">
            <v>0</v>
          </cell>
          <cell r="LF23">
            <v>0</v>
          </cell>
          <cell r="LG23">
            <v>0</v>
          </cell>
          <cell r="LH23">
            <v>0</v>
          </cell>
          <cell r="LI23">
            <v>0</v>
          </cell>
          <cell r="LJ23">
            <v>0</v>
          </cell>
          <cell r="LK23">
            <v>0</v>
          </cell>
          <cell r="LL23">
            <v>0</v>
          </cell>
          <cell r="LM23">
            <v>0</v>
          </cell>
          <cell r="LN23">
            <v>0</v>
          </cell>
          <cell r="LO23">
            <v>0</v>
          </cell>
          <cell r="LP23">
            <v>0</v>
          </cell>
          <cell r="LQ23">
            <v>0</v>
          </cell>
          <cell r="LR23">
            <v>0</v>
          </cell>
          <cell r="LS23">
            <v>0</v>
          </cell>
          <cell r="LT23">
            <v>0</v>
          </cell>
          <cell r="LU23">
            <v>0</v>
          </cell>
          <cell r="LV23">
            <v>0</v>
          </cell>
          <cell r="LW23">
            <v>0</v>
          </cell>
          <cell r="LX23">
            <v>0</v>
          </cell>
          <cell r="LY23">
            <v>0</v>
          </cell>
          <cell r="LZ23">
            <v>0</v>
          </cell>
          <cell r="MA23">
            <v>0</v>
          </cell>
          <cell r="MB23">
            <v>0</v>
          </cell>
          <cell r="MC23">
            <v>0</v>
          </cell>
          <cell r="MD23">
            <v>0</v>
          </cell>
          <cell r="ME23">
            <v>0</v>
          </cell>
        </row>
        <row r="24"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L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Q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V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A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K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P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U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EZ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E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J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O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T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Y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D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I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N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S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X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C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H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M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R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W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B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G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L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Q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V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A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F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K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P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U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JZ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E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J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O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T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Y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D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I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N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S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X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C24">
            <v>0</v>
          </cell>
          <cell r="MD24">
            <v>0</v>
          </cell>
          <cell r="ME24">
            <v>0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R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L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Q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V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A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K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P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U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EZ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E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J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O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T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Y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D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I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N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S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X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C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H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M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R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W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B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G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L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Q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V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A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F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K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P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U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JZ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E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J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O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T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Y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D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I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N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S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X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C25">
            <v>0</v>
          </cell>
          <cell r="MD25">
            <v>0</v>
          </cell>
          <cell r="ME25">
            <v>0</v>
          </cell>
        </row>
        <row r="26"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L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Q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V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A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K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P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U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EZ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E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J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O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T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Y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D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I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N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S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X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C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H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M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R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W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B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G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L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Q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V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A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F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K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P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U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JZ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E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J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O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T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Y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D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I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N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S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X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C26">
            <v>0</v>
          </cell>
          <cell r="MD26">
            <v>0</v>
          </cell>
          <cell r="ME26">
            <v>0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C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R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L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Q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V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A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K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P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U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EZ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E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J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O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T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Y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D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I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N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S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X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C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H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M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R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W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B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G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L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Q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V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A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F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K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P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U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JZ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E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J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O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T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Y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D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I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N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S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X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C27">
            <v>0</v>
          </cell>
          <cell r="MD27">
            <v>0</v>
          </cell>
          <cell r="ME27">
            <v>0</v>
          </cell>
        </row>
        <row r="28"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R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L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Q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V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A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K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P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U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EZ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E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J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O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T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Y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D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I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N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S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X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C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H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M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R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W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B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G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L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Q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V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A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F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K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P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U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JZ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E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J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O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T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Y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D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I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N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S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X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C28">
            <v>0</v>
          </cell>
          <cell r="MD28">
            <v>0</v>
          </cell>
          <cell r="ME28">
            <v>0</v>
          </cell>
        </row>
        <row r="29"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R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L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Q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V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A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K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P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U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EZ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</v>
          </cell>
          <cell r="FF29">
            <v>0</v>
          </cell>
          <cell r="FG29">
            <v>0</v>
          </cell>
          <cell r="FH29">
            <v>0</v>
          </cell>
          <cell r="FI29">
            <v>0</v>
          </cell>
          <cell r="FJ29">
            <v>0</v>
          </cell>
          <cell r="FK29">
            <v>0</v>
          </cell>
          <cell r="FL29">
            <v>0</v>
          </cell>
          <cell r="FM29">
            <v>0</v>
          </cell>
          <cell r="FN29">
            <v>0</v>
          </cell>
          <cell r="FO29">
            <v>0</v>
          </cell>
          <cell r="FP29">
            <v>0</v>
          </cell>
          <cell r="FQ29">
            <v>0</v>
          </cell>
          <cell r="FR29">
            <v>0</v>
          </cell>
          <cell r="FS29">
            <v>0</v>
          </cell>
          <cell r="FT29">
            <v>0</v>
          </cell>
          <cell r="FU29">
            <v>0</v>
          </cell>
          <cell r="FV29">
            <v>0</v>
          </cell>
          <cell r="FW29">
            <v>0</v>
          </cell>
          <cell r="FX29">
            <v>0</v>
          </cell>
          <cell r="FY29">
            <v>0</v>
          </cell>
          <cell r="FZ29">
            <v>0</v>
          </cell>
          <cell r="GA29">
            <v>0</v>
          </cell>
          <cell r="GB29">
            <v>0</v>
          </cell>
          <cell r="GC29">
            <v>0</v>
          </cell>
          <cell r="GD29">
            <v>0</v>
          </cell>
          <cell r="GE29">
            <v>0</v>
          </cell>
          <cell r="GF29">
            <v>0</v>
          </cell>
          <cell r="GG29">
            <v>0</v>
          </cell>
          <cell r="GH29">
            <v>0</v>
          </cell>
          <cell r="GI29">
            <v>0</v>
          </cell>
          <cell r="GJ29">
            <v>0</v>
          </cell>
          <cell r="GK29">
            <v>0</v>
          </cell>
          <cell r="GL29">
            <v>0</v>
          </cell>
          <cell r="GM29">
            <v>0</v>
          </cell>
          <cell r="GN29">
            <v>0</v>
          </cell>
          <cell r="GO29">
            <v>0</v>
          </cell>
          <cell r="GP29">
            <v>0</v>
          </cell>
          <cell r="GQ29">
            <v>0</v>
          </cell>
          <cell r="GR29">
            <v>0</v>
          </cell>
          <cell r="GS29">
            <v>0</v>
          </cell>
          <cell r="GT29">
            <v>0</v>
          </cell>
          <cell r="GU29">
            <v>0</v>
          </cell>
          <cell r="GV29">
            <v>0</v>
          </cell>
          <cell r="GW29">
            <v>0</v>
          </cell>
          <cell r="GX29">
            <v>0</v>
          </cell>
          <cell r="GY29">
            <v>0</v>
          </cell>
          <cell r="GZ29">
            <v>0</v>
          </cell>
          <cell r="HA29">
            <v>0</v>
          </cell>
          <cell r="HB29">
            <v>0</v>
          </cell>
          <cell r="HC29">
            <v>0</v>
          </cell>
          <cell r="HD29">
            <v>0</v>
          </cell>
          <cell r="HE29">
            <v>0</v>
          </cell>
          <cell r="HF29">
            <v>0</v>
          </cell>
          <cell r="HG29">
            <v>0</v>
          </cell>
          <cell r="HH29">
            <v>0</v>
          </cell>
          <cell r="HI29">
            <v>0</v>
          </cell>
          <cell r="HJ29">
            <v>0</v>
          </cell>
          <cell r="HK29">
            <v>0</v>
          </cell>
          <cell r="HL29">
            <v>0</v>
          </cell>
          <cell r="HM29">
            <v>0</v>
          </cell>
          <cell r="HN29">
            <v>0</v>
          </cell>
          <cell r="HO29">
            <v>0</v>
          </cell>
          <cell r="HP29">
            <v>0</v>
          </cell>
          <cell r="HQ29">
            <v>0</v>
          </cell>
          <cell r="HR29">
            <v>0</v>
          </cell>
          <cell r="HS29">
            <v>0</v>
          </cell>
          <cell r="HT29">
            <v>0</v>
          </cell>
          <cell r="HU29">
            <v>0</v>
          </cell>
          <cell r="HV29">
            <v>0</v>
          </cell>
          <cell r="HW29">
            <v>0</v>
          </cell>
          <cell r="HX29">
            <v>0</v>
          </cell>
          <cell r="HY29">
            <v>0</v>
          </cell>
          <cell r="HZ29">
            <v>0</v>
          </cell>
          <cell r="IA29">
            <v>0</v>
          </cell>
          <cell r="IB29">
            <v>0</v>
          </cell>
          <cell r="IC29">
            <v>0</v>
          </cell>
          <cell r="ID29">
            <v>0</v>
          </cell>
          <cell r="IE29">
            <v>0</v>
          </cell>
          <cell r="IF29">
            <v>0</v>
          </cell>
          <cell r="IG29">
            <v>0</v>
          </cell>
          <cell r="IH29">
            <v>0</v>
          </cell>
          <cell r="II29">
            <v>0</v>
          </cell>
          <cell r="IJ29">
            <v>0</v>
          </cell>
          <cell r="IK29">
            <v>0</v>
          </cell>
          <cell r="IL29">
            <v>0</v>
          </cell>
          <cell r="IM29">
            <v>0</v>
          </cell>
          <cell r="IN29">
            <v>0</v>
          </cell>
          <cell r="IO29">
            <v>0</v>
          </cell>
          <cell r="IP29">
            <v>0</v>
          </cell>
          <cell r="IQ29">
            <v>0</v>
          </cell>
          <cell r="IR29">
            <v>0</v>
          </cell>
          <cell r="IS29">
            <v>0</v>
          </cell>
          <cell r="IT29">
            <v>0</v>
          </cell>
          <cell r="IU29">
            <v>0</v>
          </cell>
          <cell r="IV29">
            <v>0</v>
          </cell>
          <cell r="IW29">
            <v>0</v>
          </cell>
          <cell r="IX29">
            <v>0</v>
          </cell>
          <cell r="IY29">
            <v>0</v>
          </cell>
          <cell r="IZ29">
            <v>0</v>
          </cell>
          <cell r="JA29">
            <v>0</v>
          </cell>
          <cell r="JB29">
            <v>0</v>
          </cell>
          <cell r="JC29">
            <v>0</v>
          </cell>
          <cell r="JD29">
            <v>0</v>
          </cell>
          <cell r="JE29">
            <v>0</v>
          </cell>
          <cell r="JF29">
            <v>0</v>
          </cell>
          <cell r="JG29">
            <v>0</v>
          </cell>
          <cell r="JH29">
            <v>0</v>
          </cell>
          <cell r="JI29">
            <v>0</v>
          </cell>
          <cell r="JJ29">
            <v>0</v>
          </cell>
          <cell r="JK29">
            <v>0</v>
          </cell>
          <cell r="JL29">
            <v>0</v>
          </cell>
          <cell r="JM29">
            <v>0</v>
          </cell>
          <cell r="JN29">
            <v>0</v>
          </cell>
          <cell r="JO29">
            <v>0</v>
          </cell>
          <cell r="JP29">
            <v>0</v>
          </cell>
          <cell r="JQ29">
            <v>0</v>
          </cell>
          <cell r="JR29">
            <v>0</v>
          </cell>
          <cell r="JS29">
            <v>0</v>
          </cell>
          <cell r="JT29">
            <v>0</v>
          </cell>
          <cell r="JU29">
            <v>0</v>
          </cell>
          <cell r="JV29">
            <v>0</v>
          </cell>
          <cell r="JW29">
            <v>0</v>
          </cell>
          <cell r="JX29">
            <v>0</v>
          </cell>
          <cell r="JY29">
            <v>0</v>
          </cell>
          <cell r="JZ29">
            <v>0</v>
          </cell>
          <cell r="KA29">
            <v>0</v>
          </cell>
          <cell r="KB29">
            <v>0</v>
          </cell>
          <cell r="KC29">
            <v>0</v>
          </cell>
          <cell r="KD29">
            <v>0</v>
          </cell>
          <cell r="KE29">
            <v>0</v>
          </cell>
          <cell r="KF29">
            <v>0</v>
          </cell>
          <cell r="KG29">
            <v>0</v>
          </cell>
          <cell r="KH29">
            <v>0</v>
          </cell>
          <cell r="KI29">
            <v>0</v>
          </cell>
          <cell r="KJ29">
            <v>0</v>
          </cell>
          <cell r="KK29">
            <v>0</v>
          </cell>
          <cell r="KL29">
            <v>0</v>
          </cell>
          <cell r="KM29">
            <v>0</v>
          </cell>
          <cell r="KN29">
            <v>0</v>
          </cell>
          <cell r="KO29">
            <v>0</v>
          </cell>
          <cell r="KP29">
            <v>0</v>
          </cell>
          <cell r="KQ29">
            <v>0</v>
          </cell>
          <cell r="KR29">
            <v>0</v>
          </cell>
          <cell r="KS29">
            <v>0</v>
          </cell>
          <cell r="KT29">
            <v>0</v>
          </cell>
          <cell r="KU29">
            <v>0</v>
          </cell>
          <cell r="KV29">
            <v>0</v>
          </cell>
          <cell r="KW29">
            <v>0</v>
          </cell>
          <cell r="KX29">
            <v>0</v>
          </cell>
          <cell r="KY29">
            <v>0</v>
          </cell>
          <cell r="KZ29">
            <v>0</v>
          </cell>
          <cell r="LA29">
            <v>0</v>
          </cell>
          <cell r="LB29">
            <v>0</v>
          </cell>
          <cell r="LC29">
            <v>0</v>
          </cell>
          <cell r="LD29">
            <v>0</v>
          </cell>
          <cell r="LE29">
            <v>0</v>
          </cell>
          <cell r="LF29">
            <v>0</v>
          </cell>
          <cell r="LG29">
            <v>0</v>
          </cell>
          <cell r="LH29">
            <v>0</v>
          </cell>
          <cell r="LI29">
            <v>0</v>
          </cell>
          <cell r="LJ29">
            <v>0</v>
          </cell>
          <cell r="LK29">
            <v>0</v>
          </cell>
          <cell r="LL29">
            <v>0</v>
          </cell>
          <cell r="LM29">
            <v>0</v>
          </cell>
          <cell r="LN29">
            <v>0</v>
          </cell>
          <cell r="LO29">
            <v>0</v>
          </cell>
          <cell r="LP29">
            <v>0</v>
          </cell>
          <cell r="LQ29">
            <v>0</v>
          </cell>
          <cell r="LR29">
            <v>0</v>
          </cell>
          <cell r="LS29">
            <v>0</v>
          </cell>
          <cell r="LT29">
            <v>0</v>
          </cell>
          <cell r="LU29">
            <v>0</v>
          </cell>
          <cell r="LV29">
            <v>0</v>
          </cell>
          <cell r="LW29">
            <v>0</v>
          </cell>
          <cell r="LX29">
            <v>0</v>
          </cell>
          <cell r="LY29">
            <v>0</v>
          </cell>
          <cell r="LZ29">
            <v>0</v>
          </cell>
          <cell r="MA29">
            <v>0</v>
          </cell>
          <cell r="MB29">
            <v>0</v>
          </cell>
          <cell r="MC29">
            <v>0</v>
          </cell>
          <cell r="MD29">
            <v>0</v>
          </cell>
          <cell r="ME29">
            <v>0</v>
          </cell>
        </row>
        <row r="30"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L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Q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V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A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K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P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U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EZ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E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J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O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T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Y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D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I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N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S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X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C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H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M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R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W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B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G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L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Q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V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A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F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K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P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U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JZ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E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J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O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T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Y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D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I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N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S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X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C30">
            <v>0</v>
          </cell>
          <cell r="MD30">
            <v>0</v>
          </cell>
          <cell r="ME30">
            <v>0</v>
          </cell>
        </row>
      </sheetData>
      <sheetData sheetId="2">
        <row r="3">
          <cell r="D3">
            <v>0</v>
          </cell>
          <cell r="E3">
            <v>0</v>
          </cell>
        </row>
        <row r="3"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0</v>
          </cell>
          <cell r="BY3">
            <v>0</v>
          </cell>
          <cell r="BZ3">
            <v>0</v>
          </cell>
          <cell r="CA3">
            <v>0</v>
          </cell>
          <cell r="CB3">
            <v>0</v>
          </cell>
          <cell r="CC3">
            <v>0</v>
          </cell>
          <cell r="CD3">
            <v>0</v>
          </cell>
          <cell r="CE3">
            <v>0</v>
          </cell>
          <cell r="CF3">
            <v>0</v>
          </cell>
          <cell r="CG3">
            <v>0</v>
          </cell>
          <cell r="CH3">
            <v>0</v>
          </cell>
          <cell r="CI3">
            <v>0</v>
          </cell>
          <cell r="CJ3">
            <v>0</v>
          </cell>
          <cell r="CK3">
            <v>0</v>
          </cell>
          <cell r="CL3">
            <v>0</v>
          </cell>
          <cell r="CM3">
            <v>0</v>
          </cell>
          <cell r="CN3">
            <v>0</v>
          </cell>
          <cell r="CO3">
            <v>0</v>
          </cell>
          <cell r="CP3">
            <v>0</v>
          </cell>
          <cell r="CQ3">
            <v>0</v>
          </cell>
          <cell r="CR3">
            <v>0</v>
          </cell>
          <cell r="CS3">
            <v>0</v>
          </cell>
          <cell r="CT3">
            <v>0</v>
          </cell>
          <cell r="CU3">
            <v>0</v>
          </cell>
          <cell r="CV3">
            <v>0</v>
          </cell>
          <cell r="CW3">
            <v>0</v>
          </cell>
          <cell r="CX3">
            <v>0</v>
          </cell>
          <cell r="CY3">
            <v>0</v>
          </cell>
          <cell r="CZ3">
            <v>0</v>
          </cell>
          <cell r="DA3">
            <v>0</v>
          </cell>
          <cell r="DB3">
            <v>0</v>
          </cell>
          <cell r="DC3">
            <v>0</v>
          </cell>
          <cell r="DD3">
            <v>0</v>
          </cell>
          <cell r="DE3">
            <v>0</v>
          </cell>
          <cell r="DF3">
            <v>0</v>
          </cell>
          <cell r="DG3">
            <v>0</v>
          </cell>
          <cell r="DH3">
            <v>0</v>
          </cell>
          <cell r="DI3">
            <v>0</v>
          </cell>
          <cell r="DJ3">
            <v>0</v>
          </cell>
          <cell r="DK3">
            <v>0</v>
          </cell>
          <cell r="DL3">
            <v>0</v>
          </cell>
          <cell r="DM3">
            <v>0</v>
          </cell>
          <cell r="DN3">
            <v>0</v>
          </cell>
          <cell r="DO3">
            <v>0</v>
          </cell>
          <cell r="DP3">
            <v>0</v>
          </cell>
          <cell r="DQ3">
            <v>0</v>
          </cell>
          <cell r="DR3">
            <v>0</v>
          </cell>
          <cell r="DS3">
            <v>0</v>
          </cell>
          <cell r="DT3">
            <v>0</v>
          </cell>
          <cell r="DU3">
            <v>0</v>
          </cell>
          <cell r="DV3">
            <v>0</v>
          </cell>
          <cell r="DW3">
            <v>0</v>
          </cell>
          <cell r="DX3">
            <v>0</v>
          </cell>
          <cell r="DY3">
            <v>0</v>
          </cell>
          <cell r="DZ3">
            <v>0</v>
          </cell>
          <cell r="EA3">
            <v>0</v>
          </cell>
          <cell r="EB3">
            <v>0</v>
          </cell>
          <cell r="EC3">
            <v>0</v>
          </cell>
          <cell r="ED3">
            <v>0</v>
          </cell>
          <cell r="EE3">
            <v>0</v>
          </cell>
          <cell r="EF3">
            <v>0</v>
          </cell>
          <cell r="EG3">
            <v>0</v>
          </cell>
          <cell r="EH3">
            <v>0</v>
          </cell>
          <cell r="EI3">
            <v>0</v>
          </cell>
          <cell r="EJ3">
            <v>0</v>
          </cell>
          <cell r="EK3">
            <v>0</v>
          </cell>
          <cell r="EL3">
            <v>0</v>
          </cell>
          <cell r="EM3">
            <v>0</v>
          </cell>
          <cell r="EN3">
            <v>0</v>
          </cell>
          <cell r="EO3">
            <v>0</v>
          </cell>
          <cell r="EP3">
            <v>0</v>
          </cell>
          <cell r="EQ3">
            <v>0</v>
          </cell>
          <cell r="ER3">
            <v>0</v>
          </cell>
          <cell r="ES3">
            <v>0</v>
          </cell>
          <cell r="ET3">
            <v>0</v>
          </cell>
          <cell r="EU3">
            <v>0</v>
          </cell>
          <cell r="EV3">
            <v>0</v>
          </cell>
          <cell r="EW3">
            <v>0</v>
          </cell>
          <cell r="EX3">
            <v>0</v>
          </cell>
          <cell r="EY3">
            <v>0</v>
          </cell>
          <cell r="EZ3">
            <v>0</v>
          </cell>
          <cell r="FA3">
            <v>0</v>
          </cell>
          <cell r="FB3">
            <v>0</v>
          </cell>
          <cell r="FC3">
            <v>0</v>
          </cell>
          <cell r="FD3">
            <v>0</v>
          </cell>
          <cell r="FE3">
            <v>0</v>
          </cell>
          <cell r="FF3">
            <v>0</v>
          </cell>
          <cell r="FG3">
            <v>0</v>
          </cell>
          <cell r="FH3">
            <v>0</v>
          </cell>
          <cell r="FI3">
            <v>0</v>
          </cell>
          <cell r="FJ3">
            <v>0</v>
          </cell>
          <cell r="FK3">
            <v>0</v>
          </cell>
          <cell r="FL3">
            <v>0</v>
          </cell>
          <cell r="FM3">
            <v>0</v>
          </cell>
          <cell r="FN3">
            <v>0</v>
          </cell>
          <cell r="FO3">
            <v>0</v>
          </cell>
          <cell r="FP3">
            <v>0</v>
          </cell>
          <cell r="FQ3">
            <v>0</v>
          </cell>
          <cell r="FR3">
            <v>0</v>
          </cell>
          <cell r="FS3">
            <v>0</v>
          </cell>
          <cell r="FT3">
            <v>0</v>
          </cell>
          <cell r="FU3">
            <v>0</v>
          </cell>
          <cell r="FV3">
            <v>0</v>
          </cell>
          <cell r="FW3">
            <v>0</v>
          </cell>
          <cell r="FX3">
            <v>0</v>
          </cell>
          <cell r="FY3">
            <v>0</v>
          </cell>
          <cell r="FZ3">
            <v>0</v>
          </cell>
          <cell r="GA3">
            <v>0</v>
          </cell>
          <cell r="GB3">
            <v>0</v>
          </cell>
          <cell r="GC3">
            <v>0</v>
          </cell>
          <cell r="GD3">
            <v>0</v>
          </cell>
          <cell r="GE3">
            <v>0</v>
          </cell>
          <cell r="GF3">
            <v>0</v>
          </cell>
          <cell r="GG3">
            <v>0</v>
          </cell>
          <cell r="GH3">
            <v>0</v>
          </cell>
          <cell r="GI3">
            <v>0</v>
          </cell>
          <cell r="GJ3">
            <v>0</v>
          </cell>
          <cell r="GK3">
            <v>0</v>
          </cell>
          <cell r="GL3">
            <v>0</v>
          </cell>
          <cell r="GM3">
            <v>0</v>
          </cell>
          <cell r="GN3">
            <v>0</v>
          </cell>
          <cell r="GO3">
            <v>0</v>
          </cell>
          <cell r="GP3">
            <v>0</v>
          </cell>
          <cell r="GQ3">
            <v>0</v>
          </cell>
          <cell r="GR3">
            <v>0</v>
          </cell>
          <cell r="GS3">
            <v>0</v>
          </cell>
          <cell r="GT3">
            <v>0</v>
          </cell>
          <cell r="GU3">
            <v>0</v>
          </cell>
          <cell r="GV3">
            <v>0</v>
          </cell>
          <cell r="GW3">
            <v>0</v>
          </cell>
          <cell r="GX3">
            <v>0</v>
          </cell>
          <cell r="GY3">
            <v>0</v>
          </cell>
          <cell r="GZ3">
            <v>0</v>
          </cell>
          <cell r="HA3">
            <v>0</v>
          </cell>
          <cell r="HB3">
            <v>0</v>
          </cell>
          <cell r="HC3">
            <v>0</v>
          </cell>
          <cell r="HD3">
            <v>0</v>
          </cell>
          <cell r="HE3">
            <v>0</v>
          </cell>
          <cell r="HF3">
            <v>0</v>
          </cell>
          <cell r="HG3">
            <v>0</v>
          </cell>
          <cell r="HH3">
            <v>0</v>
          </cell>
          <cell r="HI3">
            <v>0</v>
          </cell>
          <cell r="HJ3">
            <v>0</v>
          </cell>
          <cell r="HK3">
            <v>0</v>
          </cell>
          <cell r="HL3">
            <v>0</v>
          </cell>
          <cell r="HM3">
            <v>0</v>
          </cell>
          <cell r="HN3">
            <v>0</v>
          </cell>
          <cell r="HO3">
            <v>0</v>
          </cell>
          <cell r="HP3">
            <v>0</v>
          </cell>
          <cell r="HQ3">
            <v>0</v>
          </cell>
          <cell r="HR3">
            <v>0</v>
          </cell>
          <cell r="HS3">
            <v>0</v>
          </cell>
          <cell r="HT3">
            <v>0</v>
          </cell>
          <cell r="HU3">
            <v>0</v>
          </cell>
          <cell r="HV3">
            <v>0</v>
          </cell>
          <cell r="HW3">
            <v>0</v>
          </cell>
          <cell r="HX3">
            <v>0</v>
          </cell>
          <cell r="HY3">
            <v>0</v>
          </cell>
          <cell r="HZ3">
            <v>0</v>
          </cell>
          <cell r="IA3">
            <v>0</v>
          </cell>
          <cell r="IB3">
            <v>0</v>
          </cell>
          <cell r="IC3">
            <v>0</v>
          </cell>
          <cell r="ID3">
            <v>0</v>
          </cell>
          <cell r="IE3">
            <v>0</v>
          </cell>
          <cell r="IF3">
            <v>0</v>
          </cell>
          <cell r="IG3">
            <v>0</v>
          </cell>
          <cell r="IH3">
            <v>0</v>
          </cell>
          <cell r="II3">
            <v>0</v>
          </cell>
          <cell r="IJ3">
            <v>0</v>
          </cell>
          <cell r="IK3">
            <v>0</v>
          </cell>
          <cell r="IL3">
            <v>0</v>
          </cell>
          <cell r="IM3">
            <v>0</v>
          </cell>
          <cell r="IN3">
            <v>0</v>
          </cell>
          <cell r="IO3">
            <v>0</v>
          </cell>
          <cell r="IP3">
            <v>0</v>
          </cell>
          <cell r="IQ3">
            <v>0</v>
          </cell>
          <cell r="IR3">
            <v>0</v>
          </cell>
          <cell r="IS3">
            <v>0</v>
          </cell>
          <cell r="IT3">
            <v>0</v>
          </cell>
          <cell r="IU3">
            <v>0</v>
          </cell>
          <cell r="IV3">
            <v>0</v>
          </cell>
          <cell r="IW3">
            <v>0</v>
          </cell>
          <cell r="IX3">
            <v>0</v>
          </cell>
          <cell r="IY3">
            <v>0</v>
          </cell>
          <cell r="IZ3">
            <v>0</v>
          </cell>
          <cell r="JA3">
            <v>0</v>
          </cell>
          <cell r="JB3">
            <v>0</v>
          </cell>
          <cell r="JC3">
            <v>0</v>
          </cell>
          <cell r="JD3">
            <v>0</v>
          </cell>
          <cell r="JE3">
            <v>0</v>
          </cell>
          <cell r="JF3">
            <v>0</v>
          </cell>
          <cell r="JG3">
            <v>0</v>
          </cell>
          <cell r="JH3">
            <v>0</v>
          </cell>
          <cell r="JI3">
            <v>0</v>
          </cell>
          <cell r="JJ3">
            <v>0</v>
          </cell>
          <cell r="JK3">
            <v>0</v>
          </cell>
          <cell r="JL3">
            <v>0</v>
          </cell>
          <cell r="JM3">
            <v>0</v>
          </cell>
          <cell r="JN3">
            <v>0</v>
          </cell>
          <cell r="JO3">
            <v>0</v>
          </cell>
          <cell r="JP3">
            <v>0</v>
          </cell>
          <cell r="JQ3">
            <v>0</v>
          </cell>
          <cell r="JR3">
            <v>0</v>
          </cell>
          <cell r="JS3">
            <v>0</v>
          </cell>
          <cell r="JT3">
            <v>0</v>
          </cell>
          <cell r="JU3">
            <v>0</v>
          </cell>
          <cell r="JV3">
            <v>0</v>
          </cell>
          <cell r="JW3">
            <v>0</v>
          </cell>
          <cell r="JX3">
            <v>0</v>
          </cell>
          <cell r="JY3">
            <v>0</v>
          </cell>
          <cell r="JZ3">
            <v>0</v>
          </cell>
          <cell r="KA3">
            <v>0</v>
          </cell>
          <cell r="KB3">
            <v>0</v>
          </cell>
          <cell r="KC3">
            <v>0</v>
          </cell>
          <cell r="KD3">
            <v>0</v>
          </cell>
          <cell r="KE3">
            <v>0</v>
          </cell>
          <cell r="KF3">
            <v>0</v>
          </cell>
          <cell r="KG3">
            <v>0</v>
          </cell>
          <cell r="KH3">
            <v>0</v>
          </cell>
          <cell r="KI3">
            <v>0</v>
          </cell>
          <cell r="KJ3">
            <v>0</v>
          </cell>
          <cell r="KK3">
            <v>0</v>
          </cell>
          <cell r="KL3">
            <v>0</v>
          </cell>
          <cell r="KM3">
            <v>0</v>
          </cell>
          <cell r="KN3">
            <v>0</v>
          </cell>
          <cell r="KO3">
            <v>0</v>
          </cell>
          <cell r="KP3">
            <v>0</v>
          </cell>
          <cell r="KQ3">
            <v>0</v>
          </cell>
          <cell r="KR3">
            <v>0</v>
          </cell>
          <cell r="KS3">
            <v>0</v>
          </cell>
          <cell r="KT3">
            <v>0</v>
          </cell>
          <cell r="KU3">
            <v>0</v>
          </cell>
          <cell r="KV3">
            <v>0</v>
          </cell>
          <cell r="KW3">
            <v>0</v>
          </cell>
          <cell r="KX3">
            <v>0</v>
          </cell>
          <cell r="KY3">
            <v>0</v>
          </cell>
          <cell r="KZ3">
            <v>0</v>
          </cell>
          <cell r="LA3">
            <v>0</v>
          </cell>
          <cell r="LB3">
            <v>0</v>
          </cell>
          <cell r="LC3">
            <v>0</v>
          </cell>
          <cell r="LD3">
            <v>0</v>
          </cell>
          <cell r="LE3">
            <v>0</v>
          </cell>
          <cell r="LF3">
            <v>0</v>
          </cell>
          <cell r="LG3">
            <v>0</v>
          </cell>
          <cell r="LH3">
            <v>0</v>
          </cell>
          <cell r="LI3">
            <v>0</v>
          </cell>
          <cell r="LJ3">
            <v>0</v>
          </cell>
          <cell r="LK3">
            <v>0</v>
          </cell>
          <cell r="LL3">
            <v>0</v>
          </cell>
          <cell r="LM3">
            <v>0</v>
          </cell>
          <cell r="LN3">
            <v>0</v>
          </cell>
          <cell r="LO3">
            <v>0</v>
          </cell>
          <cell r="LP3">
            <v>0</v>
          </cell>
          <cell r="LQ3">
            <v>0</v>
          </cell>
          <cell r="LR3">
            <v>0</v>
          </cell>
          <cell r="LS3">
            <v>0</v>
          </cell>
          <cell r="LT3">
            <v>0</v>
          </cell>
          <cell r="LU3">
            <v>0</v>
          </cell>
          <cell r="LV3">
            <v>0</v>
          </cell>
          <cell r="LW3">
            <v>0</v>
          </cell>
          <cell r="LX3">
            <v>0</v>
          </cell>
          <cell r="LY3">
            <v>0</v>
          </cell>
          <cell r="LZ3">
            <v>0</v>
          </cell>
          <cell r="MA3">
            <v>0</v>
          </cell>
          <cell r="MB3">
            <v>0</v>
          </cell>
          <cell r="MC3">
            <v>0</v>
          </cell>
          <cell r="MD3">
            <v>0</v>
          </cell>
          <cell r="ME3">
            <v>0</v>
          </cell>
        </row>
        <row r="4"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H4">
            <v>0</v>
          </cell>
          <cell r="DI4">
            <v>0</v>
          </cell>
          <cell r="DJ4">
            <v>0</v>
          </cell>
          <cell r="DK4">
            <v>0</v>
          </cell>
          <cell r="DL4">
            <v>0</v>
          </cell>
          <cell r="DM4">
            <v>0</v>
          </cell>
          <cell r="DN4">
            <v>0</v>
          </cell>
          <cell r="DO4">
            <v>0</v>
          </cell>
          <cell r="DP4">
            <v>0</v>
          </cell>
          <cell r="DQ4">
            <v>0</v>
          </cell>
          <cell r="DR4">
            <v>0</v>
          </cell>
          <cell r="DS4">
            <v>0</v>
          </cell>
          <cell r="DT4">
            <v>0</v>
          </cell>
          <cell r="DU4">
            <v>0</v>
          </cell>
          <cell r="DV4">
            <v>0</v>
          </cell>
          <cell r="DW4">
            <v>0</v>
          </cell>
          <cell r="DX4">
            <v>0</v>
          </cell>
          <cell r="DY4">
            <v>0</v>
          </cell>
          <cell r="DZ4">
            <v>0</v>
          </cell>
          <cell r="EA4">
            <v>0</v>
          </cell>
          <cell r="EB4">
            <v>0</v>
          </cell>
          <cell r="EC4">
            <v>0</v>
          </cell>
          <cell r="ED4">
            <v>0</v>
          </cell>
          <cell r="EE4">
            <v>0</v>
          </cell>
          <cell r="EF4">
            <v>0</v>
          </cell>
          <cell r="EG4">
            <v>0</v>
          </cell>
          <cell r="EH4">
            <v>0</v>
          </cell>
          <cell r="EI4">
            <v>0</v>
          </cell>
          <cell r="EJ4">
            <v>0</v>
          </cell>
          <cell r="EK4">
            <v>0</v>
          </cell>
          <cell r="EL4">
            <v>0</v>
          </cell>
          <cell r="EM4">
            <v>0</v>
          </cell>
          <cell r="EN4">
            <v>0</v>
          </cell>
          <cell r="EO4">
            <v>0</v>
          </cell>
          <cell r="EP4">
            <v>0</v>
          </cell>
          <cell r="EQ4">
            <v>0</v>
          </cell>
          <cell r="ER4">
            <v>0</v>
          </cell>
          <cell r="ES4">
            <v>0</v>
          </cell>
          <cell r="ET4">
            <v>0</v>
          </cell>
          <cell r="EU4">
            <v>0</v>
          </cell>
          <cell r="EV4">
            <v>0</v>
          </cell>
          <cell r="EW4">
            <v>0</v>
          </cell>
          <cell r="EX4">
            <v>0</v>
          </cell>
          <cell r="EY4">
            <v>0</v>
          </cell>
          <cell r="EZ4">
            <v>0</v>
          </cell>
          <cell r="FA4">
            <v>0</v>
          </cell>
          <cell r="FB4">
            <v>0</v>
          </cell>
          <cell r="FC4">
            <v>0</v>
          </cell>
          <cell r="FD4">
            <v>0</v>
          </cell>
          <cell r="FE4">
            <v>0</v>
          </cell>
          <cell r="FF4">
            <v>0</v>
          </cell>
          <cell r="FG4">
            <v>0</v>
          </cell>
          <cell r="FH4">
            <v>0</v>
          </cell>
          <cell r="FI4">
            <v>0</v>
          </cell>
          <cell r="FJ4">
            <v>0</v>
          </cell>
          <cell r="FK4">
            <v>0</v>
          </cell>
          <cell r="FL4">
            <v>0</v>
          </cell>
          <cell r="FM4">
            <v>0</v>
          </cell>
          <cell r="FN4">
            <v>0</v>
          </cell>
          <cell r="FO4">
            <v>0</v>
          </cell>
          <cell r="FP4">
            <v>0</v>
          </cell>
          <cell r="FQ4">
            <v>0</v>
          </cell>
          <cell r="FR4">
            <v>0</v>
          </cell>
          <cell r="FS4">
            <v>0</v>
          </cell>
          <cell r="FT4">
            <v>0</v>
          </cell>
          <cell r="FU4">
            <v>0</v>
          </cell>
          <cell r="FV4">
            <v>0</v>
          </cell>
          <cell r="FW4">
            <v>0</v>
          </cell>
          <cell r="FX4">
            <v>0</v>
          </cell>
          <cell r="FY4">
            <v>0</v>
          </cell>
          <cell r="FZ4">
            <v>0</v>
          </cell>
          <cell r="GA4">
            <v>0</v>
          </cell>
          <cell r="GB4">
            <v>0</v>
          </cell>
          <cell r="GC4">
            <v>0</v>
          </cell>
          <cell r="GD4">
            <v>0</v>
          </cell>
          <cell r="GE4">
            <v>0</v>
          </cell>
          <cell r="GF4">
            <v>0</v>
          </cell>
          <cell r="GG4">
            <v>0</v>
          </cell>
          <cell r="GH4">
            <v>0</v>
          </cell>
          <cell r="GI4">
            <v>0</v>
          </cell>
          <cell r="GJ4">
            <v>0</v>
          </cell>
          <cell r="GK4">
            <v>0</v>
          </cell>
          <cell r="GL4">
            <v>0</v>
          </cell>
          <cell r="GM4">
            <v>0</v>
          </cell>
          <cell r="GN4">
            <v>0</v>
          </cell>
          <cell r="GO4">
            <v>0</v>
          </cell>
          <cell r="GP4">
            <v>0</v>
          </cell>
          <cell r="GQ4">
            <v>0</v>
          </cell>
          <cell r="GR4">
            <v>0</v>
          </cell>
          <cell r="GS4">
            <v>0</v>
          </cell>
          <cell r="GT4">
            <v>0</v>
          </cell>
          <cell r="GU4">
            <v>0</v>
          </cell>
          <cell r="GV4">
            <v>0</v>
          </cell>
          <cell r="GW4">
            <v>0</v>
          </cell>
          <cell r="GX4">
            <v>0</v>
          </cell>
          <cell r="GY4">
            <v>0</v>
          </cell>
          <cell r="GZ4">
            <v>0</v>
          </cell>
          <cell r="HA4">
            <v>0</v>
          </cell>
          <cell r="HB4">
            <v>0</v>
          </cell>
          <cell r="HC4">
            <v>0</v>
          </cell>
          <cell r="HD4">
            <v>0</v>
          </cell>
          <cell r="HE4">
            <v>0</v>
          </cell>
          <cell r="HF4">
            <v>0</v>
          </cell>
          <cell r="HG4">
            <v>0</v>
          </cell>
          <cell r="HH4">
            <v>0</v>
          </cell>
          <cell r="HI4">
            <v>0</v>
          </cell>
          <cell r="HJ4">
            <v>0</v>
          </cell>
          <cell r="HK4">
            <v>0</v>
          </cell>
          <cell r="HL4">
            <v>0</v>
          </cell>
          <cell r="HM4">
            <v>0</v>
          </cell>
          <cell r="HN4">
            <v>0</v>
          </cell>
          <cell r="HO4">
            <v>0</v>
          </cell>
          <cell r="HP4">
            <v>0</v>
          </cell>
          <cell r="HQ4">
            <v>0</v>
          </cell>
          <cell r="HR4">
            <v>0</v>
          </cell>
          <cell r="HS4">
            <v>0</v>
          </cell>
          <cell r="HT4">
            <v>0</v>
          </cell>
          <cell r="HU4">
            <v>0</v>
          </cell>
          <cell r="HV4">
            <v>0</v>
          </cell>
          <cell r="HW4">
            <v>0</v>
          </cell>
          <cell r="HX4">
            <v>0</v>
          </cell>
          <cell r="HY4">
            <v>0</v>
          </cell>
          <cell r="HZ4">
            <v>0</v>
          </cell>
          <cell r="IA4">
            <v>0</v>
          </cell>
          <cell r="IB4">
            <v>0</v>
          </cell>
          <cell r="IC4">
            <v>0</v>
          </cell>
          <cell r="ID4">
            <v>0</v>
          </cell>
          <cell r="IE4">
            <v>0</v>
          </cell>
          <cell r="IF4">
            <v>0</v>
          </cell>
          <cell r="IG4">
            <v>0</v>
          </cell>
          <cell r="IH4">
            <v>0</v>
          </cell>
          <cell r="II4">
            <v>0</v>
          </cell>
          <cell r="IJ4">
            <v>0</v>
          </cell>
          <cell r="IK4">
            <v>0</v>
          </cell>
          <cell r="IL4">
            <v>0</v>
          </cell>
          <cell r="IM4">
            <v>0</v>
          </cell>
          <cell r="IN4">
            <v>0</v>
          </cell>
          <cell r="IO4">
            <v>0</v>
          </cell>
          <cell r="IP4">
            <v>0</v>
          </cell>
          <cell r="IQ4">
            <v>0</v>
          </cell>
          <cell r="IR4">
            <v>0</v>
          </cell>
          <cell r="IS4">
            <v>0</v>
          </cell>
          <cell r="IT4">
            <v>0</v>
          </cell>
          <cell r="IU4">
            <v>0</v>
          </cell>
          <cell r="IV4">
            <v>0</v>
          </cell>
          <cell r="IW4">
            <v>0</v>
          </cell>
          <cell r="IX4">
            <v>0</v>
          </cell>
          <cell r="IY4">
            <v>0</v>
          </cell>
          <cell r="IZ4">
            <v>0</v>
          </cell>
          <cell r="JA4">
            <v>0</v>
          </cell>
          <cell r="JB4">
            <v>0</v>
          </cell>
          <cell r="JC4">
            <v>0</v>
          </cell>
          <cell r="JD4">
            <v>0</v>
          </cell>
          <cell r="JE4">
            <v>0</v>
          </cell>
          <cell r="JF4">
            <v>0</v>
          </cell>
          <cell r="JG4">
            <v>0</v>
          </cell>
          <cell r="JH4">
            <v>0</v>
          </cell>
          <cell r="JI4">
            <v>0</v>
          </cell>
          <cell r="JJ4">
            <v>0</v>
          </cell>
          <cell r="JK4">
            <v>0</v>
          </cell>
          <cell r="JL4">
            <v>0</v>
          </cell>
          <cell r="JM4">
            <v>0</v>
          </cell>
          <cell r="JN4">
            <v>0</v>
          </cell>
          <cell r="JO4">
            <v>0</v>
          </cell>
          <cell r="JP4">
            <v>0</v>
          </cell>
          <cell r="JQ4">
            <v>0</v>
          </cell>
          <cell r="JR4">
            <v>0</v>
          </cell>
          <cell r="JS4">
            <v>0</v>
          </cell>
          <cell r="JT4">
            <v>0</v>
          </cell>
          <cell r="JU4">
            <v>0</v>
          </cell>
          <cell r="JV4">
            <v>0</v>
          </cell>
          <cell r="JW4">
            <v>0</v>
          </cell>
          <cell r="JX4">
            <v>0</v>
          </cell>
          <cell r="JY4">
            <v>0</v>
          </cell>
          <cell r="JZ4">
            <v>0</v>
          </cell>
          <cell r="KA4">
            <v>0</v>
          </cell>
          <cell r="KB4">
            <v>0</v>
          </cell>
          <cell r="KC4">
            <v>0</v>
          </cell>
          <cell r="KD4">
            <v>0</v>
          </cell>
          <cell r="KE4">
            <v>0</v>
          </cell>
          <cell r="KF4">
            <v>0</v>
          </cell>
          <cell r="KG4">
            <v>0</v>
          </cell>
          <cell r="KH4">
            <v>0</v>
          </cell>
          <cell r="KI4">
            <v>0</v>
          </cell>
          <cell r="KJ4">
            <v>0</v>
          </cell>
          <cell r="KK4">
            <v>0</v>
          </cell>
          <cell r="KL4">
            <v>0</v>
          </cell>
          <cell r="KM4">
            <v>0</v>
          </cell>
          <cell r="KN4">
            <v>0</v>
          </cell>
          <cell r="KO4">
            <v>0</v>
          </cell>
          <cell r="KP4">
            <v>0</v>
          </cell>
          <cell r="KQ4">
            <v>0</v>
          </cell>
          <cell r="KR4">
            <v>0</v>
          </cell>
          <cell r="KS4">
            <v>0</v>
          </cell>
          <cell r="KT4">
            <v>0</v>
          </cell>
          <cell r="KU4">
            <v>0</v>
          </cell>
          <cell r="KV4">
            <v>0</v>
          </cell>
          <cell r="KW4">
            <v>0</v>
          </cell>
          <cell r="KX4">
            <v>0</v>
          </cell>
          <cell r="KY4">
            <v>0</v>
          </cell>
          <cell r="KZ4">
            <v>0</v>
          </cell>
          <cell r="LA4">
            <v>0</v>
          </cell>
          <cell r="LB4">
            <v>0</v>
          </cell>
          <cell r="LC4">
            <v>0</v>
          </cell>
          <cell r="LD4">
            <v>0</v>
          </cell>
          <cell r="LE4">
            <v>0</v>
          </cell>
          <cell r="LF4">
            <v>0</v>
          </cell>
          <cell r="LG4">
            <v>0</v>
          </cell>
          <cell r="LH4">
            <v>0</v>
          </cell>
          <cell r="LI4">
            <v>0</v>
          </cell>
          <cell r="LJ4">
            <v>0</v>
          </cell>
          <cell r="LK4">
            <v>0</v>
          </cell>
          <cell r="LL4">
            <v>0</v>
          </cell>
          <cell r="LM4">
            <v>0</v>
          </cell>
          <cell r="LN4">
            <v>0</v>
          </cell>
          <cell r="LO4">
            <v>0</v>
          </cell>
          <cell r="LP4">
            <v>0</v>
          </cell>
          <cell r="LQ4">
            <v>0</v>
          </cell>
          <cell r="LR4">
            <v>0</v>
          </cell>
          <cell r="LS4">
            <v>0</v>
          </cell>
          <cell r="LT4">
            <v>0</v>
          </cell>
          <cell r="LU4">
            <v>0</v>
          </cell>
          <cell r="LV4">
            <v>0</v>
          </cell>
          <cell r="LW4">
            <v>0</v>
          </cell>
          <cell r="LX4">
            <v>0</v>
          </cell>
          <cell r="LY4">
            <v>0</v>
          </cell>
          <cell r="LZ4">
            <v>0</v>
          </cell>
          <cell r="MA4">
            <v>0</v>
          </cell>
          <cell r="MB4">
            <v>0</v>
          </cell>
          <cell r="MC4">
            <v>0</v>
          </cell>
          <cell r="MD4">
            <v>0</v>
          </cell>
          <cell r="ME4">
            <v>0</v>
          </cell>
        </row>
        <row r="5"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0</v>
          </cell>
          <cell r="BY5">
            <v>0</v>
          </cell>
          <cell r="BZ5">
            <v>0</v>
          </cell>
          <cell r="CA5">
            <v>0</v>
          </cell>
          <cell r="CB5">
            <v>0</v>
          </cell>
          <cell r="CC5">
            <v>0</v>
          </cell>
          <cell r="CD5">
            <v>0</v>
          </cell>
          <cell r="CE5">
            <v>0</v>
          </cell>
          <cell r="CF5">
            <v>0</v>
          </cell>
          <cell r="CG5">
            <v>0</v>
          </cell>
          <cell r="CH5">
            <v>0</v>
          </cell>
          <cell r="CI5">
            <v>0</v>
          </cell>
          <cell r="CJ5">
            <v>0</v>
          </cell>
          <cell r="CK5">
            <v>0</v>
          </cell>
          <cell r="CL5">
            <v>0</v>
          </cell>
          <cell r="CM5">
            <v>0</v>
          </cell>
          <cell r="CN5">
            <v>0</v>
          </cell>
          <cell r="CO5">
            <v>0</v>
          </cell>
          <cell r="CP5">
            <v>0</v>
          </cell>
          <cell r="CQ5">
            <v>0</v>
          </cell>
          <cell r="CR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I5">
            <v>0</v>
          </cell>
          <cell r="DJ5">
            <v>0</v>
          </cell>
          <cell r="DK5">
            <v>0</v>
          </cell>
          <cell r="DL5">
            <v>0</v>
          </cell>
          <cell r="DM5">
            <v>0</v>
          </cell>
          <cell r="DN5">
            <v>0</v>
          </cell>
          <cell r="DO5">
            <v>0</v>
          </cell>
          <cell r="DP5">
            <v>0</v>
          </cell>
          <cell r="DQ5">
            <v>0</v>
          </cell>
          <cell r="DR5">
            <v>0</v>
          </cell>
          <cell r="DS5">
            <v>0</v>
          </cell>
          <cell r="DT5">
            <v>0</v>
          </cell>
          <cell r="DU5">
            <v>0</v>
          </cell>
          <cell r="DV5">
            <v>0</v>
          </cell>
          <cell r="DW5">
            <v>0</v>
          </cell>
          <cell r="DX5">
            <v>0</v>
          </cell>
          <cell r="DY5">
            <v>0</v>
          </cell>
          <cell r="DZ5">
            <v>0</v>
          </cell>
          <cell r="EA5">
            <v>0</v>
          </cell>
          <cell r="EB5">
            <v>0</v>
          </cell>
          <cell r="EC5">
            <v>0</v>
          </cell>
          <cell r="ED5">
            <v>0</v>
          </cell>
          <cell r="EE5">
            <v>0</v>
          </cell>
          <cell r="EF5">
            <v>0</v>
          </cell>
          <cell r="EG5">
            <v>0</v>
          </cell>
          <cell r="EH5">
            <v>0</v>
          </cell>
          <cell r="EI5">
            <v>0</v>
          </cell>
          <cell r="EJ5">
            <v>0</v>
          </cell>
          <cell r="EK5">
            <v>0</v>
          </cell>
          <cell r="EL5">
            <v>0</v>
          </cell>
          <cell r="EM5">
            <v>0</v>
          </cell>
          <cell r="EN5">
            <v>0</v>
          </cell>
          <cell r="EO5">
            <v>0</v>
          </cell>
          <cell r="EP5">
            <v>0</v>
          </cell>
          <cell r="EQ5">
            <v>0</v>
          </cell>
          <cell r="ER5">
            <v>0</v>
          </cell>
          <cell r="ES5">
            <v>0</v>
          </cell>
          <cell r="ET5">
            <v>0</v>
          </cell>
          <cell r="EU5">
            <v>0</v>
          </cell>
          <cell r="EV5">
            <v>0</v>
          </cell>
          <cell r="EW5">
            <v>0</v>
          </cell>
          <cell r="EX5">
            <v>0</v>
          </cell>
          <cell r="EY5">
            <v>0</v>
          </cell>
          <cell r="EZ5">
            <v>0</v>
          </cell>
          <cell r="FA5">
            <v>0</v>
          </cell>
          <cell r="FB5">
            <v>0</v>
          </cell>
          <cell r="FC5">
            <v>0</v>
          </cell>
          <cell r="FD5">
            <v>0</v>
          </cell>
          <cell r="FE5">
            <v>0</v>
          </cell>
          <cell r="FF5">
            <v>0</v>
          </cell>
          <cell r="FG5">
            <v>0</v>
          </cell>
          <cell r="FH5">
            <v>0</v>
          </cell>
          <cell r="FI5">
            <v>0</v>
          </cell>
          <cell r="FJ5">
            <v>0</v>
          </cell>
          <cell r="FK5">
            <v>0</v>
          </cell>
          <cell r="FL5">
            <v>0</v>
          </cell>
          <cell r="FM5">
            <v>0</v>
          </cell>
          <cell r="FN5">
            <v>0</v>
          </cell>
          <cell r="FO5">
            <v>0</v>
          </cell>
          <cell r="FP5">
            <v>0</v>
          </cell>
          <cell r="FQ5">
            <v>0</v>
          </cell>
          <cell r="FR5">
            <v>0</v>
          </cell>
          <cell r="FS5">
            <v>0</v>
          </cell>
          <cell r="FT5">
            <v>0</v>
          </cell>
          <cell r="FU5">
            <v>0</v>
          </cell>
          <cell r="FV5">
            <v>0</v>
          </cell>
          <cell r="FW5">
            <v>0</v>
          </cell>
          <cell r="FX5">
            <v>0</v>
          </cell>
          <cell r="FY5">
            <v>0</v>
          </cell>
          <cell r="FZ5">
            <v>0</v>
          </cell>
          <cell r="GA5">
            <v>0</v>
          </cell>
          <cell r="GB5">
            <v>0</v>
          </cell>
          <cell r="GC5">
            <v>0</v>
          </cell>
          <cell r="GD5">
            <v>0</v>
          </cell>
          <cell r="GE5">
            <v>0</v>
          </cell>
          <cell r="GF5">
            <v>0</v>
          </cell>
          <cell r="GG5">
            <v>0</v>
          </cell>
          <cell r="GH5">
            <v>0</v>
          </cell>
          <cell r="GI5">
            <v>0</v>
          </cell>
          <cell r="GJ5">
            <v>0</v>
          </cell>
          <cell r="GK5">
            <v>0</v>
          </cell>
          <cell r="GL5">
            <v>0</v>
          </cell>
          <cell r="GM5">
            <v>0</v>
          </cell>
          <cell r="GN5">
            <v>0</v>
          </cell>
          <cell r="GO5">
            <v>0</v>
          </cell>
          <cell r="GP5">
            <v>0</v>
          </cell>
          <cell r="GQ5">
            <v>0</v>
          </cell>
          <cell r="GR5">
            <v>0</v>
          </cell>
          <cell r="GS5">
            <v>0</v>
          </cell>
          <cell r="GT5">
            <v>0</v>
          </cell>
          <cell r="GU5">
            <v>0</v>
          </cell>
          <cell r="GV5">
            <v>0</v>
          </cell>
          <cell r="GW5">
            <v>0</v>
          </cell>
          <cell r="GX5">
            <v>0</v>
          </cell>
          <cell r="GY5">
            <v>0</v>
          </cell>
          <cell r="GZ5">
            <v>0</v>
          </cell>
          <cell r="HA5">
            <v>0</v>
          </cell>
          <cell r="HB5">
            <v>0</v>
          </cell>
          <cell r="HC5">
            <v>0</v>
          </cell>
          <cell r="HD5">
            <v>0</v>
          </cell>
          <cell r="HE5">
            <v>0</v>
          </cell>
          <cell r="HF5">
            <v>0</v>
          </cell>
          <cell r="HG5">
            <v>0</v>
          </cell>
          <cell r="HH5">
            <v>0</v>
          </cell>
          <cell r="HI5">
            <v>0</v>
          </cell>
          <cell r="HJ5">
            <v>0</v>
          </cell>
          <cell r="HK5">
            <v>0</v>
          </cell>
          <cell r="HL5">
            <v>0</v>
          </cell>
          <cell r="HM5">
            <v>0</v>
          </cell>
          <cell r="HN5">
            <v>0</v>
          </cell>
          <cell r="HO5">
            <v>0</v>
          </cell>
          <cell r="HP5">
            <v>0</v>
          </cell>
          <cell r="HQ5">
            <v>0</v>
          </cell>
          <cell r="HR5">
            <v>0</v>
          </cell>
          <cell r="HS5">
            <v>0</v>
          </cell>
          <cell r="HT5">
            <v>0</v>
          </cell>
          <cell r="HU5">
            <v>0</v>
          </cell>
          <cell r="HV5">
            <v>0</v>
          </cell>
          <cell r="HW5">
            <v>0</v>
          </cell>
          <cell r="HX5">
            <v>0</v>
          </cell>
          <cell r="HY5">
            <v>0</v>
          </cell>
          <cell r="HZ5">
            <v>0</v>
          </cell>
          <cell r="IA5">
            <v>0</v>
          </cell>
          <cell r="IB5">
            <v>0</v>
          </cell>
          <cell r="IC5">
            <v>0</v>
          </cell>
          <cell r="ID5">
            <v>0</v>
          </cell>
          <cell r="IE5">
            <v>0</v>
          </cell>
          <cell r="IF5">
            <v>0</v>
          </cell>
          <cell r="IG5">
            <v>0</v>
          </cell>
          <cell r="IH5">
            <v>0</v>
          </cell>
          <cell r="II5">
            <v>0</v>
          </cell>
          <cell r="IJ5">
            <v>0</v>
          </cell>
          <cell r="IK5">
            <v>0</v>
          </cell>
          <cell r="IL5">
            <v>0</v>
          </cell>
          <cell r="IM5">
            <v>0</v>
          </cell>
          <cell r="IN5">
            <v>0</v>
          </cell>
          <cell r="IO5">
            <v>0</v>
          </cell>
          <cell r="IP5">
            <v>0</v>
          </cell>
          <cell r="IQ5">
            <v>0</v>
          </cell>
          <cell r="IR5">
            <v>0</v>
          </cell>
          <cell r="IS5">
            <v>0</v>
          </cell>
          <cell r="IT5">
            <v>0</v>
          </cell>
          <cell r="IU5">
            <v>0</v>
          </cell>
          <cell r="IV5">
            <v>0</v>
          </cell>
          <cell r="IW5">
            <v>0</v>
          </cell>
          <cell r="IX5">
            <v>0</v>
          </cell>
          <cell r="IY5">
            <v>0</v>
          </cell>
          <cell r="IZ5">
            <v>0</v>
          </cell>
          <cell r="JA5">
            <v>0</v>
          </cell>
          <cell r="JB5">
            <v>0</v>
          </cell>
          <cell r="JC5">
            <v>0</v>
          </cell>
          <cell r="JD5">
            <v>0</v>
          </cell>
          <cell r="JE5">
            <v>0</v>
          </cell>
          <cell r="JF5">
            <v>0</v>
          </cell>
          <cell r="JG5">
            <v>0</v>
          </cell>
          <cell r="JH5">
            <v>0</v>
          </cell>
          <cell r="JI5">
            <v>0</v>
          </cell>
          <cell r="JJ5">
            <v>0</v>
          </cell>
          <cell r="JK5">
            <v>0</v>
          </cell>
          <cell r="JL5">
            <v>0</v>
          </cell>
          <cell r="JM5">
            <v>0</v>
          </cell>
          <cell r="JN5">
            <v>0</v>
          </cell>
          <cell r="JO5">
            <v>0</v>
          </cell>
          <cell r="JP5">
            <v>0</v>
          </cell>
          <cell r="JQ5">
            <v>0</v>
          </cell>
          <cell r="JR5">
            <v>0</v>
          </cell>
          <cell r="JS5">
            <v>0</v>
          </cell>
          <cell r="JT5">
            <v>0</v>
          </cell>
          <cell r="JU5">
            <v>0</v>
          </cell>
          <cell r="JV5">
            <v>0</v>
          </cell>
          <cell r="JW5">
            <v>0</v>
          </cell>
          <cell r="JX5">
            <v>0</v>
          </cell>
          <cell r="JY5">
            <v>0</v>
          </cell>
          <cell r="JZ5">
            <v>0</v>
          </cell>
          <cell r="KA5">
            <v>0</v>
          </cell>
          <cell r="KB5">
            <v>0</v>
          </cell>
          <cell r="KC5">
            <v>0</v>
          </cell>
          <cell r="KD5">
            <v>0</v>
          </cell>
          <cell r="KE5">
            <v>0</v>
          </cell>
          <cell r="KF5">
            <v>0</v>
          </cell>
          <cell r="KG5">
            <v>0</v>
          </cell>
          <cell r="KH5">
            <v>0</v>
          </cell>
          <cell r="KI5">
            <v>0</v>
          </cell>
          <cell r="KJ5">
            <v>0</v>
          </cell>
          <cell r="KK5">
            <v>0</v>
          </cell>
          <cell r="KL5">
            <v>0</v>
          </cell>
          <cell r="KM5">
            <v>0</v>
          </cell>
          <cell r="KN5">
            <v>0</v>
          </cell>
          <cell r="KO5">
            <v>0</v>
          </cell>
          <cell r="KP5">
            <v>0</v>
          </cell>
          <cell r="KQ5">
            <v>0</v>
          </cell>
          <cell r="KR5">
            <v>0</v>
          </cell>
          <cell r="KS5">
            <v>0</v>
          </cell>
          <cell r="KT5">
            <v>0</v>
          </cell>
          <cell r="KU5">
            <v>0</v>
          </cell>
          <cell r="KV5">
            <v>0</v>
          </cell>
          <cell r="KW5">
            <v>0</v>
          </cell>
          <cell r="KX5">
            <v>0</v>
          </cell>
          <cell r="KY5">
            <v>0</v>
          </cell>
          <cell r="KZ5">
            <v>0</v>
          </cell>
          <cell r="LA5">
            <v>0</v>
          </cell>
          <cell r="LB5">
            <v>0</v>
          </cell>
          <cell r="LC5">
            <v>0</v>
          </cell>
          <cell r="LD5">
            <v>0</v>
          </cell>
          <cell r="LE5">
            <v>0</v>
          </cell>
          <cell r="LF5">
            <v>0</v>
          </cell>
          <cell r="LG5">
            <v>0</v>
          </cell>
          <cell r="LH5">
            <v>0</v>
          </cell>
          <cell r="LI5">
            <v>0</v>
          </cell>
          <cell r="LJ5">
            <v>0</v>
          </cell>
          <cell r="LK5">
            <v>0</v>
          </cell>
          <cell r="LL5">
            <v>0</v>
          </cell>
          <cell r="LM5">
            <v>0</v>
          </cell>
          <cell r="LN5">
            <v>0</v>
          </cell>
          <cell r="LO5">
            <v>0</v>
          </cell>
          <cell r="LP5">
            <v>0</v>
          </cell>
          <cell r="LQ5">
            <v>0</v>
          </cell>
          <cell r="LR5">
            <v>0</v>
          </cell>
          <cell r="LS5">
            <v>0</v>
          </cell>
          <cell r="LT5">
            <v>0</v>
          </cell>
          <cell r="LU5">
            <v>0</v>
          </cell>
          <cell r="LV5">
            <v>0</v>
          </cell>
          <cell r="LW5">
            <v>0</v>
          </cell>
          <cell r="LX5">
            <v>0</v>
          </cell>
          <cell r="LY5">
            <v>0</v>
          </cell>
          <cell r="LZ5">
            <v>0</v>
          </cell>
          <cell r="MA5">
            <v>0</v>
          </cell>
          <cell r="MB5">
            <v>0</v>
          </cell>
          <cell r="MC5">
            <v>0</v>
          </cell>
          <cell r="MD5">
            <v>0</v>
          </cell>
          <cell r="ME5">
            <v>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  <cell r="CC6">
            <v>0</v>
          </cell>
          <cell r="CD6">
            <v>0</v>
          </cell>
          <cell r="CE6">
            <v>0</v>
          </cell>
          <cell r="CF6">
            <v>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>
            <v>0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I6">
            <v>0</v>
          </cell>
          <cell r="DJ6">
            <v>0</v>
          </cell>
          <cell r="DK6">
            <v>0</v>
          </cell>
          <cell r="DL6">
            <v>0</v>
          </cell>
          <cell r="DM6">
            <v>0</v>
          </cell>
          <cell r="DN6">
            <v>0</v>
          </cell>
          <cell r="DO6">
            <v>0</v>
          </cell>
          <cell r="DP6">
            <v>0</v>
          </cell>
          <cell r="DQ6">
            <v>0</v>
          </cell>
          <cell r="DR6">
            <v>0</v>
          </cell>
          <cell r="DS6">
            <v>0</v>
          </cell>
          <cell r="DT6">
            <v>0</v>
          </cell>
          <cell r="DU6">
            <v>0</v>
          </cell>
          <cell r="DV6">
            <v>0</v>
          </cell>
          <cell r="DW6">
            <v>0</v>
          </cell>
          <cell r="DX6">
            <v>0</v>
          </cell>
          <cell r="DY6">
            <v>0</v>
          </cell>
          <cell r="DZ6">
            <v>0</v>
          </cell>
          <cell r="EA6">
            <v>0</v>
          </cell>
          <cell r="EB6">
            <v>0</v>
          </cell>
          <cell r="EC6">
            <v>0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</v>
          </cell>
          <cell r="EK6">
            <v>0</v>
          </cell>
          <cell r="EL6">
            <v>0</v>
          </cell>
          <cell r="EM6">
            <v>0</v>
          </cell>
          <cell r="EN6">
            <v>0</v>
          </cell>
          <cell r="EO6">
            <v>0</v>
          </cell>
          <cell r="EP6">
            <v>0</v>
          </cell>
          <cell r="EQ6">
            <v>0</v>
          </cell>
          <cell r="ER6">
            <v>0</v>
          </cell>
          <cell r="ES6">
            <v>0</v>
          </cell>
          <cell r="ET6">
            <v>0</v>
          </cell>
          <cell r="EU6">
            <v>0</v>
          </cell>
          <cell r="EV6">
            <v>0</v>
          </cell>
          <cell r="EW6">
            <v>0</v>
          </cell>
          <cell r="EX6">
            <v>0</v>
          </cell>
          <cell r="EY6">
            <v>0</v>
          </cell>
          <cell r="EZ6">
            <v>0</v>
          </cell>
          <cell r="FA6">
            <v>0</v>
          </cell>
          <cell r="FB6">
            <v>0</v>
          </cell>
          <cell r="FC6">
            <v>0</v>
          </cell>
          <cell r="FD6">
            <v>0</v>
          </cell>
          <cell r="FE6">
            <v>0</v>
          </cell>
          <cell r="FF6">
            <v>0</v>
          </cell>
          <cell r="FG6">
            <v>0</v>
          </cell>
          <cell r="FH6">
            <v>0</v>
          </cell>
          <cell r="FI6">
            <v>0</v>
          </cell>
          <cell r="FJ6">
            <v>0</v>
          </cell>
          <cell r="FK6">
            <v>0</v>
          </cell>
          <cell r="FL6">
            <v>0</v>
          </cell>
          <cell r="FM6">
            <v>0</v>
          </cell>
          <cell r="FN6">
            <v>0</v>
          </cell>
          <cell r="FO6">
            <v>0</v>
          </cell>
          <cell r="FP6">
            <v>0</v>
          </cell>
          <cell r="FQ6">
            <v>0</v>
          </cell>
          <cell r="FR6">
            <v>0</v>
          </cell>
          <cell r="FS6">
            <v>0</v>
          </cell>
          <cell r="FT6">
            <v>0</v>
          </cell>
          <cell r="FU6">
            <v>0</v>
          </cell>
          <cell r="FV6">
            <v>0</v>
          </cell>
          <cell r="FW6">
            <v>0</v>
          </cell>
          <cell r="FX6">
            <v>0</v>
          </cell>
          <cell r="FY6">
            <v>0</v>
          </cell>
          <cell r="FZ6">
            <v>0</v>
          </cell>
          <cell r="GA6">
            <v>0</v>
          </cell>
          <cell r="GB6">
            <v>0</v>
          </cell>
          <cell r="GC6">
            <v>0</v>
          </cell>
          <cell r="GD6">
            <v>0</v>
          </cell>
          <cell r="GE6">
            <v>0</v>
          </cell>
          <cell r="GF6">
            <v>0</v>
          </cell>
          <cell r="GG6">
            <v>0</v>
          </cell>
          <cell r="GH6">
            <v>0</v>
          </cell>
          <cell r="GI6">
            <v>0</v>
          </cell>
          <cell r="GJ6">
            <v>0</v>
          </cell>
          <cell r="GK6">
            <v>0</v>
          </cell>
          <cell r="GL6">
            <v>0</v>
          </cell>
          <cell r="GM6">
            <v>0</v>
          </cell>
          <cell r="GN6">
            <v>0</v>
          </cell>
          <cell r="GO6">
            <v>0</v>
          </cell>
          <cell r="GP6">
            <v>0</v>
          </cell>
          <cell r="GQ6">
            <v>0</v>
          </cell>
          <cell r="GR6">
            <v>0</v>
          </cell>
          <cell r="GS6">
            <v>0</v>
          </cell>
          <cell r="GT6">
            <v>0</v>
          </cell>
          <cell r="GU6">
            <v>0</v>
          </cell>
          <cell r="GV6">
            <v>0</v>
          </cell>
          <cell r="GW6">
            <v>0</v>
          </cell>
          <cell r="GX6">
            <v>0</v>
          </cell>
          <cell r="GY6">
            <v>0</v>
          </cell>
          <cell r="GZ6">
            <v>0</v>
          </cell>
          <cell r="HA6">
            <v>0</v>
          </cell>
          <cell r="HB6">
            <v>0</v>
          </cell>
          <cell r="HC6">
            <v>0</v>
          </cell>
          <cell r="HD6">
            <v>0</v>
          </cell>
          <cell r="HE6">
            <v>0</v>
          </cell>
          <cell r="HF6">
            <v>0</v>
          </cell>
          <cell r="HG6">
            <v>0</v>
          </cell>
          <cell r="HH6">
            <v>0</v>
          </cell>
          <cell r="HI6">
            <v>0</v>
          </cell>
          <cell r="HJ6">
            <v>0</v>
          </cell>
          <cell r="HK6">
            <v>0</v>
          </cell>
          <cell r="HL6">
            <v>0</v>
          </cell>
          <cell r="HM6">
            <v>0</v>
          </cell>
          <cell r="HN6">
            <v>0</v>
          </cell>
          <cell r="HO6">
            <v>0</v>
          </cell>
          <cell r="HP6">
            <v>0</v>
          </cell>
          <cell r="HQ6">
            <v>0</v>
          </cell>
          <cell r="HR6">
            <v>0</v>
          </cell>
          <cell r="HS6">
            <v>0</v>
          </cell>
          <cell r="HT6">
            <v>0</v>
          </cell>
          <cell r="HU6">
            <v>0</v>
          </cell>
          <cell r="HV6">
            <v>0</v>
          </cell>
          <cell r="HW6">
            <v>0</v>
          </cell>
          <cell r="HX6">
            <v>0</v>
          </cell>
          <cell r="HY6">
            <v>0</v>
          </cell>
          <cell r="HZ6">
            <v>0</v>
          </cell>
          <cell r="IA6">
            <v>0</v>
          </cell>
          <cell r="IB6">
            <v>0</v>
          </cell>
          <cell r="IC6">
            <v>0</v>
          </cell>
          <cell r="ID6">
            <v>0</v>
          </cell>
          <cell r="IE6">
            <v>0</v>
          </cell>
          <cell r="IF6">
            <v>0</v>
          </cell>
          <cell r="IG6">
            <v>0</v>
          </cell>
          <cell r="IH6">
            <v>0</v>
          </cell>
          <cell r="II6">
            <v>0</v>
          </cell>
          <cell r="IJ6">
            <v>0</v>
          </cell>
          <cell r="IK6">
            <v>0</v>
          </cell>
          <cell r="IL6">
            <v>0</v>
          </cell>
          <cell r="IM6">
            <v>0</v>
          </cell>
          <cell r="IN6">
            <v>0</v>
          </cell>
          <cell r="IO6">
            <v>0</v>
          </cell>
          <cell r="IP6">
            <v>0</v>
          </cell>
          <cell r="IQ6">
            <v>0</v>
          </cell>
          <cell r="IR6">
            <v>0</v>
          </cell>
          <cell r="IS6">
            <v>0</v>
          </cell>
          <cell r="IT6">
            <v>0</v>
          </cell>
          <cell r="IU6">
            <v>0</v>
          </cell>
          <cell r="IV6">
            <v>0</v>
          </cell>
          <cell r="IW6">
            <v>0</v>
          </cell>
          <cell r="IX6">
            <v>0</v>
          </cell>
          <cell r="IY6">
            <v>0</v>
          </cell>
          <cell r="IZ6">
            <v>0</v>
          </cell>
          <cell r="JA6">
            <v>0</v>
          </cell>
          <cell r="JB6">
            <v>0</v>
          </cell>
          <cell r="JC6">
            <v>0</v>
          </cell>
          <cell r="JD6">
            <v>0</v>
          </cell>
          <cell r="JE6">
            <v>0</v>
          </cell>
          <cell r="JF6">
            <v>0</v>
          </cell>
          <cell r="JG6">
            <v>0</v>
          </cell>
          <cell r="JH6">
            <v>0</v>
          </cell>
          <cell r="JI6">
            <v>0</v>
          </cell>
          <cell r="JJ6">
            <v>0</v>
          </cell>
          <cell r="JK6">
            <v>0</v>
          </cell>
          <cell r="JL6">
            <v>0</v>
          </cell>
          <cell r="JM6">
            <v>0</v>
          </cell>
          <cell r="JN6">
            <v>0</v>
          </cell>
          <cell r="JO6">
            <v>0</v>
          </cell>
          <cell r="JP6">
            <v>0</v>
          </cell>
          <cell r="JQ6">
            <v>0</v>
          </cell>
          <cell r="JR6">
            <v>0</v>
          </cell>
          <cell r="JS6">
            <v>0</v>
          </cell>
          <cell r="JT6">
            <v>0</v>
          </cell>
          <cell r="JU6">
            <v>0</v>
          </cell>
          <cell r="JV6">
            <v>0</v>
          </cell>
          <cell r="JW6">
            <v>0</v>
          </cell>
          <cell r="JX6">
            <v>0</v>
          </cell>
          <cell r="JY6">
            <v>0</v>
          </cell>
          <cell r="JZ6">
            <v>0</v>
          </cell>
          <cell r="KA6">
            <v>0</v>
          </cell>
          <cell r="KB6">
            <v>0</v>
          </cell>
          <cell r="KC6">
            <v>0</v>
          </cell>
          <cell r="KD6">
            <v>0</v>
          </cell>
          <cell r="KE6">
            <v>0</v>
          </cell>
          <cell r="KF6">
            <v>0</v>
          </cell>
          <cell r="KG6">
            <v>0</v>
          </cell>
          <cell r="KH6">
            <v>0</v>
          </cell>
          <cell r="KI6">
            <v>0</v>
          </cell>
          <cell r="KJ6">
            <v>0</v>
          </cell>
          <cell r="KK6">
            <v>0</v>
          </cell>
          <cell r="KL6">
            <v>0</v>
          </cell>
          <cell r="KM6">
            <v>0</v>
          </cell>
          <cell r="KN6">
            <v>0</v>
          </cell>
          <cell r="KO6">
            <v>0</v>
          </cell>
          <cell r="KP6">
            <v>0</v>
          </cell>
          <cell r="KQ6">
            <v>0</v>
          </cell>
          <cell r="KR6">
            <v>0</v>
          </cell>
          <cell r="KS6">
            <v>0</v>
          </cell>
          <cell r="KT6">
            <v>0</v>
          </cell>
          <cell r="KU6">
            <v>0</v>
          </cell>
          <cell r="KV6">
            <v>0</v>
          </cell>
          <cell r="KW6">
            <v>0</v>
          </cell>
          <cell r="KX6">
            <v>0</v>
          </cell>
          <cell r="KY6">
            <v>0</v>
          </cell>
          <cell r="KZ6">
            <v>0</v>
          </cell>
          <cell r="LA6">
            <v>0</v>
          </cell>
          <cell r="LB6">
            <v>0</v>
          </cell>
          <cell r="LC6">
            <v>0</v>
          </cell>
          <cell r="LD6">
            <v>0</v>
          </cell>
          <cell r="LE6">
            <v>0</v>
          </cell>
          <cell r="LF6">
            <v>0</v>
          </cell>
          <cell r="LG6">
            <v>0</v>
          </cell>
          <cell r="LH6">
            <v>0</v>
          </cell>
          <cell r="LI6">
            <v>0</v>
          </cell>
          <cell r="LJ6">
            <v>0</v>
          </cell>
          <cell r="LK6">
            <v>0</v>
          </cell>
          <cell r="LL6">
            <v>0</v>
          </cell>
          <cell r="LM6">
            <v>0</v>
          </cell>
          <cell r="LN6">
            <v>0</v>
          </cell>
          <cell r="LO6">
            <v>0</v>
          </cell>
          <cell r="LP6">
            <v>0</v>
          </cell>
          <cell r="LQ6">
            <v>0</v>
          </cell>
          <cell r="LR6">
            <v>0</v>
          </cell>
          <cell r="LS6">
            <v>0</v>
          </cell>
          <cell r="LT6">
            <v>0</v>
          </cell>
          <cell r="LU6">
            <v>0</v>
          </cell>
          <cell r="LV6">
            <v>0</v>
          </cell>
          <cell r="LW6">
            <v>0</v>
          </cell>
          <cell r="LX6">
            <v>0</v>
          </cell>
          <cell r="LY6">
            <v>0</v>
          </cell>
          <cell r="LZ6">
            <v>0</v>
          </cell>
          <cell r="MA6">
            <v>0</v>
          </cell>
          <cell r="MB6">
            <v>0</v>
          </cell>
          <cell r="MC6">
            <v>0</v>
          </cell>
          <cell r="MD6">
            <v>0</v>
          </cell>
          <cell r="ME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  <cell r="CM7">
            <v>0</v>
          </cell>
          <cell r="CN7">
            <v>0</v>
          </cell>
          <cell r="CO7">
            <v>0</v>
          </cell>
          <cell r="CP7">
            <v>0</v>
          </cell>
          <cell r="CQ7">
            <v>0</v>
          </cell>
          <cell r="CR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I7">
            <v>0</v>
          </cell>
          <cell r="DJ7">
            <v>0</v>
          </cell>
          <cell r="DK7">
            <v>0</v>
          </cell>
          <cell r="DL7">
            <v>0</v>
          </cell>
          <cell r="DM7">
            <v>0</v>
          </cell>
          <cell r="DN7">
            <v>0</v>
          </cell>
          <cell r="DO7">
            <v>0</v>
          </cell>
          <cell r="DP7">
            <v>0</v>
          </cell>
          <cell r="DQ7">
            <v>0</v>
          </cell>
          <cell r="DR7">
            <v>0</v>
          </cell>
          <cell r="DS7">
            <v>0</v>
          </cell>
          <cell r="DT7">
            <v>0</v>
          </cell>
          <cell r="DU7">
            <v>0</v>
          </cell>
          <cell r="DV7">
            <v>0</v>
          </cell>
          <cell r="DW7">
            <v>0</v>
          </cell>
          <cell r="DX7">
            <v>0</v>
          </cell>
          <cell r="DY7">
            <v>0</v>
          </cell>
          <cell r="DZ7">
            <v>0</v>
          </cell>
          <cell r="EA7">
            <v>0</v>
          </cell>
          <cell r="EB7">
            <v>0</v>
          </cell>
          <cell r="EC7">
            <v>0</v>
          </cell>
          <cell r="ED7">
            <v>0</v>
          </cell>
          <cell r="EE7">
            <v>0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0</v>
          </cell>
          <cell r="EK7">
            <v>0</v>
          </cell>
          <cell r="EL7">
            <v>0</v>
          </cell>
          <cell r="EM7">
            <v>0</v>
          </cell>
          <cell r="EN7">
            <v>0</v>
          </cell>
          <cell r="EO7">
            <v>0</v>
          </cell>
          <cell r="EP7">
            <v>0</v>
          </cell>
          <cell r="EQ7">
            <v>0</v>
          </cell>
          <cell r="ER7">
            <v>0</v>
          </cell>
          <cell r="ES7">
            <v>0</v>
          </cell>
          <cell r="ET7">
            <v>0</v>
          </cell>
          <cell r="EU7">
            <v>0</v>
          </cell>
          <cell r="EV7">
            <v>0</v>
          </cell>
          <cell r="EW7">
            <v>0</v>
          </cell>
          <cell r="EX7">
            <v>0</v>
          </cell>
          <cell r="EY7">
            <v>0</v>
          </cell>
          <cell r="EZ7">
            <v>0</v>
          </cell>
          <cell r="FA7">
            <v>0</v>
          </cell>
          <cell r="FB7">
            <v>0</v>
          </cell>
          <cell r="FC7">
            <v>0</v>
          </cell>
          <cell r="FD7">
            <v>0</v>
          </cell>
          <cell r="FE7">
            <v>0</v>
          </cell>
          <cell r="FF7">
            <v>0</v>
          </cell>
          <cell r="FG7">
            <v>0</v>
          </cell>
          <cell r="FH7">
            <v>0</v>
          </cell>
          <cell r="FI7">
            <v>0</v>
          </cell>
          <cell r="FJ7">
            <v>0</v>
          </cell>
          <cell r="FK7">
            <v>0</v>
          </cell>
          <cell r="FL7">
            <v>0</v>
          </cell>
          <cell r="FM7">
            <v>0</v>
          </cell>
          <cell r="FN7">
            <v>0</v>
          </cell>
          <cell r="FO7">
            <v>0</v>
          </cell>
          <cell r="FP7">
            <v>0</v>
          </cell>
          <cell r="FQ7">
            <v>0</v>
          </cell>
          <cell r="FR7">
            <v>0</v>
          </cell>
          <cell r="FS7">
            <v>0</v>
          </cell>
          <cell r="FT7">
            <v>0</v>
          </cell>
          <cell r="FU7">
            <v>0</v>
          </cell>
          <cell r="FV7">
            <v>0</v>
          </cell>
          <cell r="FW7">
            <v>0</v>
          </cell>
          <cell r="FX7">
            <v>0</v>
          </cell>
          <cell r="FY7">
            <v>0</v>
          </cell>
          <cell r="FZ7">
            <v>0</v>
          </cell>
          <cell r="GA7">
            <v>0</v>
          </cell>
          <cell r="GB7">
            <v>0</v>
          </cell>
          <cell r="GC7">
            <v>0</v>
          </cell>
          <cell r="GD7">
            <v>0</v>
          </cell>
          <cell r="GE7">
            <v>0</v>
          </cell>
          <cell r="GF7">
            <v>0</v>
          </cell>
          <cell r="GG7">
            <v>0</v>
          </cell>
          <cell r="GH7">
            <v>0</v>
          </cell>
          <cell r="GI7">
            <v>0</v>
          </cell>
          <cell r="GJ7">
            <v>0</v>
          </cell>
          <cell r="GK7">
            <v>0</v>
          </cell>
          <cell r="GL7">
            <v>0</v>
          </cell>
          <cell r="GM7">
            <v>0</v>
          </cell>
          <cell r="GN7">
            <v>0</v>
          </cell>
          <cell r="GO7">
            <v>0</v>
          </cell>
          <cell r="GP7">
            <v>0</v>
          </cell>
          <cell r="GQ7">
            <v>0</v>
          </cell>
          <cell r="GR7">
            <v>0</v>
          </cell>
          <cell r="GS7">
            <v>0</v>
          </cell>
          <cell r="GT7">
            <v>0</v>
          </cell>
          <cell r="GU7">
            <v>0</v>
          </cell>
          <cell r="GV7">
            <v>0</v>
          </cell>
          <cell r="GW7">
            <v>0</v>
          </cell>
          <cell r="GX7">
            <v>0</v>
          </cell>
          <cell r="GY7">
            <v>0</v>
          </cell>
          <cell r="GZ7">
            <v>0</v>
          </cell>
          <cell r="HA7">
            <v>0</v>
          </cell>
          <cell r="HB7">
            <v>0</v>
          </cell>
          <cell r="HC7">
            <v>0</v>
          </cell>
          <cell r="HD7">
            <v>0</v>
          </cell>
          <cell r="HE7">
            <v>0</v>
          </cell>
          <cell r="HF7">
            <v>0</v>
          </cell>
          <cell r="HG7">
            <v>0</v>
          </cell>
          <cell r="HH7">
            <v>0</v>
          </cell>
          <cell r="HI7">
            <v>0</v>
          </cell>
          <cell r="HJ7">
            <v>0</v>
          </cell>
          <cell r="HK7">
            <v>0</v>
          </cell>
          <cell r="HL7">
            <v>0</v>
          </cell>
          <cell r="HM7">
            <v>0</v>
          </cell>
          <cell r="HN7">
            <v>0</v>
          </cell>
          <cell r="HO7">
            <v>0</v>
          </cell>
          <cell r="HP7">
            <v>0</v>
          </cell>
          <cell r="HQ7">
            <v>0</v>
          </cell>
          <cell r="HR7">
            <v>0</v>
          </cell>
          <cell r="HS7">
            <v>0</v>
          </cell>
          <cell r="HT7">
            <v>0</v>
          </cell>
          <cell r="HU7">
            <v>0</v>
          </cell>
          <cell r="HV7">
            <v>0</v>
          </cell>
          <cell r="HW7">
            <v>0</v>
          </cell>
          <cell r="HX7">
            <v>0</v>
          </cell>
          <cell r="HY7">
            <v>0</v>
          </cell>
          <cell r="HZ7">
            <v>0</v>
          </cell>
          <cell r="IA7">
            <v>0</v>
          </cell>
          <cell r="IB7">
            <v>0</v>
          </cell>
          <cell r="IC7">
            <v>0</v>
          </cell>
          <cell r="ID7">
            <v>0</v>
          </cell>
          <cell r="IE7">
            <v>0</v>
          </cell>
          <cell r="IF7">
            <v>0</v>
          </cell>
          <cell r="IG7">
            <v>0</v>
          </cell>
          <cell r="IH7">
            <v>0</v>
          </cell>
          <cell r="II7">
            <v>0</v>
          </cell>
          <cell r="IJ7">
            <v>0</v>
          </cell>
          <cell r="IK7">
            <v>0</v>
          </cell>
          <cell r="IL7">
            <v>0</v>
          </cell>
          <cell r="IM7">
            <v>0</v>
          </cell>
          <cell r="IN7">
            <v>0</v>
          </cell>
          <cell r="IO7">
            <v>0</v>
          </cell>
          <cell r="IP7">
            <v>0</v>
          </cell>
          <cell r="IQ7">
            <v>0</v>
          </cell>
          <cell r="IR7">
            <v>0</v>
          </cell>
          <cell r="IS7">
            <v>0</v>
          </cell>
          <cell r="IT7">
            <v>0</v>
          </cell>
          <cell r="IU7">
            <v>0</v>
          </cell>
          <cell r="IV7">
            <v>0</v>
          </cell>
          <cell r="IW7">
            <v>0</v>
          </cell>
          <cell r="IX7">
            <v>0</v>
          </cell>
          <cell r="IY7">
            <v>0</v>
          </cell>
          <cell r="IZ7">
            <v>0</v>
          </cell>
          <cell r="JA7">
            <v>0</v>
          </cell>
          <cell r="JB7">
            <v>0</v>
          </cell>
          <cell r="JC7">
            <v>0</v>
          </cell>
          <cell r="JD7">
            <v>0</v>
          </cell>
          <cell r="JE7">
            <v>0</v>
          </cell>
          <cell r="JF7">
            <v>0</v>
          </cell>
          <cell r="JG7">
            <v>0</v>
          </cell>
          <cell r="JH7">
            <v>0</v>
          </cell>
          <cell r="JI7">
            <v>0</v>
          </cell>
          <cell r="JJ7">
            <v>0</v>
          </cell>
          <cell r="JK7">
            <v>0</v>
          </cell>
          <cell r="JL7">
            <v>0</v>
          </cell>
          <cell r="JM7">
            <v>0</v>
          </cell>
          <cell r="JN7">
            <v>0</v>
          </cell>
          <cell r="JO7">
            <v>0</v>
          </cell>
          <cell r="JP7">
            <v>0</v>
          </cell>
          <cell r="JQ7">
            <v>0</v>
          </cell>
          <cell r="JR7">
            <v>0</v>
          </cell>
          <cell r="JS7">
            <v>0</v>
          </cell>
          <cell r="JT7">
            <v>0</v>
          </cell>
          <cell r="JU7">
            <v>0</v>
          </cell>
          <cell r="JV7">
            <v>0</v>
          </cell>
          <cell r="JW7">
            <v>0</v>
          </cell>
          <cell r="JX7">
            <v>0</v>
          </cell>
          <cell r="JY7">
            <v>0</v>
          </cell>
          <cell r="JZ7">
            <v>0</v>
          </cell>
          <cell r="KA7">
            <v>0</v>
          </cell>
          <cell r="KB7">
            <v>0</v>
          </cell>
          <cell r="KC7">
            <v>0</v>
          </cell>
          <cell r="KD7">
            <v>0</v>
          </cell>
          <cell r="KE7">
            <v>0</v>
          </cell>
          <cell r="KF7">
            <v>0</v>
          </cell>
          <cell r="KG7">
            <v>0</v>
          </cell>
          <cell r="KH7">
            <v>0</v>
          </cell>
          <cell r="KI7">
            <v>0</v>
          </cell>
          <cell r="KJ7">
            <v>0</v>
          </cell>
          <cell r="KK7">
            <v>0</v>
          </cell>
          <cell r="KL7">
            <v>0</v>
          </cell>
          <cell r="KM7">
            <v>0</v>
          </cell>
          <cell r="KN7">
            <v>0</v>
          </cell>
          <cell r="KO7">
            <v>0</v>
          </cell>
          <cell r="KP7">
            <v>0</v>
          </cell>
          <cell r="KQ7">
            <v>0</v>
          </cell>
          <cell r="KR7">
            <v>0</v>
          </cell>
          <cell r="KS7">
            <v>0</v>
          </cell>
          <cell r="KT7">
            <v>0</v>
          </cell>
          <cell r="KU7">
            <v>0</v>
          </cell>
          <cell r="KV7">
            <v>0</v>
          </cell>
          <cell r="KW7">
            <v>0</v>
          </cell>
          <cell r="KX7">
            <v>0</v>
          </cell>
          <cell r="KY7">
            <v>0</v>
          </cell>
          <cell r="KZ7">
            <v>0</v>
          </cell>
          <cell r="LA7">
            <v>0</v>
          </cell>
          <cell r="LB7">
            <v>0</v>
          </cell>
          <cell r="LC7">
            <v>0</v>
          </cell>
          <cell r="LD7">
            <v>0</v>
          </cell>
          <cell r="LE7">
            <v>0</v>
          </cell>
          <cell r="LF7">
            <v>0</v>
          </cell>
          <cell r="LG7">
            <v>0</v>
          </cell>
          <cell r="LH7">
            <v>0</v>
          </cell>
          <cell r="LI7">
            <v>0</v>
          </cell>
          <cell r="LJ7">
            <v>0</v>
          </cell>
          <cell r="LK7">
            <v>0</v>
          </cell>
          <cell r="LL7">
            <v>0</v>
          </cell>
          <cell r="LM7">
            <v>0</v>
          </cell>
          <cell r="LN7">
            <v>0</v>
          </cell>
          <cell r="LO7">
            <v>0</v>
          </cell>
          <cell r="LP7">
            <v>0</v>
          </cell>
          <cell r="LQ7">
            <v>0</v>
          </cell>
          <cell r="LR7">
            <v>0</v>
          </cell>
          <cell r="LS7">
            <v>0</v>
          </cell>
          <cell r="LT7">
            <v>0</v>
          </cell>
          <cell r="LU7">
            <v>0</v>
          </cell>
          <cell r="LV7">
            <v>0</v>
          </cell>
          <cell r="LW7">
            <v>0</v>
          </cell>
          <cell r="LX7">
            <v>0</v>
          </cell>
          <cell r="LY7">
            <v>0</v>
          </cell>
          <cell r="LZ7">
            <v>0</v>
          </cell>
          <cell r="MA7">
            <v>0</v>
          </cell>
          <cell r="MB7">
            <v>0</v>
          </cell>
          <cell r="MC7">
            <v>0</v>
          </cell>
          <cell r="MD7">
            <v>0</v>
          </cell>
          <cell r="ME7">
            <v>0</v>
          </cell>
        </row>
        <row r="8"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>
            <v>0</v>
          </cell>
          <cell r="CC8">
            <v>0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  <cell r="CM8">
            <v>0</v>
          </cell>
          <cell r="CN8">
            <v>0</v>
          </cell>
          <cell r="CO8">
            <v>0</v>
          </cell>
          <cell r="CP8">
            <v>0</v>
          </cell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0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I8">
            <v>0</v>
          </cell>
          <cell r="DJ8">
            <v>0</v>
          </cell>
          <cell r="DK8">
            <v>0</v>
          </cell>
          <cell r="DL8">
            <v>0</v>
          </cell>
          <cell r="DM8">
            <v>0</v>
          </cell>
          <cell r="DN8">
            <v>0</v>
          </cell>
          <cell r="DO8">
            <v>0</v>
          </cell>
          <cell r="DP8">
            <v>0</v>
          </cell>
          <cell r="DQ8">
            <v>0</v>
          </cell>
          <cell r="DR8">
            <v>0</v>
          </cell>
          <cell r="DS8">
            <v>0</v>
          </cell>
          <cell r="DT8">
            <v>0</v>
          </cell>
          <cell r="DU8">
            <v>0</v>
          </cell>
          <cell r="DV8">
            <v>0</v>
          </cell>
          <cell r="DW8">
            <v>0</v>
          </cell>
          <cell r="DX8">
            <v>0</v>
          </cell>
          <cell r="DY8">
            <v>0</v>
          </cell>
          <cell r="DZ8">
            <v>0</v>
          </cell>
          <cell r="EA8">
            <v>0</v>
          </cell>
          <cell r="EB8">
            <v>0</v>
          </cell>
          <cell r="EC8">
            <v>0</v>
          </cell>
          <cell r="ED8">
            <v>0</v>
          </cell>
          <cell r="EE8">
            <v>0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0</v>
          </cell>
          <cell r="EK8">
            <v>0</v>
          </cell>
          <cell r="EL8">
            <v>0</v>
          </cell>
          <cell r="EM8">
            <v>0</v>
          </cell>
          <cell r="EN8">
            <v>0</v>
          </cell>
          <cell r="EO8">
            <v>0</v>
          </cell>
          <cell r="EP8">
            <v>0</v>
          </cell>
          <cell r="EQ8">
            <v>0</v>
          </cell>
          <cell r="ER8">
            <v>0</v>
          </cell>
          <cell r="ES8">
            <v>0</v>
          </cell>
          <cell r="ET8">
            <v>0</v>
          </cell>
          <cell r="EU8">
            <v>0</v>
          </cell>
          <cell r="EV8">
            <v>0</v>
          </cell>
          <cell r="EW8">
            <v>0</v>
          </cell>
          <cell r="EX8">
            <v>0</v>
          </cell>
          <cell r="EY8">
            <v>0</v>
          </cell>
          <cell r="EZ8">
            <v>0</v>
          </cell>
          <cell r="FA8">
            <v>0</v>
          </cell>
          <cell r="FB8">
            <v>0</v>
          </cell>
          <cell r="FC8">
            <v>0</v>
          </cell>
          <cell r="FD8">
            <v>0</v>
          </cell>
          <cell r="FE8">
            <v>0</v>
          </cell>
          <cell r="FF8">
            <v>0</v>
          </cell>
          <cell r="FG8">
            <v>0</v>
          </cell>
          <cell r="FH8">
            <v>0</v>
          </cell>
          <cell r="FI8">
            <v>0</v>
          </cell>
          <cell r="FJ8">
            <v>0</v>
          </cell>
          <cell r="FK8">
            <v>0</v>
          </cell>
          <cell r="FL8">
            <v>0</v>
          </cell>
          <cell r="FM8">
            <v>0</v>
          </cell>
          <cell r="FN8">
            <v>0</v>
          </cell>
          <cell r="FO8">
            <v>0</v>
          </cell>
          <cell r="FP8">
            <v>0</v>
          </cell>
          <cell r="FQ8">
            <v>0</v>
          </cell>
          <cell r="FR8">
            <v>0</v>
          </cell>
          <cell r="FS8">
            <v>0</v>
          </cell>
          <cell r="FT8">
            <v>0</v>
          </cell>
          <cell r="FU8">
            <v>0</v>
          </cell>
          <cell r="FV8">
            <v>0</v>
          </cell>
          <cell r="FW8">
            <v>0</v>
          </cell>
          <cell r="FX8">
            <v>0</v>
          </cell>
          <cell r="FY8">
            <v>0</v>
          </cell>
          <cell r="FZ8">
            <v>0</v>
          </cell>
          <cell r="GA8">
            <v>0</v>
          </cell>
          <cell r="GB8">
            <v>0</v>
          </cell>
          <cell r="GC8">
            <v>0</v>
          </cell>
          <cell r="GD8">
            <v>0</v>
          </cell>
          <cell r="GE8">
            <v>0</v>
          </cell>
          <cell r="GF8">
            <v>0</v>
          </cell>
          <cell r="GG8">
            <v>0</v>
          </cell>
          <cell r="GH8">
            <v>0</v>
          </cell>
          <cell r="GI8">
            <v>0</v>
          </cell>
          <cell r="GJ8">
            <v>0</v>
          </cell>
          <cell r="GK8">
            <v>0</v>
          </cell>
          <cell r="GL8">
            <v>0</v>
          </cell>
          <cell r="GM8">
            <v>0</v>
          </cell>
          <cell r="GN8">
            <v>0</v>
          </cell>
          <cell r="GO8">
            <v>0</v>
          </cell>
          <cell r="GP8">
            <v>0</v>
          </cell>
          <cell r="GQ8">
            <v>0</v>
          </cell>
          <cell r="GR8">
            <v>0</v>
          </cell>
          <cell r="GS8">
            <v>0</v>
          </cell>
          <cell r="GT8">
            <v>0</v>
          </cell>
          <cell r="GU8">
            <v>0</v>
          </cell>
          <cell r="GV8">
            <v>0</v>
          </cell>
          <cell r="GW8">
            <v>0</v>
          </cell>
          <cell r="GX8">
            <v>0</v>
          </cell>
          <cell r="GY8">
            <v>0</v>
          </cell>
          <cell r="GZ8">
            <v>0</v>
          </cell>
          <cell r="HA8">
            <v>0</v>
          </cell>
          <cell r="HB8">
            <v>0</v>
          </cell>
          <cell r="HC8">
            <v>0</v>
          </cell>
          <cell r="HD8">
            <v>0</v>
          </cell>
          <cell r="HE8">
            <v>0</v>
          </cell>
          <cell r="HF8">
            <v>0</v>
          </cell>
          <cell r="HG8">
            <v>0</v>
          </cell>
          <cell r="HH8">
            <v>0</v>
          </cell>
          <cell r="HI8">
            <v>0</v>
          </cell>
          <cell r="HJ8">
            <v>0</v>
          </cell>
          <cell r="HK8">
            <v>0</v>
          </cell>
          <cell r="HL8">
            <v>0</v>
          </cell>
          <cell r="HM8">
            <v>0</v>
          </cell>
          <cell r="HN8">
            <v>0</v>
          </cell>
          <cell r="HO8">
            <v>0</v>
          </cell>
          <cell r="HP8">
            <v>0</v>
          </cell>
          <cell r="HQ8">
            <v>0</v>
          </cell>
          <cell r="HR8">
            <v>0</v>
          </cell>
          <cell r="HS8">
            <v>0</v>
          </cell>
          <cell r="HT8">
            <v>0</v>
          </cell>
          <cell r="HU8">
            <v>0</v>
          </cell>
          <cell r="HV8">
            <v>0</v>
          </cell>
          <cell r="HW8">
            <v>0</v>
          </cell>
          <cell r="HX8">
            <v>0</v>
          </cell>
          <cell r="HY8">
            <v>0</v>
          </cell>
          <cell r="HZ8">
            <v>0</v>
          </cell>
          <cell r="IA8">
            <v>0</v>
          </cell>
          <cell r="IB8">
            <v>0</v>
          </cell>
          <cell r="IC8">
            <v>0</v>
          </cell>
          <cell r="ID8">
            <v>0</v>
          </cell>
          <cell r="IE8">
            <v>0</v>
          </cell>
          <cell r="IF8">
            <v>0</v>
          </cell>
          <cell r="IG8">
            <v>0</v>
          </cell>
          <cell r="IH8">
            <v>0</v>
          </cell>
          <cell r="II8">
            <v>0</v>
          </cell>
          <cell r="IJ8">
            <v>0</v>
          </cell>
          <cell r="IK8">
            <v>0</v>
          </cell>
          <cell r="IL8">
            <v>0</v>
          </cell>
          <cell r="IM8">
            <v>0</v>
          </cell>
          <cell r="IN8">
            <v>0</v>
          </cell>
          <cell r="IO8">
            <v>0</v>
          </cell>
          <cell r="IP8">
            <v>0</v>
          </cell>
          <cell r="IQ8">
            <v>0</v>
          </cell>
          <cell r="IR8">
            <v>0</v>
          </cell>
          <cell r="IS8">
            <v>0</v>
          </cell>
          <cell r="IT8">
            <v>0</v>
          </cell>
          <cell r="IU8">
            <v>0</v>
          </cell>
          <cell r="IV8">
            <v>0</v>
          </cell>
          <cell r="IW8">
            <v>0</v>
          </cell>
          <cell r="IX8">
            <v>0</v>
          </cell>
          <cell r="IY8">
            <v>0</v>
          </cell>
          <cell r="IZ8">
            <v>0</v>
          </cell>
          <cell r="JA8">
            <v>0</v>
          </cell>
          <cell r="JB8">
            <v>0</v>
          </cell>
          <cell r="JC8">
            <v>0</v>
          </cell>
          <cell r="JD8">
            <v>0</v>
          </cell>
          <cell r="JE8">
            <v>0</v>
          </cell>
          <cell r="JF8">
            <v>0</v>
          </cell>
          <cell r="JG8">
            <v>0</v>
          </cell>
          <cell r="JH8">
            <v>0</v>
          </cell>
          <cell r="JI8">
            <v>0</v>
          </cell>
          <cell r="JJ8">
            <v>0</v>
          </cell>
          <cell r="JK8">
            <v>0</v>
          </cell>
          <cell r="JL8">
            <v>0</v>
          </cell>
          <cell r="JM8">
            <v>0</v>
          </cell>
          <cell r="JN8">
            <v>0</v>
          </cell>
          <cell r="JO8">
            <v>0</v>
          </cell>
          <cell r="JP8">
            <v>0</v>
          </cell>
          <cell r="JQ8">
            <v>0</v>
          </cell>
          <cell r="JR8">
            <v>0</v>
          </cell>
          <cell r="JS8">
            <v>0</v>
          </cell>
          <cell r="JT8">
            <v>0</v>
          </cell>
          <cell r="JU8">
            <v>0</v>
          </cell>
          <cell r="JV8">
            <v>0</v>
          </cell>
          <cell r="JW8">
            <v>0</v>
          </cell>
          <cell r="JX8">
            <v>0</v>
          </cell>
          <cell r="JY8">
            <v>0</v>
          </cell>
          <cell r="JZ8">
            <v>0</v>
          </cell>
          <cell r="KA8">
            <v>0</v>
          </cell>
          <cell r="KB8">
            <v>0</v>
          </cell>
          <cell r="KC8">
            <v>0</v>
          </cell>
          <cell r="KD8">
            <v>0</v>
          </cell>
          <cell r="KE8">
            <v>0</v>
          </cell>
          <cell r="KF8">
            <v>0</v>
          </cell>
          <cell r="KG8">
            <v>0</v>
          </cell>
          <cell r="KH8">
            <v>0</v>
          </cell>
          <cell r="KI8">
            <v>0</v>
          </cell>
          <cell r="KJ8">
            <v>0</v>
          </cell>
          <cell r="KK8">
            <v>0</v>
          </cell>
          <cell r="KL8">
            <v>0</v>
          </cell>
          <cell r="KM8">
            <v>0</v>
          </cell>
          <cell r="KN8">
            <v>0</v>
          </cell>
          <cell r="KO8">
            <v>0</v>
          </cell>
          <cell r="KP8">
            <v>0</v>
          </cell>
          <cell r="KQ8">
            <v>0</v>
          </cell>
          <cell r="KR8">
            <v>0</v>
          </cell>
          <cell r="KS8">
            <v>0</v>
          </cell>
          <cell r="KT8">
            <v>0</v>
          </cell>
          <cell r="KU8">
            <v>0</v>
          </cell>
          <cell r="KV8">
            <v>0</v>
          </cell>
          <cell r="KW8">
            <v>0</v>
          </cell>
          <cell r="KX8">
            <v>0</v>
          </cell>
          <cell r="KY8">
            <v>0</v>
          </cell>
          <cell r="KZ8">
            <v>0</v>
          </cell>
          <cell r="LA8">
            <v>0</v>
          </cell>
          <cell r="LB8">
            <v>0</v>
          </cell>
          <cell r="LC8">
            <v>0</v>
          </cell>
          <cell r="LD8">
            <v>0</v>
          </cell>
          <cell r="LE8">
            <v>0</v>
          </cell>
          <cell r="LF8">
            <v>0</v>
          </cell>
          <cell r="LG8">
            <v>0</v>
          </cell>
          <cell r="LH8">
            <v>0</v>
          </cell>
          <cell r="LI8">
            <v>0</v>
          </cell>
          <cell r="LJ8">
            <v>0</v>
          </cell>
          <cell r="LK8">
            <v>0</v>
          </cell>
          <cell r="LL8">
            <v>0</v>
          </cell>
          <cell r="LM8">
            <v>0</v>
          </cell>
          <cell r="LN8">
            <v>0</v>
          </cell>
          <cell r="LO8">
            <v>0</v>
          </cell>
          <cell r="LP8">
            <v>0</v>
          </cell>
          <cell r="LQ8">
            <v>0</v>
          </cell>
          <cell r="LR8">
            <v>0</v>
          </cell>
          <cell r="LS8">
            <v>0</v>
          </cell>
          <cell r="LT8">
            <v>0</v>
          </cell>
          <cell r="LU8">
            <v>0</v>
          </cell>
          <cell r="LV8">
            <v>0</v>
          </cell>
          <cell r="LW8">
            <v>0</v>
          </cell>
          <cell r="LX8">
            <v>0</v>
          </cell>
          <cell r="LY8">
            <v>0</v>
          </cell>
          <cell r="LZ8">
            <v>0</v>
          </cell>
          <cell r="MA8">
            <v>0</v>
          </cell>
          <cell r="MB8">
            <v>0</v>
          </cell>
          <cell r="MC8">
            <v>0</v>
          </cell>
          <cell r="MD8">
            <v>0</v>
          </cell>
          <cell r="ME8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  <cell r="CC9">
            <v>0</v>
          </cell>
          <cell r="CD9">
            <v>0</v>
          </cell>
          <cell r="CE9">
            <v>0</v>
          </cell>
          <cell r="CF9">
            <v>0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  <cell r="CM9">
            <v>0</v>
          </cell>
          <cell r="CN9">
            <v>0</v>
          </cell>
          <cell r="CO9">
            <v>0</v>
          </cell>
          <cell r="CP9">
            <v>0</v>
          </cell>
          <cell r="CQ9">
            <v>0</v>
          </cell>
          <cell r="CR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0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I9">
            <v>0</v>
          </cell>
          <cell r="DJ9">
            <v>0</v>
          </cell>
          <cell r="DK9">
            <v>0</v>
          </cell>
          <cell r="DL9">
            <v>0</v>
          </cell>
          <cell r="DM9">
            <v>0</v>
          </cell>
          <cell r="DN9">
            <v>0</v>
          </cell>
          <cell r="DO9">
            <v>0</v>
          </cell>
          <cell r="DP9">
            <v>0</v>
          </cell>
          <cell r="DQ9">
            <v>0</v>
          </cell>
          <cell r="DR9">
            <v>0</v>
          </cell>
          <cell r="DS9">
            <v>0</v>
          </cell>
          <cell r="DT9">
            <v>0</v>
          </cell>
          <cell r="DU9">
            <v>0</v>
          </cell>
          <cell r="DV9">
            <v>0</v>
          </cell>
          <cell r="DW9">
            <v>0</v>
          </cell>
          <cell r="DX9">
            <v>0</v>
          </cell>
          <cell r="DY9">
            <v>0</v>
          </cell>
          <cell r="DZ9">
            <v>0</v>
          </cell>
          <cell r="EA9">
            <v>0</v>
          </cell>
          <cell r="EB9">
            <v>0</v>
          </cell>
          <cell r="EC9">
            <v>0</v>
          </cell>
          <cell r="ED9">
            <v>0</v>
          </cell>
          <cell r="EE9">
            <v>0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0</v>
          </cell>
          <cell r="EK9">
            <v>0</v>
          </cell>
          <cell r="EL9">
            <v>0</v>
          </cell>
          <cell r="EM9">
            <v>0</v>
          </cell>
          <cell r="EN9">
            <v>0</v>
          </cell>
          <cell r="EO9">
            <v>0</v>
          </cell>
          <cell r="EP9">
            <v>0</v>
          </cell>
          <cell r="EQ9">
            <v>0</v>
          </cell>
          <cell r="ER9">
            <v>0</v>
          </cell>
          <cell r="ES9">
            <v>0</v>
          </cell>
          <cell r="ET9">
            <v>0</v>
          </cell>
          <cell r="EU9">
            <v>0</v>
          </cell>
          <cell r="EV9">
            <v>0</v>
          </cell>
          <cell r="EW9">
            <v>0</v>
          </cell>
          <cell r="EX9">
            <v>0</v>
          </cell>
          <cell r="EY9">
            <v>0</v>
          </cell>
          <cell r="EZ9">
            <v>0</v>
          </cell>
          <cell r="FA9">
            <v>0</v>
          </cell>
          <cell r="FB9">
            <v>0</v>
          </cell>
          <cell r="FC9">
            <v>0</v>
          </cell>
          <cell r="FD9">
            <v>0</v>
          </cell>
          <cell r="FE9">
            <v>0</v>
          </cell>
          <cell r="FF9">
            <v>0</v>
          </cell>
          <cell r="FG9">
            <v>0</v>
          </cell>
          <cell r="FH9">
            <v>0</v>
          </cell>
          <cell r="FI9">
            <v>0</v>
          </cell>
          <cell r="FJ9">
            <v>0</v>
          </cell>
          <cell r="FK9">
            <v>0</v>
          </cell>
          <cell r="FL9">
            <v>0</v>
          </cell>
          <cell r="FM9">
            <v>0</v>
          </cell>
          <cell r="FN9">
            <v>0</v>
          </cell>
          <cell r="FO9">
            <v>0</v>
          </cell>
          <cell r="FP9">
            <v>0</v>
          </cell>
          <cell r="FQ9">
            <v>0</v>
          </cell>
          <cell r="FR9">
            <v>0</v>
          </cell>
          <cell r="FS9">
            <v>0</v>
          </cell>
          <cell r="FT9">
            <v>0</v>
          </cell>
          <cell r="FU9">
            <v>0</v>
          </cell>
          <cell r="FV9">
            <v>0</v>
          </cell>
          <cell r="FW9">
            <v>0</v>
          </cell>
          <cell r="FX9">
            <v>0</v>
          </cell>
          <cell r="FY9">
            <v>0</v>
          </cell>
          <cell r="FZ9">
            <v>0</v>
          </cell>
          <cell r="GA9">
            <v>0</v>
          </cell>
          <cell r="GB9">
            <v>0</v>
          </cell>
          <cell r="GC9">
            <v>0</v>
          </cell>
          <cell r="GD9">
            <v>0</v>
          </cell>
          <cell r="GE9">
            <v>0</v>
          </cell>
          <cell r="GF9">
            <v>0</v>
          </cell>
          <cell r="GG9">
            <v>0</v>
          </cell>
          <cell r="GH9">
            <v>0</v>
          </cell>
          <cell r="GI9">
            <v>0</v>
          </cell>
          <cell r="GJ9">
            <v>0</v>
          </cell>
          <cell r="GK9">
            <v>0</v>
          </cell>
          <cell r="GL9">
            <v>0</v>
          </cell>
          <cell r="GM9">
            <v>0</v>
          </cell>
          <cell r="GN9">
            <v>0</v>
          </cell>
          <cell r="GO9">
            <v>0</v>
          </cell>
          <cell r="GP9">
            <v>0</v>
          </cell>
          <cell r="GQ9">
            <v>0</v>
          </cell>
          <cell r="GR9">
            <v>0</v>
          </cell>
          <cell r="GS9">
            <v>0</v>
          </cell>
          <cell r="GT9">
            <v>0</v>
          </cell>
          <cell r="GU9">
            <v>0</v>
          </cell>
          <cell r="GV9">
            <v>0</v>
          </cell>
          <cell r="GW9">
            <v>0</v>
          </cell>
          <cell r="GX9">
            <v>0</v>
          </cell>
          <cell r="GY9">
            <v>0</v>
          </cell>
          <cell r="GZ9">
            <v>0</v>
          </cell>
          <cell r="HA9">
            <v>0</v>
          </cell>
          <cell r="HB9">
            <v>0</v>
          </cell>
          <cell r="HC9">
            <v>0</v>
          </cell>
          <cell r="HD9">
            <v>0</v>
          </cell>
          <cell r="HE9">
            <v>0</v>
          </cell>
          <cell r="HF9">
            <v>0</v>
          </cell>
          <cell r="HG9">
            <v>0</v>
          </cell>
          <cell r="HH9">
            <v>0</v>
          </cell>
          <cell r="HI9">
            <v>0</v>
          </cell>
          <cell r="HJ9">
            <v>0</v>
          </cell>
          <cell r="HK9">
            <v>0</v>
          </cell>
          <cell r="HL9">
            <v>0</v>
          </cell>
          <cell r="HM9">
            <v>0</v>
          </cell>
          <cell r="HN9">
            <v>0</v>
          </cell>
          <cell r="HO9">
            <v>0</v>
          </cell>
          <cell r="HP9">
            <v>0</v>
          </cell>
          <cell r="HQ9">
            <v>0</v>
          </cell>
          <cell r="HR9">
            <v>0</v>
          </cell>
          <cell r="HS9">
            <v>0</v>
          </cell>
          <cell r="HT9">
            <v>0</v>
          </cell>
          <cell r="HU9">
            <v>0</v>
          </cell>
          <cell r="HV9">
            <v>0</v>
          </cell>
          <cell r="HW9">
            <v>0</v>
          </cell>
          <cell r="HX9">
            <v>0</v>
          </cell>
          <cell r="HY9">
            <v>0</v>
          </cell>
          <cell r="HZ9">
            <v>0</v>
          </cell>
          <cell r="IA9">
            <v>0</v>
          </cell>
          <cell r="IB9">
            <v>0</v>
          </cell>
          <cell r="IC9">
            <v>0</v>
          </cell>
          <cell r="ID9">
            <v>0</v>
          </cell>
          <cell r="IE9">
            <v>0</v>
          </cell>
          <cell r="IF9">
            <v>0</v>
          </cell>
          <cell r="IG9">
            <v>0</v>
          </cell>
          <cell r="IH9">
            <v>0</v>
          </cell>
          <cell r="II9">
            <v>0</v>
          </cell>
          <cell r="IJ9">
            <v>0</v>
          </cell>
          <cell r="IK9">
            <v>0</v>
          </cell>
          <cell r="IL9">
            <v>0</v>
          </cell>
          <cell r="IM9">
            <v>0</v>
          </cell>
          <cell r="IN9">
            <v>0</v>
          </cell>
          <cell r="IO9">
            <v>0</v>
          </cell>
          <cell r="IP9">
            <v>0</v>
          </cell>
          <cell r="IQ9">
            <v>0</v>
          </cell>
          <cell r="IR9">
            <v>0</v>
          </cell>
          <cell r="IS9">
            <v>0</v>
          </cell>
          <cell r="IT9">
            <v>0</v>
          </cell>
          <cell r="IU9">
            <v>0</v>
          </cell>
          <cell r="IV9">
            <v>0</v>
          </cell>
          <cell r="IW9">
            <v>0</v>
          </cell>
          <cell r="IX9">
            <v>0</v>
          </cell>
          <cell r="IY9">
            <v>0</v>
          </cell>
          <cell r="IZ9">
            <v>0</v>
          </cell>
          <cell r="JA9">
            <v>0</v>
          </cell>
          <cell r="JB9">
            <v>0</v>
          </cell>
          <cell r="JC9">
            <v>0</v>
          </cell>
          <cell r="JD9">
            <v>0</v>
          </cell>
          <cell r="JE9">
            <v>0</v>
          </cell>
          <cell r="JF9">
            <v>0</v>
          </cell>
          <cell r="JG9">
            <v>0</v>
          </cell>
          <cell r="JH9">
            <v>0</v>
          </cell>
          <cell r="JI9">
            <v>0</v>
          </cell>
          <cell r="JJ9">
            <v>0</v>
          </cell>
          <cell r="JK9">
            <v>0</v>
          </cell>
          <cell r="JL9">
            <v>0</v>
          </cell>
          <cell r="JM9">
            <v>0</v>
          </cell>
          <cell r="JN9">
            <v>0</v>
          </cell>
          <cell r="JO9">
            <v>0</v>
          </cell>
          <cell r="JP9">
            <v>0</v>
          </cell>
          <cell r="JQ9">
            <v>0</v>
          </cell>
          <cell r="JR9">
            <v>0</v>
          </cell>
          <cell r="JS9">
            <v>0</v>
          </cell>
          <cell r="JT9">
            <v>0</v>
          </cell>
          <cell r="JU9">
            <v>0</v>
          </cell>
          <cell r="JV9">
            <v>0</v>
          </cell>
          <cell r="JW9">
            <v>0</v>
          </cell>
          <cell r="JX9">
            <v>0</v>
          </cell>
          <cell r="JY9">
            <v>0</v>
          </cell>
          <cell r="JZ9">
            <v>0</v>
          </cell>
          <cell r="KA9">
            <v>0</v>
          </cell>
          <cell r="KB9">
            <v>0</v>
          </cell>
          <cell r="KC9">
            <v>0</v>
          </cell>
          <cell r="KD9">
            <v>0</v>
          </cell>
          <cell r="KE9">
            <v>0</v>
          </cell>
          <cell r="KF9">
            <v>0</v>
          </cell>
          <cell r="KG9">
            <v>0</v>
          </cell>
          <cell r="KH9">
            <v>0</v>
          </cell>
          <cell r="KI9">
            <v>0</v>
          </cell>
          <cell r="KJ9">
            <v>0</v>
          </cell>
          <cell r="KK9">
            <v>0</v>
          </cell>
          <cell r="KL9">
            <v>0</v>
          </cell>
          <cell r="KM9">
            <v>0</v>
          </cell>
          <cell r="KN9">
            <v>0</v>
          </cell>
          <cell r="KO9">
            <v>0</v>
          </cell>
          <cell r="KP9">
            <v>0</v>
          </cell>
          <cell r="KQ9">
            <v>0</v>
          </cell>
          <cell r="KR9">
            <v>0</v>
          </cell>
          <cell r="KS9">
            <v>0</v>
          </cell>
          <cell r="KT9">
            <v>0</v>
          </cell>
          <cell r="KU9">
            <v>0</v>
          </cell>
          <cell r="KV9">
            <v>0</v>
          </cell>
          <cell r="KW9">
            <v>0</v>
          </cell>
          <cell r="KX9">
            <v>0</v>
          </cell>
          <cell r="KY9">
            <v>0</v>
          </cell>
          <cell r="KZ9">
            <v>0</v>
          </cell>
          <cell r="LA9">
            <v>0</v>
          </cell>
          <cell r="LB9">
            <v>0</v>
          </cell>
          <cell r="LC9">
            <v>0</v>
          </cell>
          <cell r="LD9">
            <v>0</v>
          </cell>
          <cell r="LE9">
            <v>0</v>
          </cell>
          <cell r="LF9">
            <v>0</v>
          </cell>
          <cell r="LG9">
            <v>0</v>
          </cell>
          <cell r="LH9">
            <v>0</v>
          </cell>
          <cell r="LI9">
            <v>0</v>
          </cell>
          <cell r="LJ9">
            <v>0</v>
          </cell>
          <cell r="LK9">
            <v>0</v>
          </cell>
          <cell r="LL9">
            <v>0</v>
          </cell>
          <cell r="LM9">
            <v>0</v>
          </cell>
          <cell r="LN9">
            <v>0</v>
          </cell>
          <cell r="LO9">
            <v>0</v>
          </cell>
          <cell r="LP9">
            <v>0</v>
          </cell>
          <cell r="LQ9">
            <v>0</v>
          </cell>
          <cell r="LR9">
            <v>0</v>
          </cell>
          <cell r="LS9">
            <v>0</v>
          </cell>
          <cell r="LT9">
            <v>0</v>
          </cell>
          <cell r="LU9">
            <v>0</v>
          </cell>
          <cell r="LV9">
            <v>0</v>
          </cell>
          <cell r="LW9">
            <v>0</v>
          </cell>
          <cell r="LX9">
            <v>0</v>
          </cell>
          <cell r="LY9">
            <v>0</v>
          </cell>
          <cell r="LZ9">
            <v>0</v>
          </cell>
          <cell r="MA9">
            <v>0</v>
          </cell>
          <cell r="MB9">
            <v>0</v>
          </cell>
          <cell r="MC9">
            <v>0</v>
          </cell>
          <cell r="MD9">
            <v>0</v>
          </cell>
          <cell r="ME9">
            <v>0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DK10">
            <v>0</v>
          </cell>
          <cell r="DL10">
            <v>0</v>
          </cell>
          <cell r="DM10">
            <v>0</v>
          </cell>
          <cell r="DN10">
            <v>0</v>
          </cell>
          <cell r="DO10">
            <v>0</v>
          </cell>
          <cell r="DP10">
            <v>0</v>
          </cell>
          <cell r="DQ10">
            <v>0</v>
          </cell>
          <cell r="DR10">
            <v>0</v>
          </cell>
          <cell r="DS10">
            <v>0</v>
          </cell>
          <cell r="DT10">
            <v>0</v>
          </cell>
          <cell r="DU10">
            <v>0</v>
          </cell>
          <cell r="DV10">
            <v>0</v>
          </cell>
          <cell r="DW10">
            <v>0</v>
          </cell>
          <cell r="DX10">
            <v>0</v>
          </cell>
          <cell r="DY10">
            <v>0</v>
          </cell>
          <cell r="DZ10">
            <v>0</v>
          </cell>
          <cell r="EA10">
            <v>0</v>
          </cell>
          <cell r="EB10">
            <v>0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  <cell r="EJ10">
            <v>0</v>
          </cell>
          <cell r="EK10">
            <v>0</v>
          </cell>
          <cell r="EL10">
            <v>0</v>
          </cell>
          <cell r="EM10">
            <v>0</v>
          </cell>
          <cell r="EN10">
            <v>0</v>
          </cell>
          <cell r="EO10">
            <v>0</v>
          </cell>
          <cell r="EP10">
            <v>0</v>
          </cell>
          <cell r="EQ10">
            <v>0</v>
          </cell>
          <cell r="ER10">
            <v>0</v>
          </cell>
          <cell r="ES10">
            <v>0</v>
          </cell>
          <cell r="ET10">
            <v>0</v>
          </cell>
          <cell r="EU10">
            <v>0</v>
          </cell>
          <cell r="EV10">
            <v>0</v>
          </cell>
          <cell r="EW10">
            <v>0</v>
          </cell>
          <cell r="EX10">
            <v>0</v>
          </cell>
          <cell r="EY10">
            <v>0</v>
          </cell>
          <cell r="EZ10">
            <v>0</v>
          </cell>
          <cell r="FA10">
            <v>0</v>
          </cell>
          <cell r="FB10">
            <v>0</v>
          </cell>
          <cell r="FC10">
            <v>0</v>
          </cell>
          <cell r="FD10">
            <v>0</v>
          </cell>
          <cell r="FE10">
            <v>0</v>
          </cell>
          <cell r="FF10">
            <v>0</v>
          </cell>
          <cell r="FG10">
            <v>0</v>
          </cell>
          <cell r="FH10">
            <v>0</v>
          </cell>
          <cell r="FI10">
            <v>0</v>
          </cell>
          <cell r="FJ10">
            <v>0</v>
          </cell>
          <cell r="FK10">
            <v>0</v>
          </cell>
          <cell r="FL10">
            <v>0</v>
          </cell>
          <cell r="FM10">
            <v>0</v>
          </cell>
          <cell r="FN10">
            <v>0</v>
          </cell>
          <cell r="FO10">
            <v>0</v>
          </cell>
          <cell r="FP10">
            <v>0</v>
          </cell>
          <cell r="FQ10">
            <v>0</v>
          </cell>
          <cell r="FR10">
            <v>0</v>
          </cell>
          <cell r="FS10">
            <v>0</v>
          </cell>
          <cell r="FT10">
            <v>0</v>
          </cell>
          <cell r="FU10">
            <v>0</v>
          </cell>
          <cell r="FV10">
            <v>0</v>
          </cell>
          <cell r="FW10">
            <v>0</v>
          </cell>
          <cell r="FX10">
            <v>0</v>
          </cell>
          <cell r="FY10">
            <v>0</v>
          </cell>
          <cell r="FZ10">
            <v>0</v>
          </cell>
          <cell r="GA10">
            <v>0</v>
          </cell>
          <cell r="GB10">
            <v>0</v>
          </cell>
          <cell r="GC10">
            <v>0</v>
          </cell>
          <cell r="GD10">
            <v>0</v>
          </cell>
          <cell r="GE10">
            <v>0</v>
          </cell>
          <cell r="GF10">
            <v>0</v>
          </cell>
          <cell r="GG10">
            <v>0</v>
          </cell>
          <cell r="GH10">
            <v>0</v>
          </cell>
          <cell r="GI10">
            <v>0</v>
          </cell>
          <cell r="GJ10">
            <v>0</v>
          </cell>
          <cell r="GK10">
            <v>0</v>
          </cell>
          <cell r="GL10">
            <v>0</v>
          </cell>
          <cell r="GM10">
            <v>0</v>
          </cell>
          <cell r="GN10">
            <v>0</v>
          </cell>
          <cell r="GO10">
            <v>0</v>
          </cell>
          <cell r="GP10">
            <v>0</v>
          </cell>
          <cell r="GQ10">
            <v>0</v>
          </cell>
          <cell r="GR10">
            <v>0</v>
          </cell>
          <cell r="GS10">
            <v>0</v>
          </cell>
          <cell r="GT10">
            <v>0</v>
          </cell>
          <cell r="GU10">
            <v>0</v>
          </cell>
          <cell r="GV10">
            <v>0</v>
          </cell>
          <cell r="GW10">
            <v>0</v>
          </cell>
          <cell r="GX10">
            <v>0</v>
          </cell>
          <cell r="GY10">
            <v>0</v>
          </cell>
          <cell r="GZ10">
            <v>0</v>
          </cell>
          <cell r="HA10">
            <v>0</v>
          </cell>
          <cell r="HB10">
            <v>0</v>
          </cell>
          <cell r="HC10">
            <v>0</v>
          </cell>
          <cell r="HD10">
            <v>0</v>
          </cell>
          <cell r="HE10">
            <v>0</v>
          </cell>
          <cell r="HF10">
            <v>0</v>
          </cell>
          <cell r="HG10">
            <v>0</v>
          </cell>
          <cell r="HH10">
            <v>0</v>
          </cell>
          <cell r="HI10">
            <v>0</v>
          </cell>
          <cell r="HJ10">
            <v>0</v>
          </cell>
          <cell r="HK10">
            <v>0</v>
          </cell>
          <cell r="HL10">
            <v>0</v>
          </cell>
          <cell r="HM10">
            <v>0</v>
          </cell>
          <cell r="HN10">
            <v>0</v>
          </cell>
          <cell r="HO10">
            <v>0</v>
          </cell>
          <cell r="HP10">
            <v>0</v>
          </cell>
          <cell r="HQ10">
            <v>0</v>
          </cell>
          <cell r="HR10">
            <v>0</v>
          </cell>
          <cell r="HS10">
            <v>0</v>
          </cell>
          <cell r="HT10">
            <v>0</v>
          </cell>
          <cell r="HU10">
            <v>0</v>
          </cell>
          <cell r="HV10">
            <v>0</v>
          </cell>
          <cell r="HW10">
            <v>0</v>
          </cell>
          <cell r="HX10">
            <v>0</v>
          </cell>
          <cell r="HY10">
            <v>0</v>
          </cell>
          <cell r="HZ10">
            <v>0</v>
          </cell>
          <cell r="IA10">
            <v>0</v>
          </cell>
          <cell r="IB10">
            <v>0</v>
          </cell>
          <cell r="IC10">
            <v>0</v>
          </cell>
          <cell r="ID10">
            <v>0</v>
          </cell>
          <cell r="IE10">
            <v>0</v>
          </cell>
          <cell r="IF10">
            <v>0</v>
          </cell>
          <cell r="IG10">
            <v>0</v>
          </cell>
          <cell r="IH10">
            <v>0</v>
          </cell>
          <cell r="II10">
            <v>0</v>
          </cell>
          <cell r="IJ10">
            <v>0</v>
          </cell>
          <cell r="IK10">
            <v>0</v>
          </cell>
          <cell r="IL10">
            <v>0</v>
          </cell>
          <cell r="IM10">
            <v>0</v>
          </cell>
          <cell r="IN10">
            <v>0</v>
          </cell>
          <cell r="IO10">
            <v>0</v>
          </cell>
          <cell r="IP10">
            <v>0</v>
          </cell>
          <cell r="IQ10">
            <v>0</v>
          </cell>
          <cell r="IR10">
            <v>0</v>
          </cell>
          <cell r="IS10">
            <v>0</v>
          </cell>
          <cell r="IT10">
            <v>0</v>
          </cell>
          <cell r="IU10">
            <v>0</v>
          </cell>
          <cell r="IV10">
            <v>0</v>
          </cell>
          <cell r="IW10">
            <v>0</v>
          </cell>
          <cell r="IX10">
            <v>0</v>
          </cell>
          <cell r="IY10">
            <v>0</v>
          </cell>
          <cell r="IZ10">
            <v>0</v>
          </cell>
          <cell r="JA10">
            <v>0</v>
          </cell>
          <cell r="JB10">
            <v>0</v>
          </cell>
          <cell r="JC10">
            <v>0</v>
          </cell>
          <cell r="JD10">
            <v>0</v>
          </cell>
          <cell r="JE10">
            <v>0</v>
          </cell>
          <cell r="JF10">
            <v>0</v>
          </cell>
          <cell r="JG10">
            <v>0</v>
          </cell>
          <cell r="JH10">
            <v>0</v>
          </cell>
          <cell r="JI10">
            <v>0</v>
          </cell>
          <cell r="JJ10">
            <v>0</v>
          </cell>
          <cell r="JK10">
            <v>0</v>
          </cell>
          <cell r="JL10">
            <v>0</v>
          </cell>
          <cell r="JM10">
            <v>0</v>
          </cell>
          <cell r="JN10">
            <v>0</v>
          </cell>
          <cell r="JO10">
            <v>0</v>
          </cell>
          <cell r="JP10">
            <v>0</v>
          </cell>
          <cell r="JQ10">
            <v>0</v>
          </cell>
          <cell r="JR10">
            <v>0</v>
          </cell>
          <cell r="JS10">
            <v>0</v>
          </cell>
          <cell r="JT10">
            <v>0</v>
          </cell>
          <cell r="JU10">
            <v>0</v>
          </cell>
          <cell r="JV10">
            <v>0</v>
          </cell>
          <cell r="JW10">
            <v>0</v>
          </cell>
          <cell r="JX10">
            <v>0</v>
          </cell>
          <cell r="JY10">
            <v>0</v>
          </cell>
          <cell r="JZ10">
            <v>0</v>
          </cell>
          <cell r="KA10">
            <v>0</v>
          </cell>
          <cell r="KB10">
            <v>0</v>
          </cell>
          <cell r="KC10">
            <v>0</v>
          </cell>
          <cell r="KD10">
            <v>0</v>
          </cell>
          <cell r="KE10">
            <v>0</v>
          </cell>
          <cell r="KF10">
            <v>0</v>
          </cell>
          <cell r="KG10">
            <v>0</v>
          </cell>
          <cell r="KH10">
            <v>0</v>
          </cell>
          <cell r="KI10">
            <v>0</v>
          </cell>
          <cell r="KJ10">
            <v>0</v>
          </cell>
          <cell r="KK10">
            <v>0</v>
          </cell>
          <cell r="KL10">
            <v>0</v>
          </cell>
          <cell r="KM10">
            <v>0</v>
          </cell>
          <cell r="KN10">
            <v>0</v>
          </cell>
          <cell r="KO10">
            <v>0</v>
          </cell>
          <cell r="KP10">
            <v>0</v>
          </cell>
          <cell r="KQ10">
            <v>0</v>
          </cell>
          <cell r="KR10">
            <v>0</v>
          </cell>
          <cell r="KS10">
            <v>0</v>
          </cell>
          <cell r="KT10">
            <v>0</v>
          </cell>
          <cell r="KU10">
            <v>0</v>
          </cell>
          <cell r="KV10">
            <v>0</v>
          </cell>
          <cell r="KW10">
            <v>0</v>
          </cell>
          <cell r="KX10">
            <v>0</v>
          </cell>
          <cell r="KY10">
            <v>0</v>
          </cell>
          <cell r="KZ10">
            <v>0</v>
          </cell>
          <cell r="LA10">
            <v>0</v>
          </cell>
          <cell r="LB10">
            <v>0</v>
          </cell>
          <cell r="LC10">
            <v>0</v>
          </cell>
          <cell r="LD10">
            <v>0</v>
          </cell>
          <cell r="LE10">
            <v>0</v>
          </cell>
          <cell r="LF10">
            <v>0</v>
          </cell>
          <cell r="LG10">
            <v>0</v>
          </cell>
          <cell r="LH10">
            <v>0</v>
          </cell>
          <cell r="LI10">
            <v>0</v>
          </cell>
          <cell r="LJ10">
            <v>0</v>
          </cell>
          <cell r="LK10">
            <v>0</v>
          </cell>
          <cell r="LL10">
            <v>0</v>
          </cell>
          <cell r="LM10">
            <v>0</v>
          </cell>
          <cell r="LN10">
            <v>0</v>
          </cell>
          <cell r="LO10">
            <v>0</v>
          </cell>
          <cell r="LP10">
            <v>0</v>
          </cell>
          <cell r="LQ10">
            <v>0</v>
          </cell>
          <cell r="LR10">
            <v>0</v>
          </cell>
          <cell r="LS10">
            <v>0</v>
          </cell>
          <cell r="LT10">
            <v>0</v>
          </cell>
          <cell r="LU10">
            <v>0</v>
          </cell>
          <cell r="LV10">
            <v>0</v>
          </cell>
          <cell r="LW10">
            <v>0</v>
          </cell>
          <cell r="LX10">
            <v>0</v>
          </cell>
          <cell r="LY10">
            <v>0</v>
          </cell>
          <cell r="LZ10">
            <v>0</v>
          </cell>
          <cell r="MA10">
            <v>0</v>
          </cell>
          <cell r="MB10">
            <v>0</v>
          </cell>
          <cell r="MC10">
            <v>0</v>
          </cell>
          <cell r="MD10">
            <v>0</v>
          </cell>
          <cell r="ME10">
            <v>0</v>
          </cell>
        </row>
        <row r="11"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  <cell r="CC11">
            <v>0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  <cell r="CM11">
            <v>0</v>
          </cell>
          <cell r="CN11">
            <v>0</v>
          </cell>
          <cell r="CO11">
            <v>0</v>
          </cell>
          <cell r="CP11">
            <v>0</v>
          </cell>
          <cell r="CQ11">
            <v>0</v>
          </cell>
          <cell r="CR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0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I11">
            <v>0</v>
          </cell>
          <cell r="DJ11">
            <v>0</v>
          </cell>
          <cell r="DK11">
            <v>0</v>
          </cell>
          <cell r="DL11">
            <v>0</v>
          </cell>
          <cell r="DM11">
            <v>0</v>
          </cell>
          <cell r="DN11">
            <v>0</v>
          </cell>
          <cell r="DO11">
            <v>0</v>
          </cell>
          <cell r="DP11">
            <v>0</v>
          </cell>
          <cell r="DQ11">
            <v>0</v>
          </cell>
          <cell r="DR11">
            <v>0</v>
          </cell>
          <cell r="DS11">
            <v>0</v>
          </cell>
          <cell r="DT11">
            <v>0</v>
          </cell>
          <cell r="DU11">
            <v>0</v>
          </cell>
          <cell r="DV11">
            <v>0</v>
          </cell>
          <cell r="DW11">
            <v>0</v>
          </cell>
          <cell r="DX11">
            <v>0</v>
          </cell>
          <cell r="DY11">
            <v>0</v>
          </cell>
          <cell r="DZ11">
            <v>0</v>
          </cell>
          <cell r="EA11">
            <v>0</v>
          </cell>
          <cell r="EB11">
            <v>0</v>
          </cell>
          <cell r="EC11">
            <v>0</v>
          </cell>
          <cell r="ED11">
            <v>0</v>
          </cell>
          <cell r="EE11">
            <v>0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0</v>
          </cell>
          <cell r="EK11">
            <v>0</v>
          </cell>
          <cell r="EL11">
            <v>0</v>
          </cell>
          <cell r="EM11">
            <v>0</v>
          </cell>
          <cell r="EN11">
            <v>0</v>
          </cell>
          <cell r="EO11">
            <v>0</v>
          </cell>
          <cell r="EP11">
            <v>0</v>
          </cell>
          <cell r="EQ11">
            <v>0</v>
          </cell>
          <cell r="ER11">
            <v>0</v>
          </cell>
          <cell r="ES11">
            <v>0</v>
          </cell>
          <cell r="ET11">
            <v>0</v>
          </cell>
          <cell r="EU11">
            <v>0</v>
          </cell>
          <cell r="EV11">
            <v>0</v>
          </cell>
          <cell r="EW11">
            <v>0</v>
          </cell>
          <cell r="EX11">
            <v>0</v>
          </cell>
          <cell r="EY11">
            <v>0</v>
          </cell>
          <cell r="EZ11">
            <v>0</v>
          </cell>
          <cell r="FA11">
            <v>0</v>
          </cell>
          <cell r="FB11">
            <v>0</v>
          </cell>
          <cell r="FC11">
            <v>0</v>
          </cell>
          <cell r="FD11">
            <v>0</v>
          </cell>
          <cell r="FE11">
            <v>0</v>
          </cell>
          <cell r="FF11">
            <v>0</v>
          </cell>
          <cell r="FG11">
            <v>0</v>
          </cell>
          <cell r="FH11">
            <v>0</v>
          </cell>
          <cell r="FI11">
            <v>0</v>
          </cell>
          <cell r="FJ11">
            <v>0</v>
          </cell>
          <cell r="FK11">
            <v>0</v>
          </cell>
          <cell r="FL11">
            <v>0</v>
          </cell>
          <cell r="FM11">
            <v>0</v>
          </cell>
          <cell r="FN11">
            <v>0</v>
          </cell>
          <cell r="FO11">
            <v>0</v>
          </cell>
          <cell r="FP11">
            <v>0</v>
          </cell>
          <cell r="FQ11">
            <v>0</v>
          </cell>
          <cell r="FR11">
            <v>0</v>
          </cell>
          <cell r="FS11">
            <v>0</v>
          </cell>
          <cell r="FT11">
            <v>0</v>
          </cell>
          <cell r="FU11">
            <v>0</v>
          </cell>
          <cell r="FV11">
            <v>0</v>
          </cell>
          <cell r="FW11">
            <v>0</v>
          </cell>
          <cell r="FX11">
            <v>0</v>
          </cell>
          <cell r="FY11">
            <v>0</v>
          </cell>
          <cell r="FZ11">
            <v>0</v>
          </cell>
          <cell r="GA11">
            <v>0</v>
          </cell>
          <cell r="GB11">
            <v>0</v>
          </cell>
          <cell r="GC11">
            <v>0</v>
          </cell>
          <cell r="GD11">
            <v>0</v>
          </cell>
          <cell r="GE11">
            <v>0</v>
          </cell>
          <cell r="GF11">
            <v>0</v>
          </cell>
          <cell r="GG11">
            <v>0</v>
          </cell>
          <cell r="GH11">
            <v>0</v>
          </cell>
          <cell r="GI11">
            <v>0</v>
          </cell>
          <cell r="GJ11">
            <v>0</v>
          </cell>
          <cell r="GK11">
            <v>0</v>
          </cell>
          <cell r="GL11">
            <v>0</v>
          </cell>
          <cell r="GM11">
            <v>0</v>
          </cell>
          <cell r="GN11">
            <v>0</v>
          </cell>
          <cell r="GO11">
            <v>0</v>
          </cell>
          <cell r="GP11">
            <v>0</v>
          </cell>
          <cell r="GQ11">
            <v>0</v>
          </cell>
          <cell r="GR11">
            <v>0</v>
          </cell>
          <cell r="GS11">
            <v>0</v>
          </cell>
          <cell r="GT11">
            <v>0</v>
          </cell>
          <cell r="GU11">
            <v>0</v>
          </cell>
          <cell r="GV11">
            <v>0</v>
          </cell>
          <cell r="GW11">
            <v>0</v>
          </cell>
          <cell r="GX11">
            <v>0</v>
          </cell>
          <cell r="GY11">
            <v>0</v>
          </cell>
          <cell r="GZ11">
            <v>0</v>
          </cell>
          <cell r="HA11">
            <v>0</v>
          </cell>
          <cell r="HB11">
            <v>0</v>
          </cell>
          <cell r="HC11">
            <v>0</v>
          </cell>
          <cell r="HD11">
            <v>0</v>
          </cell>
          <cell r="HE11">
            <v>0</v>
          </cell>
          <cell r="HF11">
            <v>0</v>
          </cell>
          <cell r="HG11">
            <v>0</v>
          </cell>
          <cell r="HH11">
            <v>0</v>
          </cell>
          <cell r="HI11">
            <v>0</v>
          </cell>
          <cell r="HJ11">
            <v>0</v>
          </cell>
          <cell r="HK11">
            <v>0</v>
          </cell>
          <cell r="HL11">
            <v>0</v>
          </cell>
          <cell r="HM11">
            <v>0</v>
          </cell>
          <cell r="HN11">
            <v>0</v>
          </cell>
          <cell r="HO11">
            <v>0</v>
          </cell>
          <cell r="HP11">
            <v>0</v>
          </cell>
          <cell r="HQ11">
            <v>0</v>
          </cell>
          <cell r="HR11">
            <v>0</v>
          </cell>
          <cell r="HS11">
            <v>0</v>
          </cell>
          <cell r="HT11">
            <v>0</v>
          </cell>
          <cell r="HU11">
            <v>0</v>
          </cell>
          <cell r="HV11">
            <v>0</v>
          </cell>
          <cell r="HW11">
            <v>0</v>
          </cell>
          <cell r="HX11">
            <v>0</v>
          </cell>
          <cell r="HY11">
            <v>0</v>
          </cell>
          <cell r="HZ11">
            <v>0</v>
          </cell>
          <cell r="IA11">
            <v>0</v>
          </cell>
          <cell r="IB11">
            <v>0</v>
          </cell>
          <cell r="IC11">
            <v>0</v>
          </cell>
          <cell r="ID11">
            <v>0</v>
          </cell>
          <cell r="IE11">
            <v>0</v>
          </cell>
          <cell r="IF11">
            <v>0</v>
          </cell>
          <cell r="IG11">
            <v>0</v>
          </cell>
          <cell r="IH11">
            <v>0</v>
          </cell>
          <cell r="II11">
            <v>0</v>
          </cell>
          <cell r="IJ11">
            <v>0</v>
          </cell>
          <cell r="IK11">
            <v>0</v>
          </cell>
          <cell r="IL11">
            <v>0</v>
          </cell>
          <cell r="IM11">
            <v>0</v>
          </cell>
          <cell r="IN11">
            <v>0</v>
          </cell>
          <cell r="IO11">
            <v>0</v>
          </cell>
          <cell r="IP11">
            <v>0</v>
          </cell>
          <cell r="IQ11">
            <v>0</v>
          </cell>
          <cell r="IR11">
            <v>0</v>
          </cell>
          <cell r="IS11">
            <v>0</v>
          </cell>
          <cell r="IT11">
            <v>0</v>
          </cell>
          <cell r="IU11">
            <v>0</v>
          </cell>
          <cell r="IV11">
            <v>0</v>
          </cell>
          <cell r="IW11">
            <v>0</v>
          </cell>
          <cell r="IX11">
            <v>0</v>
          </cell>
          <cell r="IY11">
            <v>0</v>
          </cell>
          <cell r="IZ11">
            <v>0</v>
          </cell>
          <cell r="JA11">
            <v>0</v>
          </cell>
          <cell r="JB11">
            <v>0</v>
          </cell>
          <cell r="JC11">
            <v>0</v>
          </cell>
          <cell r="JD11">
            <v>0</v>
          </cell>
          <cell r="JE11">
            <v>0</v>
          </cell>
          <cell r="JF11">
            <v>0</v>
          </cell>
          <cell r="JG11">
            <v>0</v>
          </cell>
          <cell r="JH11">
            <v>0</v>
          </cell>
          <cell r="JI11">
            <v>0</v>
          </cell>
          <cell r="JJ11">
            <v>0</v>
          </cell>
          <cell r="JK11">
            <v>0</v>
          </cell>
          <cell r="JL11">
            <v>0</v>
          </cell>
          <cell r="JM11">
            <v>0</v>
          </cell>
          <cell r="JN11">
            <v>0</v>
          </cell>
          <cell r="JO11">
            <v>0</v>
          </cell>
          <cell r="JP11">
            <v>0</v>
          </cell>
          <cell r="JQ11">
            <v>0</v>
          </cell>
          <cell r="JR11">
            <v>0</v>
          </cell>
          <cell r="JS11">
            <v>0</v>
          </cell>
          <cell r="JT11">
            <v>0</v>
          </cell>
          <cell r="JU11">
            <v>0</v>
          </cell>
          <cell r="JV11">
            <v>0</v>
          </cell>
          <cell r="JW11">
            <v>0</v>
          </cell>
          <cell r="JX11">
            <v>0</v>
          </cell>
          <cell r="JY11">
            <v>0</v>
          </cell>
          <cell r="JZ11">
            <v>0</v>
          </cell>
          <cell r="KA11">
            <v>0</v>
          </cell>
          <cell r="KB11">
            <v>0</v>
          </cell>
          <cell r="KC11">
            <v>0</v>
          </cell>
          <cell r="KD11">
            <v>0</v>
          </cell>
          <cell r="KE11">
            <v>0</v>
          </cell>
          <cell r="KF11">
            <v>0</v>
          </cell>
          <cell r="KG11">
            <v>0</v>
          </cell>
          <cell r="KH11">
            <v>0</v>
          </cell>
          <cell r="KI11">
            <v>0</v>
          </cell>
          <cell r="KJ11">
            <v>0</v>
          </cell>
          <cell r="KK11">
            <v>0</v>
          </cell>
          <cell r="KL11">
            <v>0</v>
          </cell>
          <cell r="KM11">
            <v>0</v>
          </cell>
          <cell r="KN11">
            <v>0</v>
          </cell>
          <cell r="KO11">
            <v>0</v>
          </cell>
          <cell r="KP11">
            <v>0</v>
          </cell>
          <cell r="KQ11">
            <v>0</v>
          </cell>
          <cell r="KR11">
            <v>0</v>
          </cell>
          <cell r="KS11">
            <v>0</v>
          </cell>
          <cell r="KT11">
            <v>0</v>
          </cell>
          <cell r="KU11">
            <v>0</v>
          </cell>
          <cell r="KV11">
            <v>0</v>
          </cell>
          <cell r="KW11">
            <v>0</v>
          </cell>
          <cell r="KX11">
            <v>0</v>
          </cell>
          <cell r="KY11">
            <v>0</v>
          </cell>
          <cell r="KZ11">
            <v>0</v>
          </cell>
          <cell r="LA11">
            <v>0</v>
          </cell>
          <cell r="LB11">
            <v>0</v>
          </cell>
          <cell r="LC11">
            <v>0</v>
          </cell>
          <cell r="LD11">
            <v>0</v>
          </cell>
          <cell r="LE11">
            <v>0</v>
          </cell>
          <cell r="LF11">
            <v>0</v>
          </cell>
          <cell r="LG11">
            <v>0</v>
          </cell>
          <cell r="LH11">
            <v>0</v>
          </cell>
          <cell r="LI11">
            <v>0</v>
          </cell>
          <cell r="LJ11">
            <v>0</v>
          </cell>
          <cell r="LK11">
            <v>0</v>
          </cell>
          <cell r="LL11">
            <v>0</v>
          </cell>
          <cell r="LM11">
            <v>0</v>
          </cell>
          <cell r="LN11">
            <v>0</v>
          </cell>
          <cell r="LO11">
            <v>0</v>
          </cell>
          <cell r="LP11">
            <v>0</v>
          </cell>
          <cell r="LQ11">
            <v>0</v>
          </cell>
          <cell r="LR11">
            <v>0</v>
          </cell>
          <cell r="LS11">
            <v>0</v>
          </cell>
          <cell r="LT11">
            <v>0</v>
          </cell>
          <cell r="LU11">
            <v>0</v>
          </cell>
          <cell r="LV11">
            <v>0</v>
          </cell>
          <cell r="LW11">
            <v>0</v>
          </cell>
          <cell r="LX11">
            <v>0</v>
          </cell>
          <cell r="LY11">
            <v>0</v>
          </cell>
          <cell r="LZ11">
            <v>0</v>
          </cell>
          <cell r="MA11">
            <v>0</v>
          </cell>
          <cell r="MB11">
            <v>0</v>
          </cell>
          <cell r="MC11">
            <v>0</v>
          </cell>
          <cell r="MD11">
            <v>0</v>
          </cell>
          <cell r="ME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  <cell r="CC12">
            <v>0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>
            <v>0</v>
          </cell>
          <cell r="CO12">
            <v>0</v>
          </cell>
          <cell r="CP12">
            <v>0</v>
          </cell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0</v>
          </cell>
          <cell r="DJ12">
            <v>0</v>
          </cell>
          <cell r="DK12">
            <v>0</v>
          </cell>
          <cell r="DL12">
            <v>0</v>
          </cell>
          <cell r="DM12">
            <v>0</v>
          </cell>
          <cell r="DN12">
            <v>0</v>
          </cell>
          <cell r="DO12">
            <v>0</v>
          </cell>
          <cell r="DP12">
            <v>0</v>
          </cell>
          <cell r="DQ12">
            <v>0</v>
          </cell>
          <cell r="DR12">
            <v>0</v>
          </cell>
          <cell r="DS12">
            <v>0</v>
          </cell>
          <cell r="DT12">
            <v>0</v>
          </cell>
          <cell r="DU12">
            <v>0</v>
          </cell>
          <cell r="DV12">
            <v>0</v>
          </cell>
          <cell r="DW12">
            <v>0</v>
          </cell>
          <cell r="DX12">
            <v>0</v>
          </cell>
          <cell r="DY12">
            <v>0</v>
          </cell>
          <cell r="DZ12">
            <v>0</v>
          </cell>
          <cell r="EA12">
            <v>0</v>
          </cell>
          <cell r="EB12">
            <v>0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0</v>
          </cell>
          <cell r="EL12">
            <v>0</v>
          </cell>
          <cell r="EM12">
            <v>0</v>
          </cell>
          <cell r="EN12">
            <v>0</v>
          </cell>
          <cell r="EO12">
            <v>0</v>
          </cell>
          <cell r="EP12">
            <v>0</v>
          </cell>
          <cell r="EQ12">
            <v>0</v>
          </cell>
          <cell r="ER12">
            <v>0</v>
          </cell>
          <cell r="ES12">
            <v>0</v>
          </cell>
          <cell r="ET12">
            <v>0</v>
          </cell>
          <cell r="EU12">
            <v>0</v>
          </cell>
          <cell r="EV12">
            <v>0</v>
          </cell>
          <cell r="EW12">
            <v>0</v>
          </cell>
          <cell r="EX12">
            <v>0</v>
          </cell>
          <cell r="EY12">
            <v>0</v>
          </cell>
          <cell r="EZ12">
            <v>0</v>
          </cell>
          <cell r="FA12">
            <v>0</v>
          </cell>
          <cell r="FB12">
            <v>0</v>
          </cell>
          <cell r="FC12">
            <v>0</v>
          </cell>
          <cell r="FD12">
            <v>0</v>
          </cell>
          <cell r="FE12">
            <v>0</v>
          </cell>
          <cell r="FF12">
            <v>0</v>
          </cell>
          <cell r="FG12">
            <v>0</v>
          </cell>
          <cell r="FH12">
            <v>0</v>
          </cell>
          <cell r="FI12">
            <v>0</v>
          </cell>
          <cell r="FJ12">
            <v>0</v>
          </cell>
          <cell r="FK12">
            <v>0</v>
          </cell>
          <cell r="FL12">
            <v>0</v>
          </cell>
          <cell r="FM12">
            <v>0</v>
          </cell>
          <cell r="FN12">
            <v>0</v>
          </cell>
          <cell r="FO12">
            <v>0</v>
          </cell>
          <cell r="FP12">
            <v>0</v>
          </cell>
          <cell r="FQ12">
            <v>0</v>
          </cell>
          <cell r="FR12">
            <v>0</v>
          </cell>
          <cell r="FS12">
            <v>0</v>
          </cell>
          <cell r="FT12">
            <v>0</v>
          </cell>
          <cell r="FU12">
            <v>0</v>
          </cell>
          <cell r="FV12">
            <v>0</v>
          </cell>
          <cell r="FW12">
            <v>0</v>
          </cell>
          <cell r="FX12">
            <v>0</v>
          </cell>
          <cell r="FY12">
            <v>0</v>
          </cell>
          <cell r="FZ12">
            <v>0</v>
          </cell>
          <cell r="GA12">
            <v>0</v>
          </cell>
          <cell r="GB12">
            <v>0</v>
          </cell>
          <cell r="GC12">
            <v>0</v>
          </cell>
          <cell r="GD12">
            <v>0</v>
          </cell>
          <cell r="GE12">
            <v>0</v>
          </cell>
          <cell r="GF12">
            <v>0</v>
          </cell>
          <cell r="GG12">
            <v>0</v>
          </cell>
          <cell r="GH12">
            <v>0</v>
          </cell>
          <cell r="GI12">
            <v>0</v>
          </cell>
          <cell r="GJ12">
            <v>0</v>
          </cell>
          <cell r="GK12">
            <v>0</v>
          </cell>
          <cell r="GL12">
            <v>0</v>
          </cell>
          <cell r="GM12">
            <v>0</v>
          </cell>
          <cell r="GN12">
            <v>0</v>
          </cell>
          <cell r="GO12">
            <v>0</v>
          </cell>
          <cell r="GP12">
            <v>0</v>
          </cell>
          <cell r="GQ12">
            <v>0</v>
          </cell>
          <cell r="GR12">
            <v>0</v>
          </cell>
          <cell r="GS12">
            <v>0</v>
          </cell>
          <cell r="GT12">
            <v>0</v>
          </cell>
          <cell r="GU12">
            <v>0</v>
          </cell>
          <cell r="GV12">
            <v>0</v>
          </cell>
          <cell r="GW12">
            <v>0</v>
          </cell>
          <cell r="GX12">
            <v>0</v>
          </cell>
          <cell r="GY12">
            <v>0</v>
          </cell>
          <cell r="GZ12">
            <v>0</v>
          </cell>
          <cell r="HA12">
            <v>0</v>
          </cell>
          <cell r="HB12">
            <v>0</v>
          </cell>
          <cell r="HC12">
            <v>0</v>
          </cell>
          <cell r="HD12">
            <v>0</v>
          </cell>
          <cell r="HE12">
            <v>0</v>
          </cell>
          <cell r="HF12">
            <v>0</v>
          </cell>
          <cell r="HG12">
            <v>0</v>
          </cell>
          <cell r="HH12">
            <v>0</v>
          </cell>
          <cell r="HI12">
            <v>0</v>
          </cell>
          <cell r="HJ12">
            <v>0</v>
          </cell>
          <cell r="HK12">
            <v>0</v>
          </cell>
          <cell r="HL12">
            <v>0</v>
          </cell>
          <cell r="HM12">
            <v>0</v>
          </cell>
          <cell r="HN12">
            <v>0</v>
          </cell>
          <cell r="HO12">
            <v>0</v>
          </cell>
          <cell r="HP12">
            <v>0</v>
          </cell>
          <cell r="HQ12">
            <v>0</v>
          </cell>
          <cell r="HR12">
            <v>0</v>
          </cell>
          <cell r="HS12">
            <v>0</v>
          </cell>
          <cell r="HT12">
            <v>0</v>
          </cell>
          <cell r="HU12">
            <v>0</v>
          </cell>
          <cell r="HV12">
            <v>0</v>
          </cell>
          <cell r="HW12">
            <v>0</v>
          </cell>
          <cell r="HX12">
            <v>0</v>
          </cell>
          <cell r="HY12">
            <v>0</v>
          </cell>
          <cell r="HZ12">
            <v>0</v>
          </cell>
          <cell r="IA12">
            <v>0</v>
          </cell>
          <cell r="IB12">
            <v>0</v>
          </cell>
          <cell r="IC12">
            <v>0</v>
          </cell>
          <cell r="ID12">
            <v>0</v>
          </cell>
          <cell r="IE12">
            <v>0</v>
          </cell>
          <cell r="IF12">
            <v>0</v>
          </cell>
          <cell r="IG12">
            <v>0</v>
          </cell>
          <cell r="IH12">
            <v>0</v>
          </cell>
          <cell r="II12">
            <v>0</v>
          </cell>
          <cell r="IJ12">
            <v>0</v>
          </cell>
          <cell r="IK12">
            <v>0</v>
          </cell>
          <cell r="IL12">
            <v>0</v>
          </cell>
          <cell r="IM12">
            <v>0</v>
          </cell>
          <cell r="IN12">
            <v>0</v>
          </cell>
          <cell r="IO12">
            <v>0</v>
          </cell>
          <cell r="IP12">
            <v>0</v>
          </cell>
          <cell r="IQ12">
            <v>0</v>
          </cell>
          <cell r="IR12">
            <v>0</v>
          </cell>
          <cell r="IS12">
            <v>0</v>
          </cell>
          <cell r="IT12">
            <v>0</v>
          </cell>
          <cell r="IU12">
            <v>0</v>
          </cell>
          <cell r="IV12">
            <v>0</v>
          </cell>
          <cell r="IW12">
            <v>0</v>
          </cell>
          <cell r="IX12">
            <v>0</v>
          </cell>
          <cell r="IY12">
            <v>0</v>
          </cell>
          <cell r="IZ12">
            <v>0</v>
          </cell>
          <cell r="JA12">
            <v>0</v>
          </cell>
          <cell r="JB12">
            <v>0</v>
          </cell>
          <cell r="JC12">
            <v>0</v>
          </cell>
          <cell r="JD12">
            <v>0</v>
          </cell>
          <cell r="JE12">
            <v>0</v>
          </cell>
          <cell r="JF12">
            <v>0</v>
          </cell>
          <cell r="JG12">
            <v>0</v>
          </cell>
          <cell r="JH12">
            <v>0</v>
          </cell>
          <cell r="JI12">
            <v>0</v>
          </cell>
          <cell r="JJ12">
            <v>0</v>
          </cell>
          <cell r="JK12">
            <v>0</v>
          </cell>
          <cell r="JL12">
            <v>0</v>
          </cell>
          <cell r="JM12">
            <v>0</v>
          </cell>
          <cell r="JN12">
            <v>0</v>
          </cell>
          <cell r="JO12">
            <v>0</v>
          </cell>
          <cell r="JP12">
            <v>0</v>
          </cell>
          <cell r="JQ12">
            <v>0</v>
          </cell>
          <cell r="JR12">
            <v>0</v>
          </cell>
          <cell r="JS12">
            <v>0</v>
          </cell>
          <cell r="JT12">
            <v>0</v>
          </cell>
          <cell r="JU12">
            <v>0</v>
          </cell>
          <cell r="JV12">
            <v>0</v>
          </cell>
          <cell r="JW12">
            <v>0</v>
          </cell>
          <cell r="JX12">
            <v>0</v>
          </cell>
          <cell r="JY12">
            <v>0</v>
          </cell>
          <cell r="JZ12">
            <v>0</v>
          </cell>
          <cell r="KA12">
            <v>0</v>
          </cell>
          <cell r="KB12">
            <v>0</v>
          </cell>
          <cell r="KC12">
            <v>0</v>
          </cell>
          <cell r="KD12">
            <v>0</v>
          </cell>
          <cell r="KE12">
            <v>0</v>
          </cell>
          <cell r="KF12">
            <v>0</v>
          </cell>
          <cell r="KG12">
            <v>0</v>
          </cell>
          <cell r="KH12">
            <v>0</v>
          </cell>
          <cell r="KI12">
            <v>0</v>
          </cell>
          <cell r="KJ12">
            <v>0</v>
          </cell>
          <cell r="KK12">
            <v>0</v>
          </cell>
          <cell r="KL12">
            <v>0</v>
          </cell>
          <cell r="KM12">
            <v>0</v>
          </cell>
          <cell r="KN12">
            <v>0</v>
          </cell>
          <cell r="KO12">
            <v>0</v>
          </cell>
          <cell r="KP12">
            <v>0</v>
          </cell>
          <cell r="KQ12">
            <v>0</v>
          </cell>
          <cell r="KR12">
            <v>0</v>
          </cell>
          <cell r="KS12">
            <v>0</v>
          </cell>
          <cell r="KT12">
            <v>0</v>
          </cell>
          <cell r="KU12">
            <v>0</v>
          </cell>
          <cell r="KV12">
            <v>0</v>
          </cell>
          <cell r="KW12">
            <v>0</v>
          </cell>
          <cell r="KX12">
            <v>0</v>
          </cell>
          <cell r="KY12">
            <v>0</v>
          </cell>
          <cell r="KZ12">
            <v>0</v>
          </cell>
          <cell r="LA12">
            <v>0</v>
          </cell>
          <cell r="LB12">
            <v>0</v>
          </cell>
          <cell r="LC12">
            <v>0</v>
          </cell>
          <cell r="LD12">
            <v>0</v>
          </cell>
          <cell r="LE12">
            <v>0</v>
          </cell>
          <cell r="LF12">
            <v>0</v>
          </cell>
          <cell r="LG12">
            <v>0</v>
          </cell>
          <cell r="LH12">
            <v>0</v>
          </cell>
          <cell r="LI12">
            <v>0</v>
          </cell>
          <cell r="LJ12">
            <v>0</v>
          </cell>
          <cell r="LK12">
            <v>0</v>
          </cell>
          <cell r="LL12">
            <v>0</v>
          </cell>
          <cell r="LM12">
            <v>0</v>
          </cell>
          <cell r="LN12">
            <v>0</v>
          </cell>
          <cell r="LO12">
            <v>0</v>
          </cell>
          <cell r="LP12">
            <v>0</v>
          </cell>
          <cell r="LQ12">
            <v>0</v>
          </cell>
          <cell r="LR12">
            <v>0</v>
          </cell>
          <cell r="LS12">
            <v>0</v>
          </cell>
          <cell r="LT12">
            <v>0</v>
          </cell>
          <cell r="LU12">
            <v>0</v>
          </cell>
          <cell r="LV12">
            <v>0</v>
          </cell>
          <cell r="LW12">
            <v>0</v>
          </cell>
          <cell r="LX12">
            <v>0</v>
          </cell>
          <cell r="LY12">
            <v>0</v>
          </cell>
          <cell r="LZ12">
            <v>0</v>
          </cell>
          <cell r="MA12">
            <v>0</v>
          </cell>
          <cell r="MB12">
            <v>0</v>
          </cell>
          <cell r="MC12">
            <v>0</v>
          </cell>
          <cell r="MD12">
            <v>0</v>
          </cell>
          <cell r="ME12">
            <v>0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CC13">
            <v>0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P13">
            <v>0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I13">
            <v>0</v>
          </cell>
          <cell r="DJ13">
            <v>0</v>
          </cell>
          <cell r="DK13">
            <v>0</v>
          </cell>
          <cell r="DL13">
            <v>0</v>
          </cell>
          <cell r="DM13">
            <v>0</v>
          </cell>
          <cell r="DN13">
            <v>0</v>
          </cell>
          <cell r="DO13">
            <v>0</v>
          </cell>
          <cell r="DP13">
            <v>0</v>
          </cell>
          <cell r="DQ13">
            <v>0</v>
          </cell>
          <cell r="DR13">
            <v>0</v>
          </cell>
          <cell r="DS13">
            <v>0</v>
          </cell>
          <cell r="DT13">
            <v>0</v>
          </cell>
          <cell r="DU13">
            <v>0</v>
          </cell>
          <cell r="DV13">
            <v>0</v>
          </cell>
          <cell r="DW13">
            <v>0</v>
          </cell>
          <cell r="DX13">
            <v>0</v>
          </cell>
          <cell r="DY13">
            <v>0</v>
          </cell>
          <cell r="DZ13">
            <v>0</v>
          </cell>
          <cell r="EA13">
            <v>0</v>
          </cell>
          <cell r="EB13">
            <v>0</v>
          </cell>
          <cell r="EC13">
            <v>0</v>
          </cell>
          <cell r="ED13">
            <v>0</v>
          </cell>
          <cell r="EE13">
            <v>0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</v>
          </cell>
          <cell r="EM13">
            <v>0</v>
          </cell>
          <cell r="EN13">
            <v>0</v>
          </cell>
          <cell r="EO13">
            <v>0</v>
          </cell>
          <cell r="EP13">
            <v>0</v>
          </cell>
          <cell r="EQ13">
            <v>0</v>
          </cell>
          <cell r="ER13">
            <v>0</v>
          </cell>
          <cell r="ES13">
            <v>0</v>
          </cell>
          <cell r="ET13">
            <v>0</v>
          </cell>
          <cell r="EU13">
            <v>0</v>
          </cell>
          <cell r="EV13">
            <v>0</v>
          </cell>
          <cell r="EW13">
            <v>0</v>
          </cell>
          <cell r="EX13">
            <v>0</v>
          </cell>
          <cell r="EY13">
            <v>0</v>
          </cell>
          <cell r="EZ13">
            <v>0</v>
          </cell>
          <cell r="FA13">
            <v>0</v>
          </cell>
          <cell r="FB13">
            <v>0</v>
          </cell>
          <cell r="FC13">
            <v>0</v>
          </cell>
          <cell r="FD13">
            <v>0</v>
          </cell>
          <cell r="FE13">
            <v>0</v>
          </cell>
          <cell r="FF13">
            <v>0</v>
          </cell>
          <cell r="FG13">
            <v>0</v>
          </cell>
          <cell r="FH13">
            <v>0</v>
          </cell>
          <cell r="FI13">
            <v>0</v>
          </cell>
          <cell r="FJ13">
            <v>0</v>
          </cell>
          <cell r="FK13">
            <v>0</v>
          </cell>
          <cell r="FL13">
            <v>0</v>
          </cell>
          <cell r="FM13">
            <v>0</v>
          </cell>
          <cell r="FN13">
            <v>0</v>
          </cell>
          <cell r="FO13">
            <v>0</v>
          </cell>
          <cell r="FP13">
            <v>0</v>
          </cell>
          <cell r="FQ13">
            <v>0</v>
          </cell>
          <cell r="FR13">
            <v>0</v>
          </cell>
          <cell r="FS13">
            <v>0</v>
          </cell>
          <cell r="FT13">
            <v>0</v>
          </cell>
          <cell r="FU13">
            <v>0</v>
          </cell>
          <cell r="FV13">
            <v>0</v>
          </cell>
          <cell r="FW13">
            <v>0</v>
          </cell>
          <cell r="FX13">
            <v>0</v>
          </cell>
          <cell r="FY13">
            <v>0</v>
          </cell>
          <cell r="FZ13">
            <v>0</v>
          </cell>
          <cell r="GA13">
            <v>0</v>
          </cell>
          <cell r="GB13">
            <v>0</v>
          </cell>
          <cell r="GC13">
            <v>0</v>
          </cell>
          <cell r="GD13">
            <v>0</v>
          </cell>
          <cell r="GE13">
            <v>0</v>
          </cell>
          <cell r="GF13">
            <v>0</v>
          </cell>
          <cell r="GG13">
            <v>0</v>
          </cell>
          <cell r="GH13">
            <v>0</v>
          </cell>
          <cell r="GI13">
            <v>0</v>
          </cell>
          <cell r="GJ13">
            <v>0</v>
          </cell>
          <cell r="GK13">
            <v>0</v>
          </cell>
          <cell r="GL13">
            <v>0</v>
          </cell>
          <cell r="GM13">
            <v>0</v>
          </cell>
          <cell r="GN13">
            <v>0</v>
          </cell>
          <cell r="GO13">
            <v>0</v>
          </cell>
          <cell r="GP13">
            <v>0</v>
          </cell>
          <cell r="GQ13">
            <v>0</v>
          </cell>
          <cell r="GR13">
            <v>0</v>
          </cell>
          <cell r="GS13">
            <v>0</v>
          </cell>
          <cell r="GT13">
            <v>0</v>
          </cell>
          <cell r="GU13">
            <v>0</v>
          </cell>
          <cell r="GV13">
            <v>0</v>
          </cell>
          <cell r="GW13">
            <v>0</v>
          </cell>
          <cell r="GX13">
            <v>0</v>
          </cell>
          <cell r="GY13">
            <v>0</v>
          </cell>
          <cell r="GZ13">
            <v>0</v>
          </cell>
          <cell r="HA13">
            <v>0</v>
          </cell>
          <cell r="HB13">
            <v>0</v>
          </cell>
          <cell r="HC13">
            <v>0</v>
          </cell>
          <cell r="HD13">
            <v>0</v>
          </cell>
          <cell r="HE13">
            <v>0</v>
          </cell>
          <cell r="HF13">
            <v>0</v>
          </cell>
          <cell r="HG13">
            <v>0</v>
          </cell>
          <cell r="HH13">
            <v>0</v>
          </cell>
          <cell r="HI13">
            <v>0</v>
          </cell>
          <cell r="HJ13">
            <v>0</v>
          </cell>
          <cell r="HK13">
            <v>0</v>
          </cell>
          <cell r="HL13">
            <v>0</v>
          </cell>
          <cell r="HM13">
            <v>0</v>
          </cell>
          <cell r="HN13">
            <v>0</v>
          </cell>
          <cell r="HO13">
            <v>0</v>
          </cell>
          <cell r="HP13">
            <v>0</v>
          </cell>
          <cell r="HQ13">
            <v>0</v>
          </cell>
          <cell r="HR13">
            <v>0</v>
          </cell>
          <cell r="HS13">
            <v>0</v>
          </cell>
          <cell r="HT13">
            <v>0</v>
          </cell>
          <cell r="HU13">
            <v>0</v>
          </cell>
          <cell r="HV13">
            <v>0</v>
          </cell>
          <cell r="HW13">
            <v>0</v>
          </cell>
          <cell r="HX13">
            <v>0</v>
          </cell>
          <cell r="HY13">
            <v>0</v>
          </cell>
          <cell r="HZ13">
            <v>0</v>
          </cell>
          <cell r="IA13">
            <v>0</v>
          </cell>
          <cell r="IB13">
            <v>0</v>
          </cell>
          <cell r="IC13">
            <v>0</v>
          </cell>
          <cell r="ID13">
            <v>0</v>
          </cell>
          <cell r="IE13">
            <v>0</v>
          </cell>
          <cell r="IF13">
            <v>0</v>
          </cell>
          <cell r="IG13">
            <v>0</v>
          </cell>
          <cell r="IH13">
            <v>0</v>
          </cell>
          <cell r="II13">
            <v>0</v>
          </cell>
          <cell r="IJ13">
            <v>0</v>
          </cell>
          <cell r="IK13">
            <v>0</v>
          </cell>
          <cell r="IL13">
            <v>0</v>
          </cell>
          <cell r="IM13">
            <v>0</v>
          </cell>
          <cell r="IN13">
            <v>0</v>
          </cell>
          <cell r="IO13">
            <v>0</v>
          </cell>
          <cell r="IP13">
            <v>0</v>
          </cell>
          <cell r="IQ13">
            <v>0</v>
          </cell>
          <cell r="IR13">
            <v>0</v>
          </cell>
          <cell r="IS13">
            <v>0</v>
          </cell>
          <cell r="IT13">
            <v>0</v>
          </cell>
          <cell r="IU13">
            <v>0</v>
          </cell>
          <cell r="IV13">
            <v>0</v>
          </cell>
          <cell r="IW13">
            <v>0</v>
          </cell>
          <cell r="IX13">
            <v>0</v>
          </cell>
          <cell r="IY13">
            <v>0</v>
          </cell>
          <cell r="IZ13">
            <v>0</v>
          </cell>
          <cell r="JA13">
            <v>0</v>
          </cell>
          <cell r="JB13">
            <v>0</v>
          </cell>
          <cell r="JC13">
            <v>0</v>
          </cell>
          <cell r="JD13">
            <v>0</v>
          </cell>
          <cell r="JE13">
            <v>0</v>
          </cell>
          <cell r="JF13">
            <v>0</v>
          </cell>
          <cell r="JG13">
            <v>0</v>
          </cell>
          <cell r="JH13">
            <v>0</v>
          </cell>
          <cell r="JI13">
            <v>0</v>
          </cell>
          <cell r="JJ13">
            <v>0</v>
          </cell>
          <cell r="JK13">
            <v>0</v>
          </cell>
          <cell r="JL13">
            <v>0</v>
          </cell>
          <cell r="JM13">
            <v>0</v>
          </cell>
          <cell r="JN13">
            <v>0</v>
          </cell>
          <cell r="JO13">
            <v>0</v>
          </cell>
          <cell r="JP13">
            <v>0</v>
          </cell>
          <cell r="JQ13">
            <v>0</v>
          </cell>
          <cell r="JR13">
            <v>0</v>
          </cell>
          <cell r="JS13">
            <v>0</v>
          </cell>
          <cell r="JT13">
            <v>0</v>
          </cell>
          <cell r="JU13">
            <v>0</v>
          </cell>
          <cell r="JV13">
            <v>0</v>
          </cell>
          <cell r="JW13">
            <v>0</v>
          </cell>
          <cell r="JX13">
            <v>0</v>
          </cell>
          <cell r="JY13">
            <v>0</v>
          </cell>
          <cell r="JZ13">
            <v>0</v>
          </cell>
          <cell r="KA13">
            <v>0</v>
          </cell>
          <cell r="KB13">
            <v>0</v>
          </cell>
          <cell r="KC13">
            <v>0</v>
          </cell>
          <cell r="KD13">
            <v>0</v>
          </cell>
          <cell r="KE13">
            <v>0</v>
          </cell>
          <cell r="KF13">
            <v>0</v>
          </cell>
          <cell r="KG13">
            <v>0</v>
          </cell>
          <cell r="KH13">
            <v>0</v>
          </cell>
          <cell r="KI13">
            <v>0</v>
          </cell>
          <cell r="KJ13">
            <v>0</v>
          </cell>
          <cell r="KK13">
            <v>0</v>
          </cell>
          <cell r="KL13">
            <v>0</v>
          </cell>
          <cell r="KM13">
            <v>0</v>
          </cell>
          <cell r="KN13">
            <v>0</v>
          </cell>
          <cell r="KO13">
            <v>0</v>
          </cell>
          <cell r="KP13">
            <v>0</v>
          </cell>
          <cell r="KQ13">
            <v>0</v>
          </cell>
          <cell r="KR13">
            <v>0</v>
          </cell>
          <cell r="KS13">
            <v>0</v>
          </cell>
          <cell r="KT13">
            <v>0</v>
          </cell>
          <cell r="KU13">
            <v>0</v>
          </cell>
          <cell r="KV13">
            <v>0</v>
          </cell>
          <cell r="KW13">
            <v>0</v>
          </cell>
          <cell r="KX13">
            <v>0</v>
          </cell>
          <cell r="KY13">
            <v>0</v>
          </cell>
          <cell r="KZ13">
            <v>0</v>
          </cell>
          <cell r="LA13">
            <v>0</v>
          </cell>
          <cell r="LB13">
            <v>0</v>
          </cell>
          <cell r="LC13">
            <v>0</v>
          </cell>
          <cell r="LD13">
            <v>0</v>
          </cell>
          <cell r="LE13">
            <v>0</v>
          </cell>
          <cell r="LF13">
            <v>0</v>
          </cell>
          <cell r="LG13">
            <v>0</v>
          </cell>
          <cell r="LH13">
            <v>0</v>
          </cell>
          <cell r="LI13">
            <v>0</v>
          </cell>
          <cell r="LJ13">
            <v>0</v>
          </cell>
          <cell r="LK13">
            <v>0</v>
          </cell>
          <cell r="LL13">
            <v>0</v>
          </cell>
          <cell r="LM13">
            <v>0</v>
          </cell>
          <cell r="LN13">
            <v>0</v>
          </cell>
          <cell r="LO13">
            <v>0</v>
          </cell>
          <cell r="LP13">
            <v>0</v>
          </cell>
          <cell r="LQ13">
            <v>0</v>
          </cell>
          <cell r="LR13">
            <v>0</v>
          </cell>
          <cell r="LS13">
            <v>0</v>
          </cell>
          <cell r="LT13">
            <v>0</v>
          </cell>
          <cell r="LU13">
            <v>0</v>
          </cell>
          <cell r="LV13">
            <v>0</v>
          </cell>
          <cell r="LW13">
            <v>0</v>
          </cell>
          <cell r="LX13">
            <v>0</v>
          </cell>
          <cell r="LY13">
            <v>0</v>
          </cell>
          <cell r="LZ13">
            <v>0</v>
          </cell>
          <cell r="MA13">
            <v>0</v>
          </cell>
          <cell r="MB13">
            <v>0</v>
          </cell>
          <cell r="MC13">
            <v>0</v>
          </cell>
          <cell r="MD13">
            <v>0</v>
          </cell>
          <cell r="ME13">
            <v>0</v>
          </cell>
        </row>
        <row r="14"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  <cell r="CC14">
            <v>0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I14">
            <v>0</v>
          </cell>
          <cell r="DJ14">
            <v>0</v>
          </cell>
          <cell r="DK14">
            <v>0</v>
          </cell>
          <cell r="DL14">
            <v>0</v>
          </cell>
          <cell r="DM14">
            <v>0</v>
          </cell>
          <cell r="DN14">
            <v>0</v>
          </cell>
          <cell r="DO14">
            <v>0</v>
          </cell>
          <cell r="DP14">
            <v>0</v>
          </cell>
          <cell r="DQ14">
            <v>0</v>
          </cell>
          <cell r="DR14">
            <v>0</v>
          </cell>
          <cell r="DS14">
            <v>0</v>
          </cell>
          <cell r="DT14">
            <v>0</v>
          </cell>
          <cell r="DU14">
            <v>0</v>
          </cell>
          <cell r="DV14">
            <v>0</v>
          </cell>
          <cell r="DW14">
            <v>0</v>
          </cell>
          <cell r="DX14">
            <v>0</v>
          </cell>
          <cell r="DY14">
            <v>0</v>
          </cell>
          <cell r="DZ14">
            <v>0</v>
          </cell>
          <cell r="EA14">
            <v>0</v>
          </cell>
          <cell r="EB14">
            <v>0</v>
          </cell>
          <cell r="EC14">
            <v>0</v>
          </cell>
          <cell r="ED14">
            <v>0</v>
          </cell>
          <cell r="EE14">
            <v>0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0</v>
          </cell>
          <cell r="EK14">
            <v>0</v>
          </cell>
          <cell r="EL14">
            <v>0</v>
          </cell>
          <cell r="EM14">
            <v>0</v>
          </cell>
          <cell r="EN14">
            <v>0</v>
          </cell>
          <cell r="EO14">
            <v>0</v>
          </cell>
          <cell r="EP14">
            <v>0</v>
          </cell>
          <cell r="EQ14">
            <v>0</v>
          </cell>
          <cell r="ER14">
            <v>0</v>
          </cell>
          <cell r="ES14">
            <v>0</v>
          </cell>
          <cell r="ET14">
            <v>0</v>
          </cell>
          <cell r="EU14">
            <v>0</v>
          </cell>
          <cell r="EV14">
            <v>0</v>
          </cell>
          <cell r="EW14">
            <v>0</v>
          </cell>
          <cell r="EX14">
            <v>0</v>
          </cell>
          <cell r="EY14">
            <v>0</v>
          </cell>
          <cell r="EZ14">
            <v>0</v>
          </cell>
          <cell r="FA14">
            <v>0</v>
          </cell>
          <cell r="FB14">
            <v>0</v>
          </cell>
          <cell r="FC14">
            <v>0</v>
          </cell>
          <cell r="FD14">
            <v>0</v>
          </cell>
          <cell r="FE14">
            <v>0</v>
          </cell>
          <cell r="FF14">
            <v>0</v>
          </cell>
          <cell r="FG14">
            <v>0</v>
          </cell>
          <cell r="FH14">
            <v>0</v>
          </cell>
          <cell r="FI14">
            <v>0</v>
          </cell>
          <cell r="FJ14">
            <v>0</v>
          </cell>
          <cell r="FK14">
            <v>0</v>
          </cell>
          <cell r="FL14">
            <v>0</v>
          </cell>
          <cell r="FM14">
            <v>0</v>
          </cell>
          <cell r="FN14">
            <v>0</v>
          </cell>
          <cell r="FO14">
            <v>0</v>
          </cell>
          <cell r="FP14">
            <v>0</v>
          </cell>
          <cell r="FQ14">
            <v>0</v>
          </cell>
          <cell r="FR14">
            <v>0</v>
          </cell>
          <cell r="FS14">
            <v>0</v>
          </cell>
          <cell r="FT14">
            <v>0</v>
          </cell>
          <cell r="FU14">
            <v>0</v>
          </cell>
          <cell r="FV14">
            <v>0</v>
          </cell>
          <cell r="FW14">
            <v>0</v>
          </cell>
          <cell r="FX14">
            <v>0</v>
          </cell>
          <cell r="FY14">
            <v>0</v>
          </cell>
          <cell r="FZ14">
            <v>0</v>
          </cell>
          <cell r="GA14">
            <v>0</v>
          </cell>
          <cell r="GB14">
            <v>0</v>
          </cell>
          <cell r="GC14">
            <v>0</v>
          </cell>
          <cell r="GD14">
            <v>0</v>
          </cell>
          <cell r="GE14">
            <v>0</v>
          </cell>
          <cell r="GF14">
            <v>0</v>
          </cell>
          <cell r="GG14">
            <v>0</v>
          </cell>
          <cell r="GH14">
            <v>0</v>
          </cell>
          <cell r="GI14">
            <v>0</v>
          </cell>
          <cell r="GJ14">
            <v>0</v>
          </cell>
          <cell r="GK14">
            <v>0</v>
          </cell>
          <cell r="GL14">
            <v>0</v>
          </cell>
          <cell r="GM14">
            <v>0</v>
          </cell>
          <cell r="GN14">
            <v>0</v>
          </cell>
          <cell r="GO14">
            <v>0</v>
          </cell>
          <cell r="GP14">
            <v>0</v>
          </cell>
          <cell r="GQ14">
            <v>0</v>
          </cell>
          <cell r="GR14">
            <v>0</v>
          </cell>
          <cell r="GS14">
            <v>0</v>
          </cell>
          <cell r="GT14">
            <v>0</v>
          </cell>
          <cell r="GU14">
            <v>0</v>
          </cell>
          <cell r="GV14">
            <v>0</v>
          </cell>
          <cell r="GW14">
            <v>0</v>
          </cell>
          <cell r="GX14">
            <v>0</v>
          </cell>
          <cell r="GY14">
            <v>0</v>
          </cell>
          <cell r="GZ14">
            <v>0</v>
          </cell>
          <cell r="HA14">
            <v>0</v>
          </cell>
          <cell r="HB14">
            <v>0</v>
          </cell>
          <cell r="HC14">
            <v>0</v>
          </cell>
          <cell r="HD14">
            <v>0</v>
          </cell>
          <cell r="HE14">
            <v>0</v>
          </cell>
          <cell r="HF14">
            <v>0</v>
          </cell>
          <cell r="HG14">
            <v>0</v>
          </cell>
          <cell r="HH14">
            <v>0</v>
          </cell>
          <cell r="HI14">
            <v>0</v>
          </cell>
          <cell r="HJ14">
            <v>0</v>
          </cell>
          <cell r="HK14">
            <v>0</v>
          </cell>
          <cell r="HL14">
            <v>0</v>
          </cell>
          <cell r="HM14">
            <v>0</v>
          </cell>
          <cell r="HN14">
            <v>0</v>
          </cell>
          <cell r="HO14">
            <v>0</v>
          </cell>
          <cell r="HP14">
            <v>0</v>
          </cell>
          <cell r="HQ14">
            <v>0</v>
          </cell>
          <cell r="HR14">
            <v>0</v>
          </cell>
          <cell r="HS14">
            <v>0</v>
          </cell>
          <cell r="HT14">
            <v>0</v>
          </cell>
          <cell r="HU14">
            <v>0</v>
          </cell>
          <cell r="HV14">
            <v>0</v>
          </cell>
          <cell r="HW14">
            <v>0</v>
          </cell>
          <cell r="HX14">
            <v>0</v>
          </cell>
          <cell r="HY14">
            <v>0</v>
          </cell>
          <cell r="HZ14">
            <v>0</v>
          </cell>
          <cell r="IA14">
            <v>0</v>
          </cell>
          <cell r="IB14">
            <v>0</v>
          </cell>
          <cell r="IC14">
            <v>0</v>
          </cell>
          <cell r="ID14">
            <v>0</v>
          </cell>
          <cell r="IE14">
            <v>0</v>
          </cell>
          <cell r="IF14">
            <v>0</v>
          </cell>
          <cell r="IG14">
            <v>0</v>
          </cell>
          <cell r="IH14">
            <v>0</v>
          </cell>
          <cell r="II14">
            <v>0</v>
          </cell>
          <cell r="IJ14">
            <v>0</v>
          </cell>
          <cell r="IK14">
            <v>0</v>
          </cell>
          <cell r="IL14">
            <v>0</v>
          </cell>
          <cell r="IM14">
            <v>0</v>
          </cell>
          <cell r="IN14">
            <v>0</v>
          </cell>
          <cell r="IO14">
            <v>0</v>
          </cell>
          <cell r="IP14">
            <v>0</v>
          </cell>
          <cell r="IQ14">
            <v>0</v>
          </cell>
          <cell r="IR14">
            <v>0</v>
          </cell>
          <cell r="IS14">
            <v>0</v>
          </cell>
          <cell r="IT14">
            <v>0</v>
          </cell>
          <cell r="IU14">
            <v>0</v>
          </cell>
          <cell r="IV14">
            <v>0</v>
          </cell>
          <cell r="IW14">
            <v>0</v>
          </cell>
          <cell r="IX14">
            <v>0</v>
          </cell>
          <cell r="IY14">
            <v>0</v>
          </cell>
          <cell r="IZ14">
            <v>0</v>
          </cell>
          <cell r="JA14">
            <v>0</v>
          </cell>
          <cell r="JB14">
            <v>0</v>
          </cell>
          <cell r="JC14">
            <v>0</v>
          </cell>
          <cell r="JD14">
            <v>0</v>
          </cell>
          <cell r="JE14">
            <v>0</v>
          </cell>
          <cell r="JF14">
            <v>0</v>
          </cell>
          <cell r="JG14">
            <v>0</v>
          </cell>
          <cell r="JH14">
            <v>0</v>
          </cell>
          <cell r="JI14">
            <v>0</v>
          </cell>
          <cell r="JJ14">
            <v>0</v>
          </cell>
          <cell r="JK14">
            <v>0</v>
          </cell>
          <cell r="JL14">
            <v>0</v>
          </cell>
          <cell r="JM14">
            <v>0</v>
          </cell>
          <cell r="JN14">
            <v>0</v>
          </cell>
          <cell r="JO14">
            <v>0</v>
          </cell>
          <cell r="JP14">
            <v>0</v>
          </cell>
          <cell r="JQ14">
            <v>0</v>
          </cell>
          <cell r="JR14">
            <v>0</v>
          </cell>
          <cell r="JS14">
            <v>0</v>
          </cell>
          <cell r="JT14">
            <v>0</v>
          </cell>
          <cell r="JU14">
            <v>0</v>
          </cell>
          <cell r="JV14">
            <v>0</v>
          </cell>
          <cell r="JW14">
            <v>0</v>
          </cell>
          <cell r="JX14">
            <v>0</v>
          </cell>
          <cell r="JY14">
            <v>0</v>
          </cell>
          <cell r="JZ14">
            <v>0</v>
          </cell>
          <cell r="KA14">
            <v>0</v>
          </cell>
          <cell r="KB14">
            <v>0</v>
          </cell>
          <cell r="KC14">
            <v>0</v>
          </cell>
          <cell r="KD14">
            <v>0</v>
          </cell>
          <cell r="KE14">
            <v>0</v>
          </cell>
          <cell r="KF14">
            <v>0</v>
          </cell>
          <cell r="KG14">
            <v>0</v>
          </cell>
          <cell r="KH14">
            <v>0</v>
          </cell>
          <cell r="KI14">
            <v>0</v>
          </cell>
          <cell r="KJ14">
            <v>0</v>
          </cell>
          <cell r="KK14">
            <v>0</v>
          </cell>
          <cell r="KL14">
            <v>0</v>
          </cell>
          <cell r="KM14">
            <v>0</v>
          </cell>
          <cell r="KN14">
            <v>0</v>
          </cell>
          <cell r="KO14">
            <v>0</v>
          </cell>
          <cell r="KP14">
            <v>0</v>
          </cell>
          <cell r="KQ14">
            <v>0</v>
          </cell>
          <cell r="KR14">
            <v>0</v>
          </cell>
          <cell r="KS14">
            <v>0</v>
          </cell>
          <cell r="KT14">
            <v>0</v>
          </cell>
          <cell r="KU14">
            <v>0</v>
          </cell>
          <cell r="KV14">
            <v>0</v>
          </cell>
          <cell r="KW14">
            <v>0</v>
          </cell>
          <cell r="KX14">
            <v>0</v>
          </cell>
          <cell r="KY14">
            <v>0</v>
          </cell>
          <cell r="KZ14">
            <v>0</v>
          </cell>
          <cell r="LA14">
            <v>0</v>
          </cell>
          <cell r="LB14">
            <v>0</v>
          </cell>
          <cell r="LC14">
            <v>0</v>
          </cell>
          <cell r="LD14">
            <v>0</v>
          </cell>
          <cell r="LE14">
            <v>0</v>
          </cell>
          <cell r="LF14">
            <v>0</v>
          </cell>
          <cell r="LG14">
            <v>0</v>
          </cell>
          <cell r="LH14">
            <v>0</v>
          </cell>
          <cell r="LI14">
            <v>0</v>
          </cell>
          <cell r="LJ14">
            <v>0</v>
          </cell>
          <cell r="LK14">
            <v>0</v>
          </cell>
          <cell r="LL14">
            <v>0</v>
          </cell>
          <cell r="LM14">
            <v>0</v>
          </cell>
          <cell r="LN14">
            <v>0</v>
          </cell>
          <cell r="LO14">
            <v>0</v>
          </cell>
          <cell r="LP14">
            <v>0</v>
          </cell>
          <cell r="LQ14">
            <v>0</v>
          </cell>
          <cell r="LR14">
            <v>0</v>
          </cell>
          <cell r="LS14">
            <v>0</v>
          </cell>
          <cell r="LT14">
            <v>0</v>
          </cell>
          <cell r="LU14">
            <v>0</v>
          </cell>
          <cell r="LV14">
            <v>0</v>
          </cell>
          <cell r="LW14">
            <v>0</v>
          </cell>
          <cell r="LX14">
            <v>0</v>
          </cell>
          <cell r="LY14">
            <v>0</v>
          </cell>
          <cell r="LZ14">
            <v>0</v>
          </cell>
          <cell r="MA14">
            <v>0</v>
          </cell>
          <cell r="MB14">
            <v>0</v>
          </cell>
          <cell r="MC14">
            <v>0</v>
          </cell>
          <cell r="MD14">
            <v>0</v>
          </cell>
          <cell r="ME14">
            <v>0</v>
          </cell>
        </row>
        <row r="15"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C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L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Q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V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A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K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P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U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EZ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E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J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O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T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Y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D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I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N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S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X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C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H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M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R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W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B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G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L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Q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V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A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F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K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P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U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JZ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E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J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O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T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Y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D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I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N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S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X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C15">
            <v>0</v>
          </cell>
          <cell r="MD15">
            <v>0</v>
          </cell>
          <cell r="ME15">
            <v>0</v>
          </cell>
        </row>
        <row r="16"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>
            <v>0</v>
          </cell>
          <cell r="CO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I16">
            <v>0</v>
          </cell>
          <cell r="DJ16">
            <v>0</v>
          </cell>
          <cell r="DK16">
            <v>0</v>
          </cell>
          <cell r="DL16">
            <v>0</v>
          </cell>
          <cell r="DM16">
            <v>0</v>
          </cell>
          <cell r="DN16">
            <v>0</v>
          </cell>
          <cell r="DO16">
            <v>0</v>
          </cell>
          <cell r="DP16">
            <v>0</v>
          </cell>
          <cell r="DQ16">
            <v>0</v>
          </cell>
          <cell r="DR16">
            <v>0</v>
          </cell>
          <cell r="DS16">
            <v>0</v>
          </cell>
          <cell r="DT16">
            <v>0</v>
          </cell>
          <cell r="DU16">
            <v>0</v>
          </cell>
          <cell r="DV16">
            <v>0</v>
          </cell>
          <cell r="DW16">
            <v>0</v>
          </cell>
          <cell r="DX16">
            <v>0</v>
          </cell>
          <cell r="DY16">
            <v>0</v>
          </cell>
          <cell r="DZ16">
            <v>0</v>
          </cell>
          <cell r="EA16">
            <v>0</v>
          </cell>
          <cell r="EB16">
            <v>0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0</v>
          </cell>
          <cell r="EK16">
            <v>0</v>
          </cell>
          <cell r="EL16">
            <v>0</v>
          </cell>
          <cell r="EM16">
            <v>0</v>
          </cell>
          <cell r="EN16">
            <v>0</v>
          </cell>
          <cell r="EO16">
            <v>0</v>
          </cell>
          <cell r="EP16">
            <v>0</v>
          </cell>
          <cell r="EQ16">
            <v>0</v>
          </cell>
          <cell r="ER16">
            <v>0</v>
          </cell>
          <cell r="ES16">
            <v>0</v>
          </cell>
          <cell r="ET16">
            <v>0</v>
          </cell>
          <cell r="EU16">
            <v>0</v>
          </cell>
          <cell r="EV16">
            <v>0</v>
          </cell>
          <cell r="EW16">
            <v>0</v>
          </cell>
          <cell r="EX16">
            <v>0</v>
          </cell>
          <cell r="EY16">
            <v>0</v>
          </cell>
          <cell r="EZ16">
            <v>0</v>
          </cell>
          <cell r="FA16">
            <v>0</v>
          </cell>
          <cell r="FB16">
            <v>0</v>
          </cell>
          <cell r="FC16">
            <v>0</v>
          </cell>
          <cell r="FD16">
            <v>0</v>
          </cell>
          <cell r="FE16">
            <v>0</v>
          </cell>
          <cell r="FF16">
            <v>0</v>
          </cell>
          <cell r="FG16">
            <v>0</v>
          </cell>
          <cell r="FH16">
            <v>0</v>
          </cell>
          <cell r="FI16">
            <v>0</v>
          </cell>
          <cell r="FJ16">
            <v>0</v>
          </cell>
          <cell r="FK16">
            <v>0</v>
          </cell>
          <cell r="FL16">
            <v>0</v>
          </cell>
          <cell r="FM16">
            <v>0</v>
          </cell>
          <cell r="FN16">
            <v>0</v>
          </cell>
          <cell r="FO16">
            <v>0</v>
          </cell>
          <cell r="FP16">
            <v>0</v>
          </cell>
          <cell r="FQ16">
            <v>0</v>
          </cell>
          <cell r="FR16">
            <v>0</v>
          </cell>
          <cell r="FS16">
            <v>0</v>
          </cell>
          <cell r="FT16">
            <v>0</v>
          </cell>
          <cell r="FU16">
            <v>0</v>
          </cell>
          <cell r="FV16">
            <v>0</v>
          </cell>
          <cell r="FW16">
            <v>0</v>
          </cell>
          <cell r="FX16">
            <v>0</v>
          </cell>
          <cell r="FY16">
            <v>0</v>
          </cell>
          <cell r="FZ16">
            <v>0</v>
          </cell>
          <cell r="GA16">
            <v>0</v>
          </cell>
          <cell r="GB16">
            <v>0</v>
          </cell>
          <cell r="GC16">
            <v>0</v>
          </cell>
          <cell r="GD16">
            <v>0</v>
          </cell>
          <cell r="GE16">
            <v>0</v>
          </cell>
          <cell r="GF16">
            <v>0</v>
          </cell>
          <cell r="GG16">
            <v>0</v>
          </cell>
          <cell r="GH16">
            <v>0</v>
          </cell>
          <cell r="GI16">
            <v>0</v>
          </cell>
          <cell r="GJ16">
            <v>0</v>
          </cell>
          <cell r="GK16">
            <v>0</v>
          </cell>
          <cell r="GL16">
            <v>0</v>
          </cell>
          <cell r="GM16">
            <v>0</v>
          </cell>
          <cell r="GN16">
            <v>0</v>
          </cell>
          <cell r="GO16">
            <v>0</v>
          </cell>
          <cell r="GP16">
            <v>0</v>
          </cell>
          <cell r="GQ16">
            <v>0</v>
          </cell>
          <cell r="GR16">
            <v>0</v>
          </cell>
          <cell r="GS16">
            <v>0</v>
          </cell>
          <cell r="GT16">
            <v>0</v>
          </cell>
          <cell r="GU16">
            <v>0</v>
          </cell>
          <cell r="GV16">
            <v>0</v>
          </cell>
          <cell r="GW16">
            <v>0</v>
          </cell>
          <cell r="GX16">
            <v>0</v>
          </cell>
          <cell r="GY16">
            <v>0</v>
          </cell>
          <cell r="GZ16">
            <v>0</v>
          </cell>
          <cell r="HA16">
            <v>0</v>
          </cell>
          <cell r="HB16">
            <v>0</v>
          </cell>
          <cell r="HC16">
            <v>0</v>
          </cell>
          <cell r="HD16">
            <v>0</v>
          </cell>
          <cell r="HE16">
            <v>0</v>
          </cell>
          <cell r="HF16">
            <v>0</v>
          </cell>
          <cell r="HG16">
            <v>0</v>
          </cell>
          <cell r="HH16">
            <v>0</v>
          </cell>
          <cell r="HI16">
            <v>0</v>
          </cell>
          <cell r="HJ16">
            <v>0</v>
          </cell>
          <cell r="HK16">
            <v>0</v>
          </cell>
          <cell r="HL16">
            <v>0</v>
          </cell>
          <cell r="HM16">
            <v>0</v>
          </cell>
          <cell r="HN16">
            <v>0</v>
          </cell>
          <cell r="HO16">
            <v>0</v>
          </cell>
          <cell r="HP16">
            <v>0</v>
          </cell>
          <cell r="HQ16">
            <v>0</v>
          </cell>
          <cell r="HR16">
            <v>0</v>
          </cell>
          <cell r="HS16">
            <v>0</v>
          </cell>
          <cell r="HT16">
            <v>0</v>
          </cell>
          <cell r="HU16">
            <v>0</v>
          </cell>
          <cell r="HV16">
            <v>0</v>
          </cell>
          <cell r="HW16">
            <v>0</v>
          </cell>
          <cell r="HX16">
            <v>0</v>
          </cell>
          <cell r="HY16">
            <v>0</v>
          </cell>
          <cell r="HZ16">
            <v>0</v>
          </cell>
          <cell r="IA16">
            <v>0</v>
          </cell>
          <cell r="IB16">
            <v>0</v>
          </cell>
          <cell r="IC16">
            <v>0</v>
          </cell>
          <cell r="ID16">
            <v>0</v>
          </cell>
          <cell r="IE16">
            <v>0</v>
          </cell>
          <cell r="IF16">
            <v>0</v>
          </cell>
          <cell r="IG16">
            <v>0</v>
          </cell>
          <cell r="IH16">
            <v>0</v>
          </cell>
          <cell r="II16">
            <v>0</v>
          </cell>
          <cell r="IJ16">
            <v>0</v>
          </cell>
          <cell r="IK16">
            <v>0</v>
          </cell>
          <cell r="IL16">
            <v>0</v>
          </cell>
          <cell r="IM16">
            <v>0</v>
          </cell>
          <cell r="IN16">
            <v>0</v>
          </cell>
          <cell r="IO16">
            <v>0</v>
          </cell>
          <cell r="IP16">
            <v>0</v>
          </cell>
          <cell r="IQ16">
            <v>0</v>
          </cell>
          <cell r="IR16">
            <v>0</v>
          </cell>
          <cell r="IS16">
            <v>0</v>
          </cell>
          <cell r="IT16">
            <v>0</v>
          </cell>
          <cell r="IU16">
            <v>0</v>
          </cell>
          <cell r="IV16">
            <v>0</v>
          </cell>
          <cell r="IW16">
            <v>0</v>
          </cell>
          <cell r="IX16">
            <v>0</v>
          </cell>
          <cell r="IY16">
            <v>0</v>
          </cell>
          <cell r="IZ16">
            <v>0</v>
          </cell>
          <cell r="JA16">
            <v>0</v>
          </cell>
          <cell r="JB16">
            <v>0</v>
          </cell>
          <cell r="JC16">
            <v>0</v>
          </cell>
          <cell r="JD16">
            <v>0</v>
          </cell>
          <cell r="JE16">
            <v>0</v>
          </cell>
          <cell r="JF16">
            <v>0</v>
          </cell>
          <cell r="JG16">
            <v>0</v>
          </cell>
          <cell r="JH16">
            <v>0</v>
          </cell>
          <cell r="JI16">
            <v>0</v>
          </cell>
          <cell r="JJ16">
            <v>0</v>
          </cell>
          <cell r="JK16">
            <v>0</v>
          </cell>
          <cell r="JL16">
            <v>0</v>
          </cell>
          <cell r="JM16">
            <v>0</v>
          </cell>
          <cell r="JN16">
            <v>0</v>
          </cell>
          <cell r="JO16">
            <v>0</v>
          </cell>
          <cell r="JP16">
            <v>0</v>
          </cell>
          <cell r="JQ16">
            <v>0</v>
          </cell>
          <cell r="JR16">
            <v>0</v>
          </cell>
          <cell r="JS16">
            <v>0</v>
          </cell>
          <cell r="JT16">
            <v>0</v>
          </cell>
          <cell r="JU16">
            <v>0</v>
          </cell>
          <cell r="JV16">
            <v>0</v>
          </cell>
          <cell r="JW16">
            <v>0</v>
          </cell>
          <cell r="JX16">
            <v>0</v>
          </cell>
          <cell r="JY16">
            <v>0</v>
          </cell>
          <cell r="JZ16">
            <v>0</v>
          </cell>
          <cell r="KA16">
            <v>0</v>
          </cell>
          <cell r="KB16">
            <v>0</v>
          </cell>
          <cell r="KC16">
            <v>0</v>
          </cell>
          <cell r="KD16">
            <v>0</v>
          </cell>
          <cell r="KE16">
            <v>0</v>
          </cell>
          <cell r="KF16">
            <v>0</v>
          </cell>
          <cell r="KG16">
            <v>0</v>
          </cell>
          <cell r="KH16">
            <v>0</v>
          </cell>
          <cell r="KI16">
            <v>0</v>
          </cell>
          <cell r="KJ16">
            <v>0</v>
          </cell>
          <cell r="KK16">
            <v>0</v>
          </cell>
          <cell r="KL16">
            <v>0</v>
          </cell>
          <cell r="KM16">
            <v>0</v>
          </cell>
          <cell r="KN16">
            <v>0</v>
          </cell>
          <cell r="KO16">
            <v>0</v>
          </cell>
          <cell r="KP16">
            <v>0</v>
          </cell>
          <cell r="KQ16">
            <v>0</v>
          </cell>
          <cell r="KR16">
            <v>0</v>
          </cell>
          <cell r="KS16">
            <v>0</v>
          </cell>
          <cell r="KT16">
            <v>0</v>
          </cell>
          <cell r="KU16">
            <v>0</v>
          </cell>
          <cell r="KV16">
            <v>0</v>
          </cell>
          <cell r="KW16">
            <v>0</v>
          </cell>
          <cell r="KX16">
            <v>0</v>
          </cell>
          <cell r="KY16">
            <v>0</v>
          </cell>
          <cell r="KZ16">
            <v>0</v>
          </cell>
          <cell r="LA16">
            <v>0</v>
          </cell>
          <cell r="LB16">
            <v>0</v>
          </cell>
          <cell r="LC16">
            <v>0</v>
          </cell>
          <cell r="LD16">
            <v>0</v>
          </cell>
          <cell r="LE16">
            <v>0</v>
          </cell>
          <cell r="LF16">
            <v>0</v>
          </cell>
          <cell r="LG16">
            <v>0</v>
          </cell>
          <cell r="LH16">
            <v>0</v>
          </cell>
          <cell r="LI16">
            <v>0</v>
          </cell>
          <cell r="LJ16">
            <v>0</v>
          </cell>
          <cell r="LK16">
            <v>0</v>
          </cell>
          <cell r="LL16">
            <v>0</v>
          </cell>
          <cell r="LM16">
            <v>0</v>
          </cell>
          <cell r="LN16">
            <v>0</v>
          </cell>
          <cell r="LO16">
            <v>0</v>
          </cell>
          <cell r="LP16">
            <v>0</v>
          </cell>
          <cell r="LQ16">
            <v>0</v>
          </cell>
          <cell r="LR16">
            <v>0</v>
          </cell>
          <cell r="LS16">
            <v>0</v>
          </cell>
          <cell r="LT16">
            <v>0</v>
          </cell>
          <cell r="LU16">
            <v>0</v>
          </cell>
          <cell r="LV16">
            <v>0</v>
          </cell>
          <cell r="LW16">
            <v>0</v>
          </cell>
          <cell r="LX16">
            <v>0</v>
          </cell>
          <cell r="LY16">
            <v>0</v>
          </cell>
          <cell r="LZ16">
            <v>0</v>
          </cell>
          <cell r="MA16">
            <v>0</v>
          </cell>
          <cell r="MB16">
            <v>0</v>
          </cell>
          <cell r="MC16">
            <v>0</v>
          </cell>
          <cell r="MD16">
            <v>0</v>
          </cell>
          <cell r="ME16">
            <v>0</v>
          </cell>
        </row>
        <row r="17"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  <cell r="CM17">
            <v>0</v>
          </cell>
          <cell r="CN17">
            <v>0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I17">
            <v>0</v>
          </cell>
          <cell r="DJ17">
            <v>0</v>
          </cell>
          <cell r="DK17">
            <v>0</v>
          </cell>
          <cell r="DL17">
            <v>0</v>
          </cell>
          <cell r="DM17">
            <v>0</v>
          </cell>
          <cell r="DN17">
            <v>0</v>
          </cell>
          <cell r="DO17">
            <v>0</v>
          </cell>
          <cell r="DP17">
            <v>0</v>
          </cell>
          <cell r="DQ17">
            <v>0</v>
          </cell>
          <cell r="DR17">
            <v>0</v>
          </cell>
          <cell r="DS17">
            <v>0</v>
          </cell>
          <cell r="DT17">
            <v>0</v>
          </cell>
          <cell r="DU17">
            <v>0</v>
          </cell>
          <cell r="DV17">
            <v>0</v>
          </cell>
          <cell r="DW17">
            <v>0</v>
          </cell>
          <cell r="DX17">
            <v>0</v>
          </cell>
          <cell r="DY17">
            <v>0</v>
          </cell>
          <cell r="DZ17">
            <v>0</v>
          </cell>
          <cell r="EA17">
            <v>0</v>
          </cell>
          <cell r="EB17">
            <v>0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0</v>
          </cell>
          <cell r="EK17">
            <v>0</v>
          </cell>
          <cell r="EL17">
            <v>0</v>
          </cell>
          <cell r="EM17">
            <v>0</v>
          </cell>
          <cell r="EN17">
            <v>0</v>
          </cell>
          <cell r="EO17">
            <v>0</v>
          </cell>
          <cell r="EP17">
            <v>0</v>
          </cell>
          <cell r="EQ17">
            <v>0</v>
          </cell>
          <cell r="ER17">
            <v>0</v>
          </cell>
          <cell r="ES17">
            <v>0</v>
          </cell>
          <cell r="ET17">
            <v>0</v>
          </cell>
          <cell r="EU17">
            <v>0</v>
          </cell>
          <cell r="EV17">
            <v>0</v>
          </cell>
          <cell r="EW17">
            <v>0</v>
          </cell>
          <cell r="EX17">
            <v>0</v>
          </cell>
          <cell r="EY17">
            <v>0</v>
          </cell>
          <cell r="EZ17">
            <v>0</v>
          </cell>
          <cell r="FA17">
            <v>0</v>
          </cell>
          <cell r="FB17">
            <v>0</v>
          </cell>
          <cell r="FC17">
            <v>0</v>
          </cell>
          <cell r="FD17">
            <v>0</v>
          </cell>
          <cell r="FE17">
            <v>0</v>
          </cell>
          <cell r="FF17">
            <v>0</v>
          </cell>
          <cell r="FG17">
            <v>0</v>
          </cell>
          <cell r="FH17">
            <v>0</v>
          </cell>
          <cell r="FI17">
            <v>0</v>
          </cell>
          <cell r="FJ17">
            <v>0</v>
          </cell>
          <cell r="FK17">
            <v>0</v>
          </cell>
          <cell r="FL17">
            <v>0</v>
          </cell>
          <cell r="FM17">
            <v>0</v>
          </cell>
          <cell r="FN17">
            <v>0</v>
          </cell>
          <cell r="FO17">
            <v>0</v>
          </cell>
          <cell r="FP17">
            <v>0</v>
          </cell>
          <cell r="FQ17">
            <v>0</v>
          </cell>
          <cell r="FR17">
            <v>0</v>
          </cell>
          <cell r="FS17">
            <v>0</v>
          </cell>
          <cell r="FT17">
            <v>0</v>
          </cell>
          <cell r="FU17">
            <v>0</v>
          </cell>
          <cell r="FV17">
            <v>0</v>
          </cell>
          <cell r="FW17">
            <v>0</v>
          </cell>
          <cell r="FX17">
            <v>0</v>
          </cell>
          <cell r="FY17">
            <v>0</v>
          </cell>
          <cell r="FZ17">
            <v>0</v>
          </cell>
          <cell r="GA17">
            <v>0</v>
          </cell>
          <cell r="GB17">
            <v>0</v>
          </cell>
          <cell r="GC17">
            <v>0</v>
          </cell>
          <cell r="GD17">
            <v>0</v>
          </cell>
          <cell r="GE17">
            <v>0</v>
          </cell>
          <cell r="GF17">
            <v>0</v>
          </cell>
          <cell r="GG17">
            <v>0</v>
          </cell>
          <cell r="GH17">
            <v>0</v>
          </cell>
          <cell r="GI17">
            <v>0</v>
          </cell>
          <cell r="GJ17">
            <v>0</v>
          </cell>
          <cell r="GK17">
            <v>0</v>
          </cell>
          <cell r="GL17">
            <v>0</v>
          </cell>
          <cell r="GM17">
            <v>0</v>
          </cell>
          <cell r="GN17">
            <v>0</v>
          </cell>
          <cell r="GO17">
            <v>0</v>
          </cell>
          <cell r="GP17">
            <v>0</v>
          </cell>
          <cell r="GQ17">
            <v>0</v>
          </cell>
          <cell r="GR17">
            <v>0</v>
          </cell>
          <cell r="GS17">
            <v>0</v>
          </cell>
          <cell r="GT17">
            <v>0</v>
          </cell>
          <cell r="GU17">
            <v>0</v>
          </cell>
          <cell r="GV17">
            <v>0</v>
          </cell>
          <cell r="GW17">
            <v>0</v>
          </cell>
          <cell r="GX17">
            <v>0</v>
          </cell>
          <cell r="GY17">
            <v>0</v>
          </cell>
          <cell r="GZ17">
            <v>0</v>
          </cell>
          <cell r="HA17">
            <v>0</v>
          </cell>
          <cell r="HB17">
            <v>0</v>
          </cell>
          <cell r="HC17">
            <v>0</v>
          </cell>
          <cell r="HD17">
            <v>0</v>
          </cell>
          <cell r="HE17">
            <v>0</v>
          </cell>
          <cell r="HF17">
            <v>0</v>
          </cell>
          <cell r="HG17">
            <v>0</v>
          </cell>
          <cell r="HH17">
            <v>0</v>
          </cell>
          <cell r="HI17">
            <v>0</v>
          </cell>
          <cell r="HJ17">
            <v>0</v>
          </cell>
          <cell r="HK17">
            <v>0</v>
          </cell>
          <cell r="HL17">
            <v>0</v>
          </cell>
          <cell r="HM17">
            <v>0</v>
          </cell>
          <cell r="HN17">
            <v>0</v>
          </cell>
          <cell r="HO17">
            <v>0</v>
          </cell>
          <cell r="HP17">
            <v>0</v>
          </cell>
          <cell r="HQ17">
            <v>0</v>
          </cell>
          <cell r="HR17">
            <v>0</v>
          </cell>
          <cell r="HS17">
            <v>0</v>
          </cell>
          <cell r="HT17">
            <v>0</v>
          </cell>
          <cell r="HU17">
            <v>0</v>
          </cell>
          <cell r="HV17">
            <v>0</v>
          </cell>
          <cell r="HW17">
            <v>0</v>
          </cell>
          <cell r="HX17">
            <v>0</v>
          </cell>
          <cell r="HY17">
            <v>0</v>
          </cell>
          <cell r="HZ17">
            <v>0</v>
          </cell>
          <cell r="IA17">
            <v>0</v>
          </cell>
          <cell r="IB17">
            <v>0</v>
          </cell>
          <cell r="IC17">
            <v>0</v>
          </cell>
          <cell r="ID17">
            <v>0</v>
          </cell>
          <cell r="IE17">
            <v>0</v>
          </cell>
          <cell r="IF17">
            <v>0</v>
          </cell>
          <cell r="IG17">
            <v>0</v>
          </cell>
          <cell r="IH17">
            <v>0</v>
          </cell>
          <cell r="II17">
            <v>0</v>
          </cell>
          <cell r="IJ17">
            <v>0</v>
          </cell>
          <cell r="IK17">
            <v>0</v>
          </cell>
          <cell r="IL17">
            <v>0</v>
          </cell>
          <cell r="IM17">
            <v>0</v>
          </cell>
          <cell r="IN17">
            <v>0</v>
          </cell>
          <cell r="IO17">
            <v>0</v>
          </cell>
          <cell r="IP17">
            <v>0</v>
          </cell>
          <cell r="IQ17">
            <v>0</v>
          </cell>
          <cell r="IR17">
            <v>0</v>
          </cell>
          <cell r="IS17">
            <v>0</v>
          </cell>
          <cell r="IT17">
            <v>0</v>
          </cell>
          <cell r="IU17">
            <v>0</v>
          </cell>
          <cell r="IV17">
            <v>0</v>
          </cell>
          <cell r="IW17">
            <v>0</v>
          </cell>
          <cell r="IX17">
            <v>0</v>
          </cell>
          <cell r="IY17">
            <v>0</v>
          </cell>
          <cell r="IZ17">
            <v>0</v>
          </cell>
          <cell r="JA17">
            <v>0</v>
          </cell>
          <cell r="JB17">
            <v>0</v>
          </cell>
          <cell r="JC17">
            <v>0</v>
          </cell>
          <cell r="JD17">
            <v>0</v>
          </cell>
          <cell r="JE17">
            <v>0</v>
          </cell>
          <cell r="JF17">
            <v>0</v>
          </cell>
          <cell r="JG17">
            <v>0</v>
          </cell>
          <cell r="JH17">
            <v>0</v>
          </cell>
          <cell r="JI17">
            <v>0</v>
          </cell>
          <cell r="JJ17">
            <v>0</v>
          </cell>
          <cell r="JK17">
            <v>0</v>
          </cell>
          <cell r="JL17">
            <v>0</v>
          </cell>
          <cell r="JM17">
            <v>0</v>
          </cell>
          <cell r="JN17">
            <v>0</v>
          </cell>
          <cell r="JO17">
            <v>0</v>
          </cell>
          <cell r="JP17">
            <v>0</v>
          </cell>
          <cell r="JQ17">
            <v>0</v>
          </cell>
          <cell r="JR17">
            <v>0</v>
          </cell>
          <cell r="JS17">
            <v>0</v>
          </cell>
          <cell r="JT17">
            <v>0</v>
          </cell>
          <cell r="JU17">
            <v>0</v>
          </cell>
          <cell r="JV17">
            <v>0</v>
          </cell>
          <cell r="JW17">
            <v>0</v>
          </cell>
          <cell r="JX17">
            <v>0</v>
          </cell>
          <cell r="JY17">
            <v>0</v>
          </cell>
          <cell r="JZ17">
            <v>0</v>
          </cell>
          <cell r="KA17">
            <v>0</v>
          </cell>
          <cell r="KB17">
            <v>0</v>
          </cell>
          <cell r="KC17">
            <v>0</v>
          </cell>
          <cell r="KD17">
            <v>0</v>
          </cell>
          <cell r="KE17">
            <v>0</v>
          </cell>
          <cell r="KF17">
            <v>0</v>
          </cell>
          <cell r="KG17">
            <v>0</v>
          </cell>
          <cell r="KH17">
            <v>0</v>
          </cell>
          <cell r="KI17">
            <v>0</v>
          </cell>
          <cell r="KJ17">
            <v>0</v>
          </cell>
          <cell r="KK17">
            <v>0</v>
          </cell>
          <cell r="KL17">
            <v>0</v>
          </cell>
          <cell r="KM17">
            <v>0</v>
          </cell>
          <cell r="KN17">
            <v>0</v>
          </cell>
          <cell r="KO17">
            <v>0</v>
          </cell>
          <cell r="KP17">
            <v>0</v>
          </cell>
          <cell r="KQ17">
            <v>0</v>
          </cell>
          <cell r="KR17">
            <v>0</v>
          </cell>
          <cell r="KS17">
            <v>0</v>
          </cell>
          <cell r="KT17">
            <v>0</v>
          </cell>
          <cell r="KU17">
            <v>0</v>
          </cell>
          <cell r="KV17">
            <v>0</v>
          </cell>
          <cell r="KW17">
            <v>0</v>
          </cell>
          <cell r="KX17">
            <v>0</v>
          </cell>
          <cell r="KY17">
            <v>0</v>
          </cell>
          <cell r="KZ17">
            <v>0</v>
          </cell>
          <cell r="LA17">
            <v>0</v>
          </cell>
          <cell r="LB17">
            <v>0</v>
          </cell>
          <cell r="LC17">
            <v>0</v>
          </cell>
          <cell r="LD17">
            <v>0</v>
          </cell>
          <cell r="LE17">
            <v>0</v>
          </cell>
          <cell r="LF17">
            <v>0</v>
          </cell>
          <cell r="LG17">
            <v>0</v>
          </cell>
          <cell r="LH17">
            <v>0</v>
          </cell>
          <cell r="LI17">
            <v>0</v>
          </cell>
          <cell r="LJ17">
            <v>0</v>
          </cell>
          <cell r="LK17">
            <v>0</v>
          </cell>
          <cell r="LL17">
            <v>0</v>
          </cell>
          <cell r="LM17">
            <v>0</v>
          </cell>
          <cell r="LN17">
            <v>0</v>
          </cell>
          <cell r="LO17">
            <v>0</v>
          </cell>
          <cell r="LP17">
            <v>0</v>
          </cell>
          <cell r="LQ17">
            <v>0</v>
          </cell>
          <cell r="LR17">
            <v>0</v>
          </cell>
          <cell r="LS17">
            <v>0</v>
          </cell>
          <cell r="LT17">
            <v>0</v>
          </cell>
          <cell r="LU17">
            <v>0</v>
          </cell>
          <cell r="LV17">
            <v>0</v>
          </cell>
          <cell r="LW17">
            <v>0</v>
          </cell>
          <cell r="LX17">
            <v>0</v>
          </cell>
          <cell r="LY17">
            <v>0</v>
          </cell>
          <cell r="LZ17">
            <v>0</v>
          </cell>
          <cell r="MA17">
            <v>0</v>
          </cell>
          <cell r="MB17">
            <v>0</v>
          </cell>
          <cell r="MC17">
            <v>0</v>
          </cell>
          <cell r="MD17">
            <v>0</v>
          </cell>
          <cell r="ME17">
            <v>0</v>
          </cell>
        </row>
        <row r="18"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0</v>
          </cell>
          <cell r="EL18">
            <v>0</v>
          </cell>
          <cell r="EM18">
            <v>0</v>
          </cell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  <cell r="ES18">
            <v>0</v>
          </cell>
          <cell r="ET18">
            <v>0</v>
          </cell>
          <cell r="EU18">
            <v>0</v>
          </cell>
          <cell r="EV18">
            <v>0</v>
          </cell>
          <cell r="EW18">
            <v>0</v>
          </cell>
          <cell r="EX18">
            <v>0</v>
          </cell>
          <cell r="EY18">
            <v>0</v>
          </cell>
          <cell r="EZ18">
            <v>0</v>
          </cell>
          <cell r="FA18">
            <v>0</v>
          </cell>
          <cell r="FB18">
            <v>0</v>
          </cell>
          <cell r="FC18">
            <v>0</v>
          </cell>
          <cell r="FD18">
            <v>0</v>
          </cell>
          <cell r="FE18">
            <v>0</v>
          </cell>
          <cell r="FF18">
            <v>0</v>
          </cell>
          <cell r="FG18">
            <v>0</v>
          </cell>
          <cell r="FH18">
            <v>0</v>
          </cell>
          <cell r="FI18">
            <v>0</v>
          </cell>
          <cell r="FJ18">
            <v>0</v>
          </cell>
          <cell r="FK18">
            <v>0</v>
          </cell>
          <cell r="FL18">
            <v>0</v>
          </cell>
          <cell r="FM18">
            <v>0</v>
          </cell>
          <cell r="FN18">
            <v>0</v>
          </cell>
          <cell r="FO18">
            <v>0</v>
          </cell>
          <cell r="FP18">
            <v>0</v>
          </cell>
          <cell r="FQ18">
            <v>0</v>
          </cell>
          <cell r="FR18">
            <v>0</v>
          </cell>
          <cell r="FS18">
            <v>0</v>
          </cell>
          <cell r="FT18">
            <v>0</v>
          </cell>
          <cell r="FU18">
            <v>0</v>
          </cell>
          <cell r="FV18">
            <v>0</v>
          </cell>
          <cell r="FW18">
            <v>0</v>
          </cell>
          <cell r="FX18">
            <v>0</v>
          </cell>
          <cell r="FY18">
            <v>0</v>
          </cell>
          <cell r="FZ18">
            <v>0</v>
          </cell>
          <cell r="GA18">
            <v>0</v>
          </cell>
          <cell r="GB18">
            <v>0</v>
          </cell>
          <cell r="GC18">
            <v>0</v>
          </cell>
          <cell r="GD18">
            <v>0</v>
          </cell>
          <cell r="GE18">
            <v>0</v>
          </cell>
          <cell r="GF18">
            <v>0</v>
          </cell>
          <cell r="GG18">
            <v>0</v>
          </cell>
          <cell r="GH18">
            <v>0</v>
          </cell>
          <cell r="GI18">
            <v>0</v>
          </cell>
          <cell r="GJ18">
            <v>0</v>
          </cell>
          <cell r="GK18">
            <v>0</v>
          </cell>
          <cell r="GL18">
            <v>0</v>
          </cell>
          <cell r="GM18">
            <v>0</v>
          </cell>
          <cell r="GN18">
            <v>0</v>
          </cell>
          <cell r="GO18">
            <v>0</v>
          </cell>
          <cell r="GP18">
            <v>0</v>
          </cell>
          <cell r="GQ18">
            <v>0</v>
          </cell>
          <cell r="GR18">
            <v>0</v>
          </cell>
          <cell r="GS18">
            <v>0</v>
          </cell>
          <cell r="GT18">
            <v>0</v>
          </cell>
          <cell r="GU18">
            <v>0</v>
          </cell>
          <cell r="GV18">
            <v>0</v>
          </cell>
          <cell r="GW18">
            <v>0</v>
          </cell>
          <cell r="GX18">
            <v>0</v>
          </cell>
          <cell r="GY18">
            <v>0</v>
          </cell>
          <cell r="GZ18">
            <v>0</v>
          </cell>
          <cell r="HA18">
            <v>0</v>
          </cell>
          <cell r="HB18">
            <v>0</v>
          </cell>
          <cell r="HC18">
            <v>0</v>
          </cell>
          <cell r="HD18">
            <v>0</v>
          </cell>
          <cell r="HE18">
            <v>0</v>
          </cell>
          <cell r="HF18">
            <v>0</v>
          </cell>
          <cell r="HG18">
            <v>0</v>
          </cell>
          <cell r="HH18">
            <v>0</v>
          </cell>
          <cell r="HI18">
            <v>0</v>
          </cell>
          <cell r="HJ18">
            <v>0</v>
          </cell>
          <cell r="HK18">
            <v>0</v>
          </cell>
          <cell r="HL18">
            <v>0</v>
          </cell>
          <cell r="HM18">
            <v>0</v>
          </cell>
          <cell r="HN18">
            <v>0</v>
          </cell>
          <cell r="HO18">
            <v>0</v>
          </cell>
          <cell r="HP18">
            <v>0</v>
          </cell>
          <cell r="HQ18">
            <v>0</v>
          </cell>
          <cell r="HR18">
            <v>0</v>
          </cell>
          <cell r="HS18">
            <v>0</v>
          </cell>
          <cell r="HT18">
            <v>0</v>
          </cell>
          <cell r="HU18">
            <v>0</v>
          </cell>
          <cell r="HV18">
            <v>0</v>
          </cell>
          <cell r="HW18">
            <v>0</v>
          </cell>
          <cell r="HX18">
            <v>0</v>
          </cell>
          <cell r="HY18">
            <v>0</v>
          </cell>
          <cell r="HZ18">
            <v>0</v>
          </cell>
          <cell r="IA18">
            <v>0</v>
          </cell>
          <cell r="IB18">
            <v>0</v>
          </cell>
          <cell r="IC18">
            <v>0</v>
          </cell>
          <cell r="ID18">
            <v>0</v>
          </cell>
          <cell r="IE18">
            <v>0</v>
          </cell>
          <cell r="IF18">
            <v>0</v>
          </cell>
          <cell r="IG18">
            <v>0</v>
          </cell>
          <cell r="IH18">
            <v>0</v>
          </cell>
          <cell r="II18">
            <v>0</v>
          </cell>
          <cell r="IJ18">
            <v>0</v>
          </cell>
          <cell r="IK18">
            <v>0</v>
          </cell>
          <cell r="IL18">
            <v>0</v>
          </cell>
          <cell r="IM18">
            <v>0</v>
          </cell>
          <cell r="IN18">
            <v>0</v>
          </cell>
          <cell r="IO18">
            <v>0</v>
          </cell>
          <cell r="IP18">
            <v>0</v>
          </cell>
          <cell r="IQ18">
            <v>0</v>
          </cell>
          <cell r="IR18">
            <v>0</v>
          </cell>
          <cell r="IS18">
            <v>0</v>
          </cell>
          <cell r="IT18">
            <v>0</v>
          </cell>
          <cell r="IU18">
            <v>0</v>
          </cell>
          <cell r="IV18">
            <v>0</v>
          </cell>
          <cell r="IW18">
            <v>0</v>
          </cell>
          <cell r="IX18">
            <v>0</v>
          </cell>
          <cell r="IY18">
            <v>0</v>
          </cell>
          <cell r="IZ18">
            <v>0</v>
          </cell>
          <cell r="JA18">
            <v>0</v>
          </cell>
          <cell r="JB18">
            <v>0</v>
          </cell>
          <cell r="JC18">
            <v>0</v>
          </cell>
          <cell r="JD18">
            <v>0</v>
          </cell>
          <cell r="JE18">
            <v>0</v>
          </cell>
          <cell r="JF18">
            <v>0</v>
          </cell>
          <cell r="JG18">
            <v>0</v>
          </cell>
          <cell r="JH18">
            <v>0</v>
          </cell>
          <cell r="JI18">
            <v>0</v>
          </cell>
          <cell r="JJ18">
            <v>0</v>
          </cell>
          <cell r="JK18">
            <v>0</v>
          </cell>
          <cell r="JL18">
            <v>0</v>
          </cell>
          <cell r="JM18">
            <v>0</v>
          </cell>
          <cell r="JN18">
            <v>0</v>
          </cell>
          <cell r="JO18">
            <v>0</v>
          </cell>
          <cell r="JP18">
            <v>0</v>
          </cell>
          <cell r="JQ18">
            <v>0</v>
          </cell>
          <cell r="JR18">
            <v>0</v>
          </cell>
          <cell r="JS18">
            <v>0</v>
          </cell>
          <cell r="JT18">
            <v>0</v>
          </cell>
          <cell r="JU18">
            <v>0</v>
          </cell>
          <cell r="JV18">
            <v>0</v>
          </cell>
          <cell r="JW18">
            <v>0</v>
          </cell>
          <cell r="JX18">
            <v>0</v>
          </cell>
          <cell r="JY18">
            <v>0</v>
          </cell>
          <cell r="JZ18">
            <v>0</v>
          </cell>
          <cell r="KA18">
            <v>0</v>
          </cell>
          <cell r="KB18">
            <v>0</v>
          </cell>
          <cell r="KC18">
            <v>0</v>
          </cell>
          <cell r="KD18">
            <v>0</v>
          </cell>
          <cell r="KE18">
            <v>0</v>
          </cell>
          <cell r="KF18">
            <v>0</v>
          </cell>
          <cell r="KG18">
            <v>0</v>
          </cell>
          <cell r="KH18">
            <v>0</v>
          </cell>
          <cell r="KI18">
            <v>0</v>
          </cell>
          <cell r="KJ18">
            <v>0</v>
          </cell>
          <cell r="KK18">
            <v>0</v>
          </cell>
          <cell r="KL18">
            <v>0</v>
          </cell>
          <cell r="KM18">
            <v>0</v>
          </cell>
          <cell r="KN18">
            <v>0</v>
          </cell>
          <cell r="KO18">
            <v>0</v>
          </cell>
          <cell r="KP18">
            <v>0</v>
          </cell>
          <cell r="KQ18">
            <v>0</v>
          </cell>
          <cell r="KR18">
            <v>0</v>
          </cell>
          <cell r="KS18">
            <v>0</v>
          </cell>
          <cell r="KT18">
            <v>0</v>
          </cell>
          <cell r="KU18">
            <v>0</v>
          </cell>
          <cell r="KV18">
            <v>0</v>
          </cell>
          <cell r="KW18">
            <v>0</v>
          </cell>
          <cell r="KX18">
            <v>0</v>
          </cell>
          <cell r="KY18">
            <v>0</v>
          </cell>
          <cell r="KZ18">
            <v>0</v>
          </cell>
          <cell r="LA18">
            <v>0</v>
          </cell>
          <cell r="LB18">
            <v>0</v>
          </cell>
          <cell r="LC18">
            <v>0</v>
          </cell>
          <cell r="LD18">
            <v>0</v>
          </cell>
          <cell r="LE18">
            <v>0</v>
          </cell>
          <cell r="LF18">
            <v>0</v>
          </cell>
          <cell r="LG18">
            <v>0</v>
          </cell>
          <cell r="LH18">
            <v>0</v>
          </cell>
          <cell r="LI18">
            <v>0</v>
          </cell>
          <cell r="LJ18">
            <v>0</v>
          </cell>
          <cell r="LK18">
            <v>0</v>
          </cell>
          <cell r="LL18">
            <v>0</v>
          </cell>
          <cell r="LM18">
            <v>0</v>
          </cell>
          <cell r="LN18">
            <v>0</v>
          </cell>
          <cell r="LO18">
            <v>0</v>
          </cell>
          <cell r="LP18">
            <v>0</v>
          </cell>
          <cell r="LQ18">
            <v>0</v>
          </cell>
          <cell r="LR18">
            <v>0</v>
          </cell>
          <cell r="LS18">
            <v>0</v>
          </cell>
          <cell r="LT18">
            <v>0</v>
          </cell>
          <cell r="LU18">
            <v>0</v>
          </cell>
          <cell r="LV18">
            <v>0</v>
          </cell>
          <cell r="LW18">
            <v>0</v>
          </cell>
          <cell r="LX18">
            <v>0</v>
          </cell>
          <cell r="LY18">
            <v>0</v>
          </cell>
          <cell r="LZ18">
            <v>0</v>
          </cell>
          <cell r="MA18">
            <v>0</v>
          </cell>
          <cell r="MB18">
            <v>0</v>
          </cell>
          <cell r="MC18">
            <v>0</v>
          </cell>
          <cell r="MD18">
            <v>0</v>
          </cell>
          <cell r="ME18">
            <v>0</v>
          </cell>
        </row>
        <row r="19"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>
            <v>0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DK19">
            <v>0</v>
          </cell>
          <cell r="DL19">
            <v>0</v>
          </cell>
          <cell r="DM19">
            <v>0</v>
          </cell>
          <cell r="DN19">
            <v>0</v>
          </cell>
          <cell r="DO19">
            <v>0</v>
          </cell>
          <cell r="DP19">
            <v>0</v>
          </cell>
          <cell r="DQ19">
            <v>0</v>
          </cell>
          <cell r="DR19">
            <v>0</v>
          </cell>
          <cell r="DS19">
            <v>0</v>
          </cell>
          <cell r="DT19">
            <v>0</v>
          </cell>
          <cell r="DU19">
            <v>0</v>
          </cell>
          <cell r="DV19">
            <v>0</v>
          </cell>
          <cell r="DW19">
            <v>0</v>
          </cell>
          <cell r="DX19">
            <v>0</v>
          </cell>
          <cell r="DY19">
            <v>0</v>
          </cell>
          <cell r="DZ19">
            <v>0</v>
          </cell>
          <cell r="EA19">
            <v>0</v>
          </cell>
          <cell r="EB19">
            <v>0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</v>
          </cell>
          <cell r="EK19">
            <v>0</v>
          </cell>
          <cell r="EL19">
            <v>0</v>
          </cell>
          <cell r="EM19">
            <v>0</v>
          </cell>
          <cell r="EN19">
            <v>0</v>
          </cell>
          <cell r="EO19">
            <v>0</v>
          </cell>
          <cell r="EP19">
            <v>0</v>
          </cell>
          <cell r="EQ19">
            <v>0</v>
          </cell>
          <cell r="ER19">
            <v>0</v>
          </cell>
          <cell r="ES19">
            <v>0</v>
          </cell>
          <cell r="ET19">
            <v>0</v>
          </cell>
          <cell r="EU19">
            <v>0</v>
          </cell>
          <cell r="EV19">
            <v>0</v>
          </cell>
          <cell r="EW19">
            <v>0</v>
          </cell>
          <cell r="EX19">
            <v>0</v>
          </cell>
          <cell r="EY19">
            <v>0</v>
          </cell>
          <cell r="EZ19">
            <v>0</v>
          </cell>
          <cell r="FA19">
            <v>0</v>
          </cell>
          <cell r="FB19">
            <v>0</v>
          </cell>
          <cell r="FC19">
            <v>0</v>
          </cell>
          <cell r="FD19">
            <v>0</v>
          </cell>
          <cell r="FE19">
            <v>0</v>
          </cell>
          <cell r="FF19">
            <v>0</v>
          </cell>
          <cell r="FG19">
            <v>0</v>
          </cell>
          <cell r="FH19">
            <v>0</v>
          </cell>
          <cell r="FI19">
            <v>0</v>
          </cell>
          <cell r="FJ19">
            <v>0</v>
          </cell>
          <cell r="FK19">
            <v>0</v>
          </cell>
          <cell r="FL19">
            <v>0</v>
          </cell>
          <cell r="FM19">
            <v>0</v>
          </cell>
          <cell r="FN19">
            <v>0</v>
          </cell>
          <cell r="FO19">
            <v>0</v>
          </cell>
          <cell r="FP19">
            <v>0</v>
          </cell>
          <cell r="FQ19">
            <v>0</v>
          </cell>
          <cell r="FR19">
            <v>0</v>
          </cell>
          <cell r="FS19">
            <v>0</v>
          </cell>
          <cell r="FT19">
            <v>0</v>
          </cell>
          <cell r="FU19">
            <v>0</v>
          </cell>
          <cell r="FV19">
            <v>0</v>
          </cell>
          <cell r="FW19">
            <v>0</v>
          </cell>
          <cell r="FX19">
            <v>0</v>
          </cell>
          <cell r="FY19">
            <v>0</v>
          </cell>
          <cell r="FZ19">
            <v>0</v>
          </cell>
          <cell r="GA19">
            <v>0</v>
          </cell>
          <cell r="GB19">
            <v>0</v>
          </cell>
          <cell r="GC19">
            <v>0</v>
          </cell>
          <cell r="GD19">
            <v>0</v>
          </cell>
          <cell r="GE19">
            <v>0</v>
          </cell>
          <cell r="GF19">
            <v>0</v>
          </cell>
          <cell r="GG19">
            <v>0</v>
          </cell>
          <cell r="GH19">
            <v>0</v>
          </cell>
          <cell r="GI19">
            <v>0</v>
          </cell>
          <cell r="GJ19">
            <v>0</v>
          </cell>
          <cell r="GK19">
            <v>0</v>
          </cell>
          <cell r="GL19">
            <v>0</v>
          </cell>
          <cell r="GM19">
            <v>0</v>
          </cell>
          <cell r="GN19">
            <v>0</v>
          </cell>
          <cell r="GO19">
            <v>0</v>
          </cell>
          <cell r="GP19">
            <v>0</v>
          </cell>
          <cell r="GQ19">
            <v>0</v>
          </cell>
          <cell r="GR19">
            <v>0</v>
          </cell>
          <cell r="GS19">
            <v>0</v>
          </cell>
          <cell r="GT19">
            <v>0</v>
          </cell>
          <cell r="GU19">
            <v>0</v>
          </cell>
          <cell r="GV19">
            <v>0</v>
          </cell>
          <cell r="GW19">
            <v>0</v>
          </cell>
          <cell r="GX19">
            <v>0</v>
          </cell>
          <cell r="GY19">
            <v>0</v>
          </cell>
          <cell r="GZ19">
            <v>0</v>
          </cell>
          <cell r="HA19">
            <v>0</v>
          </cell>
          <cell r="HB19">
            <v>0</v>
          </cell>
          <cell r="HC19">
            <v>0</v>
          </cell>
          <cell r="HD19">
            <v>0</v>
          </cell>
          <cell r="HE19">
            <v>0</v>
          </cell>
          <cell r="HF19">
            <v>0</v>
          </cell>
          <cell r="HG19">
            <v>0</v>
          </cell>
          <cell r="HH19">
            <v>0</v>
          </cell>
          <cell r="HI19">
            <v>0</v>
          </cell>
          <cell r="HJ19">
            <v>0</v>
          </cell>
          <cell r="HK19">
            <v>0</v>
          </cell>
          <cell r="HL19">
            <v>0</v>
          </cell>
          <cell r="HM19">
            <v>0</v>
          </cell>
          <cell r="HN19">
            <v>0</v>
          </cell>
          <cell r="HO19">
            <v>0</v>
          </cell>
          <cell r="HP19">
            <v>0</v>
          </cell>
          <cell r="HQ19">
            <v>0</v>
          </cell>
          <cell r="HR19">
            <v>0</v>
          </cell>
          <cell r="HS19">
            <v>0</v>
          </cell>
          <cell r="HT19">
            <v>0</v>
          </cell>
          <cell r="HU19">
            <v>0</v>
          </cell>
          <cell r="HV19">
            <v>0</v>
          </cell>
          <cell r="HW19">
            <v>0</v>
          </cell>
          <cell r="HX19">
            <v>0</v>
          </cell>
          <cell r="HY19">
            <v>0</v>
          </cell>
          <cell r="HZ19">
            <v>0</v>
          </cell>
          <cell r="IA19">
            <v>0</v>
          </cell>
          <cell r="IB19">
            <v>0</v>
          </cell>
          <cell r="IC19">
            <v>0</v>
          </cell>
          <cell r="ID19">
            <v>0</v>
          </cell>
          <cell r="IE19">
            <v>0</v>
          </cell>
          <cell r="IF19">
            <v>0</v>
          </cell>
          <cell r="IG19">
            <v>0</v>
          </cell>
          <cell r="IH19">
            <v>0</v>
          </cell>
          <cell r="II19">
            <v>0</v>
          </cell>
          <cell r="IJ19">
            <v>0</v>
          </cell>
          <cell r="IK19">
            <v>0</v>
          </cell>
          <cell r="IL19">
            <v>0</v>
          </cell>
          <cell r="IM19">
            <v>0</v>
          </cell>
          <cell r="IN19">
            <v>0</v>
          </cell>
          <cell r="IO19">
            <v>0</v>
          </cell>
          <cell r="IP19">
            <v>0</v>
          </cell>
          <cell r="IQ19">
            <v>0</v>
          </cell>
          <cell r="IR19">
            <v>0</v>
          </cell>
          <cell r="IS19">
            <v>0</v>
          </cell>
          <cell r="IT19">
            <v>0</v>
          </cell>
          <cell r="IU19">
            <v>0</v>
          </cell>
          <cell r="IV19">
            <v>0</v>
          </cell>
          <cell r="IW19">
            <v>0</v>
          </cell>
          <cell r="IX19">
            <v>0</v>
          </cell>
          <cell r="IY19">
            <v>0</v>
          </cell>
          <cell r="IZ19">
            <v>0</v>
          </cell>
          <cell r="JA19">
            <v>0</v>
          </cell>
          <cell r="JB19">
            <v>0</v>
          </cell>
          <cell r="JC19">
            <v>0</v>
          </cell>
          <cell r="JD19">
            <v>0</v>
          </cell>
          <cell r="JE19">
            <v>0</v>
          </cell>
          <cell r="JF19">
            <v>0</v>
          </cell>
          <cell r="JG19">
            <v>0</v>
          </cell>
          <cell r="JH19">
            <v>0</v>
          </cell>
          <cell r="JI19">
            <v>0</v>
          </cell>
          <cell r="JJ19">
            <v>0</v>
          </cell>
          <cell r="JK19">
            <v>0</v>
          </cell>
          <cell r="JL19">
            <v>0</v>
          </cell>
          <cell r="JM19">
            <v>0</v>
          </cell>
          <cell r="JN19">
            <v>0</v>
          </cell>
          <cell r="JO19">
            <v>0</v>
          </cell>
          <cell r="JP19">
            <v>0</v>
          </cell>
          <cell r="JQ19">
            <v>0</v>
          </cell>
          <cell r="JR19">
            <v>0</v>
          </cell>
          <cell r="JS19">
            <v>0</v>
          </cell>
          <cell r="JT19">
            <v>0</v>
          </cell>
          <cell r="JU19">
            <v>0</v>
          </cell>
          <cell r="JV19">
            <v>0</v>
          </cell>
          <cell r="JW19">
            <v>0</v>
          </cell>
          <cell r="JX19">
            <v>0</v>
          </cell>
          <cell r="JY19">
            <v>0</v>
          </cell>
          <cell r="JZ19">
            <v>0</v>
          </cell>
          <cell r="KA19">
            <v>0</v>
          </cell>
          <cell r="KB19">
            <v>0</v>
          </cell>
          <cell r="KC19">
            <v>0</v>
          </cell>
          <cell r="KD19">
            <v>0</v>
          </cell>
          <cell r="KE19">
            <v>0</v>
          </cell>
          <cell r="KF19">
            <v>0</v>
          </cell>
          <cell r="KG19">
            <v>0</v>
          </cell>
          <cell r="KH19">
            <v>0</v>
          </cell>
          <cell r="KI19">
            <v>0</v>
          </cell>
          <cell r="KJ19">
            <v>0</v>
          </cell>
          <cell r="KK19">
            <v>0</v>
          </cell>
          <cell r="KL19">
            <v>0</v>
          </cell>
          <cell r="KM19">
            <v>0</v>
          </cell>
          <cell r="KN19">
            <v>0</v>
          </cell>
          <cell r="KO19">
            <v>0</v>
          </cell>
          <cell r="KP19">
            <v>0</v>
          </cell>
          <cell r="KQ19">
            <v>0</v>
          </cell>
          <cell r="KR19">
            <v>0</v>
          </cell>
          <cell r="KS19">
            <v>0</v>
          </cell>
          <cell r="KT19">
            <v>0</v>
          </cell>
          <cell r="KU19">
            <v>0</v>
          </cell>
          <cell r="KV19">
            <v>0</v>
          </cell>
          <cell r="KW19">
            <v>0</v>
          </cell>
          <cell r="KX19">
            <v>0</v>
          </cell>
          <cell r="KY19">
            <v>0</v>
          </cell>
          <cell r="KZ19">
            <v>0</v>
          </cell>
          <cell r="LA19">
            <v>0</v>
          </cell>
          <cell r="LB19">
            <v>0</v>
          </cell>
          <cell r="LC19">
            <v>0</v>
          </cell>
          <cell r="LD19">
            <v>0</v>
          </cell>
          <cell r="LE19">
            <v>0</v>
          </cell>
          <cell r="LF19">
            <v>0</v>
          </cell>
          <cell r="LG19">
            <v>0</v>
          </cell>
          <cell r="LH19">
            <v>0</v>
          </cell>
          <cell r="LI19">
            <v>0</v>
          </cell>
          <cell r="LJ19">
            <v>0</v>
          </cell>
          <cell r="LK19">
            <v>0</v>
          </cell>
          <cell r="LL19">
            <v>0</v>
          </cell>
          <cell r="LM19">
            <v>0</v>
          </cell>
          <cell r="LN19">
            <v>0</v>
          </cell>
          <cell r="LO19">
            <v>0</v>
          </cell>
          <cell r="LP19">
            <v>0</v>
          </cell>
          <cell r="LQ19">
            <v>0</v>
          </cell>
          <cell r="LR19">
            <v>0</v>
          </cell>
          <cell r="LS19">
            <v>0</v>
          </cell>
          <cell r="LT19">
            <v>0</v>
          </cell>
          <cell r="LU19">
            <v>0</v>
          </cell>
          <cell r="LV19">
            <v>0</v>
          </cell>
          <cell r="LW19">
            <v>0</v>
          </cell>
          <cell r="LX19">
            <v>0</v>
          </cell>
          <cell r="LY19">
            <v>0</v>
          </cell>
          <cell r="LZ19">
            <v>0</v>
          </cell>
          <cell r="MA19">
            <v>0</v>
          </cell>
          <cell r="MB19">
            <v>0</v>
          </cell>
          <cell r="MC19">
            <v>0</v>
          </cell>
          <cell r="MD19">
            <v>0</v>
          </cell>
          <cell r="ME19">
            <v>0</v>
          </cell>
        </row>
        <row r="20"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0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DK20">
            <v>0</v>
          </cell>
          <cell r="DL20">
            <v>0</v>
          </cell>
          <cell r="DM20">
            <v>0</v>
          </cell>
          <cell r="DN20">
            <v>0</v>
          </cell>
          <cell r="DO20">
            <v>0</v>
          </cell>
          <cell r="DP20">
            <v>0</v>
          </cell>
          <cell r="DQ20">
            <v>0</v>
          </cell>
          <cell r="DR20">
            <v>0</v>
          </cell>
          <cell r="DS20">
            <v>0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0</v>
          </cell>
          <cell r="DY20">
            <v>0</v>
          </cell>
          <cell r="DZ20">
            <v>0</v>
          </cell>
          <cell r="EA20">
            <v>0</v>
          </cell>
          <cell r="EB20">
            <v>0</v>
          </cell>
          <cell r="EC20">
            <v>0</v>
          </cell>
          <cell r="ED20">
            <v>0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0</v>
          </cell>
          <cell r="EK20">
            <v>0</v>
          </cell>
          <cell r="EL20">
            <v>0</v>
          </cell>
          <cell r="EM20">
            <v>0</v>
          </cell>
          <cell r="EN20">
            <v>0</v>
          </cell>
          <cell r="EO20">
            <v>0</v>
          </cell>
          <cell r="EP20">
            <v>0</v>
          </cell>
          <cell r="EQ20">
            <v>0</v>
          </cell>
          <cell r="ER20">
            <v>0</v>
          </cell>
          <cell r="ES20">
            <v>0</v>
          </cell>
          <cell r="ET20">
            <v>0</v>
          </cell>
          <cell r="EU20">
            <v>0</v>
          </cell>
          <cell r="EV20">
            <v>0</v>
          </cell>
          <cell r="EW20">
            <v>0</v>
          </cell>
          <cell r="EX20">
            <v>0</v>
          </cell>
          <cell r="EY20">
            <v>0</v>
          </cell>
          <cell r="EZ20">
            <v>0</v>
          </cell>
          <cell r="FA20">
            <v>0</v>
          </cell>
          <cell r="FB20">
            <v>0</v>
          </cell>
          <cell r="FC20">
            <v>0</v>
          </cell>
          <cell r="FD20">
            <v>0</v>
          </cell>
          <cell r="FE20">
            <v>0</v>
          </cell>
          <cell r="FF20">
            <v>0</v>
          </cell>
          <cell r="FG20">
            <v>0</v>
          </cell>
          <cell r="FH20">
            <v>0</v>
          </cell>
          <cell r="FI20">
            <v>0</v>
          </cell>
          <cell r="FJ20">
            <v>0</v>
          </cell>
          <cell r="FK20">
            <v>0</v>
          </cell>
          <cell r="FL20">
            <v>0</v>
          </cell>
          <cell r="FM20">
            <v>0</v>
          </cell>
          <cell r="FN20">
            <v>0</v>
          </cell>
          <cell r="FO20">
            <v>0</v>
          </cell>
          <cell r="FP20">
            <v>0</v>
          </cell>
          <cell r="FQ20">
            <v>0</v>
          </cell>
          <cell r="FR20">
            <v>0</v>
          </cell>
          <cell r="FS20">
            <v>0</v>
          </cell>
          <cell r="FT20">
            <v>0</v>
          </cell>
          <cell r="FU20">
            <v>0</v>
          </cell>
          <cell r="FV20">
            <v>0</v>
          </cell>
          <cell r="FW20">
            <v>0</v>
          </cell>
          <cell r="FX20">
            <v>0</v>
          </cell>
          <cell r="FY20">
            <v>0</v>
          </cell>
          <cell r="FZ20">
            <v>0</v>
          </cell>
          <cell r="GA20">
            <v>0</v>
          </cell>
          <cell r="GB20">
            <v>0</v>
          </cell>
          <cell r="GC20">
            <v>0</v>
          </cell>
          <cell r="GD20">
            <v>0</v>
          </cell>
          <cell r="GE20">
            <v>0</v>
          </cell>
          <cell r="GF20">
            <v>0</v>
          </cell>
          <cell r="GG20">
            <v>0</v>
          </cell>
          <cell r="GH20">
            <v>0</v>
          </cell>
          <cell r="GI20">
            <v>0</v>
          </cell>
          <cell r="GJ20">
            <v>0</v>
          </cell>
          <cell r="GK20">
            <v>0</v>
          </cell>
          <cell r="GL20">
            <v>0</v>
          </cell>
          <cell r="GM20">
            <v>0</v>
          </cell>
          <cell r="GN20">
            <v>0</v>
          </cell>
          <cell r="GO20">
            <v>0</v>
          </cell>
          <cell r="GP20">
            <v>0</v>
          </cell>
          <cell r="GQ20">
            <v>0</v>
          </cell>
          <cell r="GR20">
            <v>0</v>
          </cell>
          <cell r="GS20">
            <v>0</v>
          </cell>
          <cell r="GT20">
            <v>0</v>
          </cell>
          <cell r="GU20">
            <v>0</v>
          </cell>
          <cell r="GV20">
            <v>0</v>
          </cell>
          <cell r="GW20">
            <v>0</v>
          </cell>
          <cell r="GX20">
            <v>0</v>
          </cell>
          <cell r="GY20">
            <v>0</v>
          </cell>
          <cell r="GZ20">
            <v>0</v>
          </cell>
          <cell r="HA20">
            <v>0</v>
          </cell>
          <cell r="HB20">
            <v>0</v>
          </cell>
          <cell r="HC20">
            <v>0</v>
          </cell>
          <cell r="HD20">
            <v>0</v>
          </cell>
          <cell r="HE20">
            <v>0</v>
          </cell>
          <cell r="HF20">
            <v>0</v>
          </cell>
          <cell r="HG20">
            <v>0</v>
          </cell>
          <cell r="HH20">
            <v>0</v>
          </cell>
          <cell r="HI20">
            <v>0</v>
          </cell>
          <cell r="HJ20">
            <v>0</v>
          </cell>
          <cell r="HK20">
            <v>0</v>
          </cell>
          <cell r="HL20">
            <v>0</v>
          </cell>
          <cell r="HM20">
            <v>0</v>
          </cell>
          <cell r="HN20">
            <v>0</v>
          </cell>
          <cell r="HO20">
            <v>0</v>
          </cell>
          <cell r="HP20">
            <v>0</v>
          </cell>
          <cell r="HQ20">
            <v>0</v>
          </cell>
          <cell r="HR20">
            <v>0</v>
          </cell>
          <cell r="HS20">
            <v>0</v>
          </cell>
          <cell r="HT20">
            <v>0</v>
          </cell>
          <cell r="HU20">
            <v>0</v>
          </cell>
          <cell r="HV20">
            <v>0</v>
          </cell>
          <cell r="HW20">
            <v>0</v>
          </cell>
          <cell r="HX20">
            <v>0</v>
          </cell>
          <cell r="HY20">
            <v>0</v>
          </cell>
          <cell r="HZ20">
            <v>0</v>
          </cell>
          <cell r="IA20">
            <v>0</v>
          </cell>
          <cell r="IB20">
            <v>0</v>
          </cell>
          <cell r="IC20">
            <v>0</v>
          </cell>
          <cell r="ID20">
            <v>0</v>
          </cell>
          <cell r="IE20">
            <v>0</v>
          </cell>
          <cell r="IF20">
            <v>0</v>
          </cell>
          <cell r="IG20">
            <v>0</v>
          </cell>
          <cell r="IH20">
            <v>0</v>
          </cell>
          <cell r="II20">
            <v>0</v>
          </cell>
          <cell r="IJ20">
            <v>0</v>
          </cell>
          <cell r="IK20">
            <v>0</v>
          </cell>
          <cell r="IL20">
            <v>0</v>
          </cell>
          <cell r="IM20">
            <v>0</v>
          </cell>
          <cell r="IN20">
            <v>0</v>
          </cell>
          <cell r="IO20">
            <v>0</v>
          </cell>
          <cell r="IP20">
            <v>0</v>
          </cell>
          <cell r="IQ20">
            <v>0</v>
          </cell>
          <cell r="IR20">
            <v>0</v>
          </cell>
          <cell r="IS20">
            <v>0</v>
          </cell>
          <cell r="IT20">
            <v>0</v>
          </cell>
          <cell r="IU20">
            <v>0</v>
          </cell>
          <cell r="IV20">
            <v>0</v>
          </cell>
          <cell r="IW20">
            <v>0</v>
          </cell>
          <cell r="IX20">
            <v>0</v>
          </cell>
          <cell r="IY20">
            <v>0</v>
          </cell>
          <cell r="IZ20">
            <v>0</v>
          </cell>
          <cell r="JA20">
            <v>0</v>
          </cell>
          <cell r="JB20">
            <v>0</v>
          </cell>
          <cell r="JC20">
            <v>0</v>
          </cell>
          <cell r="JD20">
            <v>0</v>
          </cell>
          <cell r="JE20">
            <v>0</v>
          </cell>
          <cell r="JF20">
            <v>0</v>
          </cell>
          <cell r="JG20">
            <v>0</v>
          </cell>
          <cell r="JH20">
            <v>0</v>
          </cell>
          <cell r="JI20">
            <v>0</v>
          </cell>
          <cell r="JJ20">
            <v>0</v>
          </cell>
          <cell r="JK20">
            <v>0</v>
          </cell>
          <cell r="JL20">
            <v>0</v>
          </cell>
          <cell r="JM20">
            <v>0</v>
          </cell>
          <cell r="JN20">
            <v>0</v>
          </cell>
          <cell r="JO20">
            <v>0</v>
          </cell>
          <cell r="JP20">
            <v>0</v>
          </cell>
          <cell r="JQ20">
            <v>0</v>
          </cell>
          <cell r="JR20">
            <v>0</v>
          </cell>
          <cell r="JS20">
            <v>0</v>
          </cell>
          <cell r="JT20">
            <v>0</v>
          </cell>
          <cell r="JU20">
            <v>0</v>
          </cell>
          <cell r="JV20">
            <v>0</v>
          </cell>
          <cell r="JW20">
            <v>0</v>
          </cell>
          <cell r="JX20">
            <v>0</v>
          </cell>
          <cell r="JY20">
            <v>0</v>
          </cell>
          <cell r="JZ20">
            <v>0</v>
          </cell>
          <cell r="KA20">
            <v>0</v>
          </cell>
          <cell r="KB20">
            <v>0</v>
          </cell>
          <cell r="KC20">
            <v>0</v>
          </cell>
          <cell r="KD20">
            <v>0</v>
          </cell>
          <cell r="KE20">
            <v>0</v>
          </cell>
          <cell r="KF20">
            <v>0</v>
          </cell>
          <cell r="KG20">
            <v>0</v>
          </cell>
          <cell r="KH20">
            <v>0</v>
          </cell>
          <cell r="KI20">
            <v>0</v>
          </cell>
          <cell r="KJ20">
            <v>0</v>
          </cell>
          <cell r="KK20">
            <v>0</v>
          </cell>
          <cell r="KL20">
            <v>0</v>
          </cell>
          <cell r="KM20">
            <v>0</v>
          </cell>
          <cell r="KN20">
            <v>0</v>
          </cell>
          <cell r="KO20">
            <v>0</v>
          </cell>
          <cell r="KP20">
            <v>0</v>
          </cell>
          <cell r="KQ20">
            <v>0</v>
          </cell>
          <cell r="KR20">
            <v>0</v>
          </cell>
          <cell r="KS20">
            <v>0</v>
          </cell>
          <cell r="KT20">
            <v>0</v>
          </cell>
          <cell r="KU20">
            <v>0</v>
          </cell>
          <cell r="KV20">
            <v>0</v>
          </cell>
          <cell r="KW20">
            <v>0</v>
          </cell>
          <cell r="KX20">
            <v>0</v>
          </cell>
          <cell r="KY20">
            <v>0</v>
          </cell>
          <cell r="KZ20">
            <v>0</v>
          </cell>
          <cell r="LA20">
            <v>0</v>
          </cell>
          <cell r="LB20">
            <v>0</v>
          </cell>
          <cell r="LC20">
            <v>0</v>
          </cell>
          <cell r="LD20">
            <v>0</v>
          </cell>
          <cell r="LE20">
            <v>0</v>
          </cell>
          <cell r="LF20">
            <v>0</v>
          </cell>
          <cell r="LG20">
            <v>0</v>
          </cell>
          <cell r="LH20">
            <v>0</v>
          </cell>
          <cell r="LI20">
            <v>0</v>
          </cell>
          <cell r="LJ20">
            <v>0</v>
          </cell>
          <cell r="LK20">
            <v>0</v>
          </cell>
          <cell r="LL20">
            <v>0</v>
          </cell>
          <cell r="LM20">
            <v>0</v>
          </cell>
          <cell r="LN20">
            <v>0</v>
          </cell>
          <cell r="LO20">
            <v>0</v>
          </cell>
          <cell r="LP20">
            <v>0</v>
          </cell>
          <cell r="LQ20">
            <v>0</v>
          </cell>
          <cell r="LR20">
            <v>0</v>
          </cell>
          <cell r="LS20">
            <v>0</v>
          </cell>
          <cell r="LT20">
            <v>0</v>
          </cell>
          <cell r="LU20">
            <v>0</v>
          </cell>
          <cell r="LV20">
            <v>0</v>
          </cell>
          <cell r="LW20">
            <v>0</v>
          </cell>
          <cell r="LX20">
            <v>0</v>
          </cell>
          <cell r="LY20">
            <v>0</v>
          </cell>
          <cell r="LZ20">
            <v>0</v>
          </cell>
          <cell r="MA20">
            <v>0</v>
          </cell>
          <cell r="MB20">
            <v>0</v>
          </cell>
          <cell r="MC20">
            <v>0</v>
          </cell>
          <cell r="MD20">
            <v>0</v>
          </cell>
          <cell r="ME20">
            <v>0</v>
          </cell>
        </row>
        <row r="21"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L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Q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V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A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K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P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U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EZ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E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J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O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T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Y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</v>
          </cell>
          <cell r="GE21">
            <v>0</v>
          </cell>
          <cell r="GF21">
            <v>0</v>
          </cell>
          <cell r="GG21">
            <v>0</v>
          </cell>
          <cell r="GH21">
            <v>0</v>
          </cell>
          <cell r="GI21">
            <v>0</v>
          </cell>
          <cell r="GJ21">
            <v>0</v>
          </cell>
          <cell r="GK21">
            <v>0</v>
          </cell>
          <cell r="GL21">
            <v>0</v>
          </cell>
          <cell r="GM21">
            <v>0</v>
          </cell>
          <cell r="GN21">
            <v>0</v>
          </cell>
          <cell r="GO21">
            <v>0</v>
          </cell>
          <cell r="GP21">
            <v>0</v>
          </cell>
          <cell r="GQ21">
            <v>0</v>
          </cell>
          <cell r="GR21">
            <v>0</v>
          </cell>
          <cell r="GS21">
            <v>0</v>
          </cell>
          <cell r="GT21">
            <v>0</v>
          </cell>
          <cell r="GU21">
            <v>0</v>
          </cell>
          <cell r="GV21">
            <v>0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  <cell r="HJ21">
            <v>0</v>
          </cell>
          <cell r="HK21">
            <v>0</v>
          </cell>
          <cell r="HL21">
            <v>0</v>
          </cell>
          <cell r="HM21">
            <v>0</v>
          </cell>
          <cell r="HN21">
            <v>0</v>
          </cell>
          <cell r="HO21">
            <v>0</v>
          </cell>
          <cell r="HP21">
            <v>0</v>
          </cell>
          <cell r="HQ21">
            <v>0</v>
          </cell>
          <cell r="HR21">
            <v>0</v>
          </cell>
          <cell r="HS21">
            <v>0</v>
          </cell>
          <cell r="HT21">
            <v>0</v>
          </cell>
          <cell r="HU21">
            <v>0</v>
          </cell>
          <cell r="HV21">
            <v>0</v>
          </cell>
          <cell r="HW21">
            <v>0</v>
          </cell>
          <cell r="HX21">
            <v>0</v>
          </cell>
          <cell r="HY21">
            <v>0</v>
          </cell>
          <cell r="HZ21">
            <v>0</v>
          </cell>
          <cell r="IA21">
            <v>0</v>
          </cell>
          <cell r="IB21">
            <v>0</v>
          </cell>
          <cell r="IC21">
            <v>0</v>
          </cell>
          <cell r="ID21">
            <v>0</v>
          </cell>
          <cell r="IE21">
            <v>0</v>
          </cell>
          <cell r="IF21">
            <v>0</v>
          </cell>
          <cell r="IG21">
            <v>0</v>
          </cell>
          <cell r="IH21">
            <v>0</v>
          </cell>
          <cell r="II21">
            <v>0</v>
          </cell>
          <cell r="IJ21">
            <v>0</v>
          </cell>
          <cell r="IK21">
            <v>0</v>
          </cell>
          <cell r="IL21">
            <v>0</v>
          </cell>
          <cell r="IM21">
            <v>0</v>
          </cell>
          <cell r="IN21">
            <v>0</v>
          </cell>
          <cell r="IO21">
            <v>0</v>
          </cell>
          <cell r="IP21">
            <v>0</v>
          </cell>
          <cell r="IQ21">
            <v>0</v>
          </cell>
          <cell r="IR21">
            <v>0</v>
          </cell>
          <cell r="IS21">
            <v>0</v>
          </cell>
          <cell r="IT21">
            <v>0</v>
          </cell>
          <cell r="IU21">
            <v>0</v>
          </cell>
          <cell r="IV21">
            <v>0</v>
          </cell>
          <cell r="IW21">
            <v>0</v>
          </cell>
          <cell r="IX21">
            <v>0</v>
          </cell>
          <cell r="IY21">
            <v>0</v>
          </cell>
          <cell r="IZ21">
            <v>0</v>
          </cell>
          <cell r="JA21">
            <v>0</v>
          </cell>
          <cell r="JB21">
            <v>0</v>
          </cell>
          <cell r="JC21">
            <v>0</v>
          </cell>
          <cell r="JD21">
            <v>0</v>
          </cell>
          <cell r="JE21">
            <v>0</v>
          </cell>
          <cell r="JF21">
            <v>0</v>
          </cell>
          <cell r="JG21">
            <v>0</v>
          </cell>
          <cell r="JH21">
            <v>0</v>
          </cell>
          <cell r="JI21">
            <v>0</v>
          </cell>
          <cell r="JJ21">
            <v>0</v>
          </cell>
          <cell r="JK21">
            <v>0</v>
          </cell>
          <cell r="JL21">
            <v>0</v>
          </cell>
          <cell r="JM21">
            <v>0</v>
          </cell>
          <cell r="JN21">
            <v>0</v>
          </cell>
          <cell r="JO21">
            <v>0</v>
          </cell>
          <cell r="JP21">
            <v>0</v>
          </cell>
          <cell r="JQ21">
            <v>0</v>
          </cell>
          <cell r="JR21">
            <v>0</v>
          </cell>
          <cell r="JS21">
            <v>0</v>
          </cell>
          <cell r="JT21">
            <v>0</v>
          </cell>
          <cell r="JU21">
            <v>0</v>
          </cell>
          <cell r="JV21">
            <v>0</v>
          </cell>
          <cell r="JW21">
            <v>0</v>
          </cell>
          <cell r="JX21">
            <v>0</v>
          </cell>
          <cell r="JY21">
            <v>0</v>
          </cell>
          <cell r="JZ21">
            <v>0</v>
          </cell>
          <cell r="KA21">
            <v>0</v>
          </cell>
          <cell r="KB21">
            <v>0</v>
          </cell>
          <cell r="KC21">
            <v>0</v>
          </cell>
          <cell r="KD21">
            <v>0</v>
          </cell>
          <cell r="KE21">
            <v>0</v>
          </cell>
          <cell r="KF21">
            <v>0</v>
          </cell>
          <cell r="KG21">
            <v>0</v>
          </cell>
          <cell r="KH21">
            <v>0</v>
          </cell>
          <cell r="KI21">
            <v>0</v>
          </cell>
          <cell r="KJ21">
            <v>0</v>
          </cell>
          <cell r="KK21">
            <v>0</v>
          </cell>
          <cell r="KL21">
            <v>0</v>
          </cell>
          <cell r="KM21">
            <v>0</v>
          </cell>
          <cell r="KN21">
            <v>0</v>
          </cell>
          <cell r="KO21">
            <v>0</v>
          </cell>
          <cell r="KP21">
            <v>0</v>
          </cell>
          <cell r="KQ21">
            <v>0</v>
          </cell>
          <cell r="KR21">
            <v>0</v>
          </cell>
          <cell r="KS21">
            <v>0</v>
          </cell>
          <cell r="KT21">
            <v>0</v>
          </cell>
          <cell r="KU21">
            <v>0</v>
          </cell>
          <cell r="KV21">
            <v>0</v>
          </cell>
          <cell r="KW21">
            <v>0</v>
          </cell>
          <cell r="KX21">
            <v>0</v>
          </cell>
          <cell r="KY21">
            <v>0</v>
          </cell>
          <cell r="KZ21">
            <v>0</v>
          </cell>
          <cell r="LA21">
            <v>0</v>
          </cell>
          <cell r="LB21">
            <v>0</v>
          </cell>
          <cell r="LC21">
            <v>0</v>
          </cell>
          <cell r="LD21">
            <v>0</v>
          </cell>
          <cell r="LE21">
            <v>0</v>
          </cell>
          <cell r="LF21">
            <v>0</v>
          </cell>
          <cell r="LG21">
            <v>0</v>
          </cell>
          <cell r="LH21">
            <v>0</v>
          </cell>
          <cell r="LI21">
            <v>0</v>
          </cell>
          <cell r="LJ21">
            <v>0</v>
          </cell>
          <cell r="LK21">
            <v>0</v>
          </cell>
          <cell r="LL21">
            <v>0</v>
          </cell>
          <cell r="LM21">
            <v>0</v>
          </cell>
          <cell r="LN21">
            <v>0</v>
          </cell>
          <cell r="LO21">
            <v>0</v>
          </cell>
          <cell r="LP21">
            <v>0</v>
          </cell>
          <cell r="LQ21">
            <v>0</v>
          </cell>
          <cell r="LR21">
            <v>0</v>
          </cell>
          <cell r="LS21">
            <v>0</v>
          </cell>
          <cell r="LT21">
            <v>0</v>
          </cell>
          <cell r="LU21">
            <v>0</v>
          </cell>
          <cell r="LV21">
            <v>0</v>
          </cell>
          <cell r="LW21">
            <v>0</v>
          </cell>
          <cell r="LX21">
            <v>0</v>
          </cell>
          <cell r="LY21">
            <v>0</v>
          </cell>
          <cell r="LZ21">
            <v>0</v>
          </cell>
          <cell r="MA21">
            <v>0</v>
          </cell>
          <cell r="MB21">
            <v>0</v>
          </cell>
          <cell r="MC21">
            <v>0</v>
          </cell>
          <cell r="MD21">
            <v>0</v>
          </cell>
          <cell r="ME21">
            <v>0</v>
          </cell>
        </row>
        <row r="22"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Q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V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A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0</v>
          </cell>
          <cell r="EK22">
            <v>0</v>
          </cell>
          <cell r="EL22">
            <v>0</v>
          </cell>
          <cell r="EM22">
            <v>0</v>
          </cell>
          <cell r="EN22">
            <v>0</v>
          </cell>
          <cell r="EO22">
            <v>0</v>
          </cell>
          <cell r="EP22">
            <v>0</v>
          </cell>
          <cell r="EQ22">
            <v>0</v>
          </cell>
          <cell r="ER22">
            <v>0</v>
          </cell>
          <cell r="ES22">
            <v>0</v>
          </cell>
          <cell r="ET22">
            <v>0</v>
          </cell>
          <cell r="EU22">
            <v>0</v>
          </cell>
          <cell r="EV22">
            <v>0</v>
          </cell>
          <cell r="EW22">
            <v>0</v>
          </cell>
          <cell r="EX22">
            <v>0</v>
          </cell>
          <cell r="EY22">
            <v>0</v>
          </cell>
          <cell r="EZ22">
            <v>0</v>
          </cell>
          <cell r="FA22">
            <v>0</v>
          </cell>
          <cell r="FB22">
            <v>0</v>
          </cell>
          <cell r="FC22">
            <v>0</v>
          </cell>
          <cell r="FD22">
            <v>0</v>
          </cell>
          <cell r="FE22">
            <v>0</v>
          </cell>
          <cell r="FF22">
            <v>0</v>
          </cell>
          <cell r="FG22">
            <v>0</v>
          </cell>
          <cell r="FH22">
            <v>0</v>
          </cell>
          <cell r="FI22">
            <v>0</v>
          </cell>
          <cell r="FJ22">
            <v>0</v>
          </cell>
          <cell r="FK22">
            <v>0</v>
          </cell>
          <cell r="FL22">
            <v>0</v>
          </cell>
          <cell r="FM22">
            <v>0</v>
          </cell>
          <cell r="FN22">
            <v>0</v>
          </cell>
          <cell r="FO22">
            <v>0</v>
          </cell>
          <cell r="FP22">
            <v>0</v>
          </cell>
          <cell r="FQ22">
            <v>0</v>
          </cell>
          <cell r="FR22">
            <v>0</v>
          </cell>
          <cell r="FS22">
            <v>0</v>
          </cell>
          <cell r="FT22">
            <v>0</v>
          </cell>
          <cell r="FU22">
            <v>0</v>
          </cell>
          <cell r="FV22">
            <v>0</v>
          </cell>
          <cell r="FW22">
            <v>0</v>
          </cell>
          <cell r="FX22">
            <v>0</v>
          </cell>
          <cell r="FY22">
            <v>0</v>
          </cell>
          <cell r="FZ22">
            <v>0</v>
          </cell>
          <cell r="GA22">
            <v>0</v>
          </cell>
          <cell r="GB22">
            <v>0</v>
          </cell>
          <cell r="GC22">
            <v>0</v>
          </cell>
          <cell r="GD22">
            <v>0</v>
          </cell>
          <cell r="GE22">
            <v>0</v>
          </cell>
          <cell r="GF22">
            <v>0</v>
          </cell>
          <cell r="GG22">
            <v>0</v>
          </cell>
          <cell r="GH22">
            <v>0</v>
          </cell>
          <cell r="GI22">
            <v>0</v>
          </cell>
          <cell r="GJ22">
            <v>0</v>
          </cell>
          <cell r="GK22">
            <v>0</v>
          </cell>
          <cell r="GL22">
            <v>0</v>
          </cell>
          <cell r="GM22">
            <v>0</v>
          </cell>
          <cell r="GN22">
            <v>0</v>
          </cell>
          <cell r="GO22">
            <v>0</v>
          </cell>
          <cell r="GP22">
            <v>0</v>
          </cell>
          <cell r="GQ22">
            <v>0</v>
          </cell>
          <cell r="GR22">
            <v>0</v>
          </cell>
          <cell r="GS22">
            <v>0</v>
          </cell>
          <cell r="GT22">
            <v>0</v>
          </cell>
          <cell r="GU22">
            <v>0</v>
          </cell>
          <cell r="GV22">
            <v>0</v>
          </cell>
          <cell r="GW22">
            <v>0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  <cell r="HJ22">
            <v>0</v>
          </cell>
          <cell r="HK22">
            <v>0</v>
          </cell>
          <cell r="HL22">
            <v>0</v>
          </cell>
          <cell r="HM22">
            <v>0</v>
          </cell>
          <cell r="HN22">
            <v>0</v>
          </cell>
          <cell r="HO22">
            <v>0</v>
          </cell>
          <cell r="HP22">
            <v>0</v>
          </cell>
          <cell r="HQ22">
            <v>0</v>
          </cell>
          <cell r="HR22">
            <v>0</v>
          </cell>
          <cell r="HS22">
            <v>0</v>
          </cell>
          <cell r="HT22">
            <v>0</v>
          </cell>
          <cell r="HU22">
            <v>0</v>
          </cell>
          <cell r="HV22">
            <v>0</v>
          </cell>
          <cell r="HW22">
            <v>0</v>
          </cell>
          <cell r="HX22">
            <v>0</v>
          </cell>
          <cell r="HY22">
            <v>0</v>
          </cell>
          <cell r="HZ22">
            <v>0</v>
          </cell>
          <cell r="IA22">
            <v>0</v>
          </cell>
          <cell r="IB22">
            <v>0</v>
          </cell>
          <cell r="IC22">
            <v>0</v>
          </cell>
          <cell r="ID22">
            <v>0</v>
          </cell>
          <cell r="IE22">
            <v>0</v>
          </cell>
          <cell r="IF22">
            <v>0</v>
          </cell>
          <cell r="IG22">
            <v>0</v>
          </cell>
          <cell r="IH22">
            <v>0</v>
          </cell>
          <cell r="II22">
            <v>0</v>
          </cell>
          <cell r="IJ22">
            <v>0</v>
          </cell>
          <cell r="IK22">
            <v>0</v>
          </cell>
          <cell r="IL22">
            <v>0</v>
          </cell>
          <cell r="IM22">
            <v>0</v>
          </cell>
          <cell r="IN22">
            <v>0</v>
          </cell>
          <cell r="IO22">
            <v>0</v>
          </cell>
          <cell r="IP22">
            <v>0</v>
          </cell>
          <cell r="IQ22">
            <v>0</v>
          </cell>
          <cell r="IR22">
            <v>0</v>
          </cell>
          <cell r="IS22">
            <v>0</v>
          </cell>
          <cell r="IT22">
            <v>0</v>
          </cell>
          <cell r="IU22">
            <v>0</v>
          </cell>
          <cell r="IV22">
            <v>0</v>
          </cell>
          <cell r="IW22">
            <v>0</v>
          </cell>
          <cell r="IX22">
            <v>0</v>
          </cell>
          <cell r="IY22">
            <v>0</v>
          </cell>
          <cell r="IZ22">
            <v>0</v>
          </cell>
          <cell r="JA22">
            <v>0</v>
          </cell>
          <cell r="JB22">
            <v>0</v>
          </cell>
          <cell r="JC22">
            <v>0</v>
          </cell>
          <cell r="JD22">
            <v>0</v>
          </cell>
          <cell r="JE22">
            <v>0</v>
          </cell>
          <cell r="JF22">
            <v>0</v>
          </cell>
          <cell r="JG22">
            <v>0</v>
          </cell>
          <cell r="JH22">
            <v>0</v>
          </cell>
          <cell r="JI22">
            <v>0</v>
          </cell>
          <cell r="JJ22">
            <v>0</v>
          </cell>
          <cell r="JK22">
            <v>0</v>
          </cell>
          <cell r="JL22">
            <v>0</v>
          </cell>
          <cell r="JM22">
            <v>0</v>
          </cell>
          <cell r="JN22">
            <v>0</v>
          </cell>
          <cell r="JO22">
            <v>0</v>
          </cell>
          <cell r="JP22">
            <v>0</v>
          </cell>
          <cell r="JQ22">
            <v>0</v>
          </cell>
          <cell r="JR22">
            <v>0</v>
          </cell>
          <cell r="JS22">
            <v>0</v>
          </cell>
          <cell r="JT22">
            <v>0</v>
          </cell>
          <cell r="JU22">
            <v>0</v>
          </cell>
          <cell r="JV22">
            <v>0</v>
          </cell>
          <cell r="JW22">
            <v>0</v>
          </cell>
          <cell r="JX22">
            <v>0</v>
          </cell>
          <cell r="JY22">
            <v>0</v>
          </cell>
          <cell r="JZ22">
            <v>0</v>
          </cell>
          <cell r="KA22">
            <v>0</v>
          </cell>
          <cell r="KB22">
            <v>0</v>
          </cell>
          <cell r="KC22">
            <v>0</v>
          </cell>
          <cell r="KD22">
            <v>0</v>
          </cell>
          <cell r="KE22">
            <v>0</v>
          </cell>
          <cell r="KF22">
            <v>0</v>
          </cell>
          <cell r="KG22">
            <v>0</v>
          </cell>
          <cell r="KH22">
            <v>0</v>
          </cell>
          <cell r="KI22">
            <v>0</v>
          </cell>
          <cell r="KJ22">
            <v>0</v>
          </cell>
          <cell r="KK22">
            <v>0</v>
          </cell>
          <cell r="KL22">
            <v>0</v>
          </cell>
          <cell r="KM22">
            <v>0</v>
          </cell>
          <cell r="KN22">
            <v>0</v>
          </cell>
          <cell r="KO22">
            <v>0</v>
          </cell>
          <cell r="KP22">
            <v>0</v>
          </cell>
          <cell r="KQ22">
            <v>0</v>
          </cell>
          <cell r="KR22">
            <v>0</v>
          </cell>
          <cell r="KS22">
            <v>0</v>
          </cell>
          <cell r="KT22">
            <v>0</v>
          </cell>
          <cell r="KU22">
            <v>0</v>
          </cell>
          <cell r="KV22">
            <v>0</v>
          </cell>
          <cell r="KW22">
            <v>0</v>
          </cell>
          <cell r="KX22">
            <v>0</v>
          </cell>
          <cell r="KY22">
            <v>0</v>
          </cell>
          <cell r="KZ22">
            <v>0</v>
          </cell>
          <cell r="LA22">
            <v>0</v>
          </cell>
          <cell r="LB22">
            <v>0</v>
          </cell>
          <cell r="LC22">
            <v>0</v>
          </cell>
          <cell r="LD22">
            <v>0</v>
          </cell>
          <cell r="LE22">
            <v>0</v>
          </cell>
          <cell r="LF22">
            <v>0</v>
          </cell>
          <cell r="LG22">
            <v>0</v>
          </cell>
          <cell r="LH22">
            <v>0</v>
          </cell>
          <cell r="LI22">
            <v>0</v>
          </cell>
          <cell r="LJ22">
            <v>0</v>
          </cell>
          <cell r="LK22">
            <v>0</v>
          </cell>
          <cell r="LL22">
            <v>0</v>
          </cell>
          <cell r="LM22">
            <v>0</v>
          </cell>
          <cell r="LN22">
            <v>0</v>
          </cell>
          <cell r="LO22">
            <v>0</v>
          </cell>
          <cell r="LP22">
            <v>0</v>
          </cell>
          <cell r="LQ22">
            <v>0</v>
          </cell>
          <cell r="LR22">
            <v>0</v>
          </cell>
          <cell r="LS22">
            <v>0</v>
          </cell>
          <cell r="LT22">
            <v>0</v>
          </cell>
          <cell r="LU22">
            <v>0</v>
          </cell>
          <cell r="LV22">
            <v>0</v>
          </cell>
          <cell r="LW22">
            <v>0</v>
          </cell>
          <cell r="LX22">
            <v>0</v>
          </cell>
          <cell r="LY22">
            <v>0</v>
          </cell>
          <cell r="LZ22">
            <v>0</v>
          </cell>
          <cell r="MA22">
            <v>0</v>
          </cell>
          <cell r="MB22">
            <v>0</v>
          </cell>
          <cell r="MC22">
            <v>0</v>
          </cell>
          <cell r="MD22">
            <v>0</v>
          </cell>
          <cell r="ME22">
            <v>0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L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K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P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0</v>
          </cell>
          <cell r="EV23">
            <v>0</v>
          </cell>
          <cell r="EW23">
            <v>0</v>
          </cell>
          <cell r="EX23">
            <v>0</v>
          </cell>
          <cell r="EY23">
            <v>0</v>
          </cell>
          <cell r="EZ23">
            <v>0</v>
          </cell>
          <cell r="FA23">
            <v>0</v>
          </cell>
          <cell r="FB23">
            <v>0</v>
          </cell>
          <cell r="FC23">
            <v>0</v>
          </cell>
          <cell r="FD23">
            <v>0</v>
          </cell>
          <cell r="FE23">
            <v>0</v>
          </cell>
          <cell r="FF23">
            <v>0</v>
          </cell>
          <cell r="FG23">
            <v>0</v>
          </cell>
          <cell r="FH23">
            <v>0</v>
          </cell>
          <cell r="FI23">
            <v>0</v>
          </cell>
          <cell r="FJ23">
            <v>0</v>
          </cell>
          <cell r="FK23">
            <v>0</v>
          </cell>
          <cell r="FL23">
            <v>0</v>
          </cell>
          <cell r="FM23">
            <v>0</v>
          </cell>
          <cell r="FN23">
            <v>0</v>
          </cell>
          <cell r="FO23">
            <v>0</v>
          </cell>
          <cell r="FP23">
            <v>0</v>
          </cell>
          <cell r="FQ23">
            <v>0</v>
          </cell>
          <cell r="FR23">
            <v>0</v>
          </cell>
          <cell r="FS23">
            <v>0</v>
          </cell>
          <cell r="FT23">
            <v>0</v>
          </cell>
          <cell r="FU23">
            <v>0</v>
          </cell>
          <cell r="FV23">
            <v>0</v>
          </cell>
          <cell r="FW23">
            <v>0</v>
          </cell>
          <cell r="FX23">
            <v>0</v>
          </cell>
          <cell r="FY23">
            <v>0</v>
          </cell>
          <cell r="FZ23">
            <v>0</v>
          </cell>
          <cell r="GA23">
            <v>0</v>
          </cell>
          <cell r="GB23">
            <v>0</v>
          </cell>
          <cell r="GC23">
            <v>0</v>
          </cell>
          <cell r="GD23">
            <v>0</v>
          </cell>
          <cell r="GE23">
            <v>0</v>
          </cell>
          <cell r="GF23">
            <v>0</v>
          </cell>
          <cell r="GG23">
            <v>0</v>
          </cell>
          <cell r="GH23">
            <v>0</v>
          </cell>
          <cell r="GI23">
            <v>0</v>
          </cell>
          <cell r="GJ23">
            <v>0</v>
          </cell>
          <cell r="GK23">
            <v>0</v>
          </cell>
          <cell r="GL23">
            <v>0</v>
          </cell>
          <cell r="GM23">
            <v>0</v>
          </cell>
          <cell r="GN23">
            <v>0</v>
          </cell>
          <cell r="GO23">
            <v>0</v>
          </cell>
          <cell r="GP23">
            <v>0</v>
          </cell>
          <cell r="GQ23">
            <v>0</v>
          </cell>
          <cell r="GR23">
            <v>0</v>
          </cell>
          <cell r="GS23">
            <v>0</v>
          </cell>
          <cell r="GT23">
            <v>0</v>
          </cell>
          <cell r="GU23">
            <v>0</v>
          </cell>
          <cell r="GV23">
            <v>0</v>
          </cell>
          <cell r="GW23">
            <v>0</v>
          </cell>
          <cell r="GX23">
            <v>0</v>
          </cell>
          <cell r="GY23">
            <v>0</v>
          </cell>
          <cell r="GZ23">
            <v>0</v>
          </cell>
          <cell r="HA23">
            <v>0</v>
          </cell>
          <cell r="HB23">
            <v>0</v>
          </cell>
          <cell r="HC23">
            <v>0</v>
          </cell>
          <cell r="HD23">
            <v>0</v>
          </cell>
          <cell r="HE23">
            <v>0</v>
          </cell>
          <cell r="HF23">
            <v>0</v>
          </cell>
          <cell r="HG23">
            <v>0</v>
          </cell>
          <cell r="HH23">
            <v>0</v>
          </cell>
          <cell r="HI23">
            <v>0</v>
          </cell>
          <cell r="HJ23">
            <v>0</v>
          </cell>
          <cell r="HK23">
            <v>0</v>
          </cell>
          <cell r="HL23">
            <v>0</v>
          </cell>
          <cell r="HM23">
            <v>0</v>
          </cell>
          <cell r="HN23">
            <v>0</v>
          </cell>
          <cell r="HO23">
            <v>0</v>
          </cell>
          <cell r="HP23">
            <v>0</v>
          </cell>
          <cell r="HQ23">
            <v>0</v>
          </cell>
          <cell r="HR23">
            <v>0</v>
          </cell>
          <cell r="HS23">
            <v>0</v>
          </cell>
          <cell r="HT23">
            <v>0</v>
          </cell>
          <cell r="HU23">
            <v>0</v>
          </cell>
          <cell r="HV23">
            <v>0</v>
          </cell>
          <cell r="HW23">
            <v>0</v>
          </cell>
          <cell r="HX23">
            <v>0</v>
          </cell>
          <cell r="HY23">
            <v>0</v>
          </cell>
          <cell r="HZ23">
            <v>0</v>
          </cell>
          <cell r="IA23">
            <v>0</v>
          </cell>
          <cell r="IB23">
            <v>0</v>
          </cell>
          <cell r="IC23">
            <v>0</v>
          </cell>
          <cell r="ID23">
            <v>0</v>
          </cell>
          <cell r="IE23">
            <v>0</v>
          </cell>
          <cell r="IF23">
            <v>0</v>
          </cell>
          <cell r="IG23">
            <v>0</v>
          </cell>
          <cell r="IH23">
            <v>0</v>
          </cell>
          <cell r="II23">
            <v>0</v>
          </cell>
          <cell r="IJ23">
            <v>0</v>
          </cell>
          <cell r="IK23">
            <v>0</v>
          </cell>
          <cell r="IL23">
            <v>0</v>
          </cell>
          <cell r="IM23">
            <v>0</v>
          </cell>
          <cell r="IN23">
            <v>0</v>
          </cell>
          <cell r="IO23">
            <v>0</v>
          </cell>
          <cell r="IP23">
            <v>0</v>
          </cell>
          <cell r="IQ23">
            <v>0</v>
          </cell>
          <cell r="IR23">
            <v>0</v>
          </cell>
          <cell r="IS23">
            <v>0</v>
          </cell>
          <cell r="IT23">
            <v>0</v>
          </cell>
          <cell r="IU23">
            <v>0</v>
          </cell>
          <cell r="IV23">
            <v>0</v>
          </cell>
          <cell r="IW23">
            <v>0</v>
          </cell>
          <cell r="IX23">
            <v>0</v>
          </cell>
          <cell r="IY23">
            <v>0</v>
          </cell>
          <cell r="IZ23">
            <v>0</v>
          </cell>
          <cell r="JA23">
            <v>0</v>
          </cell>
          <cell r="JB23">
            <v>0</v>
          </cell>
          <cell r="JC23">
            <v>0</v>
          </cell>
          <cell r="JD23">
            <v>0</v>
          </cell>
          <cell r="JE23">
            <v>0</v>
          </cell>
          <cell r="JF23">
            <v>0</v>
          </cell>
          <cell r="JG23">
            <v>0</v>
          </cell>
          <cell r="JH23">
            <v>0</v>
          </cell>
          <cell r="JI23">
            <v>0</v>
          </cell>
          <cell r="JJ23">
            <v>0</v>
          </cell>
          <cell r="JK23">
            <v>0</v>
          </cell>
          <cell r="JL23">
            <v>0</v>
          </cell>
          <cell r="JM23">
            <v>0</v>
          </cell>
          <cell r="JN23">
            <v>0</v>
          </cell>
          <cell r="JO23">
            <v>0</v>
          </cell>
          <cell r="JP23">
            <v>0</v>
          </cell>
          <cell r="JQ23">
            <v>0</v>
          </cell>
          <cell r="JR23">
            <v>0</v>
          </cell>
          <cell r="JS23">
            <v>0</v>
          </cell>
          <cell r="JT23">
            <v>0</v>
          </cell>
          <cell r="JU23">
            <v>0</v>
          </cell>
          <cell r="JV23">
            <v>0</v>
          </cell>
          <cell r="JW23">
            <v>0</v>
          </cell>
          <cell r="JX23">
            <v>0</v>
          </cell>
          <cell r="JY23">
            <v>0</v>
          </cell>
          <cell r="JZ23">
            <v>0</v>
          </cell>
          <cell r="KA23">
            <v>0</v>
          </cell>
          <cell r="KB23">
            <v>0</v>
          </cell>
          <cell r="KC23">
            <v>0</v>
          </cell>
          <cell r="KD23">
            <v>0</v>
          </cell>
          <cell r="KE23">
            <v>0</v>
          </cell>
          <cell r="KF23">
            <v>0</v>
          </cell>
          <cell r="KG23">
            <v>0</v>
          </cell>
          <cell r="KH23">
            <v>0</v>
          </cell>
          <cell r="KI23">
            <v>0</v>
          </cell>
          <cell r="KJ23">
            <v>0</v>
          </cell>
          <cell r="KK23">
            <v>0</v>
          </cell>
          <cell r="KL23">
            <v>0</v>
          </cell>
          <cell r="KM23">
            <v>0</v>
          </cell>
          <cell r="KN23">
            <v>0</v>
          </cell>
          <cell r="KO23">
            <v>0</v>
          </cell>
          <cell r="KP23">
            <v>0</v>
          </cell>
          <cell r="KQ23">
            <v>0</v>
          </cell>
          <cell r="KR23">
            <v>0</v>
          </cell>
          <cell r="KS23">
            <v>0</v>
          </cell>
          <cell r="KT23">
            <v>0</v>
          </cell>
          <cell r="KU23">
            <v>0</v>
          </cell>
          <cell r="KV23">
            <v>0</v>
          </cell>
          <cell r="KW23">
            <v>0</v>
          </cell>
          <cell r="KX23">
            <v>0</v>
          </cell>
          <cell r="KY23">
            <v>0</v>
          </cell>
          <cell r="KZ23">
            <v>0</v>
          </cell>
          <cell r="LA23">
            <v>0</v>
          </cell>
          <cell r="LB23">
            <v>0</v>
          </cell>
          <cell r="LC23">
            <v>0</v>
          </cell>
          <cell r="LD23">
            <v>0</v>
          </cell>
          <cell r="LE23">
            <v>0</v>
          </cell>
          <cell r="LF23">
            <v>0</v>
          </cell>
          <cell r="LG23">
            <v>0</v>
          </cell>
          <cell r="LH23">
            <v>0</v>
          </cell>
          <cell r="LI23">
            <v>0</v>
          </cell>
          <cell r="LJ23">
            <v>0</v>
          </cell>
          <cell r="LK23">
            <v>0</v>
          </cell>
          <cell r="LL23">
            <v>0</v>
          </cell>
          <cell r="LM23">
            <v>0</v>
          </cell>
          <cell r="LN23">
            <v>0</v>
          </cell>
          <cell r="LO23">
            <v>0</v>
          </cell>
          <cell r="LP23">
            <v>0</v>
          </cell>
          <cell r="LQ23">
            <v>0</v>
          </cell>
          <cell r="LR23">
            <v>0</v>
          </cell>
          <cell r="LS23">
            <v>0</v>
          </cell>
          <cell r="LT23">
            <v>0</v>
          </cell>
          <cell r="LU23">
            <v>0</v>
          </cell>
          <cell r="LV23">
            <v>0</v>
          </cell>
          <cell r="LW23">
            <v>0</v>
          </cell>
          <cell r="LX23">
            <v>0</v>
          </cell>
          <cell r="LY23">
            <v>0</v>
          </cell>
          <cell r="LZ23">
            <v>0</v>
          </cell>
          <cell r="MA23">
            <v>0</v>
          </cell>
          <cell r="MB23">
            <v>0</v>
          </cell>
          <cell r="MC23">
            <v>0</v>
          </cell>
          <cell r="MD23">
            <v>0</v>
          </cell>
          <cell r="ME23">
            <v>0</v>
          </cell>
        </row>
        <row r="24"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L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Q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V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A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K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P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U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EZ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E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J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O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T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Y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D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I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N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S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X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C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H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M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R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W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B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G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L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Q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V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A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F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K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P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U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JZ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E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J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O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T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Y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D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I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N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S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X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C24">
            <v>0</v>
          </cell>
          <cell r="MD24">
            <v>0</v>
          </cell>
          <cell r="ME24">
            <v>0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R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L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Q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V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A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K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P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U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EZ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E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J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O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T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Y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D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I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N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S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X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C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H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M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R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W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B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G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L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Q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V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A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F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K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P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U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JZ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E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J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O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T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Y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D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I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N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S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X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C25">
            <v>0</v>
          </cell>
          <cell r="MD25">
            <v>0</v>
          </cell>
          <cell r="ME25">
            <v>0</v>
          </cell>
        </row>
        <row r="26"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L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Q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V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A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K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P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U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EZ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E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J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O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T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Y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D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I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N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S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X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C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H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M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R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W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B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G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L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Q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V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A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F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K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P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U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JZ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E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J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O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T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Y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D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I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N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S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X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C26">
            <v>0</v>
          </cell>
          <cell r="MD26">
            <v>0</v>
          </cell>
          <cell r="ME26">
            <v>0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C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R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L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Q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V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A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K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P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U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EZ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E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J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O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T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Y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D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I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N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S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X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C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H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M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R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W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B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G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L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Q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V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A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F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K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P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U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JZ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E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J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O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T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Y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D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I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N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S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X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C27">
            <v>0</v>
          </cell>
          <cell r="MD27">
            <v>0</v>
          </cell>
          <cell r="ME27">
            <v>0</v>
          </cell>
        </row>
        <row r="28"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R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L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Q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V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A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K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P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U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EZ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E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J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O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T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Y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D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I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N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S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X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C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H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M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R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W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B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G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L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Q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V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A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F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K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P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U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JZ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E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J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O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T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Y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D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I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N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S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X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C28">
            <v>0</v>
          </cell>
          <cell r="MD28">
            <v>0</v>
          </cell>
          <cell r="ME28">
            <v>0</v>
          </cell>
        </row>
        <row r="29"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R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L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Q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V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A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K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P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U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EZ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</v>
          </cell>
          <cell r="FF29">
            <v>0</v>
          </cell>
          <cell r="FG29">
            <v>0</v>
          </cell>
          <cell r="FH29">
            <v>0</v>
          </cell>
          <cell r="FI29">
            <v>0</v>
          </cell>
          <cell r="FJ29">
            <v>0</v>
          </cell>
          <cell r="FK29">
            <v>0</v>
          </cell>
          <cell r="FL29">
            <v>0</v>
          </cell>
          <cell r="FM29">
            <v>0</v>
          </cell>
          <cell r="FN29">
            <v>0</v>
          </cell>
          <cell r="FO29">
            <v>0</v>
          </cell>
          <cell r="FP29">
            <v>0</v>
          </cell>
          <cell r="FQ29">
            <v>0</v>
          </cell>
          <cell r="FR29">
            <v>0</v>
          </cell>
          <cell r="FS29">
            <v>0</v>
          </cell>
          <cell r="FT29">
            <v>0</v>
          </cell>
          <cell r="FU29">
            <v>0</v>
          </cell>
          <cell r="FV29">
            <v>0</v>
          </cell>
          <cell r="FW29">
            <v>0</v>
          </cell>
          <cell r="FX29">
            <v>0</v>
          </cell>
          <cell r="FY29">
            <v>0</v>
          </cell>
          <cell r="FZ29">
            <v>0</v>
          </cell>
          <cell r="GA29">
            <v>0</v>
          </cell>
          <cell r="GB29">
            <v>0</v>
          </cell>
          <cell r="GC29">
            <v>0</v>
          </cell>
          <cell r="GD29">
            <v>0</v>
          </cell>
          <cell r="GE29">
            <v>0</v>
          </cell>
          <cell r="GF29">
            <v>0</v>
          </cell>
          <cell r="GG29">
            <v>0</v>
          </cell>
          <cell r="GH29">
            <v>0</v>
          </cell>
          <cell r="GI29">
            <v>0</v>
          </cell>
          <cell r="GJ29">
            <v>0</v>
          </cell>
          <cell r="GK29">
            <v>0</v>
          </cell>
          <cell r="GL29">
            <v>0</v>
          </cell>
          <cell r="GM29">
            <v>0</v>
          </cell>
          <cell r="GN29">
            <v>0</v>
          </cell>
          <cell r="GO29">
            <v>0</v>
          </cell>
          <cell r="GP29">
            <v>0</v>
          </cell>
          <cell r="GQ29">
            <v>0</v>
          </cell>
          <cell r="GR29">
            <v>0</v>
          </cell>
          <cell r="GS29">
            <v>0</v>
          </cell>
          <cell r="GT29">
            <v>0</v>
          </cell>
          <cell r="GU29">
            <v>0</v>
          </cell>
          <cell r="GV29">
            <v>0</v>
          </cell>
          <cell r="GW29">
            <v>0</v>
          </cell>
          <cell r="GX29">
            <v>0</v>
          </cell>
          <cell r="GY29">
            <v>0</v>
          </cell>
          <cell r="GZ29">
            <v>0</v>
          </cell>
          <cell r="HA29">
            <v>0</v>
          </cell>
          <cell r="HB29">
            <v>0</v>
          </cell>
          <cell r="HC29">
            <v>0</v>
          </cell>
          <cell r="HD29">
            <v>0</v>
          </cell>
          <cell r="HE29">
            <v>0</v>
          </cell>
          <cell r="HF29">
            <v>0</v>
          </cell>
          <cell r="HG29">
            <v>0</v>
          </cell>
          <cell r="HH29">
            <v>0</v>
          </cell>
          <cell r="HI29">
            <v>0</v>
          </cell>
          <cell r="HJ29">
            <v>0</v>
          </cell>
          <cell r="HK29">
            <v>0</v>
          </cell>
          <cell r="HL29">
            <v>0</v>
          </cell>
          <cell r="HM29">
            <v>0</v>
          </cell>
          <cell r="HN29">
            <v>0</v>
          </cell>
          <cell r="HO29">
            <v>0</v>
          </cell>
          <cell r="HP29">
            <v>0</v>
          </cell>
          <cell r="HQ29">
            <v>0</v>
          </cell>
          <cell r="HR29">
            <v>0</v>
          </cell>
          <cell r="HS29">
            <v>0</v>
          </cell>
          <cell r="HT29">
            <v>0</v>
          </cell>
          <cell r="HU29">
            <v>0</v>
          </cell>
          <cell r="HV29">
            <v>0</v>
          </cell>
          <cell r="HW29">
            <v>0</v>
          </cell>
          <cell r="HX29">
            <v>0</v>
          </cell>
          <cell r="HY29">
            <v>0</v>
          </cell>
          <cell r="HZ29">
            <v>0</v>
          </cell>
          <cell r="IA29">
            <v>0</v>
          </cell>
          <cell r="IB29">
            <v>0</v>
          </cell>
          <cell r="IC29">
            <v>0</v>
          </cell>
          <cell r="ID29">
            <v>0</v>
          </cell>
          <cell r="IE29">
            <v>0</v>
          </cell>
          <cell r="IF29">
            <v>0</v>
          </cell>
          <cell r="IG29">
            <v>0</v>
          </cell>
          <cell r="IH29">
            <v>0</v>
          </cell>
          <cell r="II29">
            <v>0</v>
          </cell>
          <cell r="IJ29">
            <v>0</v>
          </cell>
          <cell r="IK29">
            <v>0</v>
          </cell>
          <cell r="IL29">
            <v>0</v>
          </cell>
          <cell r="IM29">
            <v>0</v>
          </cell>
          <cell r="IN29">
            <v>0</v>
          </cell>
          <cell r="IO29">
            <v>0</v>
          </cell>
          <cell r="IP29">
            <v>0</v>
          </cell>
          <cell r="IQ29">
            <v>0</v>
          </cell>
          <cell r="IR29">
            <v>0</v>
          </cell>
          <cell r="IS29">
            <v>0</v>
          </cell>
          <cell r="IT29">
            <v>0</v>
          </cell>
          <cell r="IU29">
            <v>0</v>
          </cell>
          <cell r="IV29">
            <v>0</v>
          </cell>
          <cell r="IW29">
            <v>0</v>
          </cell>
          <cell r="IX29">
            <v>0</v>
          </cell>
          <cell r="IY29">
            <v>0</v>
          </cell>
          <cell r="IZ29">
            <v>0</v>
          </cell>
          <cell r="JA29">
            <v>0</v>
          </cell>
          <cell r="JB29">
            <v>0</v>
          </cell>
          <cell r="JC29">
            <v>0</v>
          </cell>
          <cell r="JD29">
            <v>0</v>
          </cell>
          <cell r="JE29">
            <v>0</v>
          </cell>
          <cell r="JF29">
            <v>0</v>
          </cell>
          <cell r="JG29">
            <v>0</v>
          </cell>
          <cell r="JH29">
            <v>0</v>
          </cell>
          <cell r="JI29">
            <v>0</v>
          </cell>
          <cell r="JJ29">
            <v>0</v>
          </cell>
          <cell r="JK29">
            <v>0</v>
          </cell>
          <cell r="JL29">
            <v>0</v>
          </cell>
          <cell r="JM29">
            <v>0</v>
          </cell>
          <cell r="JN29">
            <v>0</v>
          </cell>
          <cell r="JO29">
            <v>0</v>
          </cell>
          <cell r="JP29">
            <v>0</v>
          </cell>
          <cell r="JQ29">
            <v>0</v>
          </cell>
          <cell r="JR29">
            <v>0</v>
          </cell>
          <cell r="JS29">
            <v>0</v>
          </cell>
          <cell r="JT29">
            <v>0</v>
          </cell>
          <cell r="JU29">
            <v>0</v>
          </cell>
          <cell r="JV29">
            <v>0</v>
          </cell>
          <cell r="JW29">
            <v>0</v>
          </cell>
          <cell r="JX29">
            <v>0</v>
          </cell>
          <cell r="JY29">
            <v>0</v>
          </cell>
          <cell r="JZ29">
            <v>0</v>
          </cell>
          <cell r="KA29">
            <v>0</v>
          </cell>
          <cell r="KB29">
            <v>0</v>
          </cell>
          <cell r="KC29">
            <v>0</v>
          </cell>
          <cell r="KD29">
            <v>0</v>
          </cell>
          <cell r="KE29">
            <v>0</v>
          </cell>
          <cell r="KF29">
            <v>0</v>
          </cell>
          <cell r="KG29">
            <v>0</v>
          </cell>
          <cell r="KH29">
            <v>0</v>
          </cell>
          <cell r="KI29">
            <v>0</v>
          </cell>
          <cell r="KJ29">
            <v>0</v>
          </cell>
          <cell r="KK29">
            <v>0</v>
          </cell>
          <cell r="KL29">
            <v>0</v>
          </cell>
          <cell r="KM29">
            <v>0</v>
          </cell>
          <cell r="KN29">
            <v>0</v>
          </cell>
          <cell r="KO29">
            <v>0</v>
          </cell>
          <cell r="KP29">
            <v>0</v>
          </cell>
          <cell r="KQ29">
            <v>0</v>
          </cell>
          <cell r="KR29">
            <v>0</v>
          </cell>
          <cell r="KS29">
            <v>0</v>
          </cell>
          <cell r="KT29">
            <v>0</v>
          </cell>
          <cell r="KU29">
            <v>0</v>
          </cell>
          <cell r="KV29">
            <v>0</v>
          </cell>
          <cell r="KW29">
            <v>0</v>
          </cell>
          <cell r="KX29">
            <v>0</v>
          </cell>
          <cell r="KY29">
            <v>0</v>
          </cell>
          <cell r="KZ29">
            <v>0</v>
          </cell>
          <cell r="LA29">
            <v>0</v>
          </cell>
          <cell r="LB29">
            <v>0</v>
          </cell>
          <cell r="LC29">
            <v>0</v>
          </cell>
          <cell r="LD29">
            <v>0</v>
          </cell>
          <cell r="LE29">
            <v>0</v>
          </cell>
          <cell r="LF29">
            <v>0</v>
          </cell>
          <cell r="LG29">
            <v>0</v>
          </cell>
          <cell r="LH29">
            <v>0</v>
          </cell>
          <cell r="LI29">
            <v>0</v>
          </cell>
          <cell r="LJ29">
            <v>0</v>
          </cell>
          <cell r="LK29">
            <v>0</v>
          </cell>
          <cell r="LL29">
            <v>0</v>
          </cell>
          <cell r="LM29">
            <v>0</v>
          </cell>
          <cell r="LN29">
            <v>0</v>
          </cell>
          <cell r="LO29">
            <v>0</v>
          </cell>
          <cell r="LP29">
            <v>0</v>
          </cell>
          <cell r="LQ29">
            <v>0</v>
          </cell>
          <cell r="LR29">
            <v>0</v>
          </cell>
          <cell r="LS29">
            <v>0</v>
          </cell>
          <cell r="LT29">
            <v>0</v>
          </cell>
          <cell r="LU29">
            <v>0</v>
          </cell>
          <cell r="LV29">
            <v>0</v>
          </cell>
          <cell r="LW29">
            <v>0</v>
          </cell>
          <cell r="LX29">
            <v>0</v>
          </cell>
          <cell r="LY29">
            <v>0</v>
          </cell>
          <cell r="LZ29">
            <v>0</v>
          </cell>
          <cell r="MA29">
            <v>0</v>
          </cell>
          <cell r="MB29">
            <v>0</v>
          </cell>
          <cell r="MC29">
            <v>0</v>
          </cell>
          <cell r="MD29">
            <v>0</v>
          </cell>
          <cell r="ME29">
            <v>0</v>
          </cell>
        </row>
        <row r="30"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L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Q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V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A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K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P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U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EZ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E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J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O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T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Y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D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I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N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S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X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C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H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M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R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W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B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G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L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Q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V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A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F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K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P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U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JZ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E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J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O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T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Y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D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I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N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S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X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C30">
            <v>0</v>
          </cell>
          <cell r="MD30">
            <v>0</v>
          </cell>
          <cell r="ME30">
            <v>0</v>
          </cell>
        </row>
      </sheetData>
      <sheetData sheetId="3"/>
      <sheetData sheetId="4"/>
    </sheetDataSet>
  </externalBook>
</externalLink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U379"/>
  <sheetViews>
    <sheetView showFormulas="false" showGridLines="true" showRowColHeaders="true" showZeros="true" rightToLeft="false" tabSelected="false" showOutlineSymbols="true" defaultGridColor="true" view="normal" topLeftCell="A16" colorId="64" zoomScale="110" zoomScaleNormal="110" zoomScalePageLayoutView="100" workbookViewId="0">
      <pane xSplit="4" ySplit="0" topLeftCell="F16" activePane="topRight" state="frozen"/>
      <selection pane="topLeft" activeCell="A16" activeCellId="0" sqref="A16"/>
      <selection pane="topRight" activeCell="B1" activeCellId="0" sqref="B1"/>
    </sheetView>
  </sheetViews>
  <sheetFormatPr defaultColWidth="9" defaultRowHeight="16.5" zeroHeight="false" outlineLevelRow="0" outlineLevelCol="0"/>
  <cols>
    <col collapsed="false" customWidth="true" hidden="true" outlineLevel="0" max="1" min="1" style="0" width="4.57"/>
    <col collapsed="false" customWidth="true" hidden="false" outlineLevel="0" max="2" min="2" style="1" width="12.14"/>
    <col collapsed="false" customWidth="true" hidden="false" outlineLevel="0" max="3" min="3" style="0" width="36.71"/>
    <col collapsed="false" customWidth="true" hidden="false" outlineLevel="0" max="4" min="4" style="0" width="16.14"/>
    <col collapsed="false" customWidth="true" hidden="true" outlineLevel="0" max="5" min="5" style="0" width="2.86"/>
    <col collapsed="false" customWidth="true" hidden="false" outlineLevel="0" max="6" min="6" style="0" width="7"/>
    <col collapsed="false" customWidth="true" hidden="false" outlineLevel="0" max="7" min="7" style="0" width="11.43"/>
    <col collapsed="false" customWidth="true" hidden="false" outlineLevel="0" max="8" min="8" style="2" width="12.29"/>
    <col collapsed="false" customWidth="true" hidden="false" outlineLevel="0" max="9" min="9" style="0" width="12.14"/>
    <col collapsed="false" customWidth="true" hidden="false" outlineLevel="0" max="10" min="10" style="0" width="11.86"/>
    <col collapsed="false" customWidth="true" hidden="false" outlineLevel="0" max="11" min="11" style="1" width="12.14"/>
    <col collapsed="false" customWidth="true" hidden="false" outlineLevel="0" max="12" min="12" style="0" width="11.71"/>
    <col collapsed="false" customWidth="true" hidden="false" outlineLevel="0" max="17" min="15" style="3" width="9.14"/>
  </cols>
  <sheetData>
    <row r="1" customFormat="false" ht="14.25" hidden="false" customHeight="true" outlineLevel="0" collapsed="false">
      <c r="B1" s="4"/>
      <c r="C1" s="5"/>
      <c r="D1" s="5"/>
      <c r="E1" s="5"/>
      <c r="F1" s="6" t="s">
        <v>0</v>
      </c>
      <c r="G1" s="6"/>
      <c r="H1" s="6"/>
      <c r="I1" s="6"/>
      <c r="U1" s="2"/>
    </row>
    <row r="2" customFormat="false" ht="14.25" hidden="false" customHeight="true" outlineLevel="0" collapsed="false">
      <c r="B2" s="4"/>
      <c r="C2" s="5"/>
      <c r="D2" s="5"/>
      <c r="E2" s="5"/>
      <c r="F2" s="7" t="s">
        <v>1</v>
      </c>
      <c r="G2" s="7"/>
      <c r="H2" s="7"/>
      <c r="I2" s="7"/>
      <c r="U2" s="2"/>
    </row>
    <row r="3" customFormat="false" ht="14.25" hidden="false" customHeight="true" outlineLevel="0" collapsed="false">
      <c r="B3" s="4"/>
      <c r="C3" s="5"/>
      <c r="D3" s="5"/>
      <c r="E3" s="5"/>
      <c r="F3" s="7" t="s">
        <v>2</v>
      </c>
      <c r="G3" s="7"/>
      <c r="H3" s="7"/>
      <c r="I3" s="7"/>
      <c r="U3" s="2"/>
    </row>
    <row r="4" customFormat="false" ht="5.25" hidden="false" customHeight="true" outlineLevel="0" collapsed="false">
      <c r="B4" s="4"/>
      <c r="C4" s="5"/>
      <c r="D4" s="5"/>
      <c r="E4" s="5"/>
      <c r="F4" s="5"/>
      <c r="G4" s="5"/>
      <c r="H4" s="8"/>
      <c r="I4" s="5"/>
      <c r="U4" s="2"/>
    </row>
    <row r="5" customFormat="false" ht="14.25" hidden="true" customHeight="true" outlineLevel="0" collapsed="false">
      <c r="B5" s="4"/>
      <c r="C5" s="5"/>
      <c r="D5" s="5"/>
      <c r="E5" s="5"/>
      <c r="F5" s="5"/>
      <c r="G5" s="5"/>
      <c r="H5" s="8"/>
      <c r="I5" s="5"/>
      <c r="U5" s="2"/>
    </row>
    <row r="6" customFormat="false" ht="14.25" hidden="false" customHeight="true" outlineLevel="0" collapsed="false">
      <c r="B6" s="9" t="s">
        <v>3</v>
      </c>
      <c r="C6" s="9"/>
      <c r="D6" s="9"/>
      <c r="E6" s="9"/>
      <c r="F6" s="9"/>
      <c r="G6" s="9"/>
      <c r="H6" s="9"/>
      <c r="I6" s="9"/>
      <c r="U6" s="2"/>
    </row>
    <row r="7" customFormat="false" ht="14.25" hidden="false" customHeight="true" outlineLevel="0" collapsed="false">
      <c r="B7" s="4"/>
      <c r="C7" s="5"/>
      <c r="D7" s="5"/>
      <c r="E7" s="5"/>
      <c r="F7" s="5"/>
      <c r="G7" s="5"/>
      <c r="H7" s="8"/>
      <c r="I7" s="5"/>
      <c r="U7" s="2"/>
    </row>
    <row r="8" customFormat="false" ht="14.25" hidden="false" customHeight="true" outlineLevel="0" collapsed="false">
      <c r="B8" s="10" t="s">
        <v>4</v>
      </c>
      <c r="C8" s="10"/>
      <c r="D8" s="10"/>
      <c r="E8" s="10"/>
      <c r="F8" s="10"/>
      <c r="G8" s="10"/>
      <c r="H8" s="10"/>
      <c r="I8" s="10"/>
      <c r="U8" s="2"/>
    </row>
    <row r="9" customFormat="false" ht="14.25" hidden="false" customHeight="true" outlineLevel="0" collapsed="false">
      <c r="B9" s="11"/>
      <c r="C9" s="11"/>
      <c r="D9" s="11"/>
      <c r="E9" s="11"/>
      <c r="F9" s="11"/>
      <c r="G9" s="11"/>
      <c r="H9" s="11"/>
      <c r="I9" s="11"/>
      <c r="U9" s="2"/>
    </row>
    <row r="10" customFormat="false" ht="8.25" hidden="false" customHeight="true" outlineLevel="0" collapsed="false">
      <c r="B10" s="4"/>
      <c r="C10" s="5"/>
      <c r="D10" s="5"/>
      <c r="E10" s="5"/>
      <c r="F10" s="5"/>
      <c r="G10" s="5"/>
      <c r="H10" s="8"/>
      <c r="I10" s="5"/>
      <c r="U10" s="2"/>
    </row>
    <row r="11" customFormat="false" ht="43.5" hidden="false" customHeight="true" outlineLevel="0" collapsed="false">
      <c r="B11" s="12" t="s">
        <v>5</v>
      </c>
      <c r="C11" s="13" t="s">
        <v>6</v>
      </c>
      <c r="D11" s="13" t="s">
        <v>7</v>
      </c>
      <c r="E11" s="13"/>
      <c r="F11" s="13" t="s">
        <v>8</v>
      </c>
      <c r="G11" s="13"/>
      <c r="H11" s="14" t="s">
        <v>9</v>
      </c>
      <c r="I11" s="14"/>
      <c r="U11" s="2"/>
    </row>
    <row r="12" customFormat="false" ht="14.25" hidden="false" customHeight="true" outlineLevel="0" collapsed="false">
      <c r="B12" s="15"/>
      <c r="C12" s="16"/>
      <c r="D12" s="15"/>
      <c r="E12" s="15"/>
      <c r="F12" s="15"/>
      <c r="G12" s="15"/>
      <c r="H12" s="17"/>
      <c r="I12" s="17"/>
      <c r="U12" s="2"/>
    </row>
    <row r="13" customFormat="false" ht="14.25" hidden="false" customHeight="true" outlineLevel="0" collapsed="false">
      <c r="B13" s="4"/>
      <c r="C13" s="5"/>
      <c r="D13" s="5"/>
      <c r="E13" s="5"/>
      <c r="F13" s="5"/>
      <c r="G13" s="5"/>
      <c r="H13" s="8"/>
      <c r="I13" s="5"/>
      <c r="U13" s="2"/>
    </row>
    <row r="14" customFormat="false" ht="30.75" hidden="false" customHeight="true" outlineLevel="0" collapsed="false">
      <c r="B14" s="18" t="s">
        <v>10</v>
      </c>
      <c r="C14" s="12" t="s">
        <v>11</v>
      </c>
      <c r="D14" s="12" t="s">
        <v>12</v>
      </c>
      <c r="E14" s="12"/>
      <c r="F14" s="12" t="s">
        <v>13</v>
      </c>
      <c r="G14" s="12"/>
      <c r="H14" s="14" t="s">
        <v>14</v>
      </c>
      <c r="I14" s="14"/>
      <c r="U14" s="2"/>
    </row>
    <row r="15" customFormat="false" ht="46.5" hidden="false" customHeight="true" outlineLevel="0" collapsed="false">
      <c r="B15" s="19" t="n">
        <v>45537</v>
      </c>
      <c r="C15" s="12" t="s">
        <v>15</v>
      </c>
      <c r="D15" s="20" t="s">
        <v>16</v>
      </c>
      <c r="E15" s="20"/>
      <c r="F15" s="12"/>
      <c r="G15" s="12"/>
      <c r="H15" s="14" t="s">
        <v>17</v>
      </c>
      <c r="I15" s="14"/>
      <c r="L15" s="0" t="n">
        <f aca="false">SUM(N19:N178)</f>
        <v>0</v>
      </c>
      <c r="U15" s="2"/>
    </row>
    <row r="16" customFormat="false" ht="10.5" hidden="false" customHeight="true" outlineLevel="0" collapsed="false">
      <c r="A16" s="0" t="s">
        <v>18</v>
      </c>
      <c r="B16" s="4"/>
      <c r="C16" s="4"/>
      <c r="D16" s="4"/>
      <c r="E16" s="4"/>
      <c r="F16" s="4"/>
      <c r="G16" s="4"/>
      <c r="H16" s="21"/>
      <c r="I16" s="4"/>
      <c r="U16" s="2"/>
    </row>
    <row r="17" customFormat="false" ht="78.75" hidden="false" customHeight="true" outlineLevel="0" collapsed="false">
      <c r="B17" s="12" t="s">
        <v>19</v>
      </c>
      <c r="C17" s="12" t="s">
        <v>20</v>
      </c>
      <c r="D17" s="22" t="s">
        <v>12</v>
      </c>
      <c r="E17" s="22" t="s">
        <v>21</v>
      </c>
      <c r="F17" s="22" t="s">
        <v>22</v>
      </c>
      <c r="G17" s="22" t="s">
        <v>23</v>
      </c>
      <c r="H17" s="23" t="s">
        <v>24</v>
      </c>
      <c r="I17" s="22" t="s">
        <v>25</v>
      </c>
      <c r="U17" s="2"/>
    </row>
    <row r="18" customFormat="false" ht="14.25" hidden="false" customHeight="true" outlineLevel="0" collapsed="false">
      <c r="B18" s="24" t="n">
        <v>1</v>
      </c>
      <c r="C18" s="24" t="n">
        <v>2</v>
      </c>
      <c r="D18" s="24" t="n">
        <v>3</v>
      </c>
      <c r="E18" s="24" t="n">
        <v>4</v>
      </c>
      <c r="F18" s="24" t="n">
        <v>5</v>
      </c>
      <c r="G18" s="24" t="n">
        <v>6</v>
      </c>
      <c r="H18" s="25" t="n">
        <v>7</v>
      </c>
      <c r="I18" s="24" t="n">
        <v>8</v>
      </c>
      <c r="K18" s="26"/>
      <c r="L18" s="26" t="n">
        <v>60</v>
      </c>
      <c r="M18" s="26" t="n">
        <v>137</v>
      </c>
      <c r="U18" s="2"/>
    </row>
    <row r="19" customFormat="false" ht="14.25" hidden="false" customHeight="true" outlineLevel="0" collapsed="false">
      <c r="B19" s="15"/>
      <c r="C19" s="27" t="s">
        <v>26</v>
      </c>
      <c r="D19" s="28" t="n">
        <v>11001</v>
      </c>
      <c r="E19" s="15" t="s">
        <v>27</v>
      </c>
      <c r="F19" s="15"/>
      <c r="G19" s="29" t="n">
        <f aca="false">L19*K19/1000</f>
        <v>0</v>
      </c>
      <c r="H19" s="17"/>
      <c r="I19" s="17"/>
      <c r="K19" s="30"/>
      <c r="L19" s="31" t="n">
        <f aca="false">L18</f>
        <v>60</v>
      </c>
      <c r="M19" s="31" t="n">
        <f aca="false">M18</f>
        <v>137</v>
      </c>
      <c r="N19" s="0" t="n">
        <f aca="false">O19+P19+Q19+R19+S19</f>
        <v>0</v>
      </c>
      <c r="O19" s="32"/>
      <c r="P19" s="32"/>
      <c r="Q19" s="32"/>
      <c r="R19" s="33"/>
      <c r="S19" s="33"/>
      <c r="U19" s="2"/>
    </row>
    <row r="20" customFormat="false" ht="14.25" hidden="false" customHeight="true" outlineLevel="0" collapsed="false">
      <c r="B20" s="34"/>
      <c r="C20" s="35" t="s">
        <v>28</v>
      </c>
      <c r="D20" s="33" t="n">
        <v>11002</v>
      </c>
      <c r="E20" s="15" t="s">
        <v>27</v>
      </c>
      <c r="F20" s="15"/>
      <c r="G20" s="29" t="n">
        <f aca="false">L20*K20/1000</f>
        <v>0</v>
      </c>
      <c r="H20" s="17"/>
      <c r="I20" s="17"/>
      <c r="K20" s="30"/>
      <c r="L20" s="31" t="n">
        <f aca="false">L19</f>
        <v>60</v>
      </c>
      <c r="M20" s="31" t="n">
        <f aca="false">M19</f>
        <v>137</v>
      </c>
      <c r="N20" s="0" t="n">
        <f aca="false">O20+P20+Q20+R20+S20</f>
        <v>0</v>
      </c>
      <c r="O20" s="32"/>
      <c r="P20" s="32"/>
      <c r="Q20" s="32"/>
      <c r="R20" s="33"/>
      <c r="S20" s="33"/>
      <c r="U20" s="2"/>
    </row>
    <row r="21" customFormat="false" ht="14.25" hidden="false" customHeight="true" outlineLevel="0" collapsed="false">
      <c r="B21" s="15"/>
      <c r="C21" s="35" t="s">
        <v>29</v>
      </c>
      <c r="D21" s="33" t="n">
        <v>11004</v>
      </c>
      <c r="E21" s="15" t="s">
        <v>27</v>
      </c>
      <c r="F21" s="15"/>
      <c r="G21" s="29" t="n">
        <f aca="false">L21*K21/1000</f>
        <v>0</v>
      </c>
      <c r="H21" s="17"/>
      <c r="I21" s="17"/>
      <c r="K21" s="30"/>
      <c r="L21" s="31" t="n">
        <f aca="false">L20</f>
        <v>60</v>
      </c>
      <c r="M21" s="31" t="n">
        <f aca="false">M20</f>
        <v>137</v>
      </c>
      <c r="N21" s="0" t="n">
        <f aca="false">O21+P21+Q21+R21+S21</f>
        <v>0</v>
      </c>
      <c r="O21" s="32"/>
      <c r="P21" s="32"/>
      <c r="Q21" s="32"/>
      <c r="R21" s="33"/>
      <c r="S21" s="33"/>
      <c r="U21" s="2"/>
    </row>
    <row r="22" customFormat="false" ht="14.25" hidden="false" customHeight="true" outlineLevel="0" collapsed="false">
      <c r="B22" s="34"/>
      <c r="C22" s="35" t="s">
        <v>30</v>
      </c>
      <c r="D22" s="33" t="n">
        <v>11005</v>
      </c>
      <c r="E22" s="15" t="s">
        <v>27</v>
      </c>
      <c r="F22" s="15"/>
      <c r="G22" s="29" t="n">
        <f aca="false">L22*K22/1000</f>
        <v>0</v>
      </c>
      <c r="H22" s="17"/>
      <c r="I22" s="17"/>
      <c r="K22" s="30"/>
      <c r="L22" s="31" t="n">
        <f aca="false">L21</f>
        <v>60</v>
      </c>
      <c r="M22" s="31" t="n">
        <f aca="false">M21</f>
        <v>137</v>
      </c>
      <c r="N22" s="0" t="n">
        <f aca="false">O22+P22+Q22+R22+S22</f>
        <v>0</v>
      </c>
      <c r="O22" s="32"/>
      <c r="P22" s="32"/>
      <c r="Q22" s="32"/>
      <c r="R22" s="33"/>
      <c r="S22" s="33"/>
      <c r="U22" s="2"/>
    </row>
    <row r="23" customFormat="false" ht="14.25" hidden="false" customHeight="true" outlineLevel="0" collapsed="false">
      <c r="B23" s="36"/>
      <c r="C23" s="35" t="s">
        <v>31</v>
      </c>
      <c r="D23" s="33" t="n">
        <v>11006</v>
      </c>
      <c r="E23" s="15" t="s">
        <v>27</v>
      </c>
      <c r="F23" s="15"/>
      <c r="G23" s="29" t="n">
        <f aca="false">L23*K23/1000</f>
        <v>0</v>
      </c>
      <c r="H23" s="17"/>
      <c r="I23" s="17"/>
      <c r="K23" s="30"/>
      <c r="L23" s="31" t="n">
        <f aca="false">L22</f>
        <v>60</v>
      </c>
      <c r="M23" s="31" t="n">
        <f aca="false">M22</f>
        <v>137</v>
      </c>
      <c r="N23" s="0" t="n">
        <f aca="false">O23+P23+Q23+R23+S23</f>
        <v>0</v>
      </c>
      <c r="O23" s="32"/>
      <c r="P23" s="32"/>
      <c r="Q23" s="32"/>
      <c r="R23" s="33"/>
      <c r="S23" s="33"/>
      <c r="U23" s="2"/>
    </row>
    <row r="24" customFormat="false" ht="14.25" hidden="false" customHeight="true" outlineLevel="0" collapsed="false">
      <c r="B24" s="15"/>
      <c r="C24" s="35" t="s">
        <v>32</v>
      </c>
      <c r="D24" s="33" t="n">
        <v>11007</v>
      </c>
      <c r="E24" s="15" t="s">
        <v>27</v>
      </c>
      <c r="F24" s="15"/>
      <c r="G24" s="29" t="n">
        <f aca="false">L24*K24/1000</f>
        <v>0</v>
      </c>
      <c r="H24" s="17"/>
      <c r="I24" s="17"/>
      <c r="K24" s="30"/>
      <c r="L24" s="31" t="n">
        <f aca="false">L23</f>
        <v>60</v>
      </c>
      <c r="M24" s="31" t="n">
        <f aca="false">M23</f>
        <v>137</v>
      </c>
      <c r="N24" s="0" t="n">
        <f aca="false">O24+P24+Q24+R24+S24</f>
        <v>0</v>
      </c>
      <c r="O24" s="32"/>
      <c r="P24" s="32"/>
      <c r="Q24" s="32"/>
      <c r="R24" s="33"/>
      <c r="S24" s="33"/>
      <c r="U24" s="2"/>
    </row>
    <row r="25" customFormat="false" ht="14.25" hidden="false" customHeight="true" outlineLevel="0" collapsed="false">
      <c r="B25" s="34"/>
      <c r="C25" s="35" t="s">
        <v>33</v>
      </c>
      <c r="D25" s="33" t="n">
        <v>11008</v>
      </c>
      <c r="E25" s="15" t="s">
        <v>27</v>
      </c>
      <c r="F25" s="15"/>
      <c r="G25" s="29" t="n">
        <f aca="false">L25*K25/1000</f>
        <v>0</v>
      </c>
      <c r="H25" s="17"/>
      <c r="I25" s="17"/>
      <c r="K25" s="30"/>
      <c r="L25" s="31" t="n">
        <f aca="false">L24</f>
        <v>60</v>
      </c>
      <c r="M25" s="31" t="n">
        <f aca="false">M24</f>
        <v>137</v>
      </c>
      <c r="N25" s="0" t="n">
        <f aca="false">O25+P25+Q25+R25+S25</f>
        <v>0</v>
      </c>
      <c r="O25" s="32"/>
      <c r="P25" s="32"/>
      <c r="Q25" s="32"/>
      <c r="R25" s="33"/>
      <c r="S25" s="33"/>
      <c r="U25" s="2"/>
    </row>
    <row r="26" customFormat="false" ht="14.25" hidden="false" customHeight="true" outlineLevel="0" collapsed="false">
      <c r="B26" s="34"/>
      <c r="C26" s="35" t="s">
        <v>34</v>
      </c>
      <c r="D26" s="33" t="n">
        <v>11009</v>
      </c>
      <c r="E26" s="15" t="s">
        <v>27</v>
      </c>
      <c r="F26" s="15"/>
      <c r="G26" s="29" t="n">
        <f aca="false">L26*K26/1000</f>
        <v>0</v>
      </c>
      <c r="H26" s="17"/>
      <c r="I26" s="17"/>
      <c r="K26" s="30"/>
      <c r="L26" s="31" t="n">
        <f aca="false">L25</f>
        <v>60</v>
      </c>
      <c r="M26" s="31" t="n">
        <f aca="false">M25</f>
        <v>137</v>
      </c>
      <c r="N26" s="0" t="n">
        <f aca="false">O26+P26+Q26+R26+S26</f>
        <v>0</v>
      </c>
      <c r="O26" s="32"/>
      <c r="P26" s="32"/>
      <c r="Q26" s="32"/>
      <c r="R26" s="33"/>
      <c r="S26" s="33"/>
      <c r="U26" s="2"/>
    </row>
    <row r="27" customFormat="false" ht="14.25" hidden="false" customHeight="true" outlineLevel="0" collapsed="false">
      <c r="B27" s="34"/>
      <c r="C27" s="35" t="s">
        <v>35</v>
      </c>
      <c r="D27" s="33" t="n">
        <v>11010</v>
      </c>
      <c r="E27" s="15" t="s">
        <v>27</v>
      </c>
      <c r="F27" s="15"/>
      <c r="G27" s="29" t="n">
        <f aca="false">L27*K27/1000</f>
        <v>0</v>
      </c>
      <c r="H27" s="17"/>
      <c r="I27" s="17"/>
      <c r="K27" s="30"/>
      <c r="L27" s="31" t="n">
        <f aca="false">L26</f>
        <v>60</v>
      </c>
      <c r="M27" s="31" t="n">
        <f aca="false">M26</f>
        <v>137</v>
      </c>
      <c r="N27" s="0" t="n">
        <f aca="false">O27+P27+Q27+R27+S27</f>
        <v>0</v>
      </c>
      <c r="O27" s="32"/>
      <c r="P27" s="32"/>
      <c r="Q27" s="32"/>
      <c r="R27" s="33"/>
      <c r="S27" s="33"/>
      <c r="U27" s="2"/>
    </row>
    <row r="28" customFormat="false" ht="14.25" hidden="false" customHeight="true" outlineLevel="0" collapsed="false">
      <c r="B28" s="15"/>
      <c r="C28" s="35" t="s">
        <v>36</v>
      </c>
      <c r="D28" s="33" t="n">
        <v>11011</v>
      </c>
      <c r="E28" s="15" t="s">
        <v>27</v>
      </c>
      <c r="F28" s="15"/>
      <c r="G28" s="29" t="n">
        <f aca="false">L28*K28/1000</f>
        <v>0</v>
      </c>
      <c r="H28" s="17"/>
      <c r="I28" s="17"/>
      <c r="K28" s="30"/>
      <c r="L28" s="31" t="n">
        <f aca="false">L27</f>
        <v>60</v>
      </c>
      <c r="M28" s="31" t="n">
        <f aca="false">M27</f>
        <v>137</v>
      </c>
      <c r="N28" s="0" t="n">
        <f aca="false">O28+P28+Q28+R28+S28</f>
        <v>0</v>
      </c>
      <c r="O28" s="32"/>
      <c r="P28" s="32"/>
      <c r="Q28" s="32"/>
      <c r="R28" s="33"/>
      <c r="S28" s="33"/>
      <c r="U28" s="2"/>
    </row>
    <row r="29" customFormat="false" ht="14.25" hidden="false" customHeight="true" outlineLevel="0" collapsed="false">
      <c r="B29" s="15"/>
      <c r="C29" s="35" t="s">
        <v>37</v>
      </c>
      <c r="D29" s="33" t="n">
        <v>11012</v>
      </c>
      <c r="E29" s="15" t="s">
        <v>27</v>
      </c>
      <c r="F29" s="15"/>
      <c r="G29" s="29" t="n">
        <f aca="false">L29*K29/1000</f>
        <v>0</v>
      </c>
      <c r="H29" s="17"/>
      <c r="I29" s="17"/>
      <c r="K29" s="30"/>
      <c r="L29" s="31" t="n">
        <f aca="false">L28</f>
        <v>60</v>
      </c>
      <c r="M29" s="31" t="n">
        <f aca="false">M28</f>
        <v>137</v>
      </c>
      <c r="N29" s="0" t="n">
        <f aca="false">O29+P29+Q29+R29+S29</f>
        <v>0</v>
      </c>
      <c r="O29" s="32"/>
      <c r="P29" s="32"/>
      <c r="Q29" s="32"/>
      <c r="R29" s="33"/>
      <c r="S29" s="33"/>
      <c r="U29" s="2"/>
    </row>
    <row r="30" customFormat="false" ht="14.25" hidden="false" customHeight="true" outlineLevel="0" collapsed="false">
      <c r="B30" s="15"/>
      <c r="C30" s="35" t="s">
        <v>38</v>
      </c>
      <c r="D30" s="33" t="n">
        <v>11013</v>
      </c>
      <c r="E30" s="15" t="s">
        <v>27</v>
      </c>
      <c r="F30" s="15"/>
      <c r="G30" s="29" t="n">
        <f aca="false">L30*K30/1000</f>
        <v>0</v>
      </c>
      <c r="H30" s="17"/>
      <c r="I30" s="17"/>
      <c r="K30" s="30"/>
      <c r="L30" s="31" t="n">
        <f aca="false">L29</f>
        <v>60</v>
      </c>
      <c r="M30" s="31" t="n">
        <f aca="false">M29</f>
        <v>137</v>
      </c>
      <c r="N30" s="0" t="n">
        <f aca="false">O30+P30+Q30+R30+S30</f>
        <v>0</v>
      </c>
      <c r="O30" s="32"/>
      <c r="P30" s="32"/>
      <c r="Q30" s="32"/>
      <c r="R30" s="33"/>
      <c r="S30" s="33"/>
      <c r="U30" s="2"/>
    </row>
    <row r="31" customFormat="false" ht="15.75" hidden="false" customHeight="true" outlineLevel="0" collapsed="false">
      <c r="B31" s="15"/>
      <c r="C31" s="35" t="s">
        <v>39</v>
      </c>
      <c r="D31" s="33" t="n">
        <v>11014</v>
      </c>
      <c r="E31" s="15" t="s">
        <v>27</v>
      </c>
      <c r="F31" s="15"/>
      <c r="G31" s="29" t="n">
        <f aca="false">L31*K31/1000</f>
        <v>0</v>
      </c>
      <c r="H31" s="17"/>
      <c r="I31" s="17"/>
      <c r="K31" s="30"/>
      <c r="L31" s="31" t="n">
        <f aca="false">L30</f>
        <v>60</v>
      </c>
      <c r="M31" s="31" t="n">
        <f aca="false">M30</f>
        <v>137</v>
      </c>
      <c r="N31" s="0" t="n">
        <f aca="false">O31+P31+Q31+R31+S31</f>
        <v>0</v>
      </c>
      <c r="O31" s="32"/>
      <c r="P31" s="32"/>
      <c r="Q31" s="32"/>
      <c r="R31" s="33"/>
      <c r="S31" s="33"/>
      <c r="U31" s="2"/>
    </row>
    <row r="32" customFormat="false" ht="14.25" hidden="false" customHeight="true" outlineLevel="0" collapsed="false">
      <c r="B32" s="15"/>
      <c r="C32" s="35" t="s">
        <v>40</v>
      </c>
      <c r="D32" s="33" t="n">
        <v>11015</v>
      </c>
      <c r="E32" s="15" t="s">
        <v>27</v>
      </c>
      <c r="F32" s="15"/>
      <c r="G32" s="29" t="n">
        <f aca="false">L32*K32/1000</f>
        <v>0</v>
      </c>
      <c r="H32" s="17"/>
      <c r="I32" s="17"/>
      <c r="K32" s="30"/>
      <c r="L32" s="31" t="n">
        <f aca="false">L31</f>
        <v>60</v>
      </c>
      <c r="M32" s="31" t="n">
        <f aca="false">M31</f>
        <v>137</v>
      </c>
      <c r="N32" s="0" t="n">
        <f aca="false">O32+P32+Q32+R32+S32</f>
        <v>0</v>
      </c>
      <c r="O32" s="32"/>
      <c r="P32" s="32"/>
      <c r="Q32" s="32"/>
      <c r="R32" s="33"/>
      <c r="S32" s="33"/>
      <c r="U32" s="2"/>
    </row>
    <row r="33" customFormat="false" ht="14.25" hidden="false" customHeight="true" outlineLevel="0" collapsed="false">
      <c r="B33" s="15"/>
      <c r="C33" s="35" t="s">
        <v>41</v>
      </c>
      <c r="D33" s="33" t="n">
        <v>11016</v>
      </c>
      <c r="E33" s="15" t="s">
        <v>27</v>
      </c>
      <c r="F33" s="15"/>
      <c r="G33" s="29" t="n">
        <f aca="false">L33*K33/1000</f>
        <v>0</v>
      </c>
      <c r="H33" s="17"/>
      <c r="I33" s="17"/>
      <c r="K33" s="30"/>
      <c r="L33" s="31" t="n">
        <f aca="false">L32</f>
        <v>60</v>
      </c>
      <c r="M33" s="31" t="n">
        <f aca="false">M32</f>
        <v>137</v>
      </c>
      <c r="N33" s="0" t="n">
        <f aca="false">O33+P33+Q33+R33+S33</f>
        <v>0</v>
      </c>
      <c r="O33" s="32"/>
      <c r="P33" s="32"/>
      <c r="Q33" s="32"/>
      <c r="R33" s="33"/>
      <c r="S33" s="33"/>
      <c r="U33" s="2"/>
    </row>
    <row r="34" customFormat="false" ht="14.25" hidden="false" customHeight="true" outlineLevel="0" collapsed="false">
      <c r="B34" s="34"/>
      <c r="C34" s="35" t="s">
        <v>42</v>
      </c>
      <c r="D34" s="33" t="n">
        <v>11017</v>
      </c>
      <c r="E34" s="15" t="s">
        <v>27</v>
      </c>
      <c r="F34" s="15"/>
      <c r="G34" s="29" t="n">
        <f aca="false">L34*K34/1000</f>
        <v>0</v>
      </c>
      <c r="H34" s="17"/>
      <c r="I34" s="17"/>
      <c r="K34" s="30"/>
      <c r="L34" s="31" t="n">
        <f aca="false">L33</f>
        <v>60</v>
      </c>
      <c r="M34" s="31" t="n">
        <f aca="false">M33</f>
        <v>137</v>
      </c>
      <c r="N34" s="0" t="n">
        <f aca="false">O34+P34+Q34+R34+S34</f>
        <v>0</v>
      </c>
      <c r="O34" s="32"/>
      <c r="P34" s="32"/>
      <c r="Q34" s="32"/>
      <c r="R34" s="33"/>
      <c r="S34" s="33"/>
      <c r="U34" s="2"/>
    </row>
    <row r="35" customFormat="false" ht="14.25" hidden="false" customHeight="true" outlineLevel="0" collapsed="false">
      <c r="B35" s="15"/>
      <c r="C35" s="35" t="s">
        <v>43</v>
      </c>
      <c r="D35" s="33" t="n">
        <v>11019</v>
      </c>
      <c r="E35" s="15" t="s">
        <v>27</v>
      </c>
      <c r="F35" s="15"/>
      <c r="G35" s="29" t="n">
        <f aca="false">L35*K35/1000</f>
        <v>0</v>
      </c>
      <c r="H35" s="17"/>
      <c r="I35" s="17"/>
      <c r="K35" s="30"/>
      <c r="L35" s="31" t="n">
        <f aca="false">L34</f>
        <v>60</v>
      </c>
      <c r="M35" s="31" t="n">
        <f aca="false">M34</f>
        <v>137</v>
      </c>
      <c r="N35" s="0" t="n">
        <f aca="false">O35+P35+Q35+R35+S35</f>
        <v>0</v>
      </c>
      <c r="O35" s="32"/>
      <c r="P35" s="32"/>
      <c r="Q35" s="32"/>
      <c r="R35" s="33"/>
      <c r="S35" s="33"/>
      <c r="U35" s="2"/>
    </row>
    <row r="36" customFormat="false" ht="14.25" hidden="false" customHeight="true" outlineLevel="0" collapsed="false">
      <c r="B36" s="15"/>
      <c r="C36" s="35" t="s">
        <v>44</v>
      </c>
      <c r="D36" s="33" t="n">
        <v>11020</v>
      </c>
      <c r="E36" s="15" t="s">
        <v>27</v>
      </c>
      <c r="F36" s="15"/>
      <c r="G36" s="29" t="n">
        <f aca="false">L36*K36/1000</f>
        <v>0</v>
      </c>
      <c r="H36" s="17"/>
      <c r="I36" s="17"/>
      <c r="K36" s="30"/>
      <c r="L36" s="31" t="n">
        <f aca="false">L35</f>
        <v>60</v>
      </c>
      <c r="M36" s="31" t="n">
        <f aca="false">M35</f>
        <v>137</v>
      </c>
      <c r="N36" s="0" t="n">
        <f aca="false">O36+P36+Q36+R36+S36</f>
        <v>0</v>
      </c>
      <c r="O36" s="32"/>
      <c r="P36" s="32"/>
      <c r="Q36" s="32"/>
      <c r="R36" s="33"/>
      <c r="S36" s="33"/>
      <c r="U36" s="2"/>
    </row>
    <row r="37" customFormat="false" ht="14.25" hidden="false" customHeight="true" outlineLevel="0" collapsed="false">
      <c r="B37" s="15"/>
      <c r="C37" s="35" t="s">
        <v>45</v>
      </c>
      <c r="D37" s="33" t="n">
        <v>11021</v>
      </c>
      <c r="E37" s="15" t="s">
        <v>27</v>
      </c>
      <c r="F37" s="15"/>
      <c r="G37" s="29" t="n">
        <f aca="false">L37*K37/1000</f>
        <v>0</v>
      </c>
      <c r="H37" s="17"/>
      <c r="I37" s="17"/>
      <c r="K37" s="30"/>
      <c r="L37" s="31" t="n">
        <f aca="false">L36</f>
        <v>60</v>
      </c>
      <c r="M37" s="31" t="n">
        <f aca="false">M36</f>
        <v>137</v>
      </c>
      <c r="N37" s="0" t="n">
        <f aca="false">O37+P37+Q37+R37+S37</f>
        <v>0</v>
      </c>
      <c r="O37" s="32"/>
      <c r="P37" s="32"/>
      <c r="Q37" s="32"/>
      <c r="R37" s="33"/>
      <c r="S37" s="33"/>
      <c r="U37" s="2"/>
    </row>
    <row r="38" customFormat="false" ht="14.25" hidden="false" customHeight="true" outlineLevel="0" collapsed="false">
      <c r="B38" s="15"/>
      <c r="C38" s="35" t="s">
        <v>46</v>
      </c>
      <c r="D38" s="33" t="n">
        <v>11022</v>
      </c>
      <c r="E38" s="15" t="s">
        <v>27</v>
      </c>
      <c r="F38" s="15"/>
      <c r="G38" s="29" t="n">
        <f aca="false">L38*K38/1000</f>
        <v>0</v>
      </c>
      <c r="H38" s="17"/>
      <c r="I38" s="17"/>
      <c r="K38" s="30"/>
      <c r="L38" s="31" t="n">
        <f aca="false">L37</f>
        <v>60</v>
      </c>
      <c r="M38" s="31" t="n">
        <f aca="false">M37</f>
        <v>137</v>
      </c>
      <c r="N38" s="0" t="n">
        <f aca="false">O38+P38+Q38+R38+S38</f>
        <v>0</v>
      </c>
      <c r="O38" s="32"/>
      <c r="P38" s="32"/>
      <c r="Q38" s="32"/>
      <c r="R38" s="33"/>
      <c r="S38" s="33"/>
      <c r="U38" s="2"/>
    </row>
    <row r="39" customFormat="false" ht="14.25" hidden="false" customHeight="true" outlineLevel="0" collapsed="false">
      <c r="B39" s="15"/>
      <c r="C39" s="35" t="s">
        <v>47</v>
      </c>
      <c r="D39" s="33" t="n">
        <v>11023</v>
      </c>
      <c r="E39" s="15" t="s">
        <v>27</v>
      </c>
      <c r="F39" s="15"/>
      <c r="G39" s="29" t="n">
        <f aca="false">L39*K39/1000</f>
        <v>0</v>
      </c>
      <c r="H39" s="17"/>
      <c r="I39" s="17"/>
      <c r="K39" s="30"/>
      <c r="L39" s="31" t="n">
        <f aca="false">L38</f>
        <v>60</v>
      </c>
      <c r="M39" s="31" t="n">
        <f aca="false">M38</f>
        <v>137</v>
      </c>
      <c r="N39" s="0" t="n">
        <f aca="false">O39+P39+Q39+R39+S39</f>
        <v>0</v>
      </c>
      <c r="O39" s="32"/>
      <c r="P39" s="32"/>
      <c r="Q39" s="32"/>
      <c r="R39" s="33"/>
      <c r="S39" s="33"/>
      <c r="U39" s="2"/>
    </row>
    <row r="40" customFormat="false" ht="16.5" hidden="false" customHeight="false" outlineLevel="0" collapsed="false">
      <c r="B40" s="15"/>
      <c r="C40" s="35" t="s">
        <v>48</v>
      </c>
      <c r="D40" s="33" t="n">
        <v>11024</v>
      </c>
      <c r="E40" s="15" t="s">
        <v>27</v>
      </c>
      <c r="F40" s="15"/>
      <c r="G40" s="29" t="n">
        <f aca="false">L40*K40/1000</f>
        <v>0</v>
      </c>
      <c r="H40" s="17"/>
      <c r="I40" s="17"/>
      <c r="K40" s="30"/>
      <c r="L40" s="31" t="n">
        <f aca="false">L39</f>
        <v>60</v>
      </c>
      <c r="M40" s="31" t="n">
        <f aca="false">M39</f>
        <v>137</v>
      </c>
      <c r="N40" s="0" t="n">
        <f aca="false">O40+P40+Q40+R40+S40</f>
        <v>0</v>
      </c>
      <c r="O40" s="32"/>
      <c r="P40" s="32"/>
      <c r="Q40" s="32"/>
      <c r="R40" s="33"/>
      <c r="S40" s="33"/>
      <c r="U40" s="2"/>
    </row>
    <row r="41" customFormat="false" ht="14.25" hidden="false" customHeight="true" outlineLevel="0" collapsed="false">
      <c r="B41" s="15"/>
      <c r="C41" s="35" t="s">
        <v>49</v>
      </c>
      <c r="D41" s="33" t="n">
        <v>11025</v>
      </c>
      <c r="E41" s="15" t="s">
        <v>27</v>
      </c>
      <c r="F41" s="15"/>
      <c r="G41" s="29" t="n">
        <f aca="false">L41*K41/1000</f>
        <v>0</v>
      </c>
      <c r="H41" s="17"/>
      <c r="I41" s="17"/>
      <c r="K41" s="30"/>
      <c r="L41" s="31" t="n">
        <f aca="false">L40</f>
        <v>60</v>
      </c>
      <c r="M41" s="31" t="n">
        <f aca="false">M40</f>
        <v>137</v>
      </c>
      <c r="N41" s="0" t="n">
        <f aca="false">O41+P41+Q41+R41+S41</f>
        <v>0</v>
      </c>
      <c r="O41" s="32"/>
      <c r="P41" s="32"/>
      <c r="Q41" s="32"/>
      <c r="R41" s="33"/>
      <c r="S41" s="33"/>
      <c r="U41" s="2"/>
    </row>
    <row r="42" customFormat="false" ht="16.5" hidden="false" customHeight="false" outlineLevel="0" collapsed="false">
      <c r="B42" s="15"/>
      <c r="C42" s="35" t="s">
        <v>50</v>
      </c>
      <c r="D42" s="33" t="n">
        <v>11026</v>
      </c>
      <c r="E42" s="15" t="s">
        <v>27</v>
      </c>
      <c r="F42" s="15"/>
      <c r="G42" s="29" t="n">
        <f aca="false">L42*K42/1000</f>
        <v>0</v>
      </c>
      <c r="H42" s="17"/>
      <c r="I42" s="17"/>
      <c r="K42" s="30"/>
      <c r="L42" s="31" t="n">
        <f aca="false">L41</f>
        <v>60</v>
      </c>
      <c r="M42" s="31" t="n">
        <f aca="false">M41</f>
        <v>137</v>
      </c>
      <c r="N42" s="0" t="n">
        <f aca="false">O42+P42+Q42+R42+S42</f>
        <v>0</v>
      </c>
      <c r="O42" s="32"/>
      <c r="P42" s="32"/>
      <c r="Q42" s="32"/>
      <c r="R42" s="33"/>
      <c r="S42" s="33"/>
      <c r="U42" s="2"/>
    </row>
    <row r="43" customFormat="false" ht="15.75" hidden="false" customHeight="true" outlineLevel="0" collapsed="false">
      <c r="B43" s="15"/>
      <c r="C43" s="35" t="s">
        <v>51</v>
      </c>
      <c r="D43" s="33" t="n">
        <v>11028</v>
      </c>
      <c r="E43" s="15" t="s">
        <v>27</v>
      </c>
      <c r="F43" s="15"/>
      <c r="G43" s="29" t="n">
        <f aca="false">L43*K43/1000</f>
        <v>0</v>
      </c>
      <c r="H43" s="17"/>
      <c r="I43" s="17"/>
      <c r="K43" s="30"/>
      <c r="L43" s="31" t="n">
        <f aca="false">L42</f>
        <v>60</v>
      </c>
      <c r="M43" s="31" t="n">
        <f aca="false">M42</f>
        <v>137</v>
      </c>
      <c r="N43" s="0" t="n">
        <f aca="false">O43+P43+Q43+R43+S43</f>
        <v>0</v>
      </c>
      <c r="O43" s="32"/>
      <c r="P43" s="32"/>
      <c r="Q43" s="32"/>
      <c r="R43" s="33"/>
      <c r="S43" s="33"/>
      <c r="U43" s="2"/>
    </row>
    <row r="44" customFormat="false" ht="14.25" hidden="false" customHeight="true" outlineLevel="0" collapsed="false">
      <c r="B44" s="15"/>
      <c r="C44" s="35" t="s">
        <v>52</v>
      </c>
      <c r="D44" s="33" t="n">
        <v>11029</v>
      </c>
      <c r="E44" s="15" t="s">
        <v>27</v>
      </c>
      <c r="F44" s="15"/>
      <c r="G44" s="29" t="n">
        <f aca="false">L44*K44/1000</f>
        <v>0</v>
      </c>
      <c r="H44" s="17"/>
      <c r="I44" s="17"/>
      <c r="K44" s="30"/>
      <c r="L44" s="31" t="n">
        <f aca="false">L43</f>
        <v>60</v>
      </c>
      <c r="M44" s="31" t="n">
        <f aca="false">M43</f>
        <v>137</v>
      </c>
      <c r="N44" s="0" t="n">
        <f aca="false">O44+P44+Q44+R44+S44</f>
        <v>0</v>
      </c>
      <c r="O44" s="32"/>
      <c r="P44" s="32"/>
      <c r="Q44" s="32"/>
      <c r="R44" s="33"/>
      <c r="S44" s="33"/>
      <c r="U44" s="2"/>
    </row>
    <row r="45" customFormat="false" ht="14.25" hidden="false" customHeight="true" outlineLevel="0" collapsed="false">
      <c r="B45" s="15"/>
      <c r="C45" s="35" t="s">
        <v>53</v>
      </c>
      <c r="D45" s="33" t="n">
        <v>11030</v>
      </c>
      <c r="E45" s="15" t="s">
        <v>27</v>
      </c>
      <c r="F45" s="15"/>
      <c r="G45" s="29" t="n">
        <f aca="false">L45*K45/1000</f>
        <v>0</v>
      </c>
      <c r="H45" s="17"/>
      <c r="I45" s="17"/>
      <c r="K45" s="30"/>
      <c r="L45" s="31" t="n">
        <f aca="false">L44</f>
        <v>60</v>
      </c>
      <c r="M45" s="31" t="n">
        <f aca="false">M44</f>
        <v>137</v>
      </c>
      <c r="N45" s="0" t="n">
        <f aca="false">O45+P45+Q45+R45+S45</f>
        <v>0</v>
      </c>
      <c r="O45" s="32"/>
      <c r="P45" s="32"/>
      <c r="Q45" s="32"/>
      <c r="R45" s="33"/>
      <c r="S45" s="33"/>
      <c r="U45" s="2"/>
    </row>
    <row r="46" customFormat="false" ht="14.25" hidden="false" customHeight="true" outlineLevel="0" collapsed="false">
      <c r="B46" s="15"/>
      <c r="C46" s="35" t="s">
        <v>54</v>
      </c>
      <c r="D46" s="33" t="n">
        <v>11031</v>
      </c>
      <c r="E46" s="15" t="s">
        <v>27</v>
      </c>
      <c r="F46" s="15"/>
      <c r="G46" s="29" t="n">
        <f aca="false">L46*K46/1000</f>
        <v>0</v>
      </c>
      <c r="H46" s="17"/>
      <c r="I46" s="17"/>
      <c r="K46" s="30"/>
      <c r="L46" s="31" t="n">
        <f aca="false">L45</f>
        <v>60</v>
      </c>
      <c r="M46" s="31" t="n">
        <f aca="false">M45</f>
        <v>137</v>
      </c>
      <c r="N46" s="0" t="n">
        <f aca="false">O46+P46+Q46+R46+S46</f>
        <v>0</v>
      </c>
      <c r="O46" s="32"/>
      <c r="P46" s="32"/>
      <c r="Q46" s="32"/>
      <c r="R46" s="33"/>
      <c r="S46" s="33"/>
      <c r="U46" s="2"/>
    </row>
    <row r="47" customFormat="false" ht="14.25" hidden="false" customHeight="true" outlineLevel="0" collapsed="false">
      <c r="B47" s="15"/>
      <c r="C47" s="35" t="s">
        <v>55</v>
      </c>
      <c r="D47" s="33" t="n">
        <v>11032</v>
      </c>
      <c r="E47" s="15" t="s">
        <v>27</v>
      </c>
      <c r="F47" s="15"/>
      <c r="G47" s="29" t="n">
        <f aca="false">L47*K47/1000</f>
        <v>0</v>
      </c>
      <c r="H47" s="17"/>
      <c r="I47" s="17"/>
      <c r="K47" s="30"/>
      <c r="L47" s="31" t="n">
        <f aca="false">L46</f>
        <v>60</v>
      </c>
      <c r="M47" s="31" t="n">
        <f aca="false">M46</f>
        <v>137</v>
      </c>
      <c r="N47" s="0" t="n">
        <f aca="false">O47+P47+Q47+R47+S47</f>
        <v>0</v>
      </c>
      <c r="O47" s="32"/>
      <c r="P47" s="32"/>
      <c r="Q47" s="32"/>
      <c r="R47" s="33"/>
      <c r="S47" s="33"/>
      <c r="U47" s="2"/>
    </row>
    <row r="48" customFormat="false" ht="14.25" hidden="false" customHeight="true" outlineLevel="0" collapsed="false">
      <c r="B48" s="15"/>
      <c r="C48" s="35" t="s">
        <v>56</v>
      </c>
      <c r="D48" s="33" t="n">
        <v>11033</v>
      </c>
      <c r="E48" s="15" t="s">
        <v>27</v>
      </c>
      <c r="F48" s="15"/>
      <c r="G48" s="29" t="n">
        <f aca="false">L48*K48/1000</f>
        <v>0</v>
      </c>
      <c r="H48" s="17"/>
      <c r="I48" s="17"/>
      <c r="K48" s="30"/>
      <c r="L48" s="31" t="n">
        <f aca="false">L47</f>
        <v>60</v>
      </c>
      <c r="M48" s="31" t="n">
        <f aca="false">M47</f>
        <v>137</v>
      </c>
      <c r="N48" s="0" t="n">
        <f aca="false">O48+P48+Q48+R48+S48</f>
        <v>0</v>
      </c>
      <c r="O48" s="32"/>
      <c r="P48" s="32"/>
      <c r="Q48" s="32"/>
      <c r="R48" s="33"/>
      <c r="S48" s="33"/>
      <c r="U48" s="2"/>
    </row>
    <row r="49" customFormat="false" ht="14.25" hidden="false" customHeight="true" outlineLevel="0" collapsed="false">
      <c r="B49" s="34"/>
      <c r="C49" s="35" t="s">
        <v>57</v>
      </c>
      <c r="D49" s="33" t="n">
        <v>11034</v>
      </c>
      <c r="E49" s="15" t="s">
        <v>27</v>
      </c>
      <c r="F49" s="15"/>
      <c r="G49" s="29" t="n">
        <f aca="false">L49*K49/1000</f>
        <v>0</v>
      </c>
      <c r="H49" s="17"/>
      <c r="I49" s="17"/>
      <c r="K49" s="30"/>
      <c r="L49" s="31" t="n">
        <f aca="false">L48</f>
        <v>60</v>
      </c>
      <c r="M49" s="31" t="n">
        <f aca="false">M48</f>
        <v>137</v>
      </c>
      <c r="N49" s="0" t="n">
        <f aca="false">O49+P49+Q49+R49+S49</f>
        <v>0</v>
      </c>
      <c r="O49" s="32"/>
      <c r="P49" s="32"/>
      <c r="Q49" s="32"/>
      <c r="R49" s="33"/>
      <c r="S49" s="33"/>
      <c r="U49" s="2"/>
    </row>
    <row r="50" customFormat="false" ht="14.25" hidden="false" customHeight="true" outlineLevel="0" collapsed="false">
      <c r="B50" s="15"/>
      <c r="C50" s="35" t="s">
        <v>58</v>
      </c>
      <c r="D50" s="33" t="n">
        <v>11039</v>
      </c>
      <c r="E50" s="15" t="s">
        <v>27</v>
      </c>
      <c r="F50" s="15"/>
      <c r="G50" s="29" t="n">
        <f aca="false">L50*K50/1000</f>
        <v>0</v>
      </c>
      <c r="H50" s="17"/>
      <c r="I50" s="17"/>
      <c r="K50" s="30"/>
      <c r="L50" s="31" t="n">
        <f aca="false">L49</f>
        <v>60</v>
      </c>
      <c r="M50" s="31" t="n">
        <f aca="false">M49</f>
        <v>137</v>
      </c>
      <c r="N50" s="0" t="n">
        <f aca="false">O50+P50+Q50+R50+S50</f>
        <v>0</v>
      </c>
      <c r="O50" s="32"/>
      <c r="P50" s="32"/>
      <c r="Q50" s="32"/>
      <c r="R50" s="33"/>
      <c r="S50" s="33"/>
      <c r="U50" s="2"/>
    </row>
    <row r="51" customFormat="false" ht="14.25" hidden="false" customHeight="true" outlineLevel="0" collapsed="false">
      <c r="B51" s="15"/>
      <c r="C51" s="35" t="s">
        <v>59</v>
      </c>
      <c r="D51" s="33" t="n">
        <v>11040</v>
      </c>
      <c r="E51" s="15" t="s">
        <v>27</v>
      </c>
      <c r="F51" s="15"/>
      <c r="G51" s="29" t="n">
        <f aca="false">L51*K51/1000</f>
        <v>0</v>
      </c>
      <c r="H51" s="17"/>
      <c r="I51" s="17"/>
      <c r="K51" s="30"/>
      <c r="L51" s="31" t="n">
        <f aca="false">L50</f>
        <v>60</v>
      </c>
      <c r="M51" s="31" t="n">
        <f aca="false">M50</f>
        <v>137</v>
      </c>
      <c r="N51" s="0" t="n">
        <f aca="false">O51+P51+Q51+R51+S51</f>
        <v>0</v>
      </c>
      <c r="O51" s="32"/>
      <c r="P51" s="32"/>
      <c r="Q51" s="32"/>
      <c r="R51" s="33"/>
      <c r="S51" s="33"/>
      <c r="U51" s="2"/>
    </row>
    <row r="52" customFormat="false" ht="14.25" hidden="false" customHeight="true" outlineLevel="0" collapsed="false">
      <c r="B52" s="15"/>
      <c r="C52" s="35" t="s">
        <v>60</v>
      </c>
      <c r="D52" s="33" t="n">
        <v>11041</v>
      </c>
      <c r="E52" s="15" t="s">
        <v>27</v>
      </c>
      <c r="F52" s="15"/>
      <c r="G52" s="29" t="n">
        <f aca="false">L52*K52/1000</f>
        <v>0</v>
      </c>
      <c r="H52" s="17"/>
      <c r="I52" s="17"/>
      <c r="K52" s="30"/>
      <c r="L52" s="31" t="n">
        <f aca="false">L51</f>
        <v>60</v>
      </c>
      <c r="M52" s="31" t="n">
        <f aca="false">M51</f>
        <v>137</v>
      </c>
      <c r="N52" s="0" t="n">
        <f aca="false">O52+P52+Q52+R52+S52</f>
        <v>0</v>
      </c>
      <c r="O52" s="32"/>
      <c r="P52" s="32"/>
      <c r="Q52" s="32"/>
      <c r="R52" s="33"/>
      <c r="S52" s="33"/>
      <c r="U52" s="2"/>
    </row>
    <row r="53" customFormat="false" ht="14.25" hidden="false" customHeight="true" outlineLevel="0" collapsed="false">
      <c r="B53" s="15"/>
      <c r="C53" s="35" t="s">
        <v>61</v>
      </c>
      <c r="D53" s="33" t="n">
        <v>11042</v>
      </c>
      <c r="E53" s="15" t="s">
        <v>27</v>
      </c>
      <c r="F53" s="15"/>
      <c r="G53" s="29" t="n">
        <f aca="false">L53*K53/1000</f>
        <v>0</v>
      </c>
      <c r="H53" s="17"/>
      <c r="I53" s="17"/>
      <c r="K53" s="30"/>
      <c r="L53" s="31" t="n">
        <f aca="false">L52</f>
        <v>60</v>
      </c>
      <c r="M53" s="31" t="n">
        <f aca="false">M52</f>
        <v>137</v>
      </c>
      <c r="N53" s="0" t="n">
        <f aca="false">O53+P53+Q53+R53+S53</f>
        <v>0</v>
      </c>
      <c r="O53" s="32"/>
      <c r="P53" s="32"/>
      <c r="Q53" s="32"/>
      <c r="R53" s="33"/>
      <c r="S53" s="33"/>
      <c r="U53" s="2"/>
    </row>
    <row r="54" customFormat="false" ht="14.25" hidden="false" customHeight="true" outlineLevel="0" collapsed="false">
      <c r="B54" s="15"/>
      <c r="C54" s="35" t="s">
        <v>62</v>
      </c>
      <c r="D54" s="33" t="n">
        <v>11043</v>
      </c>
      <c r="E54" s="15" t="s">
        <v>27</v>
      </c>
      <c r="F54" s="15"/>
      <c r="G54" s="29" t="n">
        <f aca="false">L54*K54/1000</f>
        <v>0</v>
      </c>
      <c r="H54" s="17"/>
      <c r="I54" s="17"/>
      <c r="K54" s="30"/>
      <c r="L54" s="31" t="n">
        <f aca="false">L53</f>
        <v>60</v>
      </c>
      <c r="M54" s="31" t="n">
        <f aca="false">M53</f>
        <v>137</v>
      </c>
      <c r="N54" s="0" t="n">
        <f aca="false">O54+P54+Q54+R54+S54</f>
        <v>0</v>
      </c>
      <c r="O54" s="32"/>
      <c r="P54" s="32"/>
      <c r="Q54" s="32"/>
      <c r="R54" s="33"/>
      <c r="S54" s="33"/>
      <c r="U54" s="2"/>
    </row>
    <row r="55" customFormat="false" ht="14.25" hidden="false" customHeight="true" outlineLevel="0" collapsed="false">
      <c r="B55" s="15"/>
      <c r="C55" s="35" t="s">
        <v>63</v>
      </c>
      <c r="D55" s="33" t="n">
        <v>11044</v>
      </c>
      <c r="E55" s="15" t="s">
        <v>27</v>
      </c>
      <c r="F55" s="15"/>
      <c r="G55" s="29" t="n">
        <f aca="false">L55*K55/1000</f>
        <v>0</v>
      </c>
      <c r="H55" s="17"/>
      <c r="I55" s="17"/>
      <c r="K55" s="30"/>
      <c r="L55" s="31" t="n">
        <f aca="false">L54</f>
        <v>60</v>
      </c>
      <c r="M55" s="31" t="n">
        <f aca="false">M54</f>
        <v>137</v>
      </c>
      <c r="N55" s="0" t="n">
        <f aca="false">O55+P55+Q55+R55+S55</f>
        <v>0</v>
      </c>
      <c r="O55" s="32"/>
      <c r="P55" s="32"/>
      <c r="Q55" s="32"/>
      <c r="R55" s="33"/>
      <c r="S55" s="33"/>
      <c r="U55" s="2"/>
    </row>
    <row r="56" customFormat="false" ht="14.25" hidden="false" customHeight="true" outlineLevel="0" collapsed="false">
      <c r="B56" s="15"/>
      <c r="C56" s="35" t="s">
        <v>64</v>
      </c>
      <c r="D56" s="33" t="n">
        <v>11045</v>
      </c>
      <c r="E56" s="15" t="s">
        <v>27</v>
      </c>
      <c r="F56" s="15"/>
      <c r="G56" s="29" t="n">
        <f aca="false">L56*K56/1000</f>
        <v>0</v>
      </c>
      <c r="H56" s="17"/>
      <c r="I56" s="17"/>
      <c r="K56" s="30"/>
      <c r="L56" s="31" t="n">
        <f aca="false">L55</f>
        <v>60</v>
      </c>
      <c r="M56" s="31" t="n">
        <f aca="false">M55</f>
        <v>137</v>
      </c>
      <c r="N56" s="0" t="n">
        <f aca="false">O56+P56+Q56+R56+S56</f>
        <v>0</v>
      </c>
      <c r="O56" s="32"/>
      <c r="P56" s="32"/>
      <c r="Q56" s="32"/>
      <c r="R56" s="33"/>
      <c r="S56" s="33"/>
      <c r="U56" s="2"/>
    </row>
    <row r="57" customFormat="false" ht="14.25" hidden="false" customHeight="true" outlineLevel="0" collapsed="false">
      <c r="B57" s="34"/>
      <c r="C57" s="35" t="s">
        <v>65</v>
      </c>
      <c r="D57" s="33" t="n">
        <v>11046</v>
      </c>
      <c r="E57" s="15" t="s">
        <v>27</v>
      </c>
      <c r="F57" s="15"/>
      <c r="G57" s="29" t="n">
        <f aca="false">L57*K57/1000</f>
        <v>0</v>
      </c>
      <c r="H57" s="17"/>
      <c r="I57" s="17"/>
      <c r="K57" s="30"/>
      <c r="L57" s="31" t="n">
        <f aca="false">L56</f>
        <v>60</v>
      </c>
      <c r="M57" s="31" t="n">
        <f aca="false">M56</f>
        <v>137</v>
      </c>
      <c r="N57" s="0" t="n">
        <f aca="false">O57+P57+Q57+R57+S57</f>
        <v>0</v>
      </c>
      <c r="O57" s="32"/>
      <c r="P57" s="32"/>
      <c r="Q57" s="32"/>
      <c r="R57" s="33"/>
      <c r="S57" s="33"/>
      <c r="U57" s="2"/>
    </row>
    <row r="58" customFormat="false" ht="14.25" hidden="false" customHeight="true" outlineLevel="0" collapsed="false">
      <c r="B58" s="17"/>
      <c r="C58" s="35" t="s">
        <v>66</v>
      </c>
      <c r="D58" s="33" t="n">
        <v>11047</v>
      </c>
      <c r="E58" s="15" t="s">
        <v>27</v>
      </c>
      <c r="F58" s="15"/>
      <c r="G58" s="29" t="n">
        <f aca="false">L58*K58/1000</f>
        <v>0</v>
      </c>
      <c r="H58" s="17"/>
      <c r="I58" s="17"/>
      <c r="K58" s="30"/>
      <c r="L58" s="31" t="n">
        <f aca="false">L57</f>
        <v>60</v>
      </c>
      <c r="M58" s="31" t="n">
        <f aca="false">M57</f>
        <v>137</v>
      </c>
      <c r="N58" s="0" t="n">
        <f aca="false">O58+P58+Q58+R58+S58</f>
        <v>0</v>
      </c>
      <c r="O58" s="32"/>
      <c r="P58" s="32"/>
      <c r="Q58" s="32"/>
      <c r="R58" s="33"/>
      <c r="S58" s="33"/>
      <c r="U58" s="2"/>
    </row>
    <row r="59" customFormat="false" ht="14.25" hidden="false" customHeight="true" outlineLevel="0" collapsed="false">
      <c r="B59" s="34"/>
      <c r="C59" s="35" t="s">
        <v>67</v>
      </c>
      <c r="D59" s="33" t="n">
        <v>11048</v>
      </c>
      <c r="E59" s="15" t="s">
        <v>27</v>
      </c>
      <c r="F59" s="15"/>
      <c r="G59" s="29" t="n">
        <f aca="false">L59*K59/1000</f>
        <v>0</v>
      </c>
      <c r="H59" s="17"/>
      <c r="I59" s="17"/>
      <c r="K59" s="30"/>
      <c r="L59" s="31" t="n">
        <f aca="false">L58</f>
        <v>60</v>
      </c>
      <c r="M59" s="31" t="n">
        <f aca="false">M58</f>
        <v>137</v>
      </c>
      <c r="N59" s="0" t="n">
        <f aca="false">O59+P59+Q59+R59+S59</f>
        <v>0</v>
      </c>
      <c r="O59" s="32"/>
      <c r="P59" s="32"/>
      <c r="Q59" s="32"/>
      <c r="R59" s="33"/>
      <c r="S59" s="33"/>
      <c r="U59" s="2"/>
    </row>
    <row r="60" customFormat="false" ht="14.25" hidden="false" customHeight="true" outlineLevel="0" collapsed="false">
      <c r="B60" s="15"/>
      <c r="C60" s="35" t="s">
        <v>68</v>
      </c>
      <c r="D60" s="33" t="n">
        <v>11049</v>
      </c>
      <c r="E60" s="15" t="s">
        <v>27</v>
      </c>
      <c r="F60" s="15"/>
      <c r="G60" s="29" t="n">
        <f aca="false">L60*K60/1000</f>
        <v>0</v>
      </c>
      <c r="H60" s="17"/>
      <c r="I60" s="17"/>
      <c r="K60" s="30"/>
      <c r="L60" s="31" t="n">
        <f aca="false">L59</f>
        <v>60</v>
      </c>
      <c r="M60" s="31" t="n">
        <f aca="false">M59</f>
        <v>137</v>
      </c>
      <c r="N60" s="0" t="n">
        <f aca="false">O60+P60+Q60+R60+S60</f>
        <v>0</v>
      </c>
      <c r="O60" s="32"/>
      <c r="P60" s="32"/>
      <c r="Q60" s="32"/>
      <c r="R60" s="33"/>
      <c r="S60" s="33"/>
      <c r="U60" s="2"/>
    </row>
    <row r="61" customFormat="false" ht="14.25" hidden="false" customHeight="true" outlineLevel="0" collapsed="false">
      <c r="B61" s="34"/>
      <c r="C61" s="35" t="s">
        <v>69</v>
      </c>
      <c r="D61" s="33" t="n">
        <v>11050</v>
      </c>
      <c r="E61" s="15" t="s">
        <v>27</v>
      </c>
      <c r="F61" s="15"/>
      <c r="G61" s="29" t="n">
        <f aca="false">L61*K61/1000</f>
        <v>0</v>
      </c>
      <c r="H61" s="17"/>
      <c r="I61" s="17"/>
      <c r="K61" s="30"/>
      <c r="L61" s="31" t="n">
        <f aca="false">L60</f>
        <v>60</v>
      </c>
      <c r="M61" s="31" t="n">
        <f aca="false">M60</f>
        <v>137</v>
      </c>
      <c r="N61" s="0" t="n">
        <f aca="false">O61+P61+Q61+R61+S61</f>
        <v>0</v>
      </c>
      <c r="O61" s="32"/>
      <c r="P61" s="32"/>
      <c r="Q61" s="32"/>
      <c r="R61" s="33"/>
      <c r="S61" s="33"/>
      <c r="U61" s="2"/>
    </row>
    <row r="62" customFormat="false" ht="14.25" hidden="false" customHeight="true" outlineLevel="0" collapsed="false">
      <c r="B62" s="15"/>
      <c r="C62" s="35" t="s">
        <v>70</v>
      </c>
      <c r="D62" s="33" t="n">
        <v>11051</v>
      </c>
      <c r="E62" s="15" t="s">
        <v>27</v>
      </c>
      <c r="F62" s="15"/>
      <c r="G62" s="29" t="n">
        <f aca="false">L62*K62/1000</f>
        <v>0</v>
      </c>
      <c r="H62" s="17"/>
      <c r="I62" s="17"/>
      <c r="K62" s="30"/>
      <c r="L62" s="31" t="n">
        <f aca="false">L61</f>
        <v>60</v>
      </c>
      <c r="M62" s="31" t="n">
        <f aca="false">M61</f>
        <v>137</v>
      </c>
      <c r="N62" s="0" t="n">
        <f aca="false">O62+P62+Q62+R62+S62</f>
        <v>0</v>
      </c>
      <c r="O62" s="32"/>
      <c r="P62" s="32"/>
      <c r="Q62" s="32"/>
      <c r="R62" s="33"/>
      <c r="S62" s="33"/>
      <c r="U62" s="2"/>
    </row>
    <row r="63" customFormat="false" ht="14.25" hidden="false" customHeight="true" outlineLevel="0" collapsed="false">
      <c r="B63" s="15"/>
      <c r="C63" s="35" t="s">
        <v>71</v>
      </c>
      <c r="D63" s="33" t="n">
        <v>11052</v>
      </c>
      <c r="E63" s="15" t="s">
        <v>27</v>
      </c>
      <c r="F63" s="15"/>
      <c r="G63" s="29" t="n">
        <f aca="false">L63*K63/1000</f>
        <v>0</v>
      </c>
      <c r="H63" s="17"/>
      <c r="I63" s="17"/>
      <c r="K63" s="30"/>
      <c r="L63" s="31" t="n">
        <f aca="false">L62</f>
        <v>60</v>
      </c>
      <c r="M63" s="31" t="n">
        <f aca="false">M62</f>
        <v>137</v>
      </c>
      <c r="N63" s="0" t="n">
        <f aca="false">O63+P63+Q63+R63+S63</f>
        <v>0</v>
      </c>
      <c r="O63" s="32"/>
      <c r="P63" s="32"/>
      <c r="Q63" s="32"/>
      <c r="R63" s="33"/>
      <c r="S63" s="33"/>
      <c r="U63" s="2"/>
    </row>
    <row r="64" customFormat="false" ht="14.25" hidden="false" customHeight="true" outlineLevel="0" collapsed="false">
      <c r="B64" s="15"/>
      <c r="C64" s="35" t="s">
        <v>72</v>
      </c>
      <c r="D64" s="33" t="n">
        <v>11053</v>
      </c>
      <c r="E64" s="15" t="s">
        <v>27</v>
      </c>
      <c r="F64" s="15"/>
      <c r="G64" s="29" t="n">
        <f aca="false">L64*K64/1000</f>
        <v>0</v>
      </c>
      <c r="H64" s="17"/>
      <c r="I64" s="17"/>
      <c r="K64" s="30"/>
      <c r="L64" s="31" t="n">
        <f aca="false">L63</f>
        <v>60</v>
      </c>
      <c r="M64" s="31" t="n">
        <f aca="false">M63</f>
        <v>137</v>
      </c>
      <c r="N64" s="0" t="n">
        <f aca="false">O64+P64+Q64+R64+S64</f>
        <v>0</v>
      </c>
      <c r="O64" s="32"/>
      <c r="P64" s="32"/>
      <c r="Q64" s="32"/>
      <c r="R64" s="33"/>
      <c r="S64" s="33"/>
      <c r="U64" s="2"/>
    </row>
    <row r="65" customFormat="false" ht="14.25" hidden="false" customHeight="true" outlineLevel="0" collapsed="false">
      <c r="B65" s="15"/>
      <c r="C65" s="35" t="s">
        <v>73</v>
      </c>
      <c r="D65" s="33" t="n">
        <v>11054</v>
      </c>
      <c r="E65" s="15" t="s">
        <v>27</v>
      </c>
      <c r="F65" s="15"/>
      <c r="G65" s="29" t="n">
        <f aca="false">L65*K65/1000</f>
        <v>0</v>
      </c>
      <c r="H65" s="17"/>
      <c r="I65" s="17"/>
      <c r="K65" s="30"/>
      <c r="L65" s="31" t="n">
        <f aca="false">L64</f>
        <v>60</v>
      </c>
      <c r="M65" s="31" t="n">
        <f aca="false">M64</f>
        <v>137</v>
      </c>
      <c r="N65" s="0" t="n">
        <f aca="false">O65+P65+Q65+R65+S65</f>
        <v>0</v>
      </c>
      <c r="O65" s="32"/>
      <c r="P65" s="32"/>
      <c r="Q65" s="32"/>
      <c r="R65" s="33"/>
      <c r="S65" s="33"/>
      <c r="U65" s="2"/>
    </row>
    <row r="66" customFormat="false" ht="14.25" hidden="false" customHeight="true" outlineLevel="0" collapsed="false">
      <c r="B66" s="17"/>
      <c r="C66" s="35" t="s">
        <v>74</v>
      </c>
      <c r="D66" s="33" t="n">
        <v>11055</v>
      </c>
      <c r="E66" s="15" t="s">
        <v>27</v>
      </c>
      <c r="F66" s="15"/>
      <c r="G66" s="29" t="n">
        <f aca="false">L66*K66/1000</f>
        <v>0</v>
      </c>
      <c r="H66" s="17"/>
      <c r="I66" s="17"/>
      <c r="K66" s="30"/>
      <c r="L66" s="31" t="n">
        <f aca="false">L65</f>
        <v>60</v>
      </c>
      <c r="M66" s="31" t="n">
        <f aca="false">M65</f>
        <v>137</v>
      </c>
      <c r="N66" s="0" t="n">
        <f aca="false">O66+P66+Q66+R66+S66</f>
        <v>0</v>
      </c>
      <c r="O66" s="32"/>
      <c r="P66" s="32"/>
      <c r="Q66" s="32"/>
      <c r="R66" s="33"/>
      <c r="S66" s="33"/>
      <c r="U66" s="2"/>
    </row>
    <row r="67" customFormat="false" ht="14.25" hidden="false" customHeight="true" outlineLevel="0" collapsed="false">
      <c r="B67" s="15"/>
      <c r="C67" s="35" t="s">
        <v>75</v>
      </c>
      <c r="D67" s="33" t="n">
        <v>11057</v>
      </c>
      <c r="E67" s="15" t="s">
        <v>27</v>
      </c>
      <c r="F67" s="15"/>
      <c r="G67" s="29" t="n">
        <f aca="false">L67*K67/1000</f>
        <v>0</v>
      </c>
      <c r="H67" s="17"/>
      <c r="I67" s="17"/>
      <c r="K67" s="30"/>
      <c r="L67" s="31" t="n">
        <f aca="false">L66</f>
        <v>60</v>
      </c>
      <c r="M67" s="31" t="n">
        <f aca="false">M66</f>
        <v>137</v>
      </c>
      <c r="N67" s="0" t="n">
        <f aca="false">O67+P67+Q67+R67+S67</f>
        <v>0</v>
      </c>
      <c r="O67" s="32"/>
      <c r="P67" s="32"/>
      <c r="Q67" s="32"/>
      <c r="R67" s="33"/>
      <c r="S67" s="33"/>
      <c r="U67" s="2"/>
    </row>
    <row r="68" customFormat="false" ht="14.25" hidden="false" customHeight="true" outlineLevel="0" collapsed="false">
      <c r="B68" s="15"/>
      <c r="C68" s="35" t="s">
        <v>76</v>
      </c>
      <c r="D68" s="33" t="n">
        <v>11058</v>
      </c>
      <c r="E68" s="15" t="s">
        <v>27</v>
      </c>
      <c r="F68" s="15"/>
      <c r="G68" s="29" t="n">
        <f aca="false">L68*K68/1000</f>
        <v>0</v>
      </c>
      <c r="H68" s="17"/>
      <c r="I68" s="17"/>
      <c r="K68" s="30"/>
      <c r="L68" s="31" t="n">
        <f aca="false">L67</f>
        <v>60</v>
      </c>
      <c r="M68" s="31" t="n">
        <f aca="false">M67</f>
        <v>137</v>
      </c>
      <c r="N68" s="0" t="n">
        <f aca="false">O68+P68+Q68+R68+S68</f>
        <v>0</v>
      </c>
      <c r="O68" s="32"/>
      <c r="P68" s="32"/>
      <c r="Q68" s="32"/>
      <c r="R68" s="33"/>
      <c r="S68" s="33"/>
      <c r="U68" s="2"/>
    </row>
    <row r="69" customFormat="false" ht="14.25" hidden="false" customHeight="true" outlineLevel="0" collapsed="false">
      <c r="B69" s="15"/>
      <c r="C69" s="35" t="s">
        <v>77</v>
      </c>
      <c r="D69" s="33" t="n">
        <v>11059</v>
      </c>
      <c r="E69" s="15" t="s">
        <v>27</v>
      </c>
      <c r="F69" s="15"/>
      <c r="G69" s="29" t="n">
        <f aca="false">L69*K69/1000</f>
        <v>0</v>
      </c>
      <c r="H69" s="17"/>
      <c r="I69" s="17"/>
      <c r="K69" s="30"/>
      <c r="L69" s="31" t="n">
        <f aca="false">L68</f>
        <v>60</v>
      </c>
      <c r="M69" s="31" t="n">
        <f aca="false">M68</f>
        <v>137</v>
      </c>
      <c r="N69" s="0" t="n">
        <f aca="false">O69+P69+Q69+R69+S69</f>
        <v>0</v>
      </c>
      <c r="O69" s="32"/>
      <c r="P69" s="32"/>
      <c r="Q69" s="32"/>
      <c r="R69" s="33"/>
      <c r="S69" s="33"/>
      <c r="U69" s="2"/>
    </row>
    <row r="70" customFormat="false" ht="14.25" hidden="false" customHeight="true" outlineLevel="0" collapsed="false">
      <c r="B70" s="15"/>
      <c r="C70" s="35" t="s">
        <v>78</v>
      </c>
      <c r="D70" s="33" t="n">
        <v>11060</v>
      </c>
      <c r="E70" s="15" t="s">
        <v>27</v>
      </c>
      <c r="F70" s="15"/>
      <c r="G70" s="29" t="n">
        <f aca="false">L70*K70/1000</f>
        <v>0</v>
      </c>
      <c r="H70" s="17"/>
      <c r="I70" s="17"/>
      <c r="K70" s="30"/>
      <c r="L70" s="31" t="n">
        <f aca="false">L69</f>
        <v>60</v>
      </c>
      <c r="M70" s="31" t="n">
        <f aca="false">M69</f>
        <v>137</v>
      </c>
      <c r="N70" s="0" t="n">
        <f aca="false">O70+P70+Q70+R70+S70</f>
        <v>0</v>
      </c>
      <c r="O70" s="32"/>
      <c r="P70" s="32"/>
      <c r="Q70" s="32"/>
      <c r="R70" s="33"/>
      <c r="S70" s="33"/>
      <c r="U70" s="2"/>
    </row>
    <row r="71" customFormat="false" ht="14.25" hidden="false" customHeight="true" outlineLevel="0" collapsed="false">
      <c r="B71" s="15"/>
      <c r="C71" s="35" t="s">
        <v>79</v>
      </c>
      <c r="D71" s="33" t="n">
        <v>11061</v>
      </c>
      <c r="E71" s="15" t="s">
        <v>27</v>
      </c>
      <c r="F71" s="15"/>
      <c r="G71" s="29" t="n">
        <f aca="false">L71*K71/1000</f>
        <v>0</v>
      </c>
      <c r="H71" s="17"/>
      <c r="I71" s="17"/>
      <c r="K71" s="30"/>
      <c r="L71" s="31" t="n">
        <f aca="false">L70</f>
        <v>60</v>
      </c>
      <c r="M71" s="31" t="n">
        <f aca="false">M70</f>
        <v>137</v>
      </c>
      <c r="N71" s="0" t="n">
        <f aca="false">O71+P71+Q71+R71+S71</f>
        <v>0</v>
      </c>
      <c r="O71" s="32"/>
      <c r="P71" s="32"/>
      <c r="Q71" s="32"/>
      <c r="R71" s="33"/>
      <c r="S71" s="33"/>
      <c r="U71" s="2"/>
    </row>
    <row r="72" customFormat="false" ht="14.25" hidden="false" customHeight="true" outlineLevel="0" collapsed="false">
      <c r="B72" s="15"/>
      <c r="C72" s="35" t="s">
        <v>80</v>
      </c>
      <c r="D72" s="33" t="n">
        <v>11062</v>
      </c>
      <c r="E72" s="15" t="s">
        <v>27</v>
      </c>
      <c r="F72" s="15"/>
      <c r="G72" s="29" t="n">
        <f aca="false">L72*K72/1000</f>
        <v>0</v>
      </c>
      <c r="H72" s="17"/>
      <c r="I72" s="17"/>
      <c r="K72" s="30"/>
      <c r="L72" s="31" t="n">
        <f aca="false">L71</f>
        <v>60</v>
      </c>
      <c r="M72" s="31" t="n">
        <f aca="false">M71</f>
        <v>137</v>
      </c>
      <c r="N72" s="0" t="n">
        <f aca="false">O72+P72+Q72+R72+S72</f>
        <v>0</v>
      </c>
      <c r="O72" s="32"/>
      <c r="P72" s="32"/>
      <c r="Q72" s="32"/>
      <c r="R72" s="33"/>
      <c r="S72" s="33"/>
      <c r="U72" s="2"/>
    </row>
    <row r="73" customFormat="false" ht="14.25" hidden="false" customHeight="true" outlineLevel="0" collapsed="false">
      <c r="B73" s="15"/>
      <c r="C73" s="35" t="s">
        <v>81</v>
      </c>
      <c r="D73" s="33" t="n">
        <v>11063</v>
      </c>
      <c r="E73" s="15" t="s">
        <v>27</v>
      </c>
      <c r="F73" s="15"/>
      <c r="G73" s="29" t="n">
        <f aca="false">L73*K73/1000</f>
        <v>0</v>
      </c>
      <c r="H73" s="17"/>
      <c r="I73" s="17"/>
      <c r="K73" s="30"/>
      <c r="L73" s="31" t="n">
        <f aca="false">L72</f>
        <v>60</v>
      </c>
      <c r="M73" s="31" t="n">
        <f aca="false">M72</f>
        <v>137</v>
      </c>
      <c r="N73" s="0" t="n">
        <f aca="false">O73+P73+Q73+R73+S73</f>
        <v>0</v>
      </c>
      <c r="O73" s="32"/>
      <c r="P73" s="32"/>
      <c r="Q73" s="32"/>
      <c r="R73" s="33"/>
      <c r="S73" s="33"/>
      <c r="U73" s="2"/>
    </row>
    <row r="74" customFormat="false" ht="14.25" hidden="false" customHeight="true" outlineLevel="0" collapsed="false">
      <c r="B74" s="15"/>
      <c r="C74" s="35" t="s">
        <v>82</v>
      </c>
      <c r="D74" s="33" t="n">
        <v>11064</v>
      </c>
      <c r="E74" s="15" t="s">
        <v>27</v>
      </c>
      <c r="F74" s="15"/>
      <c r="G74" s="29" t="n">
        <f aca="false">L74*K74/1000</f>
        <v>0</v>
      </c>
      <c r="H74" s="17"/>
      <c r="I74" s="17"/>
      <c r="K74" s="30"/>
      <c r="L74" s="31" t="n">
        <f aca="false">L73</f>
        <v>60</v>
      </c>
      <c r="M74" s="31" t="n">
        <f aca="false">M73</f>
        <v>137</v>
      </c>
      <c r="N74" s="0" t="n">
        <f aca="false">O74+P74+Q74+R74+S74</f>
        <v>0</v>
      </c>
      <c r="O74" s="32"/>
      <c r="P74" s="32"/>
      <c r="Q74" s="32"/>
      <c r="R74" s="33"/>
      <c r="S74" s="33"/>
      <c r="U74" s="2"/>
    </row>
    <row r="75" customFormat="false" ht="14.25" hidden="false" customHeight="true" outlineLevel="0" collapsed="false">
      <c r="B75" s="15"/>
      <c r="C75" s="35" t="s">
        <v>83</v>
      </c>
      <c r="D75" s="33" t="n">
        <v>11065</v>
      </c>
      <c r="E75" s="15" t="s">
        <v>27</v>
      </c>
      <c r="F75" s="15"/>
      <c r="G75" s="29" t="n">
        <f aca="false">L75*K75/1000</f>
        <v>0</v>
      </c>
      <c r="H75" s="17"/>
      <c r="I75" s="17"/>
      <c r="K75" s="30"/>
      <c r="L75" s="31" t="n">
        <f aca="false">L74</f>
        <v>60</v>
      </c>
      <c r="M75" s="31" t="n">
        <f aca="false">M74</f>
        <v>137</v>
      </c>
      <c r="N75" s="0" t="n">
        <f aca="false">O75+P75+Q75+R75+S75</f>
        <v>0</v>
      </c>
      <c r="O75" s="32"/>
      <c r="P75" s="32"/>
      <c r="Q75" s="32"/>
      <c r="R75" s="33"/>
      <c r="S75" s="33"/>
      <c r="U75" s="2"/>
    </row>
    <row r="76" customFormat="false" ht="14.25" hidden="false" customHeight="true" outlineLevel="0" collapsed="false">
      <c r="B76" s="15"/>
      <c r="C76" s="35" t="s">
        <v>84</v>
      </c>
      <c r="D76" s="33" t="n">
        <v>11201</v>
      </c>
      <c r="E76" s="15" t="s">
        <v>27</v>
      </c>
      <c r="F76" s="15"/>
      <c r="G76" s="29" t="n">
        <f aca="false">L76*K76/1000</f>
        <v>0</v>
      </c>
      <c r="H76" s="17"/>
      <c r="I76" s="17"/>
      <c r="K76" s="30"/>
      <c r="L76" s="31" t="n">
        <f aca="false">L75</f>
        <v>60</v>
      </c>
      <c r="M76" s="31" t="n">
        <f aca="false">M75</f>
        <v>137</v>
      </c>
      <c r="N76" s="0" t="n">
        <f aca="false">O76+P76+Q76+R76+S76</f>
        <v>0</v>
      </c>
      <c r="O76" s="32"/>
      <c r="P76" s="32"/>
      <c r="Q76" s="32"/>
      <c r="R76" s="33"/>
      <c r="S76" s="33"/>
      <c r="U76" s="2"/>
    </row>
    <row r="77" customFormat="false" ht="14.25" hidden="false" customHeight="true" outlineLevel="0" collapsed="false">
      <c r="B77" s="15"/>
      <c r="C77" s="35" t="s">
        <v>85</v>
      </c>
      <c r="D77" s="33" t="n">
        <v>11202</v>
      </c>
      <c r="E77" s="15" t="s">
        <v>27</v>
      </c>
      <c r="F77" s="15"/>
      <c r="G77" s="29" t="n">
        <f aca="false">L77*K77/1000</f>
        <v>0</v>
      </c>
      <c r="H77" s="17"/>
      <c r="I77" s="17"/>
      <c r="K77" s="30"/>
      <c r="L77" s="31" t="n">
        <f aca="false">L76</f>
        <v>60</v>
      </c>
      <c r="M77" s="31" t="n">
        <f aca="false">M76</f>
        <v>137</v>
      </c>
      <c r="N77" s="0" t="n">
        <f aca="false">O77+P77+Q77+R77+S77</f>
        <v>0</v>
      </c>
      <c r="O77" s="32"/>
      <c r="P77" s="32"/>
      <c r="Q77" s="32"/>
      <c r="R77" s="33"/>
      <c r="S77" s="33"/>
      <c r="U77" s="2"/>
    </row>
    <row r="78" customFormat="false" ht="14.25" hidden="false" customHeight="true" outlineLevel="0" collapsed="false">
      <c r="B78" s="34"/>
      <c r="C78" s="35" t="s">
        <v>86</v>
      </c>
      <c r="D78" s="33" t="n">
        <v>11203</v>
      </c>
      <c r="E78" s="15" t="s">
        <v>27</v>
      </c>
      <c r="F78" s="15"/>
      <c r="G78" s="29" t="n">
        <f aca="false">L78*K78/1000</f>
        <v>0</v>
      </c>
      <c r="H78" s="17"/>
      <c r="I78" s="17"/>
      <c r="K78" s="37"/>
      <c r="L78" s="31" t="n">
        <f aca="false">L77</f>
        <v>60</v>
      </c>
      <c r="M78" s="31" t="n">
        <f aca="false">M77</f>
        <v>137</v>
      </c>
      <c r="N78" s="0" t="n">
        <f aca="false">O78+P78+Q78+R78+S78</f>
        <v>0</v>
      </c>
      <c r="O78" s="32"/>
      <c r="P78" s="32"/>
      <c r="Q78" s="32"/>
      <c r="R78" s="33"/>
      <c r="S78" s="33"/>
      <c r="U78" s="2"/>
    </row>
    <row r="79" customFormat="false" ht="14.25" hidden="false" customHeight="true" outlineLevel="0" collapsed="false">
      <c r="B79" s="34"/>
      <c r="C79" s="35" t="s">
        <v>87</v>
      </c>
      <c r="D79" s="33" t="n">
        <v>11204</v>
      </c>
      <c r="E79" s="15" t="s">
        <v>27</v>
      </c>
      <c r="F79" s="15"/>
      <c r="G79" s="29" t="n">
        <f aca="false">L79*K79/1000</f>
        <v>0</v>
      </c>
      <c r="H79" s="17"/>
      <c r="I79" s="17"/>
      <c r="K79" s="30"/>
      <c r="L79" s="31" t="n">
        <f aca="false">L78</f>
        <v>60</v>
      </c>
      <c r="M79" s="31" t="n">
        <f aca="false">M78</f>
        <v>137</v>
      </c>
      <c r="N79" s="0" t="n">
        <f aca="false">O79+P79+Q79+R79+S79</f>
        <v>0</v>
      </c>
      <c r="O79" s="32"/>
      <c r="P79" s="32"/>
      <c r="Q79" s="32"/>
      <c r="R79" s="33"/>
      <c r="S79" s="33"/>
      <c r="U79" s="2"/>
    </row>
    <row r="80" customFormat="false" ht="14.25" hidden="false" customHeight="true" outlineLevel="0" collapsed="false">
      <c r="B80" s="15"/>
      <c r="C80" s="35" t="s">
        <v>88</v>
      </c>
      <c r="D80" s="33" t="n">
        <v>11205</v>
      </c>
      <c r="E80" s="15" t="s">
        <v>27</v>
      </c>
      <c r="F80" s="15"/>
      <c r="G80" s="29" t="n">
        <f aca="false">L80*K80/1000</f>
        <v>0</v>
      </c>
      <c r="H80" s="17"/>
      <c r="I80" s="17"/>
      <c r="K80" s="30"/>
      <c r="L80" s="31" t="n">
        <f aca="false">L79</f>
        <v>60</v>
      </c>
      <c r="M80" s="31" t="n">
        <f aca="false">M79</f>
        <v>137</v>
      </c>
      <c r="N80" s="0" t="n">
        <f aca="false">O80+P80+Q80+R80+S80</f>
        <v>0</v>
      </c>
      <c r="O80" s="32"/>
      <c r="P80" s="32"/>
      <c r="Q80" s="32"/>
      <c r="R80" s="33"/>
      <c r="S80" s="33"/>
      <c r="U80" s="2"/>
    </row>
    <row r="81" customFormat="false" ht="14.25" hidden="false" customHeight="true" outlineLevel="0" collapsed="false">
      <c r="B81" s="15"/>
      <c r="C81" s="35" t="s">
        <v>89</v>
      </c>
      <c r="D81" s="33" t="n">
        <v>11206</v>
      </c>
      <c r="E81" s="15" t="s">
        <v>27</v>
      </c>
      <c r="F81" s="15"/>
      <c r="G81" s="29" t="n">
        <f aca="false">L81*K81/1000</f>
        <v>0</v>
      </c>
      <c r="H81" s="17"/>
      <c r="I81" s="17"/>
      <c r="K81" s="30"/>
      <c r="L81" s="31" t="n">
        <f aca="false">L80</f>
        <v>60</v>
      </c>
      <c r="M81" s="31" t="n">
        <f aca="false">M80</f>
        <v>137</v>
      </c>
      <c r="N81" s="0" t="n">
        <f aca="false">O81+P81+Q81+R81+S81</f>
        <v>0</v>
      </c>
      <c r="O81" s="32"/>
      <c r="P81" s="32"/>
      <c r="Q81" s="32"/>
      <c r="R81" s="33"/>
      <c r="S81" s="33"/>
      <c r="U81" s="2"/>
    </row>
    <row r="82" customFormat="false" ht="14.25" hidden="false" customHeight="true" outlineLevel="0" collapsed="false">
      <c r="B82" s="15"/>
      <c r="C82" s="35" t="s">
        <v>90</v>
      </c>
      <c r="D82" s="33" t="n">
        <v>11208</v>
      </c>
      <c r="E82" s="15" t="s">
        <v>27</v>
      </c>
      <c r="F82" s="15"/>
      <c r="G82" s="29" t="n">
        <f aca="false">L82*K82/1000</f>
        <v>0</v>
      </c>
      <c r="H82" s="17"/>
      <c r="I82" s="17"/>
      <c r="K82" s="30"/>
      <c r="L82" s="31" t="n">
        <f aca="false">L81</f>
        <v>60</v>
      </c>
      <c r="M82" s="31" t="n">
        <f aca="false">M81</f>
        <v>137</v>
      </c>
      <c r="N82" s="0" t="n">
        <f aca="false">O82+P82+Q82+R82+S82</f>
        <v>0</v>
      </c>
      <c r="O82" s="32"/>
      <c r="P82" s="32"/>
      <c r="Q82" s="32"/>
      <c r="R82" s="33"/>
      <c r="S82" s="33"/>
      <c r="U82" s="2"/>
    </row>
    <row r="83" customFormat="false" ht="14.25" hidden="false" customHeight="true" outlineLevel="0" collapsed="false">
      <c r="B83" s="34"/>
      <c r="C83" s="35" t="s">
        <v>91</v>
      </c>
      <c r="D83" s="33" t="n">
        <v>11209</v>
      </c>
      <c r="E83" s="15" t="s">
        <v>27</v>
      </c>
      <c r="F83" s="15"/>
      <c r="G83" s="29" t="n">
        <f aca="false">L83*K83/1000</f>
        <v>0</v>
      </c>
      <c r="H83" s="17"/>
      <c r="I83" s="17"/>
      <c r="K83" s="30"/>
      <c r="L83" s="31" t="n">
        <f aca="false">L82</f>
        <v>60</v>
      </c>
      <c r="M83" s="31" t="n">
        <f aca="false">M82</f>
        <v>137</v>
      </c>
      <c r="N83" s="0" t="n">
        <f aca="false">O83+P83+Q83+R83+S83</f>
        <v>0</v>
      </c>
      <c r="O83" s="32"/>
      <c r="P83" s="32"/>
      <c r="Q83" s="32"/>
      <c r="R83" s="33"/>
      <c r="S83" s="33"/>
      <c r="U83" s="2"/>
    </row>
    <row r="84" customFormat="false" ht="14.25" hidden="false" customHeight="true" outlineLevel="0" collapsed="false">
      <c r="B84" s="15"/>
      <c r="C84" s="35" t="s">
        <v>92</v>
      </c>
      <c r="D84" s="33" t="n">
        <v>11210</v>
      </c>
      <c r="E84" s="15" t="s">
        <v>27</v>
      </c>
      <c r="F84" s="15"/>
      <c r="G84" s="29" t="n">
        <f aca="false">L84*K84/1000</f>
        <v>0</v>
      </c>
      <c r="H84" s="17"/>
      <c r="I84" s="17"/>
      <c r="K84" s="30"/>
      <c r="L84" s="31" t="n">
        <f aca="false">L83</f>
        <v>60</v>
      </c>
      <c r="M84" s="31" t="n">
        <f aca="false">M83</f>
        <v>137</v>
      </c>
      <c r="N84" s="0" t="n">
        <f aca="false">O84+P84+Q84+R84+S84</f>
        <v>0</v>
      </c>
      <c r="O84" s="32"/>
      <c r="P84" s="32"/>
      <c r="Q84" s="32"/>
      <c r="R84" s="33"/>
      <c r="S84" s="33"/>
      <c r="U84" s="2"/>
    </row>
    <row r="85" customFormat="false" ht="14.25" hidden="false" customHeight="true" outlineLevel="0" collapsed="false">
      <c r="B85" s="34"/>
      <c r="C85" s="35" t="s">
        <v>93</v>
      </c>
      <c r="D85" s="33" t="n">
        <v>11211</v>
      </c>
      <c r="E85" s="15" t="s">
        <v>27</v>
      </c>
      <c r="F85" s="15"/>
      <c r="G85" s="29" t="n">
        <f aca="false">L85*K85/1000</f>
        <v>0</v>
      </c>
      <c r="H85" s="17"/>
      <c r="I85" s="17"/>
      <c r="K85" s="30"/>
      <c r="L85" s="31" t="n">
        <f aca="false">L84</f>
        <v>60</v>
      </c>
      <c r="M85" s="31" t="n">
        <f aca="false">M84</f>
        <v>137</v>
      </c>
      <c r="N85" s="0" t="n">
        <f aca="false">O85+P85+Q85+R85+S85</f>
        <v>0</v>
      </c>
      <c r="O85" s="32"/>
      <c r="P85" s="32"/>
      <c r="Q85" s="32"/>
      <c r="R85" s="33"/>
      <c r="S85" s="33"/>
      <c r="U85" s="2"/>
    </row>
    <row r="86" customFormat="false" ht="14.25" hidden="false" customHeight="true" outlineLevel="0" collapsed="false">
      <c r="B86" s="34"/>
      <c r="C86" s="35" t="s">
        <v>94</v>
      </c>
      <c r="D86" s="33" t="n">
        <v>11212</v>
      </c>
      <c r="E86" s="15" t="s">
        <v>27</v>
      </c>
      <c r="F86" s="15"/>
      <c r="G86" s="29" t="n">
        <f aca="false">L86*K86/1000</f>
        <v>0</v>
      </c>
      <c r="H86" s="17"/>
      <c r="I86" s="17"/>
      <c r="K86" s="30"/>
      <c r="L86" s="31" t="n">
        <f aca="false">L85</f>
        <v>60</v>
      </c>
      <c r="M86" s="31" t="n">
        <f aca="false">M85</f>
        <v>137</v>
      </c>
      <c r="N86" s="0" t="n">
        <f aca="false">O86+P86+Q86+R86+S86</f>
        <v>0</v>
      </c>
      <c r="O86" s="32"/>
      <c r="P86" s="32"/>
      <c r="Q86" s="32"/>
      <c r="R86" s="33"/>
      <c r="S86" s="33"/>
      <c r="U86" s="2"/>
    </row>
    <row r="87" customFormat="false" ht="14.25" hidden="false" customHeight="true" outlineLevel="0" collapsed="false">
      <c r="B87" s="15"/>
      <c r="C87" s="35" t="s">
        <v>95</v>
      </c>
      <c r="D87" s="33" t="n">
        <v>11213</v>
      </c>
      <c r="E87" s="15" t="s">
        <v>27</v>
      </c>
      <c r="F87" s="15"/>
      <c r="G87" s="29" t="n">
        <f aca="false">L87*K87/1000</f>
        <v>0</v>
      </c>
      <c r="H87" s="17"/>
      <c r="I87" s="17"/>
      <c r="K87" s="30"/>
      <c r="L87" s="31" t="n">
        <f aca="false">L86</f>
        <v>60</v>
      </c>
      <c r="M87" s="31" t="n">
        <f aca="false">M86</f>
        <v>137</v>
      </c>
      <c r="N87" s="0" t="n">
        <f aca="false">O87+P87+Q87+R87+S87</f>
        <v>0</v>
      </c>
      <c r="O87" s="32"/>
      <c r="P87" s="32"/>
      <c r="Q87" s="32"/>
      <c r="R87" s="33"/>
      <c r="S87" s="33"/>
      <c r="U87" s="2"/>
    </row>
    <row r="88" customFormat="false" ht="14.25" hidden="false" customHeight="true" outlineLevel="0" collapsed="false">
      <c r="B88" s="15"/>
      <c r="C88" s="35" t="s">
        <v>96</v>
      </c>
      <c r="D88" s="33" t="n">
        <v>11214</v>
      </c>
      <c r="E88" s="15" t="s">
        <v>27</v>
      </c>
      <c r="F88" s="15"/>
      <c r="G88" s="29" t="n">
        <f aca="false">L88*K88/1000</f>
        <v>0</v>
      </c>
      <c r="H88" s="17"/>
      <c r="I88" s="17"/>
      <c r="K88" s="30"/>
      <c r="L88" s="31" t="n">
        <f aca="false">L87</f>
        <v>60</v>
      </c>
      <c r="M88" s="31" t="n">
        <f aca="false">M87</f>
        <v>137</v>
      </c>
      <c r="N88" s="0" t="n">
        <f aca="false">O88+P88+Q88+R88+S88</f>
        <v>0</v>
      </c>
      <c r="O88" s="32"/>
      <c r="P88" s="32"/>
      <c r="Q88" s="32"/>
      <c r="R88" s="33"/>
      <c r="S88" s="33"/>
      <c r="U88" s="2"/>
    </row>
    <row r="89" customFormat="false" ht="14.25" hidden="false" customHeight="true" outlineLevel="0" collapsed="false">
      <c r="B89" s="15"/>
      <c r="C89" s="35" t="s">
        <v>97</v>
      </c>
      <c r="D89" s="33" t="n">
        <v>11215</v>
      </c>
      <c r="E89" s="15" t="s">
        <v>27</v>
      </c>
      <c r="F89" s="15"/>
      <c r="G89" s="29" t="n">
        <f aca="false">L89*K89/1000</f>
        <v>0</v>
      </c>
      <c r="H89" s="17"/>
      <c r="I89" s="17"/>
      <c r="K89" s="30"/>
      <c r="L89" s="31" t="n">
        <f aca="false">L88</f>
        <v>60</v>
      </c>
      <c r="M89" s="31" t="n">
        <f aca="false">M88</f>
        <v>137</v>
      </c>
      <c r="N89" s="0" t="n">
        <f aca="false">O89+P89+Q89+R89+S89</f>
        <v>0</v>
      </c>
      <c r="O89" s="32"/>
      <c r="P89" s="32"/>
      <c r="Q89" s="32"/>
      <c r="R89" s="33"/>
      <c r="S89" s="33"/>
      <c r="U89" s="2"/>
    </row>
    <row r="90" customFormat="false" ht="14.25" hidden="false" customHeight="true" outlineLevel="0" collapsed="false">
      <c r="B90" s="15"/>
      <c r="C90" s="35" t="s">
        <v>98</v>
      </c>
      <c r="D90" s="33" t="n">
        <v>11301</v>
      </c>
      <c r="E90" s="15" t="s">
        <v>27</v>
      </c>
      <c r="F90" s="15"/>
      <c r="G90" s="29" t="n">
        <f aca="false">L90*K90/1000</f>
        <v>0</v>
      </c>
      <c r="H90" s="17"/>
      <c r="I90" s="17"/>
      <c r="K90" s="30"/>
      <c r="L90" s="31" t="n">
        <f aca="false">L89</f>
        <v>60</v>
      </c>
      <c r="M90" s="31" t="n">
        <f aca="false">M89</f>
        <v>137</v>
      </c>
      <c r="N90" s="0" t="n">
        <f aca="false">O90+P90+Q90+R90+S90</f>
        <v>0</v>
      </c>
      <c r="O90" s="32"/>
      <c r="P90" s="32"/>
      <c r="Q90" s="32"/>
      <c r="R90" s="33"/>
      <c r="S90" s="33"/>
      <c r="U90" s="2"/>
    </row>
    <row r="91" customFormat="false" ht="14.25" hidden="false" customHeight="true" outlineLevel="0" collapsed="false">
      <c r="B91" s="15"/>
      <c r="C91" s="35" t="s">
        <v>99</v>
      </c>
      <c r="D91" s="33" t="n">
        <v>11302</v>
      </c>
      <c r="E91" s="15" t="s">
        <v>27</v>
      </c>
      <c r="F91" s="15"/>
      <c r="G91" s="29" t="n">
        <f aca="false">L91*K91/1000</f>
        <v>0</v>
      </c>
      <c r="H91" s="17"/>
      <c r="I91" s="17"/>
      <c r="K91" s="30"/>
      <c r="L91" s="31" t="n">
        <f aca="false">L90</f>
        <v>60</v>
      </c>
      <c r="M91" s="31" t="n">
        <f aca="false">M90</f>
        <v>137</v>
      </c>
      <c r="N91" s="0" t="n">
        <f aca="false">O91+P91+Q91+R91+S91</f>
        <v>0</v>
      </c>
      <c r="O91" s="32"/>
      <c r="P91" s="32"/>
      <c r="Q91" s="32"/>
      <c r="R91" s="33"/>
      <c r="S91" s="33"/>
      <c r="U91" s="2"/>
    </row>
    <row r="92" customFormat="false" ht="14.25" hidden="false" customHeight="true" outlineLevel="0" collapsed="false">
      <c r="B92" s="15"/>
      <c r="C92" s="35" t="s">
        <v>100</v>
      </c>
      <c r="D92" s="33" t="n">
        <v>11303</v>
      </c>
      <c r="E92" s="15" t="s">
        <v>27</v>
      </c>
      <c r="F92" s="15"/>
      <c r="G92" s="29" t="n">
        <f aca="false">L92*K92/1000</f>
        <v>0</v>
      </c>
      <c r="H92" s="17"/>
      <c r="I92" s="17"/>
      <c r="K92" s="30"/>
      <c r="L92" s="31" t="n">
        <f aca="false">L91</f>
        <v>60</v>
      </c>
      <c r="M92" s="31" t="n">
        <f aca="false">M91</f>
        <v>137</v>
      </c>
      <c r="N92" s="0" t="n">
        <f aca="false">O92+P92+Q92+R92+S92</f>
        <v>0</v>
      </c>
      <c r="O92" s="32"/>
      <c r="P92" s="32"/>
      <c r="Q92" s="32"/>
      <c r="R92" s="33"/>
      <c r="S92" s="33"/>
      <c r="U92" s="2"/>
    </row>
    <row r="93" customFormat="false" ht="14.25" hidden="false" customHeight="true" outlineLevel="0" collapsed="false">
      <c r="B93" s="15"/>
      <c r="C93" s="35" t="s">
        <v>101</v>
      </c>
      <c r="D93" s="33" t="n">
        <v>11309</v>
      </c>
      <c r="E93" s="15" t="s">
        <v>27</v>
      </c>
      <c r="F93" s="15"/>
      <c r="G93" s="29" t="n">
        <f aca="false">L93*K93/1000</f>
        <v>0</v>
      </c>
      <c r="H93" s="17"/>
      <c r="I93" s="17"/>
      <c r="K93" s="30"/>
      <c r="L93" s="31" t="n">
        <f aca="false">L92</f>
        <v>60</v>
      </c>
      <c r="M93" s="31" t="n">
        <f aca="false">M92</f>
        <v>137</v>
      </c>
      <c r="N93" s="0" t="n">
        <f aca="false">O93+P93+Q93+R93+S93</f>
        <v>0</v>
      </c>
      <c r="O93" s="32"/>
      <c r="P93" s="32"/>
      <c r="Q93" s="32"/>
      <c r="R93" s="33"/>
      <c r="S93" s="33"/>
      <c r="U93" s="2"/>
    </row>
    <row r="94" customFormat="false" ht="14.25" hidden="false" customHeight="true" outlineLevel="0" collapsed="false">
      <c r="B94" s="15"/>
      <c r="C94" s="35" t="s">
        <v>102</v>
      </c>
      <c r="D94" s="33" t="n">
        <v>11310</v>
      </c>
      <c r="E94" s="15" t="s">
        <v>27</v>
      </c>
      <c r="F94" s="15"/>
      <c r="G94" s="29" t="n">
        <f aca="false">L94*K94/1000</f>
        <v>0</v>
      </c>
      <c r="H94" s="17"/>
      <c r="I94" s="17"/>
      <c r="K94" s="30"/>
      <c r="L94" s="31" t="n">
        <f aca="false">L93</f>
        <v>60</v>
      </c>
      <c r="M94" s="31" t="n">
        <f aca="false">M93</f>
        <v>137</v>
      </c>
      <c r="N94" s="0" t="n">
        <f aca="false">O94+P94+Q94+R94+S94</f>
        <v>0</v>
      </c>
      <c r="O94" s="32"/>
      <c r="P94" s="32"/>
      <c r="Q94" s="32"/>
      <c r="R94" s="33"/>
      <c r="S94" s="33"/>
      <c r="U94" s="2"/>
    </row>
    <row r="95" customFormat="false" ht="14.25" hidden="false" customHeight="true" outlineLevel="0" collapsed="false">
      <c r="B95" s="17"/>
      <c r="C95" s="35" t="s">
        <v>103</v>
      </c>
      <c r="D95" s="33" t="n">
        <v>11401</v>
      </c>
      <c r="E95" s="15" t="s">
        <v>27</v>
      </c>
      <c r="F95" s="15"/>
      <c r="G95" s="29" t="n">
        <f aca="false">L95*K95/1000</f>
        <v>0</v>
      </c>
      <c r="H95" s="17"/>
      <c r="I95" s="17"/>
      <c r="K95" s="30"/>
      <c r="L95" s="31" t="n">
        <f aca="false">L94</f>
        <v>60</v>
      </c>
      <c r="M95" s="31" t="n">
        <f aca="false">M94</f>
        <v>137</v>
      </c>
      <c r="N95" s="0" t="n">
        <f aca="false">O95+P95+Q95+R95+S95</f>
        <v>0</v>
      </c>
      <c r="O95" s="32"/>
      <c r="P95" s="32"/>
      <c r="Q95" s="32"/>
      <c r="R95" s="33"/>
      <c r="S95" s="33"/>
      <c r="U95" s="2"/>
    </row>
    <row r="96" customFormat="false" ht="14.25" hidden="false" customHeight="true" outlineLevel="0" collapsed="false">
      <c r="B96" s="15"/>
      <c r="C96" s="35" t="s">
        <v>104</v>
      </c>
      <c r="D96" s="33" t="n">
        <v>11402</v>
      </c>
      <c r="E96" s="15" t="s">
        <v>27</v>
      </c>
      <c r="F96" s="15"/>
      <c r="G96" s="29" t="n">
        <f aca="false">L96*K96/1000</f>
        <v>0</v>
      </c>
      <c r="H96" s="17"/>
      <c r="I96" s="17"/>
      <c r="K96" s="30"/>
      <c r="L96" s="31" t="n">
        <f aca="false">L95</f>
        <v>60</v>
      </c>
      <c r="M96" s="31" t="n">
        <f aca="false">M95</f>
        <v>137</v>
      </c>
      <c r="N96" s="0" t="n">
        <f aca="false">O96+P96+Q96+R96+S96</f>
        <v>0</v>
      </c>
      <c r="O96" s="32"/>
      <c r="P96" s="32"/>
      <c r="Q96" s="32"/>
      <c r="R96" s="33"/>
      <c r="S96" s="33"/>
      <c r="U96" s="2"/>
    </row>
    <row r="97" customFormat="false" ht="14.25" hidden="false" customHeight="true" outlineLevel="0" collapsed="false">
      <c r="B97" s="15"/>
      <c r="C97" s="35" t="s">
        <v>105</v>
      </c>
      <c r="D97" s="33" t="n">
        <v>11403</v>
      </c>
      <c r="E97" s="15" t="s">
        <v>27</v>
      </c>
      <c r="F97" s="15"/>
      <c r="G97" s="29" t="n">
        <f aca="false">L97*K97/1000</f>
        <v>0</v>
      </c>
      <c r="H97" s="17"/>
      <c r="I97" s="17"/>
      <c r="K97" s="30"/>
      <c r="L97" s="31" t="n">
        <f aca="false">L96</f>
        <v>60</v>
      </c>
      <c r="M97" s="31" t="n">
        <f aca="false">M96</f>
        <v>137</v>
      </c>
      <c r="N97" s="0" t="n">
        <f aca="false">O97+P97+Q97+R97+S97</f>
        <v>0</v>
      </c>
      <c r="O97" s="32"/>
      <c r="P97" s="32"/>
      <c r="Q97" s="32"/>
      <c r="R97" s="33"/>
      <c r="S97" s="33"/>
      <c r="U97" s="2"/>
    </row>
    <row r="98" customFormat="false" ht="14.25" hidden="false" customHeight="true" outlineLevel="0" collapsed="false">
      <c r="B98" s="15"/>
      <c r="C98" s="35" t="s">
        <v>106</v>
      </c>
      <c r="D98" s="33" t="n">
        <v>11404</v>
      </c>
      <c r="E98" s="15" t="s">
        <v>27</v>
      </c>
      <c r="F98" s="15"/>
      <c r="G98" s="29" t="n">
        <f aca="false">L98*K98/1000</f>
        <v>0</v>
      </c>
      <c r="H98" s="17"/>
      <c r="I98" s="17"/>
      <c r="K98" s="30"/>
      <c r="L98" s="31" t="n">
        <f aca="false">L97</f>
        <v>60</v>
      </c>
      <c r="M98" s="31" t="n">
        <f aca="false">M97</f>
        <v>137</v>
      </c>
      <c r="N98" s="0" t="n">
        <f aca="false">O98+P98+Q98+R98+S98</f>
        <v>0</v>
      </c>
      <c r="O98" s="32"/>
      <c r="P98" s="32"/>
      <c r="Q98" s="32"/>
      <c r="R98" s="33"/>
      <c r="S98" s="33"/>
      <c r="U98" s="2"/>
    </row>
    <row r="99" customFormat="false" ht="14.25" hidden="false" customHeight="true" outlineLevel="0" collapsed="false">
      <c r="B99" s="34"/>
      <c r="C99" s="35" t="s">
        <v>107</v>
      </c>
      <c r="D99" s="33" t="n">
        <v>11405</v>
      </c>
      <c r="E99" s="15" t="s">
        <v>27</v>
      </c>
      <c r="F99" s="15"/>
      <c r="G99" s="29" t="n">
        <f aca="false">L99*K99/1000</f>
        <v>0</v>
      </c>
      <c r="H99" s="17"/>
      <c r="I99" s="17"/>
      <c r="K99" s="30"/>
      <c r="L99" s="31" t="n">
        <f aca="false">L98</f>
        <v>60</v>
      </c>
      <c r="M99" s="31" t="n">
        <f aca="false">M98</f>
        <v>137</v>
      </c>
      <c r="N99" s="0" t="n">
        <f aca="false">O99+P99+Q99+R99+S99</f>
        <v>0</v>
      </c>
      <c r="O99" s="32"/>
      <c r="P99" s="32"/>
      <c r="Q99" s="32"/>
      <c r="R99" s="33"/>
      <c r="S99" s="33"/>
      <c r="U99" s="2"/>
    </row>
    <row r="100" customFormat="false" ht="14.25" hidden="false" customHeight="true" outlineLevel="0" collapsed="false">
      <c r="B100" s="34"/>
      <c r="C100" s="35" t="s">
        <v>108</v>
      </c>
      <c r="D100" s="33" t="n">
        <v>11406</v>
      </c>
      <c r="E100" s="15" t="s">
        <v>27</v>
      </c>
      <c r="F100" s="15"/>
      <c r="G100" s="29" t="n">
        <f aca="false">L100*K100/1000</f>
        <v>0</v>
      </c>
      <c r="H100" s="17"/>
      <c r="I100" s="17"/>
      <c r="K100" s="30"/>
      <c r="L100" s="31" t="n">
        <f aca="false">L99</f>
        <v>60</v>
      </c>
      <c r="M100" s="31" t="n">
        <f aca="false">M99</f>
        <v>137</v>
      </c>
      <c r="N100" s="0" t="n">
        <f aca="false">O100+P100+Q100+R100+S100</f>
        <v>0</v>
      </c>
      <c r="O100" s="32"/>
      <c r="P100" s="32"/>
      <c r="Q100" s="32"/>
      <c r="R100" s="33"/>
      <c r="S100" s="33"/>
      <c r="U100" s="2"/>
    </row>
    <row r="101" customFormat="false" ht="14.25" hidden="false" customHeight="true" outlineLevel="0" collapsed="false">
      <c r="B101" s="15"/>
      <c r="C101" s="35" t="s">
        <v>109</v>
      </c>
      <c r="D101" s="33" t="n">
        <v>11407</v>
      </c>
      <c r="E101" s="15" t="s">
        <v>27</v>
      </c>
      <c r="F101" s="15"/>
      <c r="G101" s="29" t="n">
        <f aca="false">L101*K101/1000</f>
        <v>0</v>
      </c>
      <c r="H101" s="17"/>
      <c r="I101" s="17"/>
      <c r="K101" s="30"/>
      <c r="L101" s="31" t="n">
        <f aca="false">L100</f>
        <v>60</v>
      </c>
      <c r="M101" s="31" t="n">
        <f aca="false">M100</f>
        <v>137</v>
      </c>
      <c r="N101" s="0" t="n">
        <f aca="false">O101+P101+Q101+R101+S101</f>
        <v>0</v>
      </c>
      <c r="O101" s="32"/>
      <c r="P101" s="32"/>
      <c r="Q101" s="32"/>
      <c r="R101" s="33"/>
      <c r="S101" s="33"/>
      <c r="U101" s="2"/>
    </row>
    <row r="102" customFormat="false" ht="14.25" hidden="false" customHeight="true" outlineLevel="0" collapsed="false">
      <c r="B102" s="15"/>
      <c r="C102" s="35" t="s">
        <v>110</v>
      </c>
      <c r="D102" s="33" t="n">
        <v>11408</v>
      </c>
      <c r="E102" s="15" t="s">
        <v>27</v>
      </c>
      <c r="F102" s="15"/>
      <c r="G102" s="29" t="n">
        <f aca="false">L102*K102/1000</f>
        <v>0</v>
      </c>
      <c r="H102" s="17"/>
      <c r="I102" s="17"/>
      <c r="K102" s="30"/>
      <c r="L102" s="31" t="n">
        <f aca="false">L101</f>
        <v>60</v>
      </c>
      <c r="M102" s="31" t="n">
        <f aca="false">M101</f>
        <v>137</v>
      </c>
      <c r="N102" s="0" t="n">
        <f aca="false">O102+P102+Q102+R102+S102</f>
        <v>0</v>
      </c>
      <c r="O102" s="32"/>
      <c r="P102" s="32"/>
      <c r="Q102" s="32"/>
      <c r="R102" s="33"/>
      <c r="S102" s="33"/>
      <c r="U102" s="2"/>
    </row>
    <row r="103" customFormat="false" ht="14.25" hidden="false" customHeight="true" outlineLevel="0" collapsed="false">
      <c r="B103" s="15"/>
      <c r="C103" s="35" t="s">
        <v>111</v>
      </c>
      <c r="D103" s="33" t="n">
        <v>11409</v>
      </c>
      <c r="E103" s="15" t="s">
        <v>27</v>
      </c>
      <c r="F103" s="15"/>
      <c r="G103" s="29" t="n">
        <f aca="false">L103*K103/1000</f>
        <v>0</v>
      </c>
      <c r="H103" s="17"/>
      <c r="I103" s="17"/>
      <c r="K103" s="30"/>
      <c r="L103" s="31" t="n">
        <f aca="false">L102</f>
        <v>60</v>
      </c>
      <c r="M103" s="31" t="n">
        <f aca="false">M102</f>
        <v>137</v>
      </c>
      <c r="N103" s="0" t="n">
        <f aca="false">O103+P103+Q103+R103+S103</f>
        <v>0</v>
      </c>
      <c r="O103" s="32"/>
      <c r="P103" s="32"/>
      <c r="Q103" s="32"/>
      <c r="R103" s="33"/>
      <c r="S103" s="33"/>
      <c r="U103" s="2"/>
    </row>
    <row r="104" customFormat="false" ht="14.25" hidden="false" customHeight="true" outlineLevel="0" collapsed="false">
      <c r="B104" s="15"/>
      <c r="C104" s="35" t="s">
        <v>112</v>
      </c>
      <c r="D104" s="33" t="n">
        <v>11410</v>
      </c>
      <c r="E104" s="15" t="s">
        <v>27</v>
      </c>
      <c r="F104" s="15"/>
      <c r="G104" s="29" t="n">
        <f aca="false">L104*K104/1000</f>
        <v>0</v>
      </c>
      <c r="H104" s="17"/>
      <c r="I104" s="17"/>
      <c r="K104" s="30"/>
      <c r="L104" s="31" t="n">
        <f aca="false">L103</f>
        <v>60</v>
      </c>
      <c r="M104" s="31" t="n">
        <f aca="false">M103</f>
        <v>137</v>
      </c>
      <c r="N104" s="0" t="n">
        <f aca="false">O104+P104+Q104+R104+S104</f>
        <v>0</v>
      </c>
      <c r="O104" s="32"/>
      <c r="P104" s="32"/>
      <c r="Q104" s="32"/>
      <c r="R104" s="33"/>
      <c r="S104" s="33"/>
      <c r="U104" s="2"/>
    </row>
    <row r="105" customFormat="false" ht="14.25" hidden="false" customHeight="true" outlineLevel="0" collapsed="false">
      <c r="B105" s="15"/>
      <c r="C105" s="35" t="s">
        <v>113</v>
      </c>
      <c r="D105" s="33" t="n">
        <v>11411</v>
      </c>
      <c r="E105" s="15" t="s">
        <v>27</v>
      </c>
      <c r="F105" s="15"/>
      <c r="G105" s="29" t="n">
        <f aca="false">L105*K105/1000</f>
        <v>0</v>
      </c>
      <c r="H105" s="17"/>
      <c r="I105" s="17"/>
      <c r="K105" s="30"/>
      <c r="L105" s="31" t="n">
        <f aca="false">L104</f>
        <v>60</v>
      </c>
      <c r="M105" s="31" t="n">
        <f aca="false">M104</f>
        <v>137</v>
      </c>
      <c r="N105" s="0" t="n">
        <f aca="false">O105+P105+Q105+R105+S105</f>
        <v>0</v>
      </c>
      <c r="O105" s="32"/>
      <c r="P105" s="32"/>
      <c r="Q105" s="32"/>
      <c r="R105" s="33"/>
      <c r="S105" s="33"/>
      <c r="U105" s="2"/>
    </row>
    <row r="106" customFormat="false" ht="14.25" hidden="false" customHeight="true" outlineLevel="0" collapsed="false">
      <c r="B106" s="15"/>
      <c r="C106" s="35" t="s">
        <v>114</v>
      </c>
      <c r="D106" s="33" t="n">
        <v>11412</v>
      </c>
      <c r="E106" s="15" t="s">
        <v>27</v>
      </c>
      <c r="F106" s="15"/>
      <c r="G106" s="29" t="n">
        <f aca="false">L106*K106/1000</f>
        <v>0</v>
      </c>
      <c r="H106" s="17"/>
      <c r="I106" s="17"/>
      <c r="K106" s="30"/>
      <c r="L106" s="31" t="n">
        <f aca="false">L105</f>
        <v>60</v>
      </c>
      <c r="M106" s="31" t="n">
        <f aca="false">M105</f>
        <v>137</v>
      </c>
      <c r="N106" s="0" t="n">
        <f aca="false">O106+P106+Q106+R106+S106</f>
        <v>0</v>
      </c>
      <c r="O106" s="32"/>
      <c r="P106" s="32"/>
      <c r="Q106" s="32"/>
      <c r="R106" s="33"/>
      <c r="S106" s="33"/>
      <c r="U106" s="2"/>
    </row>
    <row r="107" customFormat="false" ht="14.25" hidden="false" customHeight="true" outlineLevel="0" collapsed="false">
      <c r="B107" s="15"/>
      <c r="C107" s="35" t="s">
        <v>115</v>
      </c>
      <c r="D107" s="33" t="n">
        <v>11413</v>
      </c>
      <c r="E107" s="15" t="s">
        <v>27</v>
      </c>
      <c r="F107" s="15"/>
      <c r="G107" s="29" t="n">
        <f aca="false">L107*K107/1000</f>
        <v>0</v>
      </c>
      <c r="H107" s="17"/>
      <c r="I107" s="17"/>
      <c r="K107" s="30"/>
      <c r="L107" s="31" t="n">
        <f aca="false">L106</f>
        <v>60</v>
      </c>
      <c r="M107" s="31" t="n">
        <f aca="false">M106</f>
        <v>137</v>
      </c>
      <c r="N107" s="0" t="n">
        <f aca="false">O107+P107+Q107+R107+S107</f>
        <v>0</v>
      </c>
      <c r="O107" s="32"/>
      <c r="P107" s="32"/>
      <c r="Q107" s="32"/>
      <c r="R107" s="33"/>
      <c r="S107" s="33"/>
      <c r="U107" s="2"/>
    </row>
    <row r="108" customFormat="false" ht="14.25" hidden="false" customHeight="true" outlineLevel="0" collapsed="false">
      <c r="B108" s="15"/>
      <c r="C108" s="35" t="s">
        <v>116</v>
      </c>
      <c r="D108" s="33" t="n">
        <v>11414</v>
      </c>
      <c r="E108" s="15" t="s">
        <v>27</v>
      </c>
      <c r="F108" s="15"/>
      <c r="G108" s="29" t="n">
        <f aca="false">L108*K108/1000</f>
        <v>0</v>
      </c>
      <c r="H108" s="17"/>
      <c r="I108" s="17"/>
      <c r="K108" s="30"/>
      <c r="L108" s="31" t="n">
        <f aca="false">L107</f>
        <v>60</v>
      </c>
      <c r="M108" s="31" t="n">
        <f aca="false">M107</f>
        <v>137</v>
      </c>
      <c r="N108" s="0" t="n">
        <f aca="false">O108+P108+Q108+R108+S108</f>
        <v>0</v>
      </c>
      <c r="O108" s="32"/>
      <c r="P108" s="32"/>
      <c r="Q108" s="32"/>
      <c r="R108" s="33"/>
      <c r="S108" s="33"/>
      <c r="U108" s="2"/>
    </row>
    <row r="109" customFormat="false" ht="14.25" hidden="false" customHeight="true" outlineLevel="0" collapsed="false">
      <c r="B109" s="34"/>
      <c r="C109" s="35" t="s">
        <v>117</v>
      </c>
      <c r="D109" s="33" t="n">
        <v>11415</v>
      </c>
      <c r="E109" s="15" t="s">
        <v>27</v>
      </c>
      <c r="F109" s="15"/>
      <c r="G109" s="29" t="n">
        <f aca="false">L109*K109/1000</f>
        <v>0</v>
      </c>
      <c r="H109" s="17"/>
      <c r="I109" s="17"/>
      <c r="K109" s="30"/>
      <c r="L109" s="31" t="n">
        <f aca="false">L108</f>
        <v>60</v>
      </c>
      <c r="M109" s="31" t="n">
        <f aca="false">M108</f>
        <v>137</v>
      </c>
      <c r="N109" s="0" t="n">
        <f aca="false">O109+P109+Q109+R109+S109</f>
        <v>0</v>
      </c>
      <c r="O109" s="32"/>
      <c r="P109" s="32"/>
      <c r="Q109" s="32"/>
      <c r="R109" s="33"/>
      <c r="S109" s="33"/>
      <c r="U109" s="2"/>
    </row>
    <row r="110" customFormat="false" ht="14.25" hidden="false" customHeight="true" outlineLevel="0" collapsed="false">
      <c r="B110" s="34"/>
      <c r="C110" s="35" t="s">
        <v>118</v>
      </c>
      <c r="D110" s="33" t="n">
        <v>11416</v>
      </c>
      <c r="E110" s="15" t="s">
        <v>27</v>
      </c>
      <c r="F110" s="15"/>
      <c r="G110" s="29" t="n">
        <f aca="false">L110*K110/1000</f>
        <v>0</v>
      </c>
      <c r="H110" s="17"/>
      <c r="I110" s="17"/>
      <c r="K110" s="30"/>
      <c r="L110" s="31" t="n">
        <f aca="false">L109</f>
        <v>60</v>
      </c>
      <c r="M110" s="31" t="n">
        <f aca="false">M109</f>
        <v>137</v>
      </c>
      <c r="N110" s="0" t="n">
        <f aca="false">O110+P110+Q110+R110+S110</f>
        <v>0</v>
      </c>
      <c r="O110" s="32"/>
      <c r="P110" s="32"/>
      <c r="Q110" s="32"/>
      <c r="R110" s="33"/>
      <c r="S110" s="33"/>
      <c r="U110" s="2"/>
    </row>
    <row r="111" customFormat="false" ht="14.25" hidden="false" customHeight="true" outlineLevel="0" collapsed="false">
      <c r="B111" s="15"/>
      <c r="C111" s="35" t="s">
        <v>119</v>
      </c>
      <c r="D111" s="33" t="n">
        <v>11417</v>
      </c>
      <c r="E111" s="15" t="s">
        <v>27</v>
      </c>
      <c r="F111" s="15"/>
      <c r="G111" s="29" t="n">
        <f aca="false">L111*K111/1000</f>
        <v>0</v>
      </c>
      <c r="H111" s="17"/>
      <c r="I111" s="17"/>
      <c r="K111" s="30"/>
      <c r="L111" s="31" t="n">
        <f aca="false">L110</f>
        <v>60</v>
      </c>
      <c r="M111" s="31" t="n">
        <f aca="false">M110</f>
        <v>137</v>
      </c>
      <c r="N111" s="0" t="n">
        <f aca="false">O111+P111+Q111+R111+S111</f>
        <v>0</v>
      </c>
      <c r="O111" s="32"/>
      <c r="P111" s="32"/>
      <c r="Q111" s="32"/>
      <c r="R111" s="33"/>
      <c r="S111" s="33"/>
      <c r="U111" s="2"/>
    </row>
    <row r="112" customFormat="false" ht="14.25" hidden="false" customHeight="true" outlineLevel="0" collapsed="false">
      <c r="B112" s="15"/>
      <c r="C112" s="35" t="s">
        <v>120</v>
      </c>
      <c r="D112" s="33" t="n">
        <v>11419</v>
      </c>
      <c r="E112" s="15" t="s">
        <v>27</v>
      </c>
      <c r="F112" s="15"/>
      <c r="G112" s="29" t="n">
        <f aca="false">L112*K112/1000</f>
        <v>0</v>
      </c>
      <c r="H112" s="17"/>
      <c r="I112" s="17"/>
      <c r="K112" s="30"/>
      <c r="L112" s="31" t="n">
        <f aca="false">L111</f>
        <v>60</v>
      </c>
      <c r="M112" s="31" t="n">
        <f aca="false">M111</f>
        <v>137</v>
      </c>
      <c r="N112" s="0" t="n">
        <f aca="false">O112+P112+Q112+R112+S112</f>
        <v>0</v>
      </c>
      <c r="O112" s="32"/>
      <c r="P112" s="32"/>
      <c r="Q112" s="32"/>
      <c r="R112" s="33"/>
      <c r="S112" s="33"/>
      <c r="U112" s="2"/>
    </row>
    <row r="113" customFormat="false" ht="14.25" hidden="false" customHeight="true" outlineLevel="0" collapsed="false">
      <c r="B113" s="15"/>
      <c r="C113" s="35" t="s">
        <v>121</v>
      </c>
      <c r="D113" s="33" t="n">
        <v>11420</v>
      </c>
      <c r="E113" s="15" t="s">
        <v>27</v>
      </c>
      <c r="F113" s="15"/>
      <c r="G113" s="29" t="n">
        <f aca="false">L113*K113/1000</f>
        <v>0</v>
      </c>
      <c r="H113" s="17"/>
      <c r="I113" s="17"/>
      <c r="K113" s="30"/>
      <c r="L113" s="31" t="n">
        <f aca="false">L112</f>
        <v>60</v>
      </c>
      <c r="M113" s="31" t="n">
        <f aca="false">M112</f>
        <v>137</v>
      </c>
      <c r="N113" s="0" t="n">
        <f aca="false">O113+P113+Q113+R113+S113</f>
        <v>0</v>
      </c>
      <c r="O113" s="32"/>
      <c r="P113" s="32"/>
      <c r="Q113" s="32"/>
      <c r="R113" s="33"/>
      <c r="S113" s="33"/>
      <c r="U113" s="2"/>
    </row>
    <row r="114" customFormat="false" ht="14.25" hidden="false" customHeight="true" outlineLevel="0" collapsed="false">
      <c r="B114" s="15"/>
      <c r="C114" s="35" t="s">
        <v>122</v>
      </c>
      <c r="D114" s="33" t="n">
        <v>11422</v>
      </c>
      <c r="E114" s="15" t="s">
        <v>27</v>
      </c>
      <c r="F114" s="15"/>
      <c r="G114" s="29" t="n">
        <f aca="false">L114*K114/1000</f>
        <v>0</v>
      </c>
      <c r="H114" s="17"/>
      <c r="I114" s="17"/>
      <c r="K114" s="30"/>
      <c r="L114" s="31" t="n">
        <f aca="false">L113</f>
        <v>60</v>
      </c>
      <c r="M114" s="31" t="n">
        <f aca="false">M113</f>
        <v>137</v>
      </c>
      <c r="N114" s="0" t="n">
        <f aca="false">O114+P114+Q114+R114+S114</f>
        <v>0</v>
      </c>
      <c r="O114" s="32"/>
      <c r="P114" s="32"/>
      <c r="Q114" s="32"/>
      <c r="R114" s="33"/>
      <c r="S114" s="33"/>
      <c r="U114" s="2"/>
    </row>
    <row r="115" customFormat="false" ht="14.25" hidden="false" customHeight="true" outlineLevel="0" collapsed="false">
      <c r="B115" s="15"/>
      <c r="C115" s="35" t="s">
        <v>123</v>
      </c>
      <c r="D115" s="33" t="n">
        <v>11423</v>
      </c>
      <c r="E115" s="15" t="s">
        <v>27</v>
      </c>
      <c r="F115" s="15"/>
      <c r="G115" s="29" t="n">
        <f aca="false">L115*K115/1000</f>
        <v>0</v>
      </c>
      <c r="H115" s="17"/>
      <c r="I115" s="17"/>
      <c r="K115" s="30"/>
      <c r="L115" s="31" t="n">
        <f aca="false">L114</f>
        <v>60</v>
      </c>
      <c r="M115" s="31" t="n">
        <f aca="false">M114</f>
        <v>137</v>
      </c>
      <c r="N115" s="0" t="n">
        <f aca="false">O115+P115+Q115+R115+S115</f>
        <v>0</v>
      </c>
      <c r="O115" s="32"/>
      <c r="P115" s="32"/>
      <c r="Q115" s="32"/>
      <c r="R115" s="33"/>
      <c r="S115" s="33"/>
      <c r="U115" s="2"/>
    </row>
    <row r="116" customFormat="false" ht="14.25" hidden="false" customHeight="true" outlineLevel="0" collapsed="false">
      <c r="B116" s="15"/>
      <c r="C116" s="35" t="s">
        <v>124</v>
      </c>
      <c r="D116" s="33" t="n">
        <v>11424</v>
      </c>
      <c r="E116" s="15" t="s">
        <v>27</v>
      </c>
      <c r="F116" s="15"/>
      <c r="G116" s="29" t="n">
        <f aca="false">L116*K116/1000</f>
        <v>0</v>
      </c>
      <c r="H116" s="17"/>
      <c r="I116" s="17"/>
      <c r="K116" s="30"/>
      <c r="L116" s="31" t="n">
        <f aca="false">L115</f>
        <v>60</v>
      </c>
      <c r="M116" s="31" t="n">
        <f aca="false">M115</f>
        <v>137</v>
      </c>
      <c r="N116" s="0" t="n">
        <f aca="false">O116+P116+Q116+R116+S116</f>
        <v>0</v>
      </c>
      <c r="O116" s="32"/>
      <c r="P116" s="32"/>
      <c r="Q116" s="32"/>
      <c r="R116" s="33"/>
      <c r="S116" s="33"/>
      <c r="U116" s="2"/>
    </row>
    <row r="117" customFormat="false" ht="14.25" hidden="false" customHeight="true" outlineLevel="0" collapsed="false">
      <c r="B117" s="38"/>
      <c r="C117" s="35" t="s">
        <v>125</v>
      </c>
      <c r="D117" s="33" t="n">
        <v>11501</v>
      </c>
      <c r="E117" s="38" t="s">
        <v>27</v>
      </c>
      <c r="F117" s="38"/>
      <c r="G117" s="29" t="n">
        <f aca="false">L117*K117/1000</f>
        <v>0</v>
      </c>
      <c r="H117" s="17"/>
      <c r="I117" s="17"/>
      <c r="K117" s="30"/>
      <c r="L117" s="31" t="n">
        <f aca="false">L116</f>
        <v>60</v>
      </c>
      <c r="M117" s="31" t="n">
        <f aca="false">M116</f>
        <v>137</v>
      </c>
      <c r="N117" s="0" t="n">
        <f aca="false">O117+P117+Q117+R117+S117</f>
        <v>0</v>
      </c>
      <c r="O117" s="32"/>
      <c r="P117" s="32"/>
      <c r="Q117" s="32"/>
      <c r="R117" s="33"/>
      <c r="S117" s="33"/>
      <c r="U117" s="2"/>
    </row>
    <row r="118" customFormat="false" ht="14.25" hidden="false" customHeight="true" outlineLevel="0" collapsed="false">
      <c r="B118" s="34"/>
      <c r="C118" s="35" t="s">
        <v>126</v>
      </c>
      <c r="D118" s="33" t="n">
        <v>11502</v>
      </c>
      <c r="E118" s="15" t="s">
        <v>27</v>
      </c>
      <c r="F118" s="39"/>
      <c r="G118" s="29" t="n">
        <f aca="false">L118*K118/1000</f>
        <v>0</v>
      </c>
      <c r="H118" s="17"/>
      <c r="I118" s="17"/>
      <c r="K118" s="30"/>
      <c r="L118" s="31" t="n">
        <f aca="false">L117</f>
        <v>60</v>
      </c>
      <c r="M118" s="31" t="n">
        <f aca="false">M117</f>
        <v>137</v>
      </c>
      <c r="N118" s="0" t="n">
        <f aca="false">O118+P118+Q118+R118+S118</f>
        <v>0</v>
      </c>
      <c r="O118" s="32"/>
      <c r="P118" s="32"/>
      <c r="Q118" s="32"/>
      <c r="R118" s="33"/>
      <c r="S118" s="33"/>
      <c r="U118" s="2"/>
    </row>
    <row r="119" customFormat="false" ht="14.25" hidden="false" customHeight="true" outlineLevel="0" collapsed="false">
      <c r="B119" s="15"/>
      <c r="C119" s="35" t="s">
        <v>127</v>
      </c>
      <c r="D119" s="33" t="n">
        <v>11503</v>
      </c>
      <c r="E119" s="15" t="s">
        <v>27</v>
      </c>
      <c r="F119" s="15"/>
      <c r="G119" s="29" t="n">
        <f aca="false">L119*K119/1000</f>
        <v>0</v>
      </c>
      <c r="H119" s="17"/>
      <c r="I119" s="17"/>
      <c r="K119" s="30"/>
      <c r="L119" s="31" t="n">
        <f aca="false">L118</f>
        <v>60</v>
      </c>
      <c r="M119" s="31" t="n">
        <f aca="false">M118</f>
        <v>137</v>
      </c>
      <c r="N119" s="0" t="n">
        <f aca="false">O119+P119+Q119+R119+S119</f>
        <v>0</v>
      </c>
      <c r="O119" s="32"/>
      <c r="P119" s="32"/>
      <c r="Q119" s="32"/>
      <c r="R119" s="33"/>
      <c r="S119" s="33"/>
      <c r="U119" s="2"/>
    </row>
    <row r="120" customFormat="false" ht="16.5" hidden="false" customHeight="false" outlineLevel="0" collapsed="false">
      <c r="B120" s="15"/>
      <c r="C120" s="35" t="s">
        <v>128</v>
      </c>
      <c r="D120" s="33" t="n">
        <v>11504</v>
      </c>
      <c r="E120" s="15" t="s">
        <v>27</v>
      </c>
      <c r="F120" s="15"/>
      <c r="G120" s="29" t="n">
        <f aca="false">L120*K120/1000</f>
        <v>0</v>
      </c>
      <c r="H120" s="17"/>
      <c r="I120" s="17"/>
      <c r="K120" s="30"/>
      <c r="L120" s="31" t="n">
        <f aca="false">L119</f>
        <v>60</v>
      </c>
      <c r="M120" s="31" t="n">
        <f aca="false">M119</f>
        <v>137</v>
      </c>
      <c r="N120" s="0" t="n">
        <f aca="false">O120+P120+Q120+R120+S120</f>
        <v>0</v>
      </c>
      <c r="O120" s="32"/>
      <c r="P120" s="32"/>
      <c r="Q120" s="32"/>
      <c r="R120" s="33"/>
      <c r="S120" s="33"/>
      <c r="U120" s="2"/>
    </row>
    <row r="121" customFormat="false" ht="14.25" hidden="false" customHeight="true" outlineLevel="0" collapsed="false">
      <c r="B121" s="15"/>
      <c r="C121" s="35" t="s">
        <v>129</v>
      </c>
      <c r="D121" s="33" t="n">
        <v>11505</v>
      </c>
      <c r="E121" s="15" t="s">
        <v>27</v>
      </c>
      <c r="F121" s="15"/>
      <c r="G121" s="29" t="n">
        <f aca="false">L121*K121/1000</f>
        <v>0</v>
      </c>
      <c r="H121" s="17"/>
      <c r="I121" s="17"/>
      <c r="K121" s="30"/>
      <c r="L121" s="31" t="n">
        <f aca="false">L120</f>
        <v>60</v>
      </c>
      <c r="M121" s="31" t="n">
        <f aca="false">M120</f>
        <v>137</v>
      </c>
      <c r="N121" s="0" t="n">
        <f aca="false">O121+P121+Q121+R121+S121</f>
        <v>0</v>
      </c>
      <c r="O121" s="32"/>
      <c r="P121" s="32"/>
      <c r="Q121" s="32"/>
      <c r="R121" s="33"/>
      <c r="S121" s="33"/>
      <c r="U121" s="2"/>
    </row>
    <row r="122" customFormat="false" ht="14.25" hidden="false" customHeight="true" outlineLevel="0" collapsed="false">
      <c r="B122" s="15"/>
      <c r="C122" s="35" t="s">
        <v>130</v>
      </c>
      <c r="D122" s="33" t="n">
        <v>11602</v>
      </c>
      <c r="E122" s="15" t="s">
        <v>27</v>
      </c>
      <c r="F122" s="15"/>
      <c r="G122" s="29" t="n">
        <f aca="false">L122*K122/1000</f>
        <v>0</v>
      </c>
      <c r="H122" s="17"/>
      <c r="I122" s="17"/>
      <c r="K122" s="30"/>
      <c r="L122" s="31" t="n">
        <f aca="false">L121</f>
        <v>60</v>
      </c>
      <c r="M122" s="31" t="n">
        <f aca="false">M121</f>
        <v>137</v>
      </c>
      <c r="N122" s="0" t="n">
        <f aca="false">O122+P122+Q122+R122+S122</f>
        <v>0</v>
      </c>
      <c r="O122" s="32"/>
      <c r="P122" s="32"/>
      <c r="Q122" s="32"/>
      <c r="R122" s="33"/>
      <c r="S122" s="33"/>
      <c r="U122" s="2"/>
    </row>
    <row r="123" customFormat="false" ht="14.25" hidden="false" customHeight="true" outlineLevel="0" collapsed="false">
      <c r="B123" s="15"/>
      <c r="C123" s="35" t="s">
        <v>131</v>
      </c>
      <c r="D123" s="33" t="n">
        <v>11603</v>
      </c>
      <c r="E123" s="15" t="s">
        <v>27</v>
      </c>
      <c r="F123" s="15"/>
      <c r="G123" s="29" t="n">
        <f aca="false">L123*K123/1000</f>
        <v>0</v>
      </c>
      <c r="H123" s="17"/>
      <c r="I123" s="17"/>
      <c r="K123" s="30"/>
      <c r="L123" s="31" t="n">
        <f aca="false">L122</f>
        <v>60</v>
      </c>
      <c r="M123" s="31" t="n">
        <f aca="false">M122</f>
        <v>137</v>
      </c>
      <c r="N123" s="0" t="n">
        <f aca="false">O123+P123+Q123+R123+S123</f>
        <v>0</v>
      </c>
      <c r="O123" s="32"/>
      <c r="P123" s="32"/>
      <c r="Q123" s="32"/>
      <c r="R123" s="33"/>
      <c r="S123" s="33"/>
      <c r="U123" s="2"/>
    </row>
    <row r="124" customFormat="false" ht="14.25" hidden="false" customHeight="true" outlineLevel="0" collapsed="false">
      <c r="B124" s="15"/>
      <c r="C124" s="35" t="s">
        <v>132</v>
      </c>
      <c r="D124" s="33" t="n">
        <v>11604</v>
      </c>
      <c r="E124" s="15" t="s">
        <v>27</v>
      </c>
      <c r="F124" s="15"/>
      <c r="G124" s="29" t="n">
        <f aca="false">L124*K124/1000</f>
        <v>0</v>
      </c>
      <c r="H124" s="17"/>
      <c r="I124" s="17"/>
      <c r="K124" s="30"/>
      <c r="L124" s="31" t="n">
        <f aca="false">L123</f>
        <v>60</v>
      </c>
      <c r="M124" s="31" t="n">
        <f aca="false">M123</f>
        <v>137</v>
      </c>
      <c r="N124" s="0" t="n">
        <f aca="false">O124+P124+Q124+R124+S124</f>
        <v>0</v>
      </c>
      <c r="O124" s="32"/>
      <c r="P124" s="32"/>
      <c r="Q124" s="32"/>
      <c r="R124" s="33"/>
      <c r="S124" s="33"/>
      <c r="U124" s="2"/>
    </row>
    <row r="125" customFormat="false" ht="14.25" hidden="false" customHeight="true" outlineLevel="0" collapsed="false">
      <c r="B125" s="17"/>
      <c r="C125" s="35" t="s">
        <v>133</v>
      </c>
      <c r="D125" s="33" t="n">
        <v>11605</v>
      </c>
      <c r="E125" s="15" t="s">
        <v>27</v>
      </c>
      <c r="F125" s="15"/>
      <c r="G125" s="29" t="n">
        <f aca="false">L125*K125/1000</f>
        <v>0</v>
      </c>
      <c r="H125" s="17"/>
      <c r="I125" s="17"/>
      <c r="K125" s="30"/>
      <c r="L125" s="31" t="n">
        <f aca="false">L124</f>
        <v>60</v>
      </c>
      <c r="M125" s="31" t="n">
        <f aca="false">M124</f>
        <v>137</v>
      </c>
      <c r="N125" s="0" t="n">
        <f aca="false">O125+P125+Q125+R125+S125</f>
        <v>0</v>
      </c>
      <c r="O125" s="32"/>
      <c r="P125" s="32"/>
      <c r="Q125" s="32"/>
      <c r="R125" s="33"/>
      <c r="S125" s="33"/>
      <c r="U125" s="2"/>
    </row>
    <row r="126" customFormat="false" ht="14.25" hidden="false" customHeight="true" outlineLevel="0" collapsed="false">
      <c r="B126" s="15"/>
      <c r="C126" s="35" t="s">
        <v>134</v>
      </c>
      <c r="D126" s="33" t="n">
        <v>11606</v>
      </c>
      <c r="E126" s="15" t="s">
        <v>27</v>
      </c>
      <c r="F126" s="15"/>
      <c r="G126" s="29" t="n">
        <f aca="false">L126*K126/1000</f>
        <v>0</v>
      </c>
      <c r="H126" s="17"/>
      <c r="I126" s="17"/>
      <c r="K126" s="30"/>
      <c r="L126" s="31" t="n">
        <f aca="false">L125</f>
        <v>60</v>
      </c>
      <c r="M126" s="31" t="n">
        <f aca="false">M125</f>
        <v>137</v>
      </c>
      <c r="N126" s="0" t="n">
        <f aca="false">O126+P126+Q126+R126+S126</f>
        <v>0</v>
      </c>
      <c r="O126" s="32"/>
      <c r="P126" s="32"/>
      <c r="Q126" s="32"/>
      <c r="R126" s="33"/>
      <c r="S126" s="33"/>
      <c r="U126" s="2"/>
    </row>
    <row r="127" customFormat="false" ht="14.25" hidden="false" customHeight="true" outlineLevel="0" collapsed="false">
      <c r="B127" s="15"/>
      <c r="C127" s="35" t="s">
        <v>135</v>
      </c>
      <c r="D127" s="33" t="n">
        <v>11607</v>
      </c>
      <c r="E127" s="15" t="s">
        <v>27</v>
      </c>
      <c r="F127" s="15"/>
      <c r="G127" s="29" t="n">
        <f aca="false">L127*K127/1000</f>
        <v>0</v>
      </c>
      <c r="H127" s="17"/>
      <c r="I127" s="17"/>
      <c r="K127" s="30"/>
      <c r="L127" s="31" t="n">
        <f aca="false">L126</f>
        <v>60</v>
      </c>
      <c r="M127" s="31" t="n">
        <f aca="false">M126</f>
        <v>137</v>
      </c>
      <c r="N127" s="0" t="n">
        <f aca="false">O127+P127+Q127+R127+S127</f>
        <v>0</v>
      </c>
      <c r="O127" s="32"/>
      <c r="P127" s="32"/>
      <c r="Q127" s="32"/>
      <c r="R127" s="33"/>
      <c r="S127" s="33"/>
      <c r="U127" s="2"/>
    </row>
    <row r="128" customFormat="false" ht="14.25" hidden="false" customHeight="true" outlineLevel="0" collapsed="false">
      <c r="B128" s="15"/>
      <c r="C128" s="35" t="s">
        <v>136</v>
      </c>
      <c r="D128" s="33" t="n">
        <v>11608</v>
      </c>
      <c r="E128" s="15" t="s">
        <v>27</v>
      </c>
      <c r="F128" s="15"/>
      <c r="G128" s="29" t="n">
        <f aca="false">L128*K128/1000</f>
        <v>0</v>
      </c>
      <c r="H128" s="17"/>
      <c r="I128" s="17"/>
      <c r="K128" s="30"/>
      <c r="L128" s="31" t="n">
        <f aca="false">L127</f>
        <v>60</v>
      </c>
      <c r="M128" s="31" t="n">
        <f aca="false">M127</f>
        <v>137</v>
      </c>
      <c r="N128" s="0" t="n">
        <f aca="false">O128+P128+Q128+R128+S128</f>
        <v>0</v>
      </c>
      <c r="O128" s="32"/>
      <c r="P128" s="32"/>
      <c r="Q128" s="32"/>
      <c r="R128" s="33"/>
      <c r="S128" s="33"/>
      <c r="U128" s="2"/>
    </row>
    <row r="129" customFormat="false" ht="14.25" hidden="false" customHeight="true" outlineLevel="0" collapsed="false">
      <c r="B129" s="15"/>
      <c r="C129" s="35" t="s">
        <v>137</v>
      </c>
      <c r="D129" s="33" t="n">
        <v>11609</v>
      </c>
      <c r="E129" s="15" t="s">
        <v>27</v>
      </c>
      <c r="F129" s="15"/>
      <c r="G129" s="29" t="n">
        <f aca="false">L129*K129/1000</f>
        <v>0</v>
      </c>
      <c r="H129" s="17"/>
      <c r="I129" s="17"/>
      <c r="K129" s="30"/>
      <c r="L129" s="31" t="n">
        <f aca="false">L128</f>
        <v>60</v>
      </c>
      <c r="M129" s="31" t="n">
        <f aca="false">M128</f>
        <v>137</v>
      </c>
      <c r="N129" s="0" t="n">
        <f aca="false">O129+P129+Q129+R129+S129</f>
        <v>0</v>
      </c>
      <c r="O129" s="32"/>
      <c r="P129" s="32"/>
      <c r="Q129" s="32"/>
      <c r="R129" s="33"/>
      <c r="S129" s="33"/>
      <c r="U129" s="2"/>
    </row>
    <row r="130" customFormat="false" ht="14.25" hidden="false" customHeight="true" outlineLevel="0" collapsed="false">
      <c r="B130" s="40"/>
      <c r="C130" s="35" t="s">
        <v>138</v>
      </c>
      <c r="D130" s="33" t="n">
        <v>11610</v>
      </c>
      <c r="E130" s="15" t="s">
        <v>27</v>
      </c>
      <c r="F130" s="15"/>
      <c r="G130" s="29" t="n">
        <f aca="false">L130*K130/1000</f>
        <v>0</v>
      </c>
      <c r="H130" s="17"/>
      <c r="I130" s="17"/>
      <c r="K130" s="30"/>
      <c r="L130" s="31" t="n">
        <f aca="false">L129</f>
        <v>60</v>
      </c>
      <c r="M130" s="31" t="n">
        <f aca="false">M129</f>
        <v>137</v>
      </c>
      <c r="N130" s="0" t="n">
        <f aca="false">O130+P130+Q130+R130+S130</f>
        <v>0</v>
      </c>
      <c r="O130" s="32"/>
      <c r="P130" s="32"/>
      <c r="Q130" s="32"/>
      <c r="R130" s="33"/>
      <c r="S130" s="33"/>
      <c r="U130" s="2"/>
    </row>
    <row r="131" customFormat="false" ht="14.25" hidden="false" customHeight="true" outlineLevel="0" collapsed="false">
      <c r="B131" s="15"/>
      <c r="C131" s="35" t="s">
        <v>139</v>
      </c>
      <c r="D131" s="33" t="n">
        <v>11611</v>
      </c>
      <c r="E131" s="15" t="s">
        <v>27</v>
      </c>
      <c r="F131" s="15"/>
      <c r="G131" s="29" t="n">
        <f aca="false">L131*K131/1000</f>
        <v>0</v>
      </c>
      <c r="H131" s="17"/>
      <c r="I131" s="17"/>
      <c r="K131" s="30"/>
      <c r="L131" s="31" t="n">
        <f aca="false">L130</f>
        <v>60</v>
      </c>
      <c r="M131" s="31" t="n">
        <f aca="false">M130</f>
        <v>137</v>
      </c>
      <c r="N131" s="0" t="n">
        <f aca="false">O131+P131+Q131+R131+S131</f>
        <v>0</v>
      </c>
      <c r="O131" s="32"/>
      <c r="P131" s="32"/>
      <c r="Q131" s="32"/>
      <c r="R131" s="33"/>
      <c r="S131" s="33"/>
      <c r="U131" s="2"/>
    </row>
    <row r="132" customFormat="false" ht="14.25" hidden="false" customHeight="true" outlineLevel="0" collapsed="false">
      <c r="B132" s="15"/>
      <c r="C132" s="35" t="s">
        <v>140</v>
      </c>
      <c r="D132" s="33" t="n">
        <v>11612</v>
      </c>
      <c r="E132" s="15" t="s">
        <v>27</v>
      </c>
      <c r="F132" s="15"/>
      <c r="G132" s="29" t="n">
        <f aca="false">L132*K132/1000</f>
        <v>0</v>
      </c>
      <c r="H132" s="17"/>
      <c r="I132" s="17"/>
      <c r="K132" s="30"/>
      <c r="L132" s="31" t="n">
        <f aca="false">L131</f>
        <v>60</v>
      </c>
      <c r="M132" s="31" t="n">
        <f aca="false">M131</f>
        <v>137</v>
      </c>
      <c r="N132" s="0" t="n">
        <f aca="false">O132+P132+Q132+R132+S132</f>
        <v>0</v>
      </c>
      <c r="O132" s="32"/>
      <c r="P132" s="32"/>
      <c r="Q132" s="32"/>
      <c r="R132" s="33"/>
      <c r="S132" s="33"/>
      <c r="U132" s="2"/>
    </row>
    <row r="133" customFormat="false" ht="14.25" hidden="false" customHeight="true" outlineLevel="0" collapsed="false">
      <c r="B133" s="40"/>
      <c r="C133" s="35" t="s">
        <v>141</v>
      </c>
      <c r="D133" s="33" t="n">
        <v>11613</v>
      </c>
      <c r="E133" s="15" t="s">
        <v>27</v>
      </c>
      <c r="F133" s="15"/>
      <c r="G133" s="29" t="n">
        <f aca="false">L133*K133/1000</f>
        <v>0</v>
      </c>
      <c r="H133" s="17"/>
      <c r="I133" s="17"/>
      <c r="K133" s="30"/>
      <c r="L133" s="31" t="n">
        <f aca="false">L132</f>
        <v>60</v>
      </c>
      <c r="M133" s="31" t="n">
        <f aca="false">M132</f>
        <v>137</v>
      </c>
      <c r="N133" s="0" t="n">
        <f aca="false">O133+P133+Q133+R133+S133</f>
        <v>0</v>
      </c>
      <c r="O133" s="32"/>
      <c r="P133" s="32"/>
      <c r="Q133" s="32"/>
      <c r="R133" s="33"/>
      <c r="S133" s="33"/>
      <c r="U133" s="2"/>
    </row>
    <row r="134" customFormat="false" ht="14.25" hidden="false" customHeight="true" outlineLevel="0" collapsed="false">
      <c r="B134" s="34"/>
      <c r="C134" s="35" t="s">
        <v>142</v>
      </c>
      <c r="D134" s="33" t="n">
        <v>11614</v>
      </c>
      <c r="E134" s="15" t="s">
        <v>27</v>
      </c>
      <c r="F134" s="15"/>
      <c r="G134" s="29" t="n">
        <f aca="false">L134*K134/1000</f>
        <v>0</v>
      </c>
      <c r="H134" s="17"/>
      <c r="I134" s="17"/>
      <c r="K134" s="30"/>
      <c r="L134" s="31" t="n">
        <f aca="false">L133</f>
        <v>60</v>
      </c>
      <c r="M134" s="31" t="n">
        <f aca="false">M133</f>
        <v>137</v>
      </c>
      <c r="N134" s="0" t="n">
        <f aca="false">O134+P134+Q134+R134+S134</f>
        <v>0</v>
      </c>
      <c r="O134" s="32"/>
      <c r="P134" s="32"/>
      <c r="Q134" s="32"/>
      <c r="R134" s="33"/>
      <c r="S134" s="33"/>
      <c r="U134" s="2"/>
    </row>
    <row r="135" customFormat="false" ht="14.25" hidden="false" customHeight="true" outlineLevel="0" collapsed="false">
      <c r="B135" s="34"/>
      <c r="C135" s="35" t="s">
        <v>143</v>
      </c>
      <c r="D135" s="33" t="n">
        <v>11615</v>
      </c>
      <c r="E135" s="15" t="s">
        <v>27</v>
      </c>
      <c r="F135" s="15"/>
      <c r="G135" s="29" t="n">
        <f aca="false">L135*K135/1000</f>
        <v>0</v>
      </c>
      <c r="H135" s="17"/>
      <c r="I135" s="17"/>
      <c r="K135" s="30"/>
      <c r="L135" s="31" t="n">
        <f aca="false">L134</f>
        <v>60</v>
      </c>
      <c r="M135" s="31" t="n">
        <f aca="false">M134</f>
        <v>137</v>
      </c>
      <c r="N135" s="0" t="n">
        <f aca="false">O135+P135+Q135+R135+S135</f>
        <v>0</v>
      </c>
      <c r="O135" s="32"/>
      <c r="P135" s="32"/>
      <c r="Q135" s="32"/>
      <c r="R135" s="33"/>
      <c r="S135" s="33"/>
      <c r="U135" s="2"/>
    </row>
    <row r="136" customFormat="false" ht="14.25" hidden="false" customHeight="true" outlineLevel="0" collapsed="false">
      <c r="B136" s="15"/>
      <c r="C136" s="35" t="s">
        <v>144</v>
      </c>
      <c r="D136" s="33" t="n">
        <v>11616</v>
      </c>
      <c r="E136" s="15" t="s">
        <v>27</v>
      </c>
      <c r="F136" s="15"/>
      <c r="G136" s="29" t="n">
        <f aca="false">L136*K136/1000</f>
        <v>0</v>
      </c>
      <c r="H136" s="17"/>
      <c r="I136" s="17"/>
      <c r="K136" s="30"/>
      <c r="L136" s="31" t="n">
        <f aca="false">L135</f>
        <v>60</v>
      </c>
      <c r="M136" s="31" t="n">
        <f aca="false">M135</f>
        <v>137</v>
      </c>
      <c r="N136" s="0" t="n">
        <f aca="false">O136+P136+Q136+R136+S136</f>
        <v>0</v>
      </c>
      <c r="O136" s="32"/>
      <c r="P136" s="32"/>
      <c r="Q136" s="32"/>
      <c r="R136" s="33"/>
      <c r="S136" s="33"/>
      <c r="U136" s="2"/>
    </row>
    <row r="137" customFormat="false" ht="14.25" hidden="false" customHeight="true" outlineLevel="0" collapsed="false">
      <c r="B137" s="15"/>
      <c r="C137" s="35" t="s">
        <v>145</v>
      </c>
      <c r="D137" s="33" t="n">
        <v>11617</v>
      </c>
      <c r="E137" s="15" t="s">
        <v>27</v>
      </c>
      <c r="F137" s="15"/>
      <c r="G137" s="29" t="n">
        <f aca="false">L137*K137/1000</f>
        <v>0</v>
      </c>
      <c r="H137" s="17"/>
      <c r="I137" s="17"/>
      <c r="K137" s="30"/>
      <c r="L137" s="31" t="n">
        <f aca="false">L136</f>
        <v>60</v>
      </c>
      <c r="M137" s="31" t="n">
        <f aca="false">M136</f>
        <v>137</v>
      </c>
      <c r="N137" s="0" t="n">
        <f aca="false">O137+P137+Q137+R137+S137</f>
        <v>0</v>
      </c>
      <c r="O137" s="32"/>
      <c r="P137" s="32"/>
      <c r="Q137" s="32"/>
      <c r="R137" s="33"/>
      <c r="S137" s="33"/>
      <c r="U137" s="2"/>
    </row>
    <row r="138" customFormat="false" ht="14.25" hidden="false" customHeight="true" outlineLevel="0" collapsed="false">
      <c r="B138" s="34"/>
      <c r="C138" s="35" t="s">
        <v>146</v>
      </c>
      <c r="D138" s="33" t="n">
        <v>11618</v>
      </c>
      <c r="E138" s="15" t="s">
        <v>27</v>
      </c>
      <c r="F138" s="15"/>
      <c r="G138" s="29" t="n">
        <f aca="false">L138*K138/1000</f>
        <v>0</v>
      </c>
      <c r="H138" s="17"/>
      <c r="I138" s="17"/>
      <c r="K138" s="30"/>
      <c r="L138" s="31" t="n">
        <f aca="false">L137</f>
        <v>60</v>
      </c>
      <c r="M138" s="31" t="n">
        <f aca="false">M137</f>
        <v>137</v>
      </c>
      <c r="N138" s="0" t="n">
        <f aca="false">O138+P138+Q138+R138+S138</f>
        <v>0</v>
      </c>
      <c r="O138" s="32"/>
      <c r="P138" s="32"/>
      <c r="Q138" s="32"/>
      <c r="R138" s="33"/>
      <c r="S138" s="33"/>
      <c r="U138" s="2"/>
    </row>
    <row r="139" customFormat="false" ht="14.25" hidden="false" customHeight="true" outlineLevel="0" collapsed="false">
      <c r="B139" s="34"/>
      <c r="C139" s="35" t="s">
        <v>147</v>
      </c>
      <c r="D139" s="33" t="n">
        <v>11619</v>
      </c>
      <c r="E139" s="15" t="s">
        <v>27</v>
      </c>
      <c r="F139" s="15"/>
      <c r="G139" s="29" t="n">
        <f aca="false">L139*K139/1000</f>
        <v>0</v>
      </c>
      <c r="H139" s="17"/>
      <c r="I139" s="17"/>
      <c r="K139" s="30"/>
      <c r="L139" s="31" t="n">
        <f aca="false">L138</f>
        <v>60</v>
      </c>
      <c r="M139" s="31" t="n">
        <f aca="false">M138</f>
        <v>137</v>
      </c>
      <c r="N139" s="0" t="n">
        <f aca="false">O139+P139+Q139+R139+S139</f>
        <v>0</v>
      </c>
      <c r="O139" s="32"/>
      <c r="P139" s="32"/>
      <c r="Q139" s="32"/>
      <c r="R139" s="33"/>
      <c r="S139" s="33"/>
      <c r="U139" s="2"/>
    </row>
    <row r="140" customFormat="false" ht="14.25" hidden="false" customHeight="true" outlineLevel="0" collapsed="false">
      <c r="B140" s="15"/>
      <c r="C140" s="35" t="s">
        <v>148</v>
      </c>
      <c r="D140" s="33" t="n">
        <v>11620</v>
      </c>
      <c r="E140" s="15" t="s">
        <v>27</v>
      </c>
      <c r="F140" s="15"/>
      <c r="G140" s="29" t="n">
        <f aca="false">L140*K140/1000</f>
        <v>0</v>
      </c>
      <c r="H140" s="17"/>
      <c r="I140" s="17"/>
      <c r="K140" s="30"/>
      <c r="L140" s="31" t="n">
        <f aca="false">L139</f>
        <v>60</v>
      </c>
      <c r="M140" s="31" t="n">
        <f aca="false">M139</f>
        <v>137</v>
      </c>
      <c r="N140" s="0" t="n">
        <f aca="false">O140+P140+Q140+R140+S140</f>
        <v>0</v>
      </c>
      <c r="O140" s="32"/>
      <c r="P140" s="32"/>
      <c r="Q140" s="32"/>
      <c r="R140" s="33"/>
      <c r="S140" s="33"/>
      <c r="U140" s="2"/>
    </row>
    <row r="141" customFormat="false" ht="14.25" hidden="false" customHeight="true" outlineLevel="0" collapsed="false">
      <c r="B141" s="15"/>
      <c r="C141" s="35" t="s">
        <v>149</v>
      </c>
      <c r="D141" s="33" t="n">
        <v>11621</v>
      </c>
      <c r="E141" s="15" t="s">
        <v>27</v>
      </c>
      <c r="F141" s="15"/>
      <c r="G141" s="29" t="n">
        <f aca="false">L141*K141/1000</f>
        <v>0</v>
      </c>
      <c r="H141" s="17"/>
      <c r="I141" s="17"/>
      <c r="K141" s="30"/>
      <c r="L141" s="31" t="n">
        <f aca="false">L140</f>
        <v>60</v>
      </c>
      <c r="M141" s="31" t="n">
        <f aca="false">M140</f>
        <v>137</v>
      </c>
      <c r="N141" s="0" t="n">
        <f aca="false">O141+P141+Q141+R141+S141</f>
        <v>0</v>
      </c>
      <c r="O141" s="32"/>
      <c r="P141" s="32"/>
      <c r="Q141" s="32"/>
      <c r="R141" s="33"/>
      <c r="S141" s="33"/>
      <c r="U141" s="2"/>
    </row>
    <row r="142" customFormat="false" ht="14.25" hidden="false" customHeight="true" outlineLevel="0" collapsed="false">
      <c r="B142" s="36"/>
      <c r="C142" s="35" t="s">
        <v>150</v>
      </c>
      <c r="D142" s="33" t="n">
        <v>11622</v>
      </c>
      <c r="E142" s="15" t="s">
        <v>27</v>
      </c>
      <c r="F142" s="15"/>
      <c r="G142" s="29" t="n">
        <f aca="false">L142*K142/1000</f>
        <v>0</v>
      </c>
      <c r="H142" s="17"/>
      <c r="I142" s="17"/>
      <c r="K142" s="30"/>
      <c r="L142" s="31" t="n">
        <f aca="false">L141</f>
        <v>60</v>
      </c>
      <c r="M142" s="31" t="n">
        <f aca="false">M141</f>
        <v>137</v>
      </c>
      <c r="N142" s="0" t="n">
        <f aca="false">O142+P142+Q142+R142+S142</f>
        <v>0</v>
      </c>
      <c r="O142" s="32"/>
      <c r="P142" s="32"/>
      <c r="Q142" s="32"/>
      <c r="R142" s="33"/>
      <c r="S142" s="33"/>
      <c r="U142" s="2"/>
    </row>
    <row r="143" customFormat="false" ht="14.25" hidden="false" customHeight="true" outlineLevel="0" collapsed="false">
      <c r="B143" s="15"/>
      <c r="C143" s="35" t="s">
        <v>151</v>
      </c>
      <c r="D143" s="33" t="n">
        <v>11623</v>
      </c>
      <c r="E143" s="15" t="s">
        <v>27</v>
      </c>
      <c r="F143" s="15"/>
      <c r="G143" s="29" t="n">
        <f aca="false">L143*K143/1000</f>
        <v>0</v>
      </c>
      <c r="H143" s="17"/>
      <c r="I143" s="17"/>
      <c r="K143" s="30"/>
      <c r="L143" s="31" t="n">
        <f aca="false">L142</f>
        <v>60</v>
      </c>
      <c r="M143" s="31" t="n">
        <f aca="false">M142</f>
        <v>137</v>
      </c>
      <c r="N143" s="0" t="n">
        <f aca="false">O143+P143+Q143+R143+S143</f>
        <v>0</v>
      </c>
      <c r="O143" s="32"/>
      <c r="P143" s="32"/>
      <c r="Q143" s="32"/>
      <c r="R143" s="33"/>
      <c r="S143" s="33"/>
      <c r="U143" s="2"/>
    </row>
    <row r="144" customFormat="false" ht="14.25" hidden="false" customHeight="true" outlineLevel="0" collapsed="false">
      <c r="B144" s="15"/>
      <c r="C144" s="35" t="s">
        <v>152</v>
      </c>
      <c r="D144" s="33" t="n">
        <v>11624</v>
      </c>
      <c r="E144" s="15" t="s">
        <v>27</v>
      </c>
      <c r="F144" s="15"/>
      <c r="G144" s="29" t="n">
        <f aca="false">L144*K144/1000</f>
        <v>0</v>
      </c>
      <c r="H144" s="17"/>
      <c r="I144" s="17"/>
      <c r="K144" s="30"/>
      <c r="L144" s="31" t="n">
        <f aca="false">L143</f>
        <v>60</v>
      </c>
      <c r="M144" s="31" t="n">
        <f aca="false">M143</f>
        <v>137</v>
      </c>
      <c r="N144" s="0" t="n">
        <f aca="false">O144+P144+Q144+R144+S144</f>
        <v>0</v>
      </c>
      <c r="O144" s="32"/>
      <c r="P144" s="32"/>
      <c r="Q144" s="32"/>
      <c r="R144" s="33"/>
      <c r="S144" s="33"/>
      <c r="U144" s="2"/>
    </row>
    <row r="145" customFormat="false" ht="14.25" hidden="false" customHeight="true" outlineLevel="0" collapsed="false">
      <c r="B145" s="15"/>
      <c r="C145" s="35" t="s">
        <v>153</v>
      </c>
      <c r="D145" s="33" t="n">
        <v>11625</v>
      </c>
      <c r="E145" s="15" t="s">
        <v>27</v>
      </c>
      <c r="F145" s="15"/>
      <c r="G145" s="29" t="n">
        <f aca="false">L145*K145/1000</f>
        <v>0</v>
      </c>
      <c r="H145" s="17"/>
      <c r="I145" s="17"/>
      <c r="K145" s="30"/>
      <c r="L145" s="31" t="n">
        <f aca="false">L144</f>
        <v>60</v>
      </c>
      <c r="M145" s="31" t="n">
        <f aca="false">M144</f>
        <v>137</v>
      </c>
      <c r="N145" s="0" t="n">
        <f aca="false">O145+P145+Q145+R145+S145</f>
        <v>0</v>
      </c>
      <c r="O145" s="32"/>
      <c r="P145" s="32"/>
      <c r="Q145" s="32"/>
      <c r="R145" s="33"/>
      <c r="S145" s="33"/>
      <c r="U145" s="2"/>
    </row>
    <row r="146" customFormat="false" ht="14.25" hidden="false" customHeight="true" outlineLevel="0" collapsed="false">
      <c r="B146" s="36"/>
      <c r="C146" s="35" t="s">
        <v>154</v>
      </c>
      <c r="D146" s="33" t="n">
        <v>11626</v>
      </c>
      <c r="E146" s="15" t="s">
        <v>27</v>
      </c>
      <c r="F146" s="15"/>
      <c r="G146" s="29" t="n">
        <f aca="false">L146*K146/1000</f>
        <v>0</v>
      </c>
      <c r="H146" s="17"/>
      <c r="I146" s="17"/>
      <c r="K146" s="30"/>
      <c r="L146" s="31" t="n">
        <f aca="false">L145</f>
        <v>60</v>
      </c>
      <c r="M146" s="31" t="n">
        <f aca="false">M145</f>
        <v>137</v>
      </c>
      <c r="N146" s="0" t="n">
        <f aca="false">O146+P146+Q146+R146+S146</f>
        <v>0</v>
      </c>
      <c r="O146" s="32"/>
      <c r="P146" s="32"/>
      <c r="Q146" s="32"/>
      <c r="R146" s="33"/>
      <c r="S146" s="33"/>
      <c r="U146" s="2"/>
    </row>
    <row r="147" customFormat="false" ht="14.25" hidden="false" customHeight="true" outlineLevel="0" collapsed="false">
      <c r="B147" s="17"/>
      <c r="C147" s="35" t="s">
        <v>155</v>
      </c>
      <c r="D147" s="33" t="n">
        <v>11627</v>
      </c>
      <c r="E147" s="15" t="s">
        <v>27</v>
      </c>
      <c r="F147" s="15"/>
      <c r="G147" s="29" t="n">
        <f aca="false">L147*K147/1000</f>
        <v>0</v>
      </c>
      <c r="H147" s="17"/>
      <c r="I147" s="17"/>
      <c r="K147" s="30"/>
      <c r="L147" s="31" t="n">
        <f aca="false">L146</f>
        <v>60</v>
      </c>
      <c r="M147" s="31" t="n">
        <f aca="false">M146</f>
        <v>137</v>
      </c>
      <c r="N147" s="0" t="n">
        <f aca="false">O147+P147+Q147+R147+S147</f>
        <v>0</v>
      </c>
      <c r="O147" s="32"/>
      <c r="P147" s="32"/>
      <c r="Q147" s="32"/>
      <c r="R147" s="33"/>
      <c r="S147" s="33"/>
      <c r="U147" s="2"/>
    </row>
    <row r="148" customFormat="false" ht="14.25" hidden="false" customHeight="true" outlineLevel="0" collapsed="false">
      <c r="B148" s="36"/>
      <c r="C148" s="35" t="s">
        <v>156</v>
      </c>
      <c r="D148" s="33" t="n">
        <v>11628</v>
      </c>
      <c r="E148" s="15" t="s">
        <v>27</v>
      </c>
      <c r="F148" s="15"/>
      <c r="G148" s="29" t="n">
        <f aca="false">L148*K148/1000</f>
        <v>0</v>
      </c>
      <c r="H148" s="17"/>
      <c r="I148" s="17"/>
      <c r="K148" s="30"/>
      <c r="L148" s="31" t="n">
        <f aca="false">L147</f>
        <v>60</v>
      </c>
      <c r="M148" s="31" t="n">
        <f aca="false">M147</f>
        <v>137</v>
      </c>
      <c r="N148" s="0" t="n">
        <f aca="false">O148+P148+Q148+R148+S148</f>
        <v>0</v>
      </c>
      <c r="O148" s="32"/>
      <c r="P148" s="32"/>
      <c r="Q148" s="32"/>
      <c r="R148" s="33"/>
      <c r="S148" s="33"/>
      <c r="U148" s="2"/>
    </row>
    <row r="149" customFormat="false" ht="14.25" hidden="false" customHeight="true" outlineLevel="0" collapsed="false">
      <c r="B149" s="15"/>
      <c r="C149" s="35" t="s">
        <v>157</v>
      </c>
      <c r="D149" s="33" t="n">
        <v>11629</v>
      </c>
      <c r="E149" s="15" t="s">
        <v>27</v>
      </c>
      <c r="F149" s="15"/>
      <c r="G149" s="29" t="n">
        <f aca="false">L149*K149/1000</f>
        <v>0</v>
      </c>
      <c r="H149" s="17"/>
      <c r="I149" s="17"/>
      <c r="K149" s="30"/>
      <c r="L149" s="31" t="n">
        <f aca="false">L148</f>
        <v>60</v>
      </c>
      <c r="M149" s="31" t="n">
        <f aca="false">M148</f>
        <v>137</v>
      </c>
      <c r="N149" s="0" t="n">
        <f aca="false">O149+P149+Q149+R149+S149</f>
        <v>0</v>
      </c>
      <c r="O149" s="32"/>
      <c r="P149" s="32"/>
      <c r="Q149" s="32"/>
      <c r="R149" s="33"/>
      <c r="S149" s="33"/>
      <c r="U149" s="2"/>
    </row>
    <row r="150" customFormat="false" ht="14.25" hidden="false" customHeight="true" outlineLevel="0" collapsed="false">
      <c r="B150" s="15"/>
      <c r="C150" s="35" t="s">
        <v>158</v>
      </c>
      <c r="D150" s="33" t="n">
        <v>11630</v>
      </c>
      <c r="E150" s="15" t="s">
        <v>27</v>
      </c>
      <c r="F150" s="15"/>
      <c r="G150" s="29" t="n">
        <f aca="false">L150*K150/1000</f>
        <v>0</v>
      </c>
      <c r="H150" s="17"/>
      <c r="I150" s="17"/>
      <c r="K150" s="30"/>
      <c r="L150" s="31" t="n">
        <f aca="false">L149</f>
        <v>60</v>
      </c>
      <c r="M150" s="31" t="n">
        <f aca="false">M149</f>
        <v>137</v>
      </c>
      <c r="N150" s="0" t="n">
        <f aca="false">O150+P150+Q150+R150+S150</f>
        <v>0</v>
      </c>
      <c r="O150" s="32"/>
      <c r="P150" s="32"/>
      <c r="Q150" s="32"/>
      <c r="R150" s="33"/>
      <c r="S150" s="33"/>
      <c r="U150" s="2"/>
    </row>
    <row r="151" customFormat="false" ht="14.25" hidden="false" customHeight="true" outlineLevel="0" collapsed="false">
      <c r="B151" s="15"/>
      <c r="C151" s="35" t="s">
        <v>159</v>
      </c>
      <c r="D151" s="33" t="n">
        <v>11631</v>
      </c>
      <c r="E151" s="15" t="s">
        <v>27</v>
      </c>
      <c r="F151" s="15"/>
      <c r="G151" s="29" t="n">
        <f aca="false">L151*K151/1000</f>
        <v>0</v>
      </c>
      <c r="H151" s="17"/>
      <c r="I151" s="17"/>
      <c r="K151" s="30"/>
      <c r="L151" s="31" t="n">
        <f aca="false">L150</f>
        <v>60</v>
      </c>
      <c r="M151" s="31" t="n">
        <f aca="false">M150</f>
        <v>137</v>
      </c>
      <c r="N151" s="0" t="n">
        <f aca="false">O151+P151+Q151+R151+S151</f>
        <v>0</v>
      </c>
      <c r="O151" s="32"/>
      <c r="P151" s="32"/>
      <c r="Q151" s="32"/>
      <c r="R151" s="33"/>
      <c r="S151" s="33"/>
      <c r="U151" s="2"/>
    </row>
    <row r="152" customFormat="false" ht="14.25" hidden="false" customHeight="true" outlineLevel="0" collapsed="false">
      <c r="B152" s="15"/>
      <c r="C152" s="35" t="s">
        <v>160</v>
      </c>
      <c r="D152" s="33" t="n">
        <v>11633</v>
      </c>
      <c r="E152" s="15" t="s">
        <v>27</v>
      </c>
      <c r="F152" s="15"/>
      <c r="G152" s="29" t="n">
        <f aca="false">L152*K152/1000</f>
        <v>0</v>
      </c>
      <c r="H152" s="17"/>
      <c r="I152" s="17"/>
      <c r="K152" s="30"/>
      <c r="L152" s="31" t="n">
        <f aca="false">L151</f>
        <v>60</v>
      </c>
      <c r="M152" s="31" t="n">
        <f aca="false">M151</f>
        <v>137</v>
      </c>
      <c r="N152" s="0" t="n">
        <f aca="false">O152+P152+Q152+R152+S152</f>
        <v>0</v>
      </c>
      <c r="O152" s="32"/>
      <c r="P152" s="32"/>
      <c r="Q152" s="32"/>
      <c r="R152" s="33"/>
      <c r="S152" s="33"/>
      <c r="U152" s="2"/>
    </row>
    <row r="153" customFormat="false" ht="14.25" hidden="false" customHeight="true" outlineLevel="0" collapsed="false">
      <c r="B153" s="34"/>
      <c r="C153" s="35" t="s">
        <v>161</v>
      </c>
      <c r="D153" s="33" t="n">
        <v>11634</v>
      </c>
      <c r="E153" s="15" t="s">
        <v>27</v>
      </c>
      <c r="F153" s="15"/>
      <c r="G153" s="29" t="n">
        <f aca="false">L153*K153/1000</f>
        <v>0</v>
      </c>
      <c r="H153" s="17"/>
      <c r="I153" s="17"/>
      <c r="K153" s="30"/>
      <c r="L153" s="31" t="n">
        <f aca="false">L149</f>
        <v>60</v>
      </c>
      <c r="M153" s="31" t="n">
        <f aca="false">M151</f>
        <v>137</v>
      </c>
      <c r="N153" s="0" t="n">
        <f aca="false">O153+P153+Q153+R153+S153</f>
        <v>0</v>
      </c>
      <c r="O153" s="32"/>
      <c r="P153" s="32"/>
      <c r="Q153" s="32"/>
      <c r="R153" s="33"/>
      <c r="S153" s="33"/>
      <c r="U153" s="2"/>
    </row>
    <row r="154" customFormat="false" ht="14.25" hidden="false" customHeight="true" outlineLevel="0" collapsed="false">
      <c r="B154" s="15"/>
      <c r="C154" s="35" t="s">
        <v>162</v>
      </c>
      <c r="D154" s="33" t="n">
        <v>11635</v>
      </c>
      <c r="E154" s="15" t="s">
        <v>27</v>
      </c>
      <c r="F154" s="15"/>
      <c r="G154" s="29" t="n">
        <f aca="false">L154*K154/1000</f>
        <v>0</v>
      </c>
      <c r="H154" s="17"/>
      <c r="I154" s="17"/>
      <c r="K154" s="30"/>
      <c r="L154" s="31" t="n">
        <f aca="false">L153</f>
        <v>60</v>
      </c>
      <c r="M154" s="31" t="n">
        <f aca="false">M153</f>
        <v>137</v>
      </c>
      <c r="N154" s="0" t="n">
        <f aca="false">O154+P154+Q154+R154+S154</f>
        <v>0</v>
      </c>
      <c r="O154" s="32"/>
      <c r="P154" s="32"/>
      <c r="Q154" s="32"/>
      <c r="R154" s="33"/>
      <c r="S154" s="33"/>
      <c r="U154" s="2"/>
    </row>
    <row r="155" customFormat="false" ht="14.25" hidden="false" customHeight="true" outlineLevel="0" collapsed="false">
      <c r="B155" s="15"/>
      <c r="C155" s="35" t="s">
        <v>163</v>
      </c>
      <c r="D155" s="33" t="n">
        <v>11636</v>
      </c>
      <c r="E155" s="15" t="s">
        <v>27</v>
      </c>
      <c r="F155" s="15"/>
      <c r="G155" s="29" t="n">
        <f aca="false">L155*K155/1000</f>
        <v>0</v>
      </c>
      <c r="H155" s="17"/>
      <c r="I155" s="17"/>
      <c r="K155" s="30"/>
      <c r="L155" s="31" t="n">
        <f aca="false">L154</f>
        <v>60</v>
      </c>
      <c r="M155" s="31" t="n">
        <f aca="false">M154</f>
        <v>137</v>
      </c>
      <c r="N155" s="0" t="n">
        <f aca="false">O155+P155+Q155+R155+S155</f>
        <v>0</v>
      </c>
      <c r="O155" s="32"/>
      <c r="P155" s="32"/>
      <c r="Q155" s="32"/>
      <c r="R155" s="33"/>
      <c r="S155" s="33"/>
      <c r="U155" s="2"/>
    </row>
    <row r="156" customFormat="false" ht="14.25" hidden="false" customHeight="true" outlineLevel="0" collapsed="false">
      <c r="B156" s="34"/>
      <c r="C156" s="35" t="s">
        <v>164</v>
      </c>
      <c r="D156" s="33" t="n">
        <v>11637</v>
      </c>
      <c r="E156" s="15" t="s">
        <v>27</v>
      </c>
      <c r="F156" s="15"/>
      <c r="G156" s="29" t="n">
        <f aca="false">L156*K156/1000</f>
        <v>0</v>
      </c>
      <c r="H156" s="17"/>
      <c r="I156" s="17"/>
      <c r="K156" s="30"/>
      <c r="L156" s="31" t="n">
        <f aca="false">L155</f>
        <v>60</v>
      </c>
      <c r="M156" s="31" t="n">
        <f aca="false">M155</f>
        <v>137</v>
      </c>
      <c r="N156" s="0" t="n">
        <f aca="false">O156+P156+Q156+R156+S156</f>
        <v>0</v>
      </c>
      <c r="O156" s="32"/>
      <c r="P156" s="32"/>
      <c r="Q156" s="32"/>
      <c r="R156" s="33"/>
      <c r="S156" s="33"/>
      <c r="U156" s="2"/>
    </row>
    <row r="157" customFormat="false" ht="14.25" hidden="false" customHeight="true" outlineLevel="0" collapsed="false">
      <c r="B157" s="34"/>
      <c r="C157" s="35" t="s">
        <v>165</v>
      </c>
      <c r="D157" s="33" t="n">
        <v>11638</v>
      </c>
      <c r="E157" s="15" t="s">
        <v>27</v>
      </c>
      <c r="F157" s="15"/>
      <c r="G157" s="29" t="n">
        <f aca="false">L157*K157/1000</f>
        <v>0</v>
      </c>
      <c r="H157" s="17"/>
      <c r="I157" s="17"/>
      <c r="K157" s="30"/>
      <c r="L157" s="31" t="n">
        <f aca="false">L156</f>
        <v>60</v>
      </c>
      <c r="M157" s="31" t="n">
        <f aca="false">M156</f>
        <v>137</v>
      </c>
      <c r="N157" s="0" t="n">
        <f aca="false">O157+P157+Q157+R157+S157</f>
        <v>0</v>
      </c>
      <c r="O157" s="32"/>
      <c r="P157" s="32"/>
      <c r="Q157" s="32"/>
      <c r="R157" s="33"/>
      <c r="S157" s="33"/>
      <c r="U157" s="2"/>
    </row>
    <row r="158" customFormat="false" ht="14.25" hidden="false" customHeight="true" outlineLevel="0" collapsed="false">
      <c r="B158" s="34"/>
      <c r="C158" s="35" t="s">
        <v>166</v>
      </c>
      <c r="D158" s="33" t="n">
        <v>11639</v>
      </c>
      <c r="E158" s="15" t="s">
        <v>27</v>
      </c>
      <c r="F158" s="15"/>
      <c r="G158" s="29" t="n">
        <f aca="false">L158*K158/1000</f>
        <v>0</v>
      </c>
      <c r="H158" s="17"/>
      <c r="I158" s="17"/>
      <c r="K158" s="30"/>
      <c r="L158" s="31" t="n">
        <f aca="false">L157</f>
        <v>60</v>
      </c>
      <c r="M158" s="31" t="n">
        <f aca="false">M157</f>
        <v>137</v>
      </c>
      <c r="N158" s="0" t="n">
        <f aca="false">O158+P158+Q158+R158+S158</f>
        <v>0</v>
      </c>
      <c r="O158" s="32"/>
      <c r="P158" s="32"/>
      <c r="Q158" s="32"/>
      <c r="R158" s="33"/>
      <c r="S158" s="33"/>
      <c r="U158" s="2"/>
    </row>
    <row r="159" customFormat="false" ht="14.25" hidden="false" customHeight="true" outlineLevel="0" collapsed="false">
      <c r="B159" s="34"/>
      <c r="C159" s="35" t="s">
        <v>167</v>
      </c>
      <c r="D159" s="33" t="n">
        <v>12001</v>
      </c>
      <c r="E159" s="15" t="s">
        <v>27</v>
      </c>
      <c r="F159" s="15"/>
      <c r="G159" s="29" t="n">
        <f aca="false">L159*K159/1000</f>
        <v>0</v>
      </c>
      <c r="H159" s="17"/>
      <c r="I159" s="17"/>
      <c r="K159" s="30"/>
      <c r="L159" s="31" t="n">
        <f aca="false">L158</f>
        <v>60</v>
      </c>
      <c r="M159" s="31" t="n">
        <f aca="false">M158</f>
        <v>137</v>
      </c>
      <c r="N159" s="0" t="n">
        <f aca="false">O159+P159+Q159+R159+S159</f>
        <v>0</v>
      </c>
      <c r="O159" s="32"/>
      <c r="P159" s="32"/>
      <c r="Q159" s="32"/>
      <c r="R159" s="33"/>
      <c r="S159" s="33"/>
      <c r="U159" s="2"/>
    </row>
    <row r="160" customFormat="false" ht="14.25" hidden="false" customHeight="true" outlineLevel="0" collapsed="false">
      <c r="B160" s="15"/>
      <c r="C160" s="35" t="s">
        <v>168</v>
      </c>
      <c r="D160" s="33" t="n">
        <v>12003</v>
      </c>
      <c r="E160" s="15" t="s">
        <v>27</v>
      </c>
      <c r="F160" s="15"/>
      <c r="G160" s="29" t="n">
        <f aca="false">L160*K160/1000</f>
        <v>0</v>
      </c>
      <c r="H160" s="17"/>
      <c r="I160" s="17"/>
      <c r="K160" s="30"/>
      <c r="L160" s="31" t="n">
        <f aca="false">L159</f>
        <v>60</v>
      </c>
      <c r="M160" s="31" t="n">
        <f aca="false">M159</f>
        <v>137</v>
      </c>
      <c r="N160" s="0" t="n">
        <f aca="false">O160+P160+Q160+R160+S160</f>
        <v>0</v>
      </c>
      <c r="O160" s="32"/>
      <c r="P160" s="32"/>
      <c r="Q160" s="32"/>
      <c r="R160" s="33"/>
      <c r="S160" s="33"/>
      <c r="U160" s="2"/>
    </row>
    <row r="161" customFormat="false" ht="14.25" hidden="false" customHeight="true" outlineLevel="0" collapsed="false">
      <c r="B161" s="15"/>
      <c r="C161" s="35" t="s">
        <v>169</v>
      </c>
      <c r="D161" s="33" t="n">
        <v>12004</v>
      </c>
      <c r="E161" s="15" t="s">
        <v>27</v>
      </c>
      <c r="F161" s="15"/>
      <c r="G161" s="29" t="n">
        <f aca="false">L161*K161/1000</f>
        <v>0</v>
      </c>
      <c r="H161" s="17"/>
      <c r="I161" s="17"/>
      <c r="K161" s="30"/>
      <c r="L161" s="31" t="n">
        <f aca="false">L160</f>
        <v>60</v>
      </c>
      <c r="M161" s="31" t="n">
        <f aca="false">M160</f>
        <v>137</v>
      </c>
      <c r="N161" s="0" t="n">
        <f aca="false">O161+P161+Q161+R161+S161</f>
        <v>0</v>
      </c>
      <c r="O161" s="32"/>
      <c r="P161" s="32"/>
      <c r="Q161" s="32"/>
      <c r="R161" s="33"/>
      <c r="S161" s="33"/>
      <c r="U161" s="2"/>
    </row>
    <row r="162" customFormat="false" ht="14.25" hidden="false" customHeight="true" outlineLevel="0" collapsed="false">
      <c r="B162" s="15"/>
      <c r="C162" s="35" t="s">
        <v>170</v>
      </c>
      <c r="D162" s="33" t="n">
        <v>12005</v>
      </c>
      <c r="E162" s="15" t="s">
        <v>27</v>
      </c>
      <c r="F162" s="15"/>
      <c r="G162" s="29" t="n">
        <f aca="false">L162*K162/1000</f>
        <v>0</v>
      </c>
      <c r="H162" s="17"/>
      <c r="I162" s="17"/>
      <c r="K162" s="30"/>
      <c r="L162" s="31" t="n">
        <f aca="false">L161</f>
        <v>60</v>
      </c>
      <c r="M162" s="31" t="n">
        <f aca="false">M161</f>
        <v>137</v>
      </c>
      <c r="N162" s="0" t="n">
        <f aca="false">O162+P162+Q162+R162+S162</f>
        <v>0</v>
      </c>
      <c r="O162" s="32"/>
      <c r="P162" s="32"/>
      <c r="Q162" s="32"/>
      <c r="R162" s="33"/>
      <c r="S162" s="33"/>
      <c r="U162" s="2"/>
    </row>
    <row r="163" customFormat="false" ht="14.25" hidden="false" customHeight="true" outlineLevel="0" collapsed="false">
      <c r="B163" s="15"/>
      <c r="C163" s="35" t="s">
        <v>171</v>
      </c>
      <c r="D163" s="33" t="n">
        <v>12007</v>
      </c>
      <c r="E163" s="15" t="s">
        <v>27</v>
      </c>
      <c r="F163" s="15"/>
      <c r="G163" s="29" t="n">
        <f aca="false">L163*K163/1000</f>
        <v>0</v>
      </c>
      <c r="H163" s="17"/>
      <c r="I163" s="17"/>
      <c r="K163" s="30"/>
      <c r="L163" s="31" t="n">
        <f aca="false">L162</f>
        <v>60</v>
      </c>
      <c r="M163" s="31" t="n">
        <f aca="false">M162</f>
        <v>137</v>
      </c>
      <c r="N163" s="0" t="n">
        <f aca="false">O163+P163+Q163+R163+S163</f>
        <v>0</v>
      </c>
      <c r="O163" s="32"/>
      <c r="P163" s="32"/>
      <c r="Q163" s="32"/>
      <c r="R163" s="33"/>
      <c r="S163" s="33"/>
      <c r="U163" s="2"/>
    </row>
    <row r="164" customFormat="false" ht="14.25" hidden="false" customHeight="true" outlineLevel="0" collapsed="false">
      <c r="B164" s="15"/>
      <c r="C164" s="35" t="s">
        <v>172</v>
      </c>
      <c r="D164" s="33" t="n">
        <v>12008</v>
      </c>
      <c r="E164" s="15" t="s">
        <v>27</v>
      </c>
      <c r="F164" s="15"/>
      <c r="G164" s="29" t="n">
        <f aca="false">L164*K164/1000</f>
        <v>0</v>
      </c>
      <c r="H164" s="17"/>
      <c r="I164" s="17"/>
      <c r="K164" s="30"/>
      <c r="L164" s="31" t="n">
        <f aca="false">L163</f>
        <v>60</v>
      </c>
      <c r="M164" s="31" t="n">
        <f aca="false">M163</f>
        <v>137</v>
      </c>
      <c r="N164" s="0" t="n">
        <f aca="false">O164+P164+Q164+R164+S164</f>
        <v>0</v>
      </c>
      <c r="O164" s="32"/>
      <c r="P164" s="32"/>
      <c r="Q164" s="32"/>
      <c r="R164" s="33"/>
      <c r="S164" s="33"/>
      <c r="U164" s="2"/>
    </row>
    <row r="165" customFormat="false" ht="14.25" hidden="false" customHeight="true" outlineLevel="0" collapsed="false">
      <c r="B165" s="34"/>
      <c r="C165" s="35" t="s">
        <v>173</v>
      </c>
      <c r="D165" s="33" t="n">
        <v>12009</v>
      </c>
      <c r="E165" s="15" t="s">
        <v>27</v>
      </c>
      <c r="F165" s="15"/>
      <c r="G165" s="29" t="n">
        <f aca="false">L165*K165/1000</f>
        <v>0</v>
      </c>
      <c r="H165" s="17"/>
      <c r="I165" s="17"/>
      <c r="K165" s="30"/>
      <c r="L165" s="31" t="n">
        <f aca="false">L163</f>
        <v>60</v>
      </c>
      <c r="M165" s="31" t="n">
        <f aca="false">M163</f>
        <v>137</v>
      </c>
      <c r="N165" s="0" t="n">
        <f aca="false">O165+P165+Q165+R165+S165</f>
        <v>0</v>
      </c>
      <c r="O165" s="32"/>
      <c r="P165" s="32"/>
      <c r="Q165" s="32"/>
      <c r="R165" s="33"/>
      <c r="S165" s="33"/>
      <c r="U165" s="2"/>
    </row>
    <row r="166" customFormat="false" ht="14.25" hidden="false" customHeight="true" outlineLevel="0" collapsed="false">
      <c r="B166" s="34"/>
      <c r="C166" s="35" t="s">
        <v>174</v>
      </c>
      <c r="D166" s="33" t="n">
        <v>12010</v>
      </c>
      <c r="E166" s="15" t="s">
        <v>27</v>
      </c>
      <c r="F166" s="15"/>
      <c r="G166" s="29" t="n">
        <f aca="false">L166*K166/1000</f>
        <v>0</v>
      </c>
      <c r="H166" s="17"/>
      <c r="I166" s="17"/>
      <c r="K166" s="30"/>
      <c r="L166" s="31" t="n">
        <f aca="false">L165</f>
        <v>60</v>
      </c>
      <c r="M166" s="31" t="n">
        <f aca="false">M165</f>
        <v>137</v>
      </c>
      <c r="N166" s="0" t="n">
        <f aca="false">O166+P166+Q166+R166+S166</f>
        <v>0</v>
      </c>
      <c r="O166" s="32"/>
      <c r="P166" s="32"/>
      <c r="Q166" s="32"/>
      <c r="R166" s="33"/>
      <c r="S166" s="33"/>
      <c r="U166" s="2"/>
    </row>
    <row r="167" customFormat="false" ht="14.25" hidden="false" customHeight="true" outlineLevel="0" collapsed="false">
      <c r="B167" s="15"/>
      <c r="C167" s="35" t="s">
        <v>175</v>
      </c>
      <c r="D167" s="33" t="n">
        <v>12011</v>
      </c>
      <c r="E167" s="15" t="s">
        <v>27</v>
      </c>
      <c r="F167" s="15"/>
      <c r="G167" s="29" t="n">
        <f aca="false">L167*K167/1000</f>
        <v>0</v>
      </c>
      <c r="H167" s="17"/>
      <c r="I167" s="17"/>
      <c r="K167" s="30"/>
      <c r="L167" s="31" t="n">
        <f aca="false">L166</f>
        <v>60</v>
      </c>
      <c r="M167" s="31" t="n">
        <f aca="false">M166</f>
        <v>137</v>
      </c>
      <c r="N167" s="0" t="n">
        <f aca="false">O167+P167+Q167+R167+S167</f>
        <v>0</v>
      </c>
      <c r="O167" s="32"/>
      <c r="P167" s="32"/>
      <c r="Q167" s="32"/>
      <c r="R167" s="33"/>
      <c r="S167" s="33"/>
      <c r="U167" s="2"/>
    </row>
    <row r="168" customFormat="false" ht="14.25" hidden="false" customHeight="true" outlineLevel="0" collapsed="false">
      <c r="B168" s="15"/>
      <c r="C168" s="35" t="s">
        <v>176</v>
      </c>
      <c r="D168" s="33" t="n">
        <v>12012</v>
      </c>
      <c r="E168" s="15" t="s">
        <v>27</v>
      </c>
      <c r="F168" s="15"/>
      <c r="G168" s="29" t="n">
        <f aca="false">L168*K168/1000</f>
        <v>0</v>
      </c>
      <c r="H168" s="17"/>
      <c r="I168" s="17"/>
      <c r="K168" s="30"/>
      <c r="L168" s="31" t="n">
        <f aca="false">L167</f>
        <v>60</v>
      </c>
      <c r="M168" s="31" t="n">
        <f aca="false">M167</f>
        <v>137</v>
      </c>
      <c r="N168" s="0" t="n">
        <f aca="false">O168+P168+Q168+R168+S168</f>
        <v>0</v>
      </c>
      <c r="O168" s="32"/>
      <c r="P168" s="32"/>
      <c r="Q168" s="32"/>
      <c r="R168" s="33"/>
      <c r="S168" s="33"/>
      <c r="U168" s="2"/>
    </row>
    <row r="169" customFormat="false" ht="14.25" hidden="false" customHeight="true" outlineLevel="0" collapsed="false">
      <c r="B169" s="36"/>
      <c r="C169" s="35" t="s">
        <v>177</v>
      </c>
      <c r="D169" s="33" t="n">
        <v>12013</v>
      </c>
      <c r="E169" s="15" t="s">
        <v>27</v>
      </c>
      <c r="F169" s="15"/>
      <c r="G169" s="29" t="n">
        <f aca="false">L169*K169/1000</f>
        <v>0</v>
      </c>
      <c r="H169" s="17"/>
      <c r="I169" s="17"/>
      <c r="K169" s="30"/>
      <c r="L169" s="31" t="n">
        <f aca="false">L168</f>
        <v>60</v>
      </c>
      <c r="M169" s="31" t="n">
        <f aca="false">M168</f>
        <v>137</v>
      </c>
      <c r="N169" s="0" t="n">
        <f aca="false">O169+P169+Q169+R169+S169</f>
        <v>0</v>
      </c>
      <c r="O169" s="32"/>
      <c r="P169" s="32"/>
      <c r="Q169" s="32"/>
      <c r="R169" s="33"/>
      <c r="S169" s="33"/>
      <c r="U169" s="2"/>
    </row>
    <row r="170" customFormat="false" ht="14.25" hidden="false" customHeight="true" outlineLevel="0" collapsed="false">
      <c r="B170" s="15"/>
      <c r="C170" s="35" t="s">
        <v>178</v>
      </c>
      <c r="D170" s="33" t="n">
        <v>12014</v>
      </c>
      <c r="E170" s="15" t="s">
        <v>27</v>
      </c>
      <c r="F170" s="15"/>
      <c r="G170" s="29" t="n">
        <f aca="false">L170*K170/1000</f>
        <v>0</v>
      </c>
      <c r="H170" s="17"/>
      <c r="I170" s="17"/>
      <c r="K170" s="30"/>
      <c r="L170" s="31" t="n">
        <f aca="false">L169</f>
        <v>60</v>
      </c>
      <c r="M170" s="31" t="n">
        <f aca="false">M169</f>
        <v>137</v>
      </c>
      <c r="N170" s="0" t="n">
        <f aca="false">O170+P170+Q170+R170+S170</f>
        <v>0</v>
      </c>
      <c r="O170" s="32"/>
      <c r="P170" s="32"/>
      <c r="Q170" s="32"/>
      <c r="R170" s="33"/>
      <c r="S170" s="33"/>
      <c r="U170" s="2"/>
    </row>
    <row r="171" customFormat="false" ht="14.25" hidden="false" customHeight="true" outlineLevel="0" collapsed="false">
      <c r="B171" s="15"/>
      <c r="C171" s="35" t="s">
        <v>179</v>
      </c>
      <c r="D171" s="33" t="n">
        <v>12016</v>
      </c>
      <c r="E171" s="15" t="s">
        <v>27</v>
      </c>
      <c r="F171" s="15"/>
      <c r="G171" s="29" t="n">
        <f aca="false">L171*K171/1000</f>
        <v>0</v>
      </c>
      <c r="H171" s="17"/>
      <c r="I171" s="17"/>
      <c r="K171" s="30"/>
      <c r="L171" s="31" t="n">
        <f aca="false">L170</f>
        <v>60</v>
      </c>
      <c r="M171" s="31" t="n">
        <f aca="false">M170</f>
        <v>137</v>
      </c>
      <c r="N171" s="0" t="n">
        <f aca="false">O171+P171+Q171+R171+S171</f>
        <v>0</v>
      </c>
      <c r="O171" s="32"/>
      <c r="P171" s="32"/>
      <c r="Q171" s="32"/>
      <c r="R171" s="33"/>
      <c r="S171" s="33"/>
      <c r="U171" s="2"/>
    </row>
    <row r="172" customFormat="false" ht="14.25" hidden="false" customHeight="true" outlineLevel="0" collapsed="false">
      <c r="B172" s="15"/>
      <c r="C172" s="35" t="s">
        <v>180</v>
      </c>
      <c r="D172" s="33" t="n">
        <v>12020</v>
      </c>
      <c r="E172" s="15" t="s">
        <v>27</v>
      </c>
      <c r="F172" s="15"/>
      <c r="G172" s="29" t="n">
        <f aca="false">L172*K172/1000</f>
        <v>0</v>
      </c>
      <c r="H172" s="17"/>
      <c r="I172" s="17"/>
      <c r="K172" s="30"/>
      <c r="L172" s="31" t="n">
        <f aca="false">L171</f>
        <v>60</v>
      </c>
      <c r="M172" s="31" t="n">
        <f aca="false">M171</f>
        <v>137</v>
      </c>
      <c r="N172" s="0" t="n">
        <f aca="false">O172+P172+Q172+R172+S172</f>
        <v>0</v>
      </c>
      <c r="O172" s="32"/>
      <c r="P172" s="32"/>
      <c r="Q172" s="32"/>
      <c r="R172" s="33"/>
      <c r="S172" s="33"/>
      <c r="U172" s="2"/>
    </row>
    <row r="173" customFormat="false" ht="14.25" hidden="false" customHeight="true" outlineLevel="0" collapsed="false">
      <c r="B173" s="17"/>
      <c r="C173" s="35" t="s">
        <v>181</v>
      </c>
      <c r="D173" s="33" t="n">
        <v>12022</v>
      </c>
      <c r="E173" s="15" t="s">
        <v>27</v>
      </c>
      <c r="F173" s="15"/>
      <c r="G173" s="29" t="n">
        <f aca="false">L173*K173/1000</f>
        <v>0</v>
      </c>
      <c r="H173" s="17"/>
      <c r="I173" s="17"/>
      <c r="K173" s="30"/>
      <c r="L173" s="31" t="n">
        <f aca="false">L172</f>
        <v>60</v>
      </c>
      <c r="M173" s="31" t="n">
        <f aca="false">M172</f>
        <v>137</v>
      </c>
      <c r="N173" s="0" t="n">
        <f aca="false">O173+P173+Q173+R173+S173</f>
        <v>0</v>
      </c>
      <c r="O173" s="32"/>
      <c r="P173" s="32"/>
      <c r="Q173" s="32"/>
      <c r="R173" s="33"/>
      <c r="S173" s="33"/>
      <c r="U173" s="2"/>
    </row>
    <row r="174" customFormat="false" ht="16.5" hidden="false" customHeight="false" outlineLevel="0" collapsed="false">
      <c r="B174" s="15"/>
      <c r="C174" s="35" t="s">
        <v>182</v>
      </c>
      <c r="D174" s="33" t="n">
        <v>12023</v>
      </c>
      <c r="E174" s="15" t="s">
        <v>27</v>
      </c>
      <c r="F174" s="15"/>
      <c r="G174" s="29" t="n">
        <f aca="false">L174*K174/1000</f>
        <v>0</v>
      </c>
      <c r="H174" s="17"/>
      <c r="I174" s="17"/>
      <c r="K174" s="30"/>
      <c r="L174" s="31" t="n">
        <f aca="false">L173</f>
        <v>60</v>
      </c>
      <c r="M174" s="31" t="n">
        <f aca="false">M173</f>
        <v>137</v>
      </c>
      <c r="N174" s="0" t="n">
        <f aca="false">O174+P174+Q174+R174+S174</f>
        <v>0</v>
      </c>
      <c r="O174" s="32"/>
      <c r="P174" s="32"/>
      <c r="Q174" s="32"/>
      <c r="R174" s="33"/>
      <c r="S174" s="33"/>
      <c r="U174" s="2"/>
    </row>
    <row r="175" customFormat="false" ht="15" hidden="false" customHeight="true" outlineLevel="0" collapsed="false">
      <c r="B175" s="15"/>
      <c r="C175" s="35" t="s">
        <v>183</v>
      </c>
      <c r="D175" s="33" t="n">
        <v>12024</v>
      </c>
      <c r="E175" s="15" t="s">
        <v>27</v>
      </c>
      <c r="F175" s="15"/>
      <c r="G175" s="29" t="n">
        <f aca="false">L175*K175/1000</f>
        <v>0</v>
      </c>
      <c r="H175" s="17"/>
      <c r="I175" s="17"/>
      <c r="K175" s="30"/>
      <c r="L175" s="31" t="n">
        <f aca="false">L174</f>
        <v>60</v>
      </c>
      <c r="M175" s="31" t="n">
        <f aca="false">M174</f>
        <v>137</v>
      </c>
      <c r="N175" s="0" t="n">
        <f aca="false">O175+P175+Q175+R175+S175</f>
        <v>0</v>
      </c>
      <c r="O175" s="32"/>
      <c r="P175" s="32"/>
      <c r="Q175" s="32"/>
      <c r="R175" s="33"/>
      <c r="S175" s="33"/>
      <c r="U175" s="2"/>
    </row>
    <row r="176" customFormat="false" ht="14.25" hidden="false" customHeight="true" outlineLevel="0" collapsed="false">
      <c r="B176" s="34"/>
      <c r="C176" s="35" t="s">
        <v>184</v>
      </c>
      <c r="D176" s="33" t="n">
        <v>12025</v>
      </c>
      <c r="E176" s="15" t="s">
        <v>27</v>
      </c>
      <c r="F176" s="15"/>
      <c r="G176" s="29" t="n">
        <f aca="false">L176*K176/1000</f>
        <v>0</v>
      </c>
      <c r="H176" s="17"/>
      <c r="I176" s="17"/>
      <c r="K176" s="30"/>
      <c r="L176" s="31" t="n">
        <f aca="false">L175</f>
        <v>60</v>
      </c>
      <c r="M176" s="31" t="n">
        <f aca="false">M175</f>
        <v>137</v>
      </c>
      <c r="N176" s="0" t="n">
        <f aca="false">O176+P176+Q176+R176+S176</f>
        <v>0</v>
      </c>
      <c r="O176" s="32"/>
      <c r="P176" s="32"/>
      <c r="Q176" s="32"/>
      <c r="R176" s="33"/>
      <c r="S176" s="33"/>
      <c r="U176" s="2"/>
    </row>
    <row r="177" customFormat="false" ht="14.25" hidden="false" customHeight="true" outlineLevel="0" collapsed="false">
      <c r="B177" s="34"/>
      <c r="C177" s="35" t="s">
        <v>185</v>
      </c>
      <c r="D177" s="33" t="n">
        <v>12026</v>
      </c>
      <c r="E177" s="15" t="s">
        <v>27</v>
      </c>
      <c r="F177" s="15"/>
      <c r="G177" s="29" t="n">
        <f aca="false">L177*K177/1000</f>
        <v>0</v>
      </c>
      <c r="H177" s="17"/>
      <c r="I177" s="17"/>
      <c r="K177" s="30"/>
      <c r="L177" s="31" t="n">
        <f aca="false">L176</f>
        <v>60</v>
      </c>
      <c r="M177" s="31" t="n">
        <f aca="false">M176</f>
        <v>137</v>
      </c>
      <c r="N177" s="0" t="n">
        <f aca="false">O177+P177+Q177+R177+S177</f>
        <v>0</v>
      </c>
      <c r="O177" s="32"/>
      <c r="P177" s="32"/>
      <c r="Q177" s="32"/>
      <c r="R177" s="33"/>
      <c r="S177" s="33"/>
      <c r="U177" s="2"/>
    </row>
    <row r="178" customFormat="false" ht="27" hidden="false" customHeight="true" outlineLevel="0" collapsed="false">
      <c r="B178" s="34"/>
      <c r="C178" s="35" t="s">
        <v>186</v>
      </c>
      <c r="D178" s="33" t="n">
        <v>12028</v>
      </c>
      <c r="E178" s="15" t="s">
        <v>27</v>
      </c>
      <c r="F178" s="15"/>
      <c r="G178" s="29" t="n">
        <f aca="false">L178*K178/1000</f>
        <v>0</v>
      </c>
      <c r="H178" s="17"/>
      <c r="I178" s="17"/>
      <c r="K178" s="30"/>
      <c r="L178" s="31" t="n">
        <f aca="false">L177</f>
        <v>60</v>
      </c>
      <c r="M178" s="31" t="n">
        <f aca="false">M177</f>
        <v>137</v>
      </c>
      <c r="N178" s="0" t="n">
        <f aca="false">O178+P178+Q178+R178+S178</f>
        <v>0</v>
      </c>
      <c r="O178" s="32"/>
      <c r="P178" s="32"/>
      <c r="Q178" s="32"/>
      <c r="R178" s="33"/>
      <c r="S178" s="33"/>
      <c r="U178" s="2"/>
    </row>
    <row r="179" s="41" customFormat="true" ht="27" hidden="false" customHeight="true" outlineLevel="0" collapsed="false">
      <c r="B179" s="42"/>
      <c r="C179" s="33" t="s">
        <v>187</v>
      </c>
      <c r="D179" s="33" t="n">
        <v>12029</v>
      </c>
      <c r="E179" s="15" t="s">
        <v>27</v>
      </c>
      <c r="F179" s="42"/>
      <c r="G179" s="29" t="n">
        <f aca="false">L179*K179/1000</f>
        <v>0</v>
      </c>
      <c r="H179" s="43"/>
      <c r="I179" s="43"/>
      <c r="K179" s="30"/>
      <c r="L179" s="31" t="n">
        <f aca="false">L178</f>
        <v>60</v>
      </c>
      <c r="M179" s="31" t="n">
        <f aca="false">M178</f>
        <v>137</v>
      </c>
      <c r="N179" s="41" t="n">
        <f aca="false">O179+P179+Q179+R179+S179</f>
        <v>0</v>
      </c>
      <c r="O179" s="44"/>
      <c r="P179" s="44"/>
      <c r="Q179" s="44"/>
      <c r="R179" s="45"/>
      <c r="S179" s="45"/>
      <c r="T179" s="46"/>
      <c r="U179" s="46"/>
    </row>
    <row r="180" customFormat="false" ht="19.5" hidden="false" customHeight="true" outlineLevel="0" collapsed="false">
      <c r="B180" s="47"/>
      <c r="C180" s="33" t="s">
        <v>188</v>
      </c>
      <c r="D180" s="33" t="n">
        <v>12030</v>
      </c>
      <c r="E180" s="15" t="s">
        <v>27</v>
      </c>
      <c r="F180" s="33"/>
      <c r="G180" s="29" t="n">
        <f aca="false">L180*K180/1000</f>
        <v>0</v>
      </c>
      <c r="H180" s="48"/>
      <c r="I180" s="33"/>
      <c r="K180" s="30"/>
      <c r="L180" s="31" t="n">
        <f aca="false">L179</f>
        <v>60</v>
      </c>
      <c r="M180" s="31" t="n">
        <f aca="false">M179</f>
        <v>137</v>
      </c>
      <c r="N180" s="0" t="n">
        <f aca="false">O180+P180+Q180+R180+S180</f>
        <v>0</v>
      </c>
      <c r="O180" s="32"/>
      <c r="P180" s="32"/>
      <c r="Q180" s="32"/>
      <c r="R180" s="33"/>
      <c r="S180" s="33"/>
    </row>
    <row r="181" customFormat="false" ht="14.25" hidden="false" customHeight="true" outlineLevel="0" collapsed="false">
      <c r="B181" s="47"/>
      <c r="C181" s="33" t="s">
        <v>189</v>
      </c>
      <c r="D181" s="33" t="n">
        <v>12031</v>
      </c>
      <c r="E181" s="15" t="s">
        <v>27</v>
      </c>
      <c r="F181" s="49"/>
      <c r="G181" s="29" t="n">
        <f aca="false">L181*K181/1000</f>
        <v>0</v>
      </c>
      <c r="H181" s="49"/>
      <c r="I181" s="49"/>
      <c r="K181" s="30"/>
      <c r="L181" s="31" t="n">
        <f aca="false">L180</f>
        <v>60</v>
      </c>
      <c r="M181" s="31" t="n">
        <f aca="false">M180</f>
        <v>137</v>
      </c>
      <c r="N181" s="0" t="n">
        <f aca="false">O181+P181+Q181+R181+S181</f>
        <v>0</v>
      </c>
      <c r="O181" s="32"/>
      <c r="P181" s="32"/>
      <c r="Q181" s="32"/>
      <c r="R181" s="33"/>
      <c r="S181" s="33"/>
    </row>
    <row r="182" customFormat="false" ht="14.25" hidden="false" customHeight="true" outlineLevel="0" collapsed="false">
      <c r="B182" s="47"/>
      <c r="C182" s="33" t="s">
        <v>190</v>
      </c>
      <c r="D182" s="33" t="n">
        <v>12032</v>
      </c>
      <c r="E182" s="15" t="s">
        <v>27</v>
      </c>
      <c r="F182" s="49"/>
      <c r="G182" s="29" t="n">
        <f aca="false">L182*K182/1000</f>
        <v>0</v>
      </c>
      <c r="H182" s="49"/>
      <c r="I182" s="49"/>
      <c r="K182" s="30"/>
      <c r="L182" s="31" t="n">
        <f aca="false">L181</f>
        <v>60</v>
      </c>
      <c r="M182" s="31" t="n">
        <f aca="false">M181</f>
        <v>137</v>
      </c>
      <c r="N182" s="0" t="n">
        <f aca="false">O182+P182+Q182+R182+S182</f>
        <v>0</v>
      </c>
      <c r="O182" s="32"/>
      <c r="P182" s="32"/>
      <c r="Q182" s="32"/>
      <c r="R182" s="33"/>
      <c r="S182" s="33"/>
    </row>
    <row r="183" customFormat="false" ht="14.25" hidden="false" customHeight="true" outlineLevel="0" collapsed="false">
      <c r="B183" s="47"/>
      <c r="C183" s="33" t="s">
        <v>191</v>
      </c>
      <c r="D183" s="33" t="n">
        <v>12033</v>
      </c>
      <c r="E183" s="15" t="s">
        <v>27</v>
      </c>
      <c r="F183" s="49"/>
      <c r="G183" s="29" t="n">
        <f aca="false">L183*K183/1000</f>
        <v>0</v>
      </c>
      <c r="H183" s="49"/>
      <c r="I183" s="49"/>
      <c r="K183" s="30"/>
      <c r="L183" s="31" t="n">
        <f aca="false">L182</f>
        <v>60</v>
      </c>
      <c r="M183" s="31" t="n">
        <f aca="false">M182</f>
        <v>137</v>
      </c>
      <c r="N183" s="0" t="n">
        <f aca="false">O183+P183+Q183+R183+S183</f>
        <v>0</v>
      </c>
      <c r="O183" s="32"/>
      <c r="P183" s="32"/>
      <c r="Q183" s="32"/>
      <c r="R183" s="33"/>
      <c r="S183" s="33"/>
    </row>
    <row r="184" customFormat="false" ht="14.25" hidden="false" customHeight="true" outlineLevel="0" collapsed="false">
      <c r="B184" s="47"/>
      <c r="C184" s="33" t="s">
        <v>192</v>
      </c>
      <c r="D184" s="33" t="n">
        <v>12034</v>
      </c>
      <c r="E184" s="15" t="s">
        <v>27</v>
      </c>
      <c r="F184" s="49"/>
      <c r="G184" s="29" t="n">
        <f aca="false">L184*K184/1000</f>
        <v>0</v>
      </c>
      <c r="H184" s="49"/>
      <c r="I184" s="49"/>
      <c r="K184" s="30"/>
      <c r="L184" s="31" t="n">
        <f aca="false">L183</f>
        <v>60</v>
      </c>
      <c r="M184" s="31" t="n">
        <f aca="false">M183</f>
        <v>137</v>
      </c>
      <c r="N184" s="0" t="n">
        <f aca="false">O184+P184+Q184+R184+S184</f>
        <v>0</v>
      </c>
      <c r="O184" s="32"/>
      <c r="P184" s="32"/>
      <c r="Q184" s="32"/>
      <c r="R184" s="33"/>
      <c r="S184" s="33"/>
    </row>
    <row r="185" customFormat="false" ht="14.25" hidden="false" customHeight="true" outlineLevel="0" collapsed="false">
      <c r="B185" s="49"/>
      <c r="C185" s="33" t="s">
        <v>193</v>
      </c>
      <c r="D185" s="33" t="n">
        <v>12035</v>
      </c>
      <c r="E185" s="15" t="s">
        <v>27</v>
      </c>
      <c r="F185" s="16"/>
      <c r="G185" s="29" t="n">
        <f aca="false">L185*K185/1000</f>
        <v>0</v>
      </c>
      <c r="H185" s="50"/>
      <c r="I185" s="16"/>
      <c r="K185" s="30"/>
      <c r="L185" s="31" t="n">
        <f aca="false">L184</f>
        <v>60</v>
      </c>
      <c r="M185" s="31" t="n">
        <f aca="false">M184</f>
        <v>137</v>
      </c>
      <c r="N185" s="0" t="n">
        <f aca="false">O185+P185+Q185+R185+S185</f>
        <v>0</v>
      </c>
      <c r="O185" s="32"/>
      <c r="P185" s="32"/>
      <c r="Q185" s="32"/>
      <c r="R185" s="33"/>
      <c r="S185" s="33"/>
    </row>
    <row r="186" customFormat="false" ht="14.25" hidden="false" customHeight="true" outlineLevel="0" collapsed="false">
      <c r="B186" s="49"/>
      <c r="C186" s="33" t="s">
        <v>194</v>
      </c>
      <c r="D186" s="33" t="n">
        <v>12036</v>
      </c>
      <c r="E186" s="15" t="s">
        <v>27</v>
      </c>
      <c r="F186" s="16"/>
      <c r="G186" s="29" t="n">
        <f aca="false">L186*K186/1000</f>
        <v>0</v>
      </c>
      <c r="H186" s="50"/>
      <c r="I186" s="16"/>
      <c r="K186" s="30"/>
      <c r="L186" s="31" t="n">
        <f aca="false">L185</f>
        <v>60</v>
      </c>
      <c r="M186" s="31" t="n">
        <f aca="false">M185</f>
        <v>137</v>
      </c>
      <c r="N186" s="0" t="n">
        <f aca="false">O186+P186+Q186+R186+S186</f>
        <v>0</v>
      </c>
      <c r="O186" s="32"/>
      <c r="P186" s="32"/>
      <c r="Q186" s="32"/>
      <c r="R186" s="33"/>
      <c r="S186" s="33"/>
    </row>
    <row r="187" customFormat="false" ht="14.25" hidden="false" customHeight="true" outlineLevel="0" collapsed="false">
      <c r="B187" s="49"/>
      <c r="C187" s="33" t="s">
        <v>195</v>
      </c>
      <c r="D187" s="33" t="n">
        <v>12037</v>
      </c>
      <c r="E187" s="15" t="s">
        <v>27</v>
      </c>
      <c r="F187" s="16"/>
      <c r="G187" s="29" t="n">
        <f aca="false">L187*K187/1000</f>
        <v>0</v>
      </c>
      <c r="H187" s="50"/>
      <c r="I187" s="16"/>
      <c r="K187" s="30"/>
      <c r="L187" s="31" t="n">
        <f aca="false">L186</f>
        <v>60</v>
      </c>
      <c r="M187" s="31" t="n">
        <f aca="false">M186</f>
        <v>137</v>
      </c>
      <c r="N187" s="0" t="n">
        <f aca="false">O187+P187+Q187+R187+S187</f>
        <v>0</v>
      </c>
      <c r="O187" s="32"/>
      <c r="P187" s="32"/>
      <c r="Q187" s="32"/>
      <c r="R187" s="33"/>
      <c r="S187" s="33"/>
    </row>
    <row r="188" customFormat="false" ht="14.25" hidden="false" customHeight="true" outlineLevel="0" collapsed="false">
      <c r="B188" s="49"/>
      <c r="C188" s="33" t="s">
        <v>196</v>
      </c>
      <c r="D188" s="33" t="n">
        <v>12038</v>
      </c>
      <c r="E188" s="15" t="s">
        <v>27</v>
      </c>
      <c r="F188" s="16"/>
      <c r="G188" s="29" t="n">
        <f aca="false">L188*K188/1000</f>
        <v>0</v>
      </c>
      <c r="H188" s="50"/>
      <c r="I188" s="16"/>
      <c r="K188" s="30"/>
      <c r="L188" s="31" t="n">
        <f aca="false">L187</f>
        <v>60</v>
      </c>
      <c r="M188" s="31" t="n">
        <f aca="false">M187</f>
        <v>137</v>
      </c>
      <c r="N188" s="0" t="n">
        <f aca="false">O188+P188+Q188+R188+S188</f>
        <v>0</v>
      </c>
      <c r="O188" s="32"/>
      <c r="P188" s="32"/>
      <c r="Q188" s="32"/>
      <c r="R188" s="33"/>
      <c r="S188" s="33"/>
    </row>
    <row r="189" customFormat="false" ht="14.25" hidden="false" customHeight="true" outlineLevel="0" collapsed="false">
      <c r="B189" s="47"/>
      <c r="C189" s="33" t="s">
        <v>197</v>
      </c>
      <c r="D189" s="33" t="n">
        <v>12039</v>
      </c>
      <c r="E189" s="15" t="s">
        <v>27</v>
      </c>
      <c r="F189" s="16"/>
      <c r="G189" s="29" t="n">
        <f aca="false">L189*K189/1000</f>
        <v>0</v>
      </c>
      <c r="H189" s="50"/>
      <c r="I189" s="16"/>
      <c r="K189" s="30"/>
      <c r="L189" s="31" t="n">
        <f aca="false">L188</f>
        <v>60</v>
      </c>
      <c r="M189" s="31" t="n">
        <f aca="false">M188</f>
        <v>137</v>
      </c>
      <c r="N189" s="0" t="n">
        <f aca="false">O189+P189+Q189+R189+S189</f>
        <v>0</v>
      </c>
      <c r="O189" s="32"/>
      <c r="P189" s="32"/>
      <c r="Q189" s="32"/>
      <c r="R189" s="33"/>
      <c r="S189" s="33"/>
    </row>
    <row r="190" customFormat="false" ht="14.25" hidden="false" customHeight="true" outlineLevel="0" collapsed="false">
      <c r="B190" s="47"/>
      <c r="C190" s="33" t="s">
        <v>198</v>
      </c>
      <c r="D190" s="33" t="n">
        <v>12040</v>
      </c>
      <c r="E190" s="15" t="s">
        <v>27</v>
      </c>
      <c r="F190" s="49"/>
      <c r="G190" s="29" t="n">
        <f aca="false">L190*K190/1000</f>
        <v>0</v>
      </c>
      <c r="H190" s="49"/>
      <c r="I190" s="49"/>
      <c r="K190" s="30"/>
      <c r="L190" s="31" t="n">
        <f aca="false">L189</f>
        <v>60</v>
      </c>
      <c r="M190" s="31" t="n">
        <f aca="false">M189</f>
        <v>137</v>
      </c>
      <c r="N190" s="0" t="n">
        <f aca="false">O190+P190+Q190+R190+S190</f>
        <v>0</v>
      </c>
      <c r="O190" s="32"/>
      <c r="P190" s="32"/>
      <c r="Q190" s="32"/>
      <c r="R190" s="33"/>
      <c r="S190" s="33"/>
    </row>
    <row r="191" customFormat="false" ht="14.25" hidden="false" customHeight="true" outlineLevel="0" collapsed="false">
      <c r="B191" s="47"/>
      <c r="C191" s="33" t="s">
        <v>199</v>
      </c>
      <c r="D191" s="33" t="n">
        <v>12041</v>
      </c>
      <c r="E191" s="15" t="s">
        <v>27</v>
      </c>
      <c r="F191" s="16"/>
      <c r="G191" s="29" t="n">
        <f aca="false">L191*K191/1000</f>
        <v>0</v>
      </c>
      <c r="H191" s="50"/>
      <c r="I191" s="16"/>
      <c r="K191" s="30"/>
      <c r="L191" s="31" t="n">
        <f aca="false">L190</f>
        <v>60</v>
      </c>
      <c r="M191" s="31" t="n">
        <f aca="false">M190</f>
        <v>137</v>
      </c>
      <c r="N191" s="0" t="n">
        <f aca="false">O191+P191+Q191+R191+S191</f>
        <v>0</v>
      </c>
      <c r="O191" s="32"/>
      <c r="P191" s="32"/>
      <c r="Q191" s="32"/>
      <c r="R191" s="33"/>
      <c r="S191" s="33"/>
    </row>
    <row r="192" customFormat="false" ht="14.25" hidden="false" customHeight="true" outlineLevel="0" collapsed="false">
      <c r="B192" s="47"/>
      <c r="C192" s="33" t="s">
        <v>200</v>
      </c>
      <c r="D192" s="33" t="n">
        <v>12042</v>
      </c>
      <c r="E192" s="15" t="s">
        <v>27</v>
      </c>
      <c r="F192" s="49"/>
      <c r="G192" s="29" t="n">
        <f aca="false">L192*K192/1000</f>
        <v>0</v>
      </c>
      <c r="H192" s="49"/>
      <c r="I192" s="49"/>
      <c r="K192" s="30"/>
      <c r="L192" s="31" t="n">
        <f aca="false">L191</f>
        <v>60</v>
      </c>
      <c r="M192" s="31" t="n">
        <f aca="false">M191</f>
        <v>137</v>
      </c>
      <c r="N192" s="0" t="n">
        <f aca="false">O192+P192+Q192+R192+S192</f>
        <v>0</v>
      </c>
      <c r="O192" s="32"/>
      <c r="P192" s="32"/>
      <c r="Q192" s="32"/>
      <c r="R192" s="33"/>
      <c r="S192" s="33"/>
    </row>
    <row r="193" customFormat="false" ht="16.5" hidden="false" customHeight="false" outlineLevel="0" collapsed="false">
      <c r="B193" s="47"/>
      <c r="C193" s="33" t="s">
        <v>201</v>
      </c>
      <c r="D193" s="33" t="n">
        <v>12043</v>
      </c>
      <c r="E193" s="15" t="s">
        <v>27</v>
      </c>
      <c r="F193" s="33"/>
      <c r="G193" s="29" t="n">
        <f aca="false">L193*K193/1000</f>
        <v>0</v>
      </c>
      <c r="H193" s="48"/>
      <c r="I193" s="33"/>
      <c r="K193" s="30"/>
      <c r="L193" s="31" t="n">
        <f aca="false">L192</f>
        <v>60</v>
      </c>
      <c r="M193" s="31" t="n">
        <f aca="false">M192</f>
        <v>137</v>
      </c>
      <c r="N193" s="0" t="n">
        <f aca="false">O193+P193+Q193+R193+S193</f>
        <v>0</v>
      </c>
      <c r="O193" s="32"/>
      <c r="P193" s="32"/>
      <c r="Q193" s="32"/>
      <c r="R193" s="33"/>
      <c r="S193" s="33"/>
    </row>
    <row r="194" customFormat="false" ht="16.5" hidden="false" customHeight="false" outlineLevel="0" collapsed="false">
      <c r="B194" s="47"/>
      <c r="C194" s="33" t="s">
        <v>202</v>
      </c>
      <c r="D194" s="33" t="n">
        <v>12044</v>
      </c>
      <c r="E194" s="15" t="s">
        <v>27</v>
      </c>
      <c r="F194" s="33"/>
      <c r="G194" s="29" t="n">
        <f aca="false">L194*K194/1000</f>
        <v>0</v>
      </c>
      <c r="H194" s="48"/>
      <c r="I194" s="33"/>
      <c r="K194" s="30"/>
      <c r="L194" s="31" t="n">
        <f aca="false">L193</f>
        <v>60</v>
      </c>
      <c r="M194" s="31" t="n">
        <f aca="false">M193</f>
        <v>137</v>
      </c>
      <c r="N194" s="0" t="n">
        <f aca="false">O194+P194+Q194+R194+S194</f>
        <v>0</v>
      </c>
      <c r="O194" s="32"/>
      <c r="P194" s="32"/>
      <c r="Q194" s="32"/>
      <c r="R194" s="33"/>
      <c r="S194" s="33"/>
    </row>
    <row r="195" customFormat="false" ht="16.5" hidden="false" customHeight="false" outlineLevel="0" collapsed="false">
      <c r="B195" s="47"/>
      <c r="C195" s="33" t="s">
        <v>203</v>
      </c>
      <c r="D195" s="33" t="n">
        <v>12046</v>
      </c>
      <c r="E195" s="15" t="s">
        <v>27</v>
      </c>
      <c r="F195" s="33"/>
      <c r="G195" s="29" t="n">
        <f aca="false">L195*K195/1000</f>
        <v>0</v>
      </c>
      <c r="H195" s="48"/>
      <c r="I195" s="33"/>
      <c r="K195" s="30"/>
      <c r="L195" s="31" t="n">
        <f aca="false">L194</f>
        <v>60</v>
      </c>
      <c r="M195" s="31" t="n">
        <f aca="false">M194</f>
        <v>137</v>
      </c>
      <c r="N195" s="0" t="n">
        <f aca="false">O195+P195+Q195+R195+S195</f>
        <v>0</v>
      </c>
      <c r="O195" s="32"/>
      <c r="P195" s="32"/>
      <c r="Q195" s="32"/>
      <c r="R195" s="33"/>
      <c r="S195" s="33"/>
    </row>
    <row r="196" customFormat="false" ht="16.5" hidden="false" customHeight="false" outlineLevel="0" collapsed="false">
      <c r="B196" s="47"/>
      <c r="C196" s="33" t="s">
        <v>204</v>
      </c>
      <c r="D196" s="33" t="n">
        <v>12047</v>
      </c>
      <c r="E196" s="15" t="s">
        <v>27</v>
      </c>
      <c r="F196" s="33"/>
      <c r="G196" s="29" t="n">
        <f aca="false">L196*K196/1000</f>
        <v>0</v>
      </c>
      <c r="H196" s="48"/>
      <c r="I196" s="33"/>
      <c r="K196" s="30"/>
      <c r="L196" s="31" t="n">
        <f aca="false">L195</f>
        <v>60</v>
      </c>
      <c r="M196" s="31" t="n">
        <f aca="false">M195</f>
        <v>137</v>
      </c>
      <c r="N196" s="0" t="n">
        <f aca="false">O196+P196+Q196+R196+S196</f>
        <v>0</v>
      </c>
      <c r="O196" s="32"/>
      <c r="P196" s="32"/>
      <c r="Q196" s="32"/>
      <c r="R196" s="33"/>
      <c r="S196" s="33"/>
    </row>
    <row r="197" customFormat="false" ht="16.5" hidden="false" customHeight="false" outlineLevel="0" collapsed="false">
      <c r="B197" s="47"/>
      <c r="C197" s="33" t="s">
        <v>205</v>
      </c>
      <c r="D197" s="33" t="n">
        <v>12049</v>
      </c>
      <c r="E197" s="15" t="s">
        <v>27</v>
      </c>
      <c r="F197" s="33"/>
      <c r="G197" s="29" t="n">
        <f aca="false">L197*K197/1000</f>
        <v>0</v>
      </c>
      <c r="H197" s="48"/>
      <c r="I197" s="33"/>
      <c r="K197" s="30"/>
      <c r="L197" s="31" t="n">
        <f aca="false">L196</f>
        <v>60</v>
      </c>
      <c r="M197" s="31" t="n">
        <f aca="false">M196</f>
        <v>137</v>
      </c>
      <c r="N197" s="0" t="n">
        <f aca="false">O197+P197+Q197+R197+S197</f>
        <v>0</v>
      </c>
      <c r="O197" s="32"/>
      <c r="P197" s="32"/>
      <c r="Q197" s="32"/>
      <c r="R197" s="33"/>
      <c r="S197" s="33"/>
    </row>
    <row r="198" customFormat="false" ht="16.5" hidden="false" customHeight="false" outlineLevel="0" collapsed="false">
      <c r="B198" s="47"/>
      <c r="C198" s="33" t="s">
        <v>206</v>
      </c>
      <c r="D198" s="33" t="n">
        <v>12051</v>
      </c>
      <c r="E198" s="15" t="s">
        <v>27</v>
      </c>
      <c r="F198" s="33"/>
      <c r="G198" s="29" t="n">
        <f aca="false">L198*K198/1000</f>
        <v>0</v>
      </c>
      <c r="H198" s="48"/>
      <c r="I198" s="33"/>
      <c r="K198" s="30"/>
      <c r="L198" s="31" t="n">
        <f aca="false">L197</f>
        <v>60</v>
      </c>
      <c r="M198" s="31" t="n">
        <f aca="false">M197</f>
        <v>137</v>
      </c>
      <c r="N198" s="0" t="n">
        <f aca="false">O198+P198+Q198+R198+S198</f>
        <v>0</v>
      </c>
      <c r="O198" s="32"/>
      <c r="P198" s="32"/>
      <c r="Q198" s="32"/>
      <c r="R198" s="33"/>
      <c r="S198" s="33"/>
    </row>
    <row r="199" customFormat="false" ht="16.5" hidden="false" customHeight="false" outlineLevel="0" collapsed="false">
      <c r="B199" s="47"/>
      <c r="C199" s="33" t="s">
        <v>207</v>
      </c>
      <c r="D199" s="33" t="n">
        <v>12052</v>
      </c>
      <c r="E199" s="15" t="s">
        <v>27</v>
      </c>
      <c r="F199" s="33"/>
      <c r="G199" s="29" t="n">
        <f aca="false">L199*K199/1000</f>
        <v>0</v>
      </c>
      <c r="H199" s="48"/>
      <c r="I199" s="33"/>
      <c r="K199" s="30"/>
      <c r="L199" s="31" t="n">
        <f aca="false">L198</f>
        <v>60</v>
      </c>
      <c r="M199" s="31" t="n">
        <f aca="false">M198</f>
        <v>137</v>
      </c>
      <c r="N199" s="0" t="n">
        <f aca="false">O199+P199+Q199+R199+S199</f>
        <v>0</v>
      </c>
      <c r="O199" s="32"/>
      <c r="P199" s="32"/>
      <c r="Q199" s="32"/>
      <c r="R199" s="33"/>
      <c r="S199" s="33"/>
    </row>
    <row r="200" customFormat="false" ht="16.5" hidden="false" customHeight="false" outlineLevel="0" collapsed="false">
      <c r="B200" s="47"/>
      <c r="C200" s="33" t="s">
        <v>208</v>
      </c>
      <c r="D200" s="33" t="n">
        <v>12054</v>
      </c>
      <c r="E200" s="15" t="s">
        <v>27</v>
      </c>
      <c r="F200" s="33"/>
      <c r="G200" s="29" t="n">
        <f aca="false">L200*K200/1000</f>
        <v>0</v>
      </c>
      <c r="H200" s="48"/>
      <c r="I200" s="33"/>
      <c r="K200" s="30"/>
      <c r="L200" s="31" t="n">
        <f aca="false">L199</f>
        <v>60</v>
      </c>
      <c r="M200" s="31" t="n">
        <f aca="false">M199</f>
        <v>137</v>
      </c>
      <c r="N200" s="0" t="n">
        <f aca="false">O200+P200+Q200+R200+S200</f>
        <v>0</v>
      </c>
      <c r="O200" s="32"/>
      <c r="P200" s="32"/>
      <c r="Q200" s="32"/>
      <c r="R200" s="33"/>
      <c r="S200" s="33"/>
    </row>
    <row r="201" customFormat="false" ht="16.5" hidden="false" customHeight="false" outlineLevel="0" collapsed="false">
      <c r="B201" s="47"/>
      <c r="C201" s="33" t="s">
        <v>209</v>
      </c>
      <c r="D201" s="33" t="n">
        <v>12055</v>
      </c>
      <c r="E201" s="15" t="s">
        <v>27</v>
      </c>
      <c r="F201" s="33"/>
      <c r="G201" s="29" t="n">
        <f aca="false">L201*K201/1000</f>
        <v>0</v>
      </c>
      <c r="H201" s="48"/>
      <c r="I201" s="33"/>
      <c r="K201" s="30"/>
      <c r="L201" s="31" t="n">
        <f aca="false">L200</f>
        <v>60</v>
      </c>
      <c r="M201" s="31" t="n">
        <f aca="false">M200</f>
        <v>137</v>
      </c>
      <c r="N201" s="0" t="n">
        <f aca="false">O201+P201+Q201+R201+S201</f>
        <v>0</v>
      </c>
      <c r="O201" s="32"/>
      <c r="P201" s="32"/>
      <c r="Q201" s="32"/>
      <c r="R201" s="33"/>
      <c r="S201" s="33"/>
    </row>
    <row r="202" customFormat="false" ht="16.5" hidden="false" customHeight="false" outlineLevel="0" collapsed="false">
      <c r="B202" s="47"/>
      <c r="C202" s="33" t="s">
        <v>210</v>
      </c>
      <c r="D202" s="33" t="n">
        <v>12056</v>
      </c>
      <c r="E202" s="15" t="s">
        <v>211</v>
      </c>
      <c r="F202" s="33"/>
      <c r="G202" s="29" t="n">
        <f aca="false">L202*K202/1000</f>
        <v>0</v>
      </c>
      <c r="H202" s="48"/>
      <c r="I202" s="33"/>
      <c r="K202" s="30"/>
      <c r="L202" s="31" t="n">
        <f aca="false">L201</f>
        <v>60</v>
      </c>
      <c r="M202" s="31" t="n">
        <f aca="false">M201</f>
        <v>137</v>
      </c>
      <c r="N202" s="0" t="n">
        <f aca="false">O202+P202+Q202+R202+S202</f>
        <v>0</v>
      </c>
      <c r="O202" s="32"/>
      <c r="P202" s="32"/>
      <c r="Q202" s="32"/>
      <c r="R202" s="33"/>
      <c r="S202" s="33"/>
    </row>
    <row r="203" customFormat="false" ht="16.5" hidden="false" customHeight="false" outlineLevel="0" collapsed="false">
      <c r="B203" s="47"/>
      <c r="C203" s="33" t="s">
        <v>212</v>
      </c>
      <c r="D203" s="33" t="n">
        <v>12057</v>
      </c>
      <c r="E203" s="15" t="s">
        <v>211</v>
      </c>
      <c r="F203" s="33"/>
      <c r="G203" s="29" t="n">
        <f aca="false">L203*K203/1000</f>
        <v>0</v>
      </c>
      <c r="H203" s="48"/>
      <c r="I203" s="33"/>
      <c r="K203" s="30"/>
      <c r="L203" s="31" t="n">
        <f aca="false">L202</f>
        <v>60</v>
      </c>
      <c r="M203" s="31" t="n">
        <f aca="false">M202</f>
        <v>137</v>
      </c>
      <c r="N203" s="0" t="n">
        <f aca="false">O203+P203+Q203+R203+S203</f>
        <v>0</v>
      </c>
      <c r="O203" s="32"/>
      <c r="P203" s="32"/>
      <c r="Q203" s="32"/>
      <c r="R203" s="33"/>
      <c r="S203" s="33"/>
    </row>
    <row r="204" customFormat="false" ht="16.5" hidden="false" customHeight="false" outlineLevel="0" collapsed="false">
      <c r="B204" s="47"/>
      <c r="C204" s="33" t="s">
        <v>213</v>
      </c>
      <c r="D204" s="33" t="n">
        <v>12058</v>
      </c>
      <c r="E204" s="15" t="s">
        <v>27</v>
      </c>
      <c r="F204" s="33"/>
      <c r="G204" s="29" t="n">
        <f aca="false">L204*K204/1000</f>
        <v>0</v>
      </c>
      <c r="H204" s="48"/>
      <c r="I204" s="33"/>
      <c r="K204" s="30"/>
      <c r="L204" s="31" t="n">
        <f aca="false">L203</f>
        <v>60</v>
      </c>
      <c r="M204" s="31" t="n">
        <f aca="false">M203</f>
        <v>137</v>
      </c>
      <c r="N204" s="0" t="n">
        <f aca="false">O204+P204+Q204+R204+S204</f>
        <v>0</v>
      </c>
      <c r="O204" s="32"/>
      <c r="P204" s="32"/>
      <c r="Q204" s="32"/>
      <c r="R204" s="33"/>
      <c r="S204" s="33"/>
    </row>
    <row r="205" customFormat="false" ht="16.5" hidden="false" customHeight="false" outlineLevel="0" collapsed="false">
      <c r="B205" s="47"/>
      <c r="C205" s="33" t="s">
        <v>214</v>
      </c>
      <c r="D205" s="33" t="n">
        <v>12060</v>
      </c>
      <c r="E205" s="15" t="s">
        <v>27</v>
      </c>
      <c r="F205" s="33"/>
      <c r="G205" s="29" t="n">
        <f aca="false">L205*K205/1000</f>
        <v>0</v>
      </c>
      <c r="H205" s="48"/>
      <c r="I205" s="33"/>
      <c r="K205" s="30"/>
      <c r="L205" s="31" t="n">
        <f aca="false">L204</f>
        <v>60</v>
      </c>
      <c r="M205" s="31" t="n">
        <f aca="false">M204</f>
        <v>137</v>
      </c>
      <c r="N205" s="0" t="n">
        <f aca="false">O205+P205+Q205+R205+S205</f>
        <v>0</v>
      </c>
      <c r="O205" s="32"/>
      <c r="P205" s="32"/>
      <c r="Q205" s="32"/>
      <c r="R205" s="33"/>
      <c r="S205" s="33"/>
    </row>
    <row r="206" customFormat="false" ht="16.5" hidden="false" customHeight="false" outlineLevel="0" collapsed="false">
      <c r="B206" s="47"/>
      <c r="C206" s="33" t="s">
        <v>215</v>
      </c>
      <c r="D206" s="33" t="n">
        <v>12061</v>
      </c>
      <c r="E206" s="15" t="s">
        <v>27</v>
      </c>
      <c r="F206" s="33"/>
      <c r="G206" s="29" t="n">
        <f aca="false">L206*K206/1000</f>
        <v>0</v>
      </c>
      <c r="H206" s="48"/>
      <c r="I206" s="33"/>
      <c r="K206" s="30"/>
      <c r="L206" s="31" t="n">
        <f aca="false">L205</f>
        <v>60</v>
      </c>
      <c r="M206" s="31" t="n">
        <f aca="false">M205</f>
        <v>137</v>
      </c>
      <c r="N206" s="0" t="n">
        <f aca="false">O206+P206+Q206+R206+S206</f>
        <v>0</v>
      </c>
      <c r="O206" s="32"/>
      <c r="P206" s="32"/>
      <c r="Q206" s="32"/>
      <c r="R206" s="33"/>
      <c r="S206" s="33"/>
    </row>
    <row r="207" customFormat="false" ht="16.5" hidden="false" customHeight="false" outlineLevel="0" collapsed="false">
      <c r="B207" s="47"/>
      <c r="C207" s="33" t="s">
        <v>216</v>
      </c>
      <c r="D207" s="33" t="n">
        <v>12062</v>
      </c>
      <c r="E207" s="15" t="s">
        <v>27</v>
      </c>
      <c r="F207" s="33"/>
      <c r="G207" s="29" t="n">
        <f aca="false">L207*K207/1000</f>
        <v>0</v>
      </c>
      <c r="H207" s="48"/>
      <c r="I207" s="33"/>
      <c r="K207" s="30"/>
      <c r="L207" s="31" t="n">
        <f aca="false">L206</f>
        <v>60</v>
      </c>
      <c r="M207" s="31" t="n">
        <f aca="false">M206</f>
        <v>137</v>
      </c>
      <c r="N207" s="0" t="n">
        <f aca="false">O207+P207+Q207+R207+S207</f>
        <v>0</v>
      </c>
      <c r="O207" s="32"/>
      <c r="P207" s="32"/>
      <c r="Q207" s="32"/>
      <c r="R207" s="33"/>
      <c r="S207" s="33"/>
    </row>
    <row r="208" customFormat="false" ht="16.5" hidden="false" customHeight="false" outlineLevel="0" collapsed="false">
      <c r="B208" s="47"/>
      <c r="C208" s="33" t="s">
        <v>217</v>
      </c>
      <c r="D208" s="33" t="n">
        <v>12064</v>
      </c>
      <c r="E208" s="15" t="s">
        <v>27</v>
      </c>
      <c r="F208" s="33"/>
      <c r="G208" s="29" t="n">
        <f aca="false">L208*K208/1000</f>
        <v>0</v>
      </c>
      <c r="H208" s="48"/>
      <c r="I208" s="33"/>
      <c r="K208" s="30"/>
      <c r="L208" s="31" t="n">
        <f aca="false">L207</f>
        <v>60</v>
      </c>
      <c r="M208" s="31" t="n">
        <f aca="false">M207</f>
        <v>137</v>
      </c>
      <c r="N208" s="0" t="n">
        <f aca="false">O208+P208+Q208+R208+S208</f>
        <v>0</v>
      </c>
      <c r="O208" s="32"/>
      <c r="P208" s="32"/>
      <c r="Q208" s="32"/>
      <c r="R208" s="33"/>
      <c r="S208" s="33"/>
    </row>
    <row r="209" customFormat="false" ht="16.5" hidden="false" customHeight="false" outlineLevel="0" collapsed="false">
      <c r="B209" s="47"/>
      <c r="C209" s="33" t="s">
        <v>218</v>
      </c>
      <c r="D209" s="33" t="n">
        <v>12065</v>
      </c>
      <c r="E209" s="15" t="s">
        <v>27</v>
      </c>
      <c r="F209" s="33"/>
      <c r="G209" s="29" t="n">
        <f aca="false">L209*K209/1000</f>
        <v>0</v>
      </c>
      <c r="H209" s="48"/>
      <c r="I209" s="33"/>
      <c r="K209" s="30"/>
      <c r="L209" s="31" t="n">
        <f aca="false">L208</f>
        <v>60</v>
      </c>
      <c r="M209" s="31" t="n">
        <f aca="false">M208</f>
        <v>137</v>
      </c>
      <c r="N209" s="0" t="n">
        <f aca="false">O209+P209+Q209+R209+S209</f>
        <v>0</v>
      </c>
      <c r="O209" s="32"/>
      <c r="P209" s="32"/>
      <c r="Q209" s="32"/>
      <c r="R209" s="33"/>
      <c r="S209" s="33"/>
    </row>
    <row r="210" customFormat="false" ht="16.5" hidden="false" customHeight="false" outlineLevel="0" collapsed="false">
      <c r="B210" s="47"/>
      <c r="C210" s="33" t="s">
        <v>219</v>
      </c>
      <c r="D210" s="33" t="n">
        <v>12066</v>
      </c>
      <c r="E210" s="15" t="s">
        <v>27</v>
      </c>
      <c r="F210" s="33"/>
      <c r="G210" s="29" t="n">
        <f aca="false">L210*K210/1000</f>
        <v>0</v>
      </c>
      <c r="H210" s="48"/>
      <c r="I210" s="33"/>
      <c r="K210" s="30"/>
      <c r="L210" s="31" t="n">
        <f aca="false">L209</f>
        <v>60</v>
      </c>
      <c r="M210" s="31" t="n">
        <f aca="false">M209</f>
        <v>137</v>
      </c>
      <c r="N210" s="0" t="n">
        <f aca="false">O210+P210+Q210+R210+S210</f>
        <v>0</v>
      </c>
      <c r="O210" s="32"/>
      <c r="P210" s="32"/>
      <c r="Q210" s="32"/>
      <c r="R210" s="33"/>
      <c r="S210" s="33"/>
    </row>
    <row r="211" customFormat="false" ht="16.5" hidden="false" customHeight="false" outlineLevel="0" collapsed="false">
      <c r="B211" s="47"/>
      <c r="C211" s="33" t="s">
        <v>220</v>
      </c>
      <c r="D211" s="33" t="n">
        <v>12069</v>
      </c>
      <c r="E211" s="15" t="s">
        <v>27</v>
      </c>
      <c r="F211" s="33"/>
      <c r="G211" s="29" t="n">
        <f aca="false">L211*K211/1000</f>
        <v>0</v>
      </c>
      <c r="H211" s="48"/>
      <c r="I211" s="33"/>
      <c r="K211" s="30"/>
      <c r="L211" s="31" t="n">
        <f aca="false">L210</f>
        <v>60</v>
      </c>
      <c r="M211" s="31" t="n">
        <f aca="false">M210</f>
        <v>137</v>
      </c>
      <c r="N211" s="0" t="n">
        <f aca="false">O211+P211+Q211+R211+S211</f>
        <v>0</v>
      </c>
      <c r="O211" s="32"/>
      <c r="P211" s="32"/>
      <c r="Q211" s="32"/>
      <c r="R211" s="33"/>
      <c r="S211" s="33"/>
    </row>
    <row r="212" customFormat="false" ht="16.5" hidden="false" customHeight="false" outlineLevel="0" collapsed="false">
      <c r="B212" s="47"/>
      <c r="C212" s="33" t="s">
        <v>221</v>
      </c>
      <c r="D212" s="33" t="n">
        <v>12074</v>
      </c>
      <c r="E212" s="15" t="s">
        <v>27</v>
      </c>
      <c r="F212" s="33"/>
      <c r="G212" s="29" t="n">
        <f aca="false">L212*K212/1000</f>
        <v>0</v>
      </c>
      <c r="H212" s="48"/>
      <c r="I212" s="33"/>
      <c r="K212" s="30"/>
      <c r="L212" s="31" t="n">
        <f aca="false">L211</f>
        <v>60</v>
      </c>
      <c r="M212" s="31" t="n">
        <f aca="false">M211</f>
        <v>137</v>
      </c>
      <c r="N212" s="0" t="n">
        <f aca="false">O212+P212+Q212+R212+S212</f>
        <v>0</v>
      </c>
      <c r="O212" s="32"/>
      <c r="P212" s="32"/>
      <c r="Q212" s="32"/>
      <c r="R212" s="33"/>
      <c r="S212" s="33"/>
    </row>
    <row r="213" customFormat="false" ht="16.5" hidden="false" customHeight="false" outlineLevel="0" collapsed="false">
      <c r="B213" s="47"/>
      <c r="C213" s="33" t="s">
        <v>222</v>
      </c>
      <c r="D213" s="33" t="n">
        <v>12075</v>
      </c>
      <c r="E213" s="15" t="s">
        <v>27</v>
      </c>
      <c r="F213" s="33"/>
      <c r="G213" s="29" t="n">
        <f aca="false">L213*K213/1000</f>
        <v>0</v>
      </c>
      <c r="H213" s="48"/>
      <c r="I213" s="33"/>
      <c r="K213" s="30"/>
      <c r="L213" s="31" t="n">
        <f aca="false">L212</f>
        <v>60</v>
      </c>
      <c r="M213" s="31" t="n">
        <f aca="false">M212</f>
        <v>137</v>
      </c>
      <c r="N213" s="0" t="n">
        <f aca="false">O213+P213+Q213+R213+S213</f>
        <v>0</v>
      </c>
      <c r="O213" s="32"/>
      <c r="P213" s="32"/>
      <c r="Q213" s="32"/>
      <c r="R213" s="33"/>
      <c r="S213" s="33"/>
    </row>
    <row r="214" customFormat="false" ht="16.5" hidden="false" customHeight="false" outlineLevel="0" collapsed="false">
      <c r="B214" s="47"/>
      <c r="C214" s="33" t="s">
        <v>223</v>
      </c>
      <c r="D214" s="33" t="n">
        <v>12076</v>
      </c>
      <c r="E214" s="15" t="s">
        <v>27</v>
      </c>
      <c r="F214" s="33"/>
      <c r="G214" s="29" t="n">
        <f aca="false">L214*K214/1000</f>
        <v>0</v>
      </c>
      <c r="H214" s="48"/>
      <c r="I214" s="33"/>
      <c r="K214" s="30"/>
      <c r="L214" s="31" t="n">
        <f aca="false">L213</f>
        <v>60</v>
      </c>
      <c r="M214" s="31" t="n">
        <f aca="false">M213</f>
        <v>137</v>
      </c>
      <c r="N214" s="0" t="n">
        <f aca="false">O214+P214+Q214+R214+S214</f>
        <v>0</v>
      </c>
      <c r="O214" s="32"/>
      <c r="P214" s="32"/>
      <c r="Q214" s="32"/>
      <c r="R214" s="33"/>
      <c r="S214" s="33"/>
    </row>
    <row r="215" customFormat="false" ht="16.5" hidden="false" customHeight="false" outlineLevel="0" collapsed="false">
      <c r="B215" s="47"/>
      <c r="C215" s="33" t="s">
        <v>224</v>
      </c>
      <c r="D215" s="33" t="n">
        <v>12201</v>
      </c>
      <c r="E215" s="15" t="s">
        <v>27</v>
      </c>
      <c r="F215" s="33"/>
      <c r="G215" s="29" t="n">
        <f aca="false">L215*K215/1000</f>
        <v>0</v>
      </c>
      <c r="H215" s="48"/>
      <c r="I215" s="33"/>
      <c r="K215" s="30"/>
      <c r="L215" s="31" t="n">
        <f aca="false">L214</f>
        <v>60</v>
      </c>
      <c r="M215" s="31" t="n">
        <f aca="false">M214</f>
        <v>137</v>
      </c>
      <c r="N215" s="0" t="n">
        <f aca="false">O215+P215+Q215+R215+S215</f>
        <v>0</v>
      </c>
      <c r="O215" s="32"/>
      <c r="P215" s="32"/>
      <c r="Q215" s="32"/>
      <c r="R215" s="33"/>
      <c r="S215" s="33"/>
    </row>
    <row r="216" customFormat="false" ht="16.5" hidden="false" customHeight="false" outlineLevel="0" collapsed="false">
      <c r="B216" s="47"/>
      <c r="C216" s="33" t="s">
        <v>225</v>
      </c>
      <c r="D216" s="33" t="n">
        <v>12202</v>
      </c>
      <c r="E216" s="15" t="s">
        <v>27</v>
      </c>
      <c r="F216" s="33"/>
      <c r="G216" s="29" t="n">
        <f aca="false">L216*K216/1000</f>
        <v>0</v>
      </c>
      <c r="H216" s="48"/>
      <c r="I216" s="33"/>
      <c r="K216" s="30"/>
      <c r="L216" s="31" t="n">
        <f aca="false">L215</f>
        <v>60</v>
      </c>
      <c r="M216" s="31" t="n">
        <f aca="false">M215</f>
        <v>137</v>
      </c>
      <c r="N216" s="0" t="n">
        <f aca="false">O216+P216+Q216+R216+S216</f>
        <v>0</v>
      </c>
      <c r="O216" s="32"/>
      <c r="P216" s="32"/>
      <c r="Q216" s="32"/>
      <c r="R216" s="33"/>
      <c r="S216" s="33"/>
    </row>
    <row r="217" customFormat="false" ht="16.5" hidden="false" customHeight="false" outlineLevel="0" collapsed="false">
      <c r="B217" s="47"/>
      <c r="C217" s="33" t="s">
        <v>226</v>
      </c>
      <c r="D217" s="33" t="n">
        <v>12204</v>
      </c>
      <c r="E217" s="15" t="s">
        <v>27</v>
      </c>
      <c r="F217" s="33"/>
      <c r="G217" s="29" t="n">
        <f aca="false">L217*K217/1000</f>
        <v>0</v>
      </c>
      <c r="H217" s="48"/>
      <c r="I217" s="33"/>
      <c r="K217" s="30"/>
      <c r="L217" s="31" t="n">
        <f aca="false">L216</f>
        <v>60</v>
      </c>
      <c r="M217" s="31" t="n">
        <f aca="false">M216</f>
        <v>137</v>
      </c>
      <c r="N217" s="0" t="n">
        <f aca="false">O217+P217+Q217+R217+S217</f>
        <v>0</v>
      </c>
      <c r="O217" s="32"/>
      <c r="P217" s="32"/>
      <c r="Q217" s="32"/>
      <c r="R217" s="33"/>
      <c r="S217" s="33"/>
    </row>
    <row r="218" customFormat="false" ht="16.5" hidden="false" customHeight="false" outlineLevel="0" collapsed="false">
      <c r="B218" s="47"/>
      <c r="C218" s="33" t="s">
        <v>227</v>
      </c>
      <c r="D218" s="33" t="n">
        <v>12205</v>
      </c>
      <c r="E218" s="15" t="s">
        <v>27</v>
      </c>
      <c r="F218" s="33"/>
      <c r="G218" s="29" t="n">
        <f aca="false">L218*K218/1000</f>
        <v>0</v>
      </c>
      <c r="H218" s="48"/>
      <c r="I218" s="33"/>
      <c r="K218" s="30"/>
      <c r="L218" s="31" t="n">
        <f aca="false">L217</f>
        <v>60</v>
      </c>
      <c r="M218" s="31" t="n">
        <f aca="false">M217</f>
        <v>137</v>
      </c>
      <c r="N218" s="0" t="n">
        <f aca="false">O218+P218+Q218+R218+S218</f>
        <v>0</v>
      </c>
      <c r="O218" s="32"/>
      <c r="P218" s="32"/>
      <c r="Q218" s="32"/>
      <c r="R218" s="33"/>
      <c r="S218" s="33"/>
    </row>
    <row r="219" customFormat="false" ht="16.5" hidden="false" customHeight="false" outlineLevel="0" collapsed="false">
      <c r="B219" s="47"/>
      <c r="C219" s="33" t="s">
        <v>228</v>
      </c>
      <c r="D219" s="33" t="n">
        <v>12208</v>
      </c>
      <c r="E219" s="15" t="s">
        <v>27</v>
      </c>
      <c r="F219" s="33"/>
      <c r="G219" s="29" t="n">
        <f aca="false">L219*K219/1000</f>
        <v>0</v>
      </c>
      <c r="H219" s="48"/>
      <c r="I219" s="33"/>
      <c r="K219" s="30"/>
      <c r="L219" s="31" t="n">
        <f aca="false">L218</f>
        <v>60</v>
      </c>
      <c r="M219" s="31" t="n">
        <f aca="false">M218</f>
        <v>137</v>
      </c>
      <c r="N219" s="0" t="n">
        <f aca="false">O219+P219+Q219+R219+S219</f>
        <v>0</v>
      </c>
      <c r="O219" s="32"/>
      <c r="P219" s="32"/>
      <c r="Q219" s="32"/>
      <c r="R219" s="33"/>
      <c r="S219" s="33"/>
    </row>
    <row r="220" customFormat="false" ht="16.5" hidden="false" customHeight="false" outlineLevel="0" collapsed="false">
      <c r="B220" s="47"/>
      <c r="C220" s="33" t="s">
        <v>229</v>
      </c>
      <c r="D220" s="33" t="n">
        <v>12209</v>
      </c>
      <c r="E220" s="15" t="s">
        <v>27</v>
      </c>
      <c r="F220" s="33"/>
      <c r="G220" s="29" t="n">
        <f aca="false">L220*K220/1000</f>
        <v>0</v>
      </c>
      <c r="H220" s="48"/>
      <c r="I220" s="33"/>
      <c r="K220" s="30"/>
      <c r="L220" s="31" t="n">
        <f aca="false">L219</f>
        <v>60</v>
      </c>
      <c r="M220" s="31" t="n">
        <f aca="false">M219</f>
        <v>137</v>
      </c>
      <c r="N220" s="0" t="n">
        <f aca="false">O220+P220+Q220+R220+S220</f>
        <v>0</v>
      </c>
      <c r="O220" s="32"/>
      <c r="P220" s="32"/>
      <c r="Q220" s="32"/>
      <c r="R220" s="33"/>
      <c r="S220" s="33"/>
    </row>
    <row r="221" customFormat="false" ht="16.5" hidden="false" customHeight="false" outlineLevel="0" collapsed="false">
      <c r="B221" s="47"/>
      <c r="C221" s="33" t="s">
        <v>230</v>
      </c>
      <c r="D221" s="33" t="n">
        <v>12211</v>
      </c>
      <c r="E221" s="15" t="s">
        <v>27</v>
      </c>
      <c r="F221" s="33"/>
      <c r="G221" s="29" t="n">
        <f aca="false">L221*K221/1000</f>
        <v>0</v>
      </c>
      <c r="H221" s="48"/>
      <c r="I221" s="33"/>
      <c r="K221" s="30"/>
      <c r="L221" s="31" t="n">
        <f aca="false">L220</f>
        <v>60</v>
      </c>
      <c r="M221" s="31" t="n">
        <f aca="false">M220</f>
        <v>137</v>
      </c>
      <c r="N221" s="0" t="n">
        <f aca="false">O221+P221+Q221+R221+S221</f>
        <v>0</v>
      </c>
      <c r="O221" s="32"/>
      <c r="P221" s="32"/>
      <c r="Q221" s="32"/>
      <c r="R221" s="33"/>
      <c r="S221" s="33"/>
    </row>
    <row r="222" customFormat="false" ht="16.5" hidden="false" customHeight="false" outlineLevel="0" collapsed="false">
      <c r="B222" s="47"/>
      <c r="C222" s="33" t="s">
        <v>231</v>
      </c>
      <c r="D222" s="33" t="n">
        <v>12213</v>
      </c>
      <c r="E222" s="15" t="s">
        <v>27</v>
      </c>
      <c r="F222" s="33"/>
      <c r="G222" s="29" t="n">
        <f aca="false">L222*K222/1000</f>
        <v>0</v>
      </c>
      <c r="H222" s="48"/>
      <c r="I222" s="33"/>
      <c r="K222" s="30"/>
      <c r="L222" s="31" t="n">
        <f aca="false">L221</f>
        <v>60</v>
      </c>
      <c r="M222" s="31" t="n">
        <f aca="false">M221</f>
        <v>137</v>
      </c>
      <c r="N222" s="0" t="n">
        <f aca="false">O222+P222+Q222+R222+S222</f>
        <v>0</v>
      </c>
      <c r="O222" s="32"/>
      <c r="P222" s="32"/>
      <c r="Q222" s="32"/>
      <c r="R222" s="33"/>
      <c r="S222" s="33"/>
    </row>
    <row r="223" customFormat="false" ht="16.5" hidden="false" customHeight="false" outlineLevel="0" collapsed="false">
      <c r="B223" s="47"/>
      <c r="C223" s="33" t="s">
        <v>232</v>
      </c>
      <c r="D223" s="33" t="n">
        <v>12215</v>
      </c>
      <c r="E223" s="15" t="s">
        <v>27</v>
      </c>
      <c r="F223" s="33"/>
      <c r="G223" s="29" t="n">
        <f aca="false">L223*K223/1000</f>
        <v>0</v>
      </c>
      <c r="H223" s="48"/>
      <c r="I223" s="33"/>
      <c r="K223" s="30"/>
      <c r="L223" s="31" t="n">
        <f aca="false">L222</f>
        <v>60</v>
      </c>
      <c r="M223" s="31" t="n">
        <f aca="false">M222</f>
        <v>137</v>
      </c>
      <c r="N223" s="0" t="n">
        <f aca="false">O223+P223+Q223+R223+S223</f>
        <v>0</v>
      </c>
      <c r="O223" s="32"/>
      <c r="P223" s="32"/>
      <c r="Q223" s="32"/>
      <c r="R223" s="33"/>
      <c r="S223" s="33"/>
    </row>
    <row r="224" customFormat="false" ht="16.5" hidden="false" customHeight="false" outlineLevel="0" collapsed="false">
      <c r="B224" s="47"/>
      <c r="C224" s="33" t="s">
        <v>233</v>
      </c>
      <c r="D224" s="33" t="n">
        <v>12216</v>
      </c>
      <c r="E224" s="15" t="s">
        <v>27</v>
      </c>
      <c r="F224" s="33"/>
      <c r="G224" s="29" t="n">
        <f aca="false">L224*K224/1000</f>
        <v>0</v>
      </c>
      <c r="H224" s="48"/>
      <c r="I224" s="33"/>
      <c r="K224" s="30"/>
      <c r="L224" s="31" t="n">
        <f aca="false">L223</f>
        <v>60</v>
      </c>
      <c r="M224" s="31" t="n">
        <f aca="false">M223</f>
        <v>137</v>
      </c>
      <c r="N224" s="0" t="n">
        <f aca="false">O224+P224+Q224+R224+S224</f>
        <v>0</v>
      </c>
      <c r="O224" s="32"/>
      <c r="P224" s="32"/>
      <c r="Q224" s="32"/>
      <c r="R224" s="33"/>
      <c r="S224" s="33"/>
    </row>
    <row r="225" customFormat="false" ht="16.5" hidden="false" customHeight="false" outlineLevel="0" collapsed="false">
      <c r="B225" s="47"/>
      <c r="C225" s="33" t="s">
        <v>234</v>
      </c>
      <c r="D225" s="33" t="n">
        <v>12217</v>
      </c>
      <c r="E225" s="15" t="s">
        <v>27</v>
      </c>
      <c r="F225" s="33"/>
      <c r="G225" s="29" t="n">
        <f aca="false">L225*K225/1000</f>
        <v>0</v>
      </c>
      <c r="H225" s="48"/>
      <c r="I225" s="33"/>
      <c r="K225" s="30"/>
      <c r="L225" s="31" t="n">
        <f aca="false">L224</f>
        <v>60</v>
      </c>
      <c r="M225" s="31" t="n">
        <f aca="false">M224</f>
        <v>137</v>
      </c>
      <c r="N225" s="0" t="n">
        <f aca="false">O225+P225+Q225+R225+S225</f>
        <v>0</v>
      </c>
      <c r="O225" s="32"/>
      <c r="P225" s="32"/>
      <c r="Q225" s="32"/>
      <c r="R225" s="33"/>
      <c r="S225" s="33"/>
    </row>
    <row r="226" customFormat="false" ht="16.5" hidden="false" customHeight="false" outlineLevel="0" collapsed="false">
      <c r="B226" s="47"/>
      <c r="C226" s="33" t="s">
        <v>235</v>
      </c>
      <c r="D226" s="33" t="n">
        <v>12218</v>
      </c>
      <c r="E226" s="15" t="s">
        <v>27</v>
      </c>
      <c r="F226" s="33"/>
      <c r="G226" s="29" t="n">
        <f aca="false">L226*K226/1000</f>
        <v>0</v>
      </c>
      <c r="H226" s="48"/>
      <c r="I226" s="33"/>
      <c r="K226" s="30"/>
      <c r="L226" s="31" t="n">
        <f aca="false">L225</f>
        <v>60</v>
      </c>
      <c r="M226" s="31" t="n">
        <f aca="false">M225</f>
        <v>137</v>
      </c>
      <c r="N226" s="0" t="n">
        <f aca="false">O226+P226+Q226+R226+S226</f>
        <v>0</v>
      </c>
      <c r="O226" s="32"/>
      <c r="P226" s="32"/>
      <c r="Q226" s="32"/>
      <c r="R226" s="33"/>
      <c r="S226" s="33"/>
    </row>
    <row r="227" customFormat="false" ht="16.5" hidden="false" customHeight="false" outlineLevel="0" collapsed="false">
      <c r="B227" s="47"/>
      <c r="C227" s="33" t="s">
        <v>236</v>
      </c>
      <c r="D227" s="33" t="n">
        <v>12219</v>
      </c>
      <c r="E227" s="15" t="s">
        <v>27</v>
      </c>
      <c r="F227" s="33"/>
      <c r="G227" s="29" t="n">
        <f aca="false">L227*K227/1000</f>
        <v>0</v>
      </c>
      <c r="H227" s="48"/>
      <c r="I227" s="33"/>
      <c r="K227" s="30"/>
      <c r="L227" s="31" t="n">
        <f aca="false">L226</f>
        <v>60</v>
      </c>
      <c r="M227" s="31" t="n">
        <f aca="false">M226</f>
        <v>137</v>
      </c>
      <c r="N227" s="0" t="n">
        <f aca="false">O227+P227+Q227+R227+S227</f>
        <v>0</v>
      </c>
      <c r="O227" s="32"/>
      <c r="P227" s="32"/>
      <c r="Q227" s="32"/>
      <c r="R227" s="33"/>
      <c r="S227" s="33"/>
    </row>
    <row r="228" customFormat="false" ht="16.5" hidden="false" customHeight="false" outlineLevel="0" collapsed="false">
      <c r="B228" s="47"/>
      <c r="C228" s="33" t="s">
        <v>237</v>
      </c>
      <c r="D228" s="33" t="n">
        <v>12221</v>
      </c>
      <c r="E228" s="15" t="s">
        <v>27</v>
      </c>
      <c r="F228" s="33"/>
      <c r="G228" s="29" t="n">
        <f aca="false">L228*K228/1000</f>
        <v>0</v>
      </c>
      <c r="H228" s="48"/>
      <c r="I228" s="33"/>
      <c r="K228" s="30"/>
      <c r="L228" s="31" t="n">
        <f aca="false">L227</f>
        <v>60</v>
      </c>
      <c r="M228" s="31" t="n">
        <f aca="false">M227</f>
        <v>137</v>
      </c>
      <c r="N228" s="0" t="n">
        <f aca="false">O228+P228+Q228+R228+S228</f>
        <v>0</v>
      </c>
      <c r="O228" s="32"/>
      <c r="P228" s="32"/>
      <c r="Q228" s="32"/>
      <c r="R228" s="33"/>
      <c r="S228" s="33"/>
    </row>
    <row r="229" customFormat="false" ht="16.5" hidden="false" customHeight="false" outlineLevel="0" collapsed="false">
      <c r="B229" s="47"/>
      <c r="C229" s="33" t="s">
        <v>238</v>
      </c>
      <c r="D229" s="33" t="n">
        <v>12224</v>
      </c>
      <c r="E229" s="15" t="s">
        <v>27</v>
      </c>
      <c r="F229" s="33"/>
      <c r="G229" s="29" t="n">
        <f aca="false">L229*K229/1000</f>
        <v>0</v>
      </c>
      <c r="H229" s="48"/>
      <c r="I229" s="33"/>
      <c r="K229" s="30"/>
      <c r="L229" s="31" t="n">
        <f aca="false">L228</f>
        <v>60</v>
      </c>
      <c r="M229" s="31" t="n">
        <f aca="false">M228</f>
        <v>137</v>
      </c>
      <c r="N229" s="0" t="n">
        <f aca="false">O229+P229+Q229+R229+S229</f>
        <v>0</v>
      </c>
      <c r="O229" s="32"/>
      <c r="P229" s="32"/>
      <c r="Q229" s="32"/>
      <c r="R229" s="33"/>
      <c r="S229" s="33"/>
    </row>
    <row r="230" customFormat="false" ht="16.5" hidden="false" customHeight="false" outlineLevel="0" collapsed="false">
      <c r="B230" s="47"/>
      <c r="C230" s="33" t="s">
        <v>239</v>
      </c>
      <c r="D230" s="33" t="n">
        <v>12225</v>
      </c>
      <c r="E230" s="15" t="s">
        <v>27</v>
      </c>
      <c r="F230" s="33"/>
      <c r="G230" s="29" t="n">
        <f aca="false">L230*K230/1000</f>
        <v>0</v>
      </c>
      <c r="H230" s="48"/>
      <c r="I230" s="33"/>
      <c r="K230" s="30"/>
      <c r="L230" s="31" t="n">
        <f aca="false">L229</f>
        <v>60</v>
      </c>
      <c r="M230" s="31" t="n">
        <f aca="false">M229</f>
        <v>137</v>
      </c>
      <c r="N230" s="0" t="n">
        <f aca="false">O230+P230+Q230+R230+S230</f>
        <v>0</v>
      </c>
      <c r="O230" s="32"/>
      <c r="P230" s="32"/>
      <c r="Q230" s="32"/>
      <c r="R230" s="33"/>
      <c r="S230" s="33"/>
    </row>
    <row r="231" customFormat="false" ht="16.5" hidden="false" customHeight="false" outlineLevel="0" collapsed="false">
      <c r="B231" s="47"/>
      <c r="C231" s="33" t="s">
        <v>240</v>
      </c>
      <c r="D231" s="33" t="n">
        <v>12226</v>
      </c>
      <c r="E231" s="15" t="s">
        <v>27</v>
      </c>
      <c r="F231" s="33"/>
      <c r="G231" s="29" t="n">
        <f aca="false">L231*K231/1000</f>
        <v>0</v>
      </c>
      <c r="H231" s="48"/>
      <c r="I231" s="33"/>
      <c r="K231" s="30"/>
      <c r="L231" s="31" t="n">
        <f aca="false">L230</f>
        <v>60</v>
      </c>
      <c r="M231" s="31" t="n">
        <f aca="false">M230</f>
        <v>137</v>
      </c>
      <c r="N231" s="0" t="n">
        <f aca="false">O231+P231+Q231+R231+S231</f>
        <v>0</v>
      </c>
      <c r="O231" s="32"/>
      <c r="P231" s="32"/>
      <c r="Q231" s="32"/>
      <c r="R231" s="33"/>
      <c r="S231" s="33"/>
    </row>
    <row r="232" customFormat="false" ht="16.5" hidden="false" customHeight="false" outlineLevel="0" collapsed="false">
      <c r="B232" s="47"/>
      <c r="C232" s="33" t="s">
        <v>241</v>
      </c>
      <c r="D232" s="33" t="n">
        <v>12228</v>
      </c>
      <c r="E232" s="15" t="s">
        <v>27</v>
      </c>
      <c r="F232" s="33"/>
      <c r="G232" s="29" t="n">
        <f aca="false">L232*K232/1000</f>
        <v>0</v>
      </c>
      <c r="H232" s="48"/>
      <c r="I232" s="33"/>
      <c r="K232" s="30"/>
      <c r="L232" s="31" t="n">
        <f aca="false">L231</f>
        <v>60</v>
      </c>
      <c r="M232" s="31" t="n">
        <f aca="false">M231</f>
        <v>137</v>
      </c>
      <c r="N232" s="0" t="n">
        <f aca="false">O232+P232+Q232+R232+S232</f>
        <v>0</v>
      </c>
      <c r="O232" s="32"/>
      <c r="P232" s="32"/>
      <c r="Q232" s="32"/>
      <c r="R232" s="33"/>
      <c r="S232" s="33"/>
    </row>
    <row r="233" customFormat="false" ht="16.5" hidden="false" customHeight="false" outlineLevel="0" collapsed="false">
      <c r="B233" s="47"/>
      <c r="C233" s="33" t="s">
        <v>242</v>
      </c>
      <c r="D233" s="33" t="n">
        <v>12229</v>
      </c>
      <c r="E233" s="15" t="s">
        <v>27</v>
      </c>
      <c r="F233" s="33"/>
      <c r="G233" s="29" t="n">
        <f aca="false">L233*K233/1000</f>
        <v>0</v>
      </c>
      <c r="H233" s="48"/>
      <c r="I233" s="33"/>
      <c r="K233" s="30"/>
      <c r="L233" s="31" t="n">
        <f aca="false">L232</f>
        <v>60</v>
      </c>
      <c r="M233" s="31" t="n">
        <f aca="false">M232</f>
        <v>137</v>
      </c>
      <c r="N233" s="0" t="n">
        <f aca="false">O233+P233+Q233+R233+S233</f>
        <v>0</v>
      </c>
      <c r="O233" s="32"/>
      <c r="P233" s="32"/>
      <c r="Q233" s="32"/>
      <c r="R233" s="33"/>
      <c r="S233" s="33"/>
    </row>
    <row r="234" customFormat="false" ht="16.5" hidden="false" customHeight="false" outlineLevel="0" collapsed="false">
      <c r="B234" s="47"/>
      <c r="C234" s="33" t="s">
        <v>243</v>
      </c>
      <c r="D234" s="33" t="n">
        <v>12231</v>
      </c>
      <c r="E234" s="15" t="s">
        <v>27</v>
      </c>
      <c r="F234" s="33"/>
      <c r="G234" s="29" t="n">
        <f aca="false">L234*K234/1000</f>
        <v>0</v>
      </c>
      <c r="H234" s="48"/>
      <c r="I234" s="33"/>
      <c r="K234" s="30"/>
      <c r="L234" s="31" t="n">
        <f aca="false">L233</f>
        <v>60</v>
      </c>
      <c r="M234" s="31" t="n">
        <f aca="false">M233</f>
        <v>137</v>
      </c>
      <c r="N234" s="0" t="n">
        <f aca="false">O234+P234+Q234+R234+S234</f>
        <v>0</v>
      </c>
      <c r="O234" s="32"/>
      <c r="P234" s="32"/>
      <c r="Q234" s="32"/>
      <c r="R234" s="33"/>
      <c r="S234" s="33"/>
    </row>
    <row r="235" customFormat="false" ht="16.5" hidden="false" customHeight="false" outlineLevel="0" collapsed="false">
      <c r="B235" s="47"/>
      <c r="C235" s="33" t="s">
        <v>244</v>
      </c>
      <c r="D235" s="33" t="n">
        <v>12235</v>
      </c>
      <c r="E235" s="15" t="s">
        <v>27</v>
      </c>
      <c r="F235" s="33"/>
      <c r="G235" s="29" t="n">
        <f aca="false">L235*K235/1000</f>
        <v>0</v>
      </c>
      <c r="H235" s="48"/>
      <c r="I235" s="33"/>
      <c r="K235" s="30"/>
      <c r="L235" s="31" t="n">
        <f aca="false">L234</f>
        <v>60</v>
      </c>
      <c r="M235" s="31" t="n">
        <f aca="false">M234</f>
        <v>137</v>
      </c>
      <c r="N235" s="0" t="n">
        <f aca="false">O235+P235+Q235+R235+S235</f>
        <v>0</v>
      </c>
      <c r="O235" s="32"/>
      <c r="P235" s="32"/>
      <c r="Q235" s="32"/>
      <c r="R235" s="33"/>
      <c r="S235" s="33"/>
    </row>
    <row r="236" customFormat="false" ht="16.5" hidden="false" customHeight="false" outlineLevel="0" collapsed="false">
      <c r="B236" s="47"/>
      <c r="C236" s="33" t="s">
        <v>245</v>
      </c>
      <c r="D236" s="33" t="n">
        <v>12237</v>
      </c>
      <c r="E236" s="15" t="s">
        <v>27</v>
      </c>
      <c r="F236" s="33"/>
      <c r="G236" s="29" t="n">
        <f aca="false">L236*K236/1000</f>
        <v>0</v>
      </c>
      <c r="H236" s="48"/>
      <c r="I236" s="33"/>
      <c r="K236" s="30"/>
      <c r="L236" s="31" t="n">
        <f aca="false">L235</f>
        <v>60</v>
      </c>
      <c r="M236" s="31" t="n">
        <f aca="false">M235</f>
        <v>137</v>
      </c>
      <c r="N236" s="0" t="n">
        <f aca="false">O236+P236+Q236+R236+S236</f>
        <v>0</v>
      </c>
      <c r="O236" s="32"/>
      <c r="P236" s="32"/>
      <c r="Q236" s="32"/>
      <c r="R236" s="33"/>
      <c r="S236" s="33"/>
    </row>
    <row r="237" customFormat="false" ht="16.5" hidden="false" customHeight="false" outlineLevel="0" collapsed="false">
      <c r="B237" s="47"/>
      <c r="C237" s="33" t="s">
        <v>246</v>
      </c>
      <c r="D237" s="33" t="n">
        <v>12301</v>
      </c>
      <c r="E237" s="15" t="s">
        <v>27</v>
      </c>
      <c r="F237" s="33"/>
      <c r="G237" s="29" t="n">
        <f aca="false">L237*K237/1000</f>
        <v>0</v>
      </c>
      <c r="H237" s="48"/>
      <c r="I237" s="33"/>
      <c r="K237" s="30"/>
      <c r="L237" s="31" t="n">
        <f aca="false">L236</f>
        <v>60</v>
      </c>
      <c r="M237" s="31" t="n">
        <f aca="false">M236</f>
        <v>137</v>
      </c>
      <c r="N237" s="0" t="n">
        <f aca="false">O237+P237+Q237+R237+S237</f>
        <v>0</v>
      </c>
      <c r="O237" s="32"/>
      <c r="P237" s="32"/>
      <c r="Q237" s="32"/>
      <c r="R237" s="33"/>
      <c r="S237" s="33"/>
    </row>
    <row r="238" customFormat="false" ht="16.5" hidden="false" customHeight="false" outlineLevel="0" collapsed="false">
      <c r="B238" s="47"/>
      <c r="C238" s="33" t="s">
        <v>247</v>
      </c>
      <c r="D238" s="33" t="n">
        <v>12302</v>
      </c>
      <c r="E238" s="15" t="s">
        <v>27</v>
      </c>
      <c r="F238" s="33"/>
      <c r="G238" s="29" t="n">
        <f aca="false">L238*K238/1000</f>
        <v>0</v>
      </c>
      <c r="H238" s="48"/>
      <c r="I238" s="33"/>
      <c r="K238" s="30"/>
      <c r="L238" s="31" t="n">
        <f aca="false">L237</f>
        <v>60</v>
      </c>
      <c r="M238" s="31" t="n">
        <f aca="false">M237</f>
        <v>137</v>
      </c>
      <c r="N238" s="0" t="n">
        <f aca="false">O238+P238+Q238+R238+S238</f>
        <v>0</v>
      </c>
      <c r="O238" s="32"/>
      <c r="P238" s="32"/>
      <c r="Q238" s="32"/>
      <c r="R238" s="33"/>
      <c r="S238" s="33"/>
    </row>
    <row r="239" customFormat="false" ht="16.5" hidden="false" customHeight="false" outlineLevel="0" collapsed="false">
      <c r="B239" s="47"/>
      <c r="C239" s="33" t="s">
        <v>248</v>
      </c>
      <c r="D239" s="33" t="n">
        <v>12303</v>
      </c>
      <c r="E239" s="15" t="s">
        <v>27</v>
      </c>
      <c r="F239" s="33"/>
      <c r="G239" s="29" t="n">
        <f aca="false">L239*K239/1000</f>
        <v>0</v>
      </c>
      <c r="H239" s="48"/>
      <c r="I239" s="33"/>
      <c r="K239" s="30"/>
      <c r="L239" s="31" t="n">
        <f aca="false">L238</f>
        <v>60</v>
      </c>
      <c r="M239" s="31" t="n">
        <f aca="false">M238</f>
        <v>137</v>
      </c>
      <c r="N239" s="0" t="n">
        <f aca="false">O239+P239+Q239+R239+S239</f>
        <v>0</v>
      </c>
      <c r="O239" s="32"/>
      <c r="P239" s="32"/>
      <c r="Q239" s="32"/>
      <c r="R239" s="33"/>
      <c r="S239" s="33"/>
    </row>
    <row r="240" customFormat="false" ht="16.5" hidden="false" customHeight="false" outlineLevel="0" collapsed="false">
      <c r="B240" s="47"/>
      <c r="C240" s="33" t="s">
        <v>249</v>
      </c>
      <c r="D240" s="33" t="n">
        <v>12304</v>
      </c>
      <c r="E240" s="15" t="s">
        <v>27</v>
      </c>
      <c r="F240" s="33"/>
      <c r="G240" s="29" t="n">
        <f aca="false">L240*K240/1000</f>
        <v>0</v>
      </c>
      <c r="H240" s="48"/>
      <c r="I240" s="33"/>
      <c r="K240" s="30"/>
      <c r="L240" s="31" t="n">
        <f aca="false">L239</f>
        <v>60</v>
      </c>
      <c r="M240" s="31" t="n">
        <f aca="false">M239</f>
        <v>137</v>
      </c>
      <c r="N240" s="0" t="n">
        <f aca="false">O240+P240+Q240+R240+S240</f>
        <v>0</v>
      </c>
      <c r="O240" s="32"/>
      <c r="P240" s="32"/>
      <c r="Q240" s="32"/>
      <c r="R240" s="33"/>
      <c r="S240" s="33"/>
    </row>
    <row r="241" customFormat="false" ht="16.5" hidden="false" customHeight="false" outlineLevel="0" collapsed="false">
      <c r="B241" s="47"/>
      <c r="C241" s="33" t="s">
        <v>250</v>
      </c>
      <c r="D241" s="33" t="n">
        <v>12305</v>
      </c>
      <c r="E241" s="15" t="s">
        <v>27</v>
      </c>
      <c r="F241" s="33"/>
      <c r="G241" s="29" t="n">
        <f aca="false">L241*K241/1000</f>
        <v>0</v>
      </c>
      <c r="H241" s="48"/>
      <c r="I241" s="33"/>
      <c r="K241" s="30"/>
      <c r="L241" s="31" t="n">
        <f aca="false">L240</f>
        <v>60</v>
      </c>
      <c r="M241" s="31" t="n">
        <f aca="false">M240</f>
        <v>137</v>
      </c>
      <c r="N241" s="0" t="n">
        <f aca="false">O241+P241+Q241+R241+S241</f>
        <v>0</v>
      </c>
      <c r="O241" s="32"/>
      <c r="P241" s="32"/>
      <c r="Q241" s="32"/>
      <c r="R241" s="33"/>
      <c r="S241" s="33"/>
    </row>
    <row r="242" customFormat="false" ht="16.5" hidden="false" customHeight="false" outlineLevel="0" collapsed="false">
      <c r="B242" s="47"/>
      <c r="C242" s="33" t="s">
        <v>251</v>
      </c>
      <c r="D242" s="33" t="n">
        <v>12306</v>
      </c>
      <c r="E242" s="15" t="s">
        <v>27</v>
      </c>
      <c r="F242" s="33"/>
      <c r="G242" s="29" t="n">
        <f aca="false">L242*K242/1000</f>
        <v>0</v>
      </c>
      <c r="H242" s="48"/>
      <c r="I242" s="33"/>
      <c r="K242" s="30"/>
      <c r="L242" s="31" t="n">
        <f aca="false">L241</f>
        <v>60</v>
      </c>
      <c r="M242" s="31" t="n">
        <f aca="false">M241</f>
        <v>137</v>
      </c>
      <c r="N242" s="0" t="n">
        <f aca="false">O242+P242+Q242+R242+S242</f>
        <v>0</v>
      </c>
      <c r="O242" s="32"/>
      <c r="P242" s="32"/>
      <c r="Q242" s="32"/>
      <c r="R242" s="33"/>
      <c r="S242" s="33"/>
    </row>
    <row r="243" customFormat="false" ht="16.5" hidden="false" customHeight="false" outlineLevel="0" collapsed="false">
      <c r="B243" s="47"/>
      <c r="C243" s="33" t="s">
        <v>252</v>
      </c>
      <c r="D243" s="33" t="n">
        <v>12307</v>
      </c>
      <c r="E243" s="15" t="s">
        <v>27</v>
      </c>
      <c r="F243" s="33"/>
      <c r="G243" s="29" t="n">
        <f aca="false">L243*K243/1000</f>
        <v>0</v>
      </c>
      <c r="H243" s="48"/>
      <c r="I243" s="33"/>
      <c r="K243" s="30"/>
      <c r="L243" s="31" t="n">
        <f aca="false">L242</f>
        <v>60</v>
      </c>
      <c r="M243" s="31" t="n">
        <f aca="false">M242</f>
        <v>137</v>
      </c>
      <c r="N243" s="0" t="n">
        <f aca="false">O243+P243+Q243+R243+S243</f>
        <v>0</v>
      </c>
      <c r="O243" s="32"/>
      <c r="P243" s="32"/>
      <c r="Q243" s="32"/>
      <c r="R243" s="33"/>
      <c r="S243" s="33"/>
    </row>
    <row r="244" customFormat="false" ht="16.5" hidden="false" customHeight="false" outlineLevel="0" collapsed="false">
      <c r="B244" s="47"/>
      <c r="C244" s="33" t="s">
        <v>253</v>
      </c>
      <c r="D244" s="33" t="n">
        <v>12308</v>
      </c>
      <c r="E244" s="15" t="s">
        <v>27</v>
      </c>
      <c r="F244" s="33"/>
      <c r="G244" s="29" t="n">
        <f aca="false">L244*K244/1000</f>
        <v>0</v>
      </c>
      <c r="H244" s="48"/>
      <c r="I244" s="33"/>
      <c r="K244" s="30"/>
      <c r="L244" s="31" t="n">
        <f aca="false">L243</f>
        <v>60</v>
      </c>
      <c r="M244" s="31" t="n">
        <f aca="false">M243</f>
        <v>137</v>
      </c>
      <c r="N244" s="0" t="n">
        <f aca="false">O244+P244+Q244+R244+S244</f>
        <v>0</v>
      </c>
      <c r="O244" s="32"/>
      <c r="P244" s="32"/>
      <c r="Q244" s="32"/>
      <c r="R244" s="33"/>
      <c r="S244" s="33"/>
    </row>
    <row r="245" customFormat="false" ht="16.5" hidden="false" customHeight="false" outlineLevel="0" collapsed="false">
      <c r="B245" s="47"/>
      <c r="C245" s="33" t="s">
        <v>254</v>
      </c>
      <c r="D245" s="33" t="n">
        <v>13001</v>
      </c>
      <c r="E245" s="15" t="s">
        <v>27</v>
      </c>
      <c r="F245" s="33"/>
      <c r="G245" s="29" t="n">
        <f aca="false">L245*K245/1000</f>
        <v>0</v>
      </c>
      <c r="H245" s="48"/>
      <c r="I245" s="33"/>
      <c r="K245" s="30"/>
      <c r="L245" s="31" t="n">
        <f aca="false">L244</f>
        <v>60</v>
      </c>
      <c r="M245" s="31" t="n">
        <f aca="false">M244</f>
        <v>137</v>
      </c>
      <c r="N245" s="0" t="n">
        <f aca="false">O245+P245+Q245+R245+S245</f>
        <v>0</v>
      </c>
      <c r="O245" s="32"/>
      <c r="P245" s="32"/>
      <c r="Q245" s="32"/>
      <c r="R245" s="33"/>
      <c r="S245" s="33"/>
    </row>
    <row r="246" customFormat="false" ht="16.5" hidden="false" customHeight="false" outlineLevel="0" collapsed="false">
      <c r="B246" s="47"/>
      <c r="C246" s="33" t="s">
        <v>255</v>
      </c>
      <c r="D246" s="33" t="n">
        <v>13002</v>
      </c>
      <c r="E246" s="15" t="s">
        <v>27</v>
      </c>
      <c r="F246" s="33"/>
      <c r="G246" s="29" t="n">
        <f aca="false">L246*K246/1000</f>
        <v>0</v>
      </c>
      <c r="H246" s="48"/>
      <c r="I246" s="33"/>
      <c r="K246" s="30"/>
      <c r="L246" s="31" t="n">
        <f aca="false">L245</f>
        <v>60</v>
      </c>
      <c r="M246" s="31" t="n">
        <f aca="false">M245</f>
        <v>137</v>
      </c>
      <c r="N246" s="0" t="n">
        <f aca="false">O246+P246+Q246+R246+S246</f>
        <v>0</v>
      </c>
      <c r="O246" s="32"/>
      <c r="P246" s="32"/>
      <c r="Q246" s="32"/>
      <c r="R246" s="33"/>
      <c r="S246" s="33"/>
    </row>
    <row r="247" customFormat="false" ht="16.5" hidden="false" customHeight="false" outlineLevel="0" collapsed="false">
      <c r="B247" s="47"/>
      <c r="C247" s="33" t="s">
        <v>256</v>
      </c>
      <c r="D247" s="33" t="n">
        <v>13003</v>
      </c>
      <c r="E247" s="15" t="s">
        <v>27</v>
      </c>
      <c r="F247" s="33"/>
      <c r="G247" s="29" t="n">
        <f aca="false">L247*K247/1000</f>
        <v>0</v>
      </c>
      <c r="H247" s="48"/>
      <c r="I247" s="33"/>
      <c r="K247" s="30"/>
      <c r="L247" s="31" t="n">
        <f aca="false">L246</f>
        <v>60</v>
      </c>
      <c r="M247" s="31" t="n">
        <f aca="false">M246</f>
        <v>137</v>
      </c>
      <c r="N247" s="0" t="n">
        <f aca="false">O247+P247+Q247+R247+S247</f>
        <v>0</v>
      </c>
      <c r="O247" s="32"/>
      <c r="P247" s="32"/>
      <c r="Q247" s="32"/>
      <c r="R247" s="33"/>
      <c r="S247" s="33"/>
    </row>
    <row r="248" customFormat="false" ht="16.5" hidden="false" customHeight="false" outlineLevel="0" collapsed="false">
      <c r="B248" s="47"/>
      <c r="C248" s="33" t="s">
        <v>257</v>
      </c>
      <c r="D248" s="33" t="n">
        <v>13004</v>
      </c>
      <c r="E248" s="15" t="s">
        <v>27</v>
      </c>
      <c r="F248" s="33"/>
      <c r="G248" s="29" t="n">
        <f aca="false">L248*K248/1000</f>
        <v>0</v>
      </c>
      <c r="H248" s="48"/>
      <c r="I248" s="33"/>
      <c r="K248" s="30"/>
      <c r="L248" s="31" t="n">
        <f aca="false">L247</f>
        <v>60</v>
      </c>
      <c r="M248" s="31" t="n">
        <f aca="false">M247</f>
        <v>137</v>
      </c>
      <c r="N248" s="0" t="n">
        <f aca="false">O248+P248+Q248+R248+S248</f>
        <v>0</v>
      </c>
      <c r="O248" s="32"/>
      <c r="P248" s="32"/>
      <c r="Q248" s="32"/>
      <c r="R248" s="33"/>
      <c r="S248" s="33"/>
    </row>
    <row r="249" customFormat="false" ht="16.5" hidden="false" customHeight="false" outlineLevel="0" collapsed="false">
      <c r="B249" s="47"/>
      <c r="C249" s="33" t="s">
        <v>258</v>
      </c>
      <c r="D249" s="33" t="n">
        <v>13005</v>
      </c>
      <c r="E249" s="15" t="s">
        <v>27</v>
      </c>
      <c r="F249" s="33"/>
      <c r="G249" s="29" t="n">
        <f aca="false">L249*K249/1000</f>
        <v>0</v>
      </c>
      <c r="H249" s="48"/>
      <c r="I249" s="33"/>
      <c r="K249" s="30"/>
      <c r="L249" s="31" t="n">
        <f aca="false">L248</f>
        <v>60</v>
      </c>
      <c r="M249" s="31" t="n">
        <f aca="false">M248</f>
        <v>137</v>
      </c>
      <c r="N249" s="0" t="n">
        <f aca="false">O249+P249+Q249+R249+S249</f>
        <v>0</v>
      </c>
      <c r="O249" s="32"/>
      <c r="P249" s="32"/>
      <c r="Q249" s="32"/>
      <c r="R249" s="33"/>
      <c r="S249" s="33"/>
    </row>
    <row r="250" customFormat="false" ht="16.5" hidden="false" customHeight="false" outlineLevel="0" collapsed="false">
      <c r="B250" s="47"/>
      <c r="C250" s="33" t="s">
        <v>259</v>
      </c>
      <c r="D250" s="33" t="n">
        <v>13006</v>
      </c>
      <c r="E250" s="15" t="s">
        <v>27</v>
      </c>
      <c r="F250" s="33"/>
      <c r="G250" s="29" t="n">
        <f aca="false">L250*K250/1000</f>
        <v>0</v>
      </c>
      <c r="H250" s="48"/>
      <c r="I250" s="33"/>
      <c r="K250" s="30"/>
      <c r="L250" s="31" t="n">
        <f aca="false">L249</f>
        <v>60</v>
      </c>
      <c r="M250" s="31" t="n">
        <f aca="false">M249</f>
        <v>137</v>
      </c>
      <c r="N250" s="0" t="n">
        <f aca="false">O250+P250+Q250+R250+S250</f>
        <v>0</v>
      </c>
      <c r="O250" s="32"/>
      <c r="P250" s="32"/>
      <c r="Q250" s="32"/>
      <c r="R250" s="33"/>
      <c r="S250" s="33"/>
    </row>
    <row r="251" customFormat="false" ht="16.5" hidden="false" customHeight="false" outlineLevel="0" collapsed="false">
      <c r="B251" s="47"/>
      <c r="C251" s="33" t="s">
        <v>260</v>
      </c>
      <c r="D251" s="33" t="n">
        <v>13007</v>
      </c>
      <c r="E251" s="15" t="s">
        <v>27</v>
      </c>
      <c r="F251" s="33"/>
      <c r="G251" s="29" t="n">
        <f aca="false">L251*K251/1000</f>
        <v>0</v>
      </c>
      <c r="H251" s="48"/>
      <c r="I251" s="33"/>
      <c r="K251" s="30"/>
      <c r="L251" s="31" t="n">
        <f aca="false">L250</f>
        <v>60</v>
      </c>
      <c r="M251" s="31" t="n">
        <f aca="false">M250</f>
        <v>137</v>
      </c>
      <c r="N251" s="0" t="n">
        <f aca="false">O251+P251+Q251+R251+S251</f>
        <v>0</v>
      </c>
      <c r="O251" s="32"/>
      <c r="P251" s="32"/>
      <c r="Q251" s="32"/>
      <c r="R251" s="33"/>
      <c r="S251" s="33"/>
    </row>
    <row r="252" customFormat="false" ht="16.5" hidden="false" customHeight="false" outlineLevel="0" collapsed="false">
      <c r="B252" s="47"/>
      <c r="C252" s="33" t="s">
        <v>261</v>
      </c>
      <c r="D252" s="33" t="n">
        <v>13008</v>
      </c>
      <c r="E252" s="15" t="s">
        <v>27</v>
      </c>
      <c r="F252" s="33"/>
      <c r="G252" s="29" t="n">
        <f aca="false">L252*K252/1000</f>
        <v>0</v>
      </c>
      <c r="H252" s="48"/>
      <c r="I252" s="33"/>
      <c r="K252" s="30"/>
      <c r="L252" s="31" t="n">
        <f aca="false">L251</f>
        <v>60</v>
      </c>
      <c r="M252" s="31" t="n">
        <f aca="false">M251</f>
        <v>137</v>
      </c>
      <c r="N252" s="0" t="n">
        <f aca="false">O252+P252+Q252+R252+S252</f>
        <v>0</v>
      </c>
      <c r="O252" s="32"/>
      <c r="P252" s="32"/>
      <c r="Q252" s="32"/>
      <c r="R252" s="33"/>
      <c r="S252" s="33"/>
    </row>
    <row r="253" customFormat="false" ht="16.5" hidden="false" customHeight="false" outlineLevel="0" collapsed="false">
      <c r="B253" s="47"/>
      <c r="C253" s="33" t="s">
        <v>262</v>
      </c>
      <c r="D253" s="33" t="n">
        <v>13009</v>
      </c>
      <c r="E253" s="15" t="s">
        <v>27</v>
      </c>
      <c r="F253" s="33"/>
      <c r="G253" s="29" t="n">
        <f aca="false">L253*K253/1000</f>
        <v>0</v>
      </c>
      <c r="H253" s="48"/>
      <c r="I253" s="33"/>
      <c r="K253" s="30"/>
      <c r="L253" s="31" t="n">
        <f aca="false">L252</f>
        <v>60</v>
      </c>
      <c r="M253" s="31" t="n">
        <f aca="false">M252</f>
        <v>137</v>
      </c>
      <c r="N253" s="0" t="n">
        <f aca="false">O253+P253+Q253+R253+S253</f>
        <v>0</v>
      </c>
      <c r="O253" s="32"/>
      <c r="P253" s="32"/>
      <c r="Q253" s="32"/>
      <c r="R253" s="33"/>
      <c r="S253" s="33"/>
    </row>
    <row r="254" customFormat="false" ht="16.5" hidden="false" customHeight="false" outlineLevel="0" collapsed="false">
      <c r="B254" s="47"/>
      <c r="C254" s="33" t="s">
        <v>263</v>
      </c>
      <c r="D254" s="33" t="n">
        <v>13010</v>
      </c>
      <c r="E254" s="15" t="s">
        <v>27</v>
      </c>
      <c r="F254" s="33"/>
      <c r="G254" s="29" t="n">
        <f aca="false">L254*K254/1000</f>
        <v>0</v>
      </c>
      <c r="H254" s="48"/>
      <c r="I254" s="33"/>
      <c r="K254" s="30"/>
      <c r="L254" s="31" t="n">
        <f aca="false">L253</f>
        <v>60</v>
      </c>
      <c r="M254" s="31" t="n">
        <f aca="false">M253</f>
        <v>137</v>
      </c>
      <c r="N254" s="0" t="n">
        <f aca="false">O254+P254+Q254+R254+S254</f>
        <v>0</v>
      </c>
      <c r="O254" s="32"/>
      <c r="P254" s="32"/>
      <c r="Q254" s="32"/>
      <c r="R254" s="33"/>
      <c r="S254" s="33"/>
    </row>
    <row r="255" customFormat="false" ht="16.5" hidden="false" customHeight="false" outlineLevel="0" collapsed="false">
      <c r="B255" s="47"/>
      <c r="C255" s="33" t="s">
        <v>264</v>
      </c>
      <c r="D255" s="33" t="n">
        <v>13011</v>
      </c>
      <c r="E255" s="15" t="s">
        <v>27</v>
      </c>
      <c r="F255" s="33"/>
      <c r="G255" s="29" t="n">
        <f aca="false">L255*K255/1000</f>
        <v>0</v>
      </c>
      <c r="H255" s="48"/>
      <c r="I255" s="33"/>
      <c r="K255" s="30"/>
      <c r="L255" s="31" t="n">
        <f aca="false">L254</f>
        <v>60</v>
      </c>
      <c r="M255" s="31" t="n">
        <f aca="false">M254</f>
        <v>137</v>
      </c>
      <c r="N255" s="0" t="n">
        <f aca="false">O255+P255+Q255+R255+S255</f>
        <v>0</v>
      </c>
      <c r="O255" s="32"/>
      <c r="P255" s="32"/>
      <c r="Q255" s="32"/>
      <c r="R255" s="33"/>
      <c r="S255" s="33"/>
    </row>
    <row r="256" customFormat="false" ht="16.5" hidden="false" customHeight="false" outlineLevel="0" collapsed="false">
      <c r="B256" s="47"/>
      <c r="C256" s="33" t="s">
        <v>265</v>
      </c>
      <c r="D256" s="33" t="n">
        <v>13013</v>
      </c>
      <c r="E256" s="15" t="s">
        <v>27</v>
      </c>
      <c r="F256" s="33"/>
      <c r="G256" s="29" t="n">
        <f aca="false">L256*K256/1000</f>
        <v>0</v>
      </c>
      <c r="H256" s="48"/>
      <c r="I256" s="33"/>
      <c r="K256" s="30"/>
      <c r="L256" s="31" t="n">
        <f aca="false">L255</f>
        <v>60</v>
      </c>
      <c r="M256" s="31" t="n">
        <f aca="false">M255</f>
        <v>137</v>
      </c>
      <c r="N256" s="0" t="n">
        <f aca="false">O256+P256+Q256+R256+S256</f>
        <v>0</v>
      </c>
      <c r="O256" s="32"/>
      <c r="P256" s="32"/>
      <c r="Q256" s="32"/>
      <c r="R256" s="33"/>
      <c r="S256" s="33"/>
    </row>
    <row r="257" customFormat="false" ht="16.5" hidden="false" customHeight="false" outlineLevel="0" collapsed="false">
      <c r="B257" s="47"/>
      <c r="C257" s="33" t="s">
        <v>266</v>
      </c>
      <c r="D257" s="33" t="n">
        <v>13015</v>
      </c>
      <c r="E257" s="15" t="s">
        <v>27</v>
      </c>
      <c r="F257" s="33"/>
      <c r="G257" s="29" t="n">
        <f aca="false">L257*K257/1000</f>
        <v>0</v>
      </c>
      <c r="H257" s="48"/>
      <c r="I257" s="33"/>
      <c r="K257" s="30"/>
      <c r="L257" s="31" t="n">
        <f aca="false">L256</f>
        <v>60</v>
      </c>
      <c r="M257" s="31" t="n">
        <f aca="false">M256</f>
        <v>137</v>
      </c>
      <c r="N257" s="0" t="n">
        <f aca="false">O257+P257+Q257+R257+S257</f>
        <v>0</v>
      </c>
      <c r="O257" s="32"/>
      <c r="P257" s="32"/>
      <c r="Q257" s="32"/>
      <c r="R257" s="33"/>
      <c r="S257" s="33"/>
    </row>
    <row r="258" customFormat="false" ht="16.5" hidden="false" customHeight="false" outlineLevel="0" collapsed="false">
      <c r="B258" s="47"/>
      <c r="C258" s="33" t="s">
        <v>267</v>
      </c>
      <c r="D258" s="33" t="n">
        <v>13016</v>
      </c>
      <c r="E258" s="15" t="s">
        <v>27</v>
      </c>
      <c r="F258" s="33"/>
      <c r="G258" s="29" t="n">
        <f aca="false">L258*K258/1000</f>
        <v>0</v>
      </c>
      <c r="H258" s="48"/>
      <c r="I258" s="33"/>
      <c r="K258" s="30"/>
      <c r="L258" s="31" t="n">
        <f aca="false">L257</f>
        <v>60</v>
      </c>
      <c r="M258" s="31" t="n">
        <f aca="false">M257</f>
        <v>137</v>
      </c>
      <c r="N258" s="0" t="n">
        <f aca="false">O258+P258+Q258+R258+S258</f>
        <v>0</v>
      </c>
      <c r="O258" s="32"/>
      <c r="P258" s="32"/>
      <c r="Q258" s="32"/>
      <c r="R258" s="33"/>
      <c r="S258" s="33"/>
    </row>
    <row r="259" customFormat="false" ht="16.5" hidden="false" customHeight="false" outlineLevel="0" collapsed="false">
      <c r="B259" s="47"/>
      <c r="C259" s="33" t="s">
        <v>268</v>
      </c>
      <c r="D259" s="33" t="n">
        <v>13017</v>
      </c>
      <c r="E259" s="15" t="s">
        <v>27</v>
      </c>
      <c r="F259" s="33"/>
      <c r="G259" s="29" t="n">
        <f aca="false">L259*K259/1000</f>
        <v>0</v>
      </c>
      <c r="H259" s="48"/>
      <c r="I259" s="33"/>
      <c r="K259" s="30"/>
      <c r="L259" s="31" t="n">
        <f aca="false">L258</f>
        <v>60</v>
      </c>
      <c r="M259" s="31" t="n">
        <f aca="false">M258</f>
        <v>137</v>
      </c>
      <c r="N259" s="0" t="n">
        <f aca="false">O259+P259+Q259+R259+S259</f>
        <v>0</v>
      </c>
      <c r="O259" s="32"/>
      <c r="P259" s="32"/>
      <c r="Q259" s="32"/>
      <c r="R259" s="33"/>
      <c r="S259" s="33"/>
    </row>
    <row r="260" customFormat="false" ht="16.5" hidden="false" customHeight="false" outlineLevel="0" collapsed="false">
      <c r="B260" s="47"/>
      <c r="C260" s="33" t="s">
        <v>269</v>
      </c>
      <c r="D260" s="33" t="n">
        <v>13018</v>
      </c>
      <c r="E260" s="15" t="s">
        <v>27</v>
      </c>
      <c r="F260" s="33"/>
      <c r="G260" s="29" t="n">
        <f aca="false">L260*K260/1000</f>
        <v>0</v>
      </c>
      <c r="H260" s="48"/>
      <c r="I260" s="33"/>
      <c r="K260" s="30"/>
      <c r="L260" s="31" t="n">
        <f aca="false">L259</f>
        <v>60</v>
      </c>
      <c r="M260" s="31" t="n">
        <f aca="false">M259</f>
        <v>137</v>
      </c>
      <c r="N260" s="0" t="n">
        <f aca="false">O260+P260+Q260+R260+S260</f>
        <v>0</v>
      </c>
      <c r="O260" s="32"/>
      <c r="P260" s="32"/>
      <c r="Q260" s="32"/>
      <c r="R260" s="33"/>
      <c r="S260" s="33"/>
    </row>
    <row r="261" customFormat="false" ht="16.5" hidden="false" customHeight="false" outlineLevel="0" collapsed="false">
      <c r="B261" s="47"/>
      <c r="C261" s="33" t="s">
        <v>270</v>
      </c>
      <c r="D261" s="33" t="n">
        <v>13019</v>
      </c>
      <c r="E261" s="15" t="s">
        <v>27</v>
      </c>
      <c r="F261" s="33"/>
      <c r="G261" s="29" t="n">
        <f aca="false">L261*K261/1000</f>
        <v>0</v>
      </c>
      <c r="H261" s="48"/>
      <c r="I261" s="33"/>
      <c r="K261" s="30"/>
      <c r="L261" s="31" t="n">
        <f aca="false">L260</f>
        <v>60</v>
      </c>
      <c r="M261" s="31" t="n">
        <f aca="false">M260</f>
        <v>137</v>
      </c>
      <c r="N261" s="0" t="n">
        <f aca="false">O261+P261+Q261+R261+S261</f>
        <v>0</v>
      </c>
      <c r="O261" s="32"/>
      <c r="P261" s="32"/>
      <c r="Q261" s="32"/>
      <c r="R261" s="33"/>
      <c r="S261" s="33"/>
    </row>
    <row r="262" customFormat="false" ht="16.5" hidden="false" customHeight="false" outlineLevel="0" collapsed="false">
      <c r="B262" s="47"/>
      <c r="C262" s="33" t="s">
        <v>271</v>
      </c>
      <c r="D262" s="33" t="n">
        <v>13020</v>
      </c>
      <c r="E262" s="15" t="s">
        <v>27</v>
      </c>
      <c r="F262" s="33"/>
      <c r="G262" s="29" t="n">
        <f aca="false">L262*K262/1000</f>
        <v>0</v>
      </c>
      <c r="H262" s="48"/>
      <c r="I262" s="33"/>
      <c r="K262" s="30"/>
      <c r="L262" s="31" t="n">
        <f aca="false">L261</f>
        <v>60</v>
      </c>
      <c r="M262" s="31" t="n">
        <f aca="false">M261</f>
        <v>137</v>
      </c>
      <c r="N262" s="0" t="n">
        <f aca="false">O262+P262+Q262+R262+S262</f>
        <v>0</v>
      </c>
      <c r="O262" s="32"/>
      <c r="P262" s="32"/>
      <c r="Q262" s="32"/>
      <c r="R262" s="33"/>
      <c r="S262" s="33"/>
    </row>
    <row r="263" customFormat="false" ht="16.5" hidden="false" customHeight="false" outlineLevel="0" collapsed="false">
      <c r="B263" s="47"/>
      <c r="C263" s="33" t="s">
        <v>272</v>
      </c>
      <c r="D263" s="33" t="n">
        <v>13021</v>
      </c>
      <c r="E263" s="15" t="s">
        <v>27</v>
      </c>
      <c r="F263" s="33"/>
      <c r="G263" s="29" t="n">
        <f aca="false">L263*K263/1000</f>
        <v>0</v>
      </c>
      <c r="H263" s="48"/>
      <c r="I263" s="33"/>
      <c r="K263" s="30"/>
      <c r="L263" s="31" t="n">
        <f aca="false">L262</f>
        <v>60</v>
      </c>
      <c r="M263" s="31" t="n">
        <f aca="false">M262</f>
        <v>137</v>
      </c>
      <c r="N263" s="0" t="n">
        <f aca="false">O263+P263+Q263+R263+S263</f>
        <v>0</v>
      </c>
      <c r="O263" s="32"/>
      <c r="P263" s="32"/>
      <c r="Q263" s="32"/>
      <c r="R263" s="33"/>
      <c r="S263" s="33"/>
    </row>
    <row r="264" customFormat="false" ht="16.5" hidden="false" customHeight="false" outlineLevel="0" collapsed="false">
      <c r="B264" s="47"/>
      <c r="C264" s="33" t="s">
        <v>273</v>
      </c>
      <c r="D264" s="33" t="n">
        <v>13101</v>
      </c>
      <c r="E264" s="15" t="s">
        <v>27</v>
      </c>
      <c r="F264" s="33"/>
      <c r="G264" s="29" t="n">
        <f aca="false">L264*K264/1000</f>
        <v>0</v>
      </c>
      <c r="H264" s="48"/>
      <c r="I264" s="33"/>
      <c r="K264" s="30"/>
      <c r="L264" s="31" t="n">
        <f aca="false">L263</f>
        <v>60</v>
      </c>
      <c r="M264" s="31" t="n">
        <f aca="false">M263</f>
        <v>137</v>
      </c>
      <c r="N264" s="0" t="n">
        <f aca="false">O264+P264+Q264+R264+S264</f>
        <v>0</v>
      </c>
      <c r="O264" s="32"/>
      <c r="P264" s="32"/>
      <c r="Q264" s="32"/>
      <c r="R264" s="33"/>
      <c r="S264" s="33"/>
    </row>
    <row r="265" customFormat="false" ht="16.5" hidden="false" customHeight="false" outlineLevel="0" collapsed="false">
      <c r="B265" s="47"/>
      <c r="C265" s="33" t="s">
        <v>274</v>
      </c>
      <c r="D265" s="33" t="n">
        <v>13102</v>
      </c>
      <c r="E265" s="15" t="s">
        <v>27</v>
      </c>
      <c r="F265" s="33"/>
      <c r="G265" s="29" t="n">
        <f aca="false">L265*K265/1000</f>
        <v>0</v>
      </c>
      <c r="H265" s="48"/>
      <c r="I265" s="33"/>
      <c r="K265" s="30"/>
      <c r="L265" s="31" t="n">
        <f aca="false">L264</f>
        <v>60</v>
      </c>
      <c r="M265" s="31" t="n">
        <f aca="false">M264</f>
        <v>137</v>
      </c>
      <c r="N265" s="0" t="n">
        <f aca="false">O265+P265+Q265+R265+S265</f>
        <v>0</v>
      </c>
      <c r="O265" s="32"/>
      <c r="P265" s="32"/>
      <c r="Q265" s="32"/>
      <c r="R265" s="33"/>
      <c r="S265" s="33"/>
    </row>
    <row r="266" customFormat="false" ht="16.5" hidden="false" customHeight="false" outlineLevel="0" collapsed="false">
      <c r="B266" s="47"/>
      <c r="C266" s="33" t="s">
        <v>275</v>
      </c>
      <c r="D266" s="33" t="n">
        <v>13104</v>
      </c>
      <c r="E266" s="15" t="s">
        <v>27</v>
      </c>
      <c r="F266" s="33"/>
      <c r="G266" s="29" t="n">
        <f aca="false">L266*K266/1000</f>
        <v>0</v>
      </c>
      <c r="H266" s="48"/>
      <c r="I266" s="33"/>
      <c r="K266" s="30"/>
      <c r="L266" s="31" t="n">
        <f aca="false">L265</f>
        <v>60</v>
      </c>
      <c r="M266" s="31" t="n">
        <f aca="false">M265</f>
        <v>137</v>
      </c>
      <c r="N266" s="0" t="n">
        <f aca="false">O266+P266+Q266+R266+S266</f>
        <v>0</v>
      </c>
      <c r="O266" s="32"/>
      <c r="P266" s="32"/>
      <c r="Q266" s="32"/>
      <c r="R266" s="33"/>
      <c r="S266" s="33"/>
    </row>
    <row r="267" customFormat="false" ht="16.5" hidden="false" customHeight="false" outlineLevel="0" collapsed="false">
      <c r="B267" s="47"/>
      <c r="C267" s="33" t="s">
        <v>276</v>
      </c>
      <c r="D267" s="33" t="n">
        <v>13105</v>
      </c>
      <c r="E267" s="15" t="s">
        <v>27</v>
      </c>
      <c r="F267" s="33"/>
      <c r="G267" s="29" t="n">
        <f aca="false">L267*K267/1000</f>
        <v>0</v>
      </c>
      <c r="H267" s="48"/>
      <c r="I267" s="33"/>
      <c r="K267" s="30"/>
      <c r="L267" s="31" t="n">
        <f aca="false">L266</f>
        <v>60</v>
      </c>
      <c r="M267" s="31" t="n">
        <f aca="false">M266</f>
        <v>137</v>
      </c>
      <c r="N267" s="0" t="n">
        <f aca="false">O267+P267+Q267+R267+S267</f>
        <v>0</v>
      </c>
      <c r="O267" s="32"/>
      <c r="P267" s="32"/>
      <c r="Q267" s="32"/>
      <c r="R267" s="33"/>
      <c r="S267" s="33"/>
    </row>
    <row r="268" customFormat="false" ht="16.5" hidden="false" customHeight="false" outlineLevel="0" collapsed="false">
      <c r="B268" s="47"/>
      <c r="C268" s="33" t="s">
        <v>277</v>
      </c>
      <c r="D268" s="33" t="n">
        <v>13106</v>
      </c>
      <c r="E268" s="15" t="s">
        <v>27</v>
      </c>
      <c r="F268" s="33"/>
      <c r="G268" s="29" t="n">
        <f aca="false">L268*K268/1000</f>
        <v>0</v>
      </c>
      <c r="H268" s="48"/>
      <c r="I268" s="33"/>
      <c r="K268" s="30"/>
      <c r="L268" s="31" t="n">
        <f aca="false">L267</f>
        <v>60</v>
      </c>
      <c r="M268" s="31" t="n">
        <f aca="false">M267</f>
        <v>137</v>
      </c>
      <c r="N268" s="0" t="n">
        <f aca="false">O268+P268+Q268+R268+S268</f>
        <v>0</v>
      </c>
      <c r="O268" s="32"/>
      <c r="P268" s="32"/>
      <c r="Q268" s="32"/>
      <c r="R268" s="33"/>
      <c r="S268" s="33"/>
    </row>
    <row r="269" customFormat="false" ht="16.5" hidden="false" customHeight="false" outlineLevel="0" collapsed="false">
      <c r="B269" s="47"/>
      <c r="C269" s="33" t="s">
        <v>278</v>
      </c>
      <c r="D269" s="33" t="n">
        <v>13107</v>
      </c>
      <c r="E269" s="15" t="s">
        <v>27</v>
      </c>
      <c r="F269" s="33"/>
      <c r="G269" s="29" t="n">
        <f aca="false">L269*K269/1000</f>
        <v>0</v>
      </c>
      <c r="H269" s="48"/>
      <c r="I269" s="33"/>
      <c r="K269" s="30"/>
      <c r="L269" s="31" t="n">
        <f aca="false">L268</f>
        <v>60</v>
      </c>
      <c r="M269" s="31" t="n">
        <f aca="false">M268</f>
        <v>137</v>
      </c>
      <c r="N269" s="0" t="n">
        <f aca="false">O269+P269+Q269+R269+S269</f>
        <v>0</v>
      </c>
      <c r="O269" s="32"/>
      <c r="P269" s="32"/>
      <c r="Q269" s="32"/>
      <c r="R269" s="33"/>
      <c r="S269" s="33"/>
    </row>
    <row r="270" customFormat="false" ht="16.5" hidden="false" customHeight="false" outlineLevel="0" collapsed="false">
      <c r="B270" s="47"/>
      <c r="C270" s="33" t="s">
        <v>279</v>
      </c>
      <c r="D270" s="33" t="n">
        <v>13108</v>
      </c>
      <c r="E270" s="15" t="s">
        <v>27</v>
      </c>
      <c r="F270" s="33"/>
      <c r="G270" s="29" t="n">
        <f aca="false">L270*K270/1000</f>
        <v>0</v>
      </c>
      <c r="H270" s="48"/>
      <c r="I270" s="33"/>
      <c r="K270" s="30"/>
      <c r="L270" s="31" t="n">
        <f aca="false">L269</f>
        <v>60</v>
      </c>
      <c r="M270" s="31" t="n">
        <f aca="false">M269</f>
        <v>137</v>
      </c>
      <c r="N270" s="0" t="n">
        <f aca="false">O270+P270+Q270+R270+S270</f>
        <v>0</v>
      </c>
      <c r="O270" s="32"/>
      <c r="P270" s="32"/>
      <c r="Q270" s="32"/>
      <c r="R270" s="33"/>
      <c r="S270" s="33"/>
    </row>
    <row r="271" customFormat="false" ht="16.5" hidden="false" customHeight="false" outlineLevel="0" collapsed="false">
      <c r="B271" s="47"/>
      <c r="C271" s="33" t="s">
        <v>280</v>
      </c>
      <c r="D271" s="33" t="n">
        <v>13109</v>
      </c>
      <c r="E271" s="15" t="s">
        <v>27</v>
      </c>
      <c r="F271" s="33"/>
      <c r="G271" s="29" t="n">
        <f aca="false">L271*K271/1000</f>
        <v>0</v>
      </c>
      <c r="H271" s="48"/>
      <c r="I271" s="33"/>
      <c r="K271" s="30"/>
      <c r="L271" s="31" t="n">
        <f aca="false">L270</f>
        <v>60</v>
      </c>
      <c r="M271" s="31" t="n">
        <f aca="false">M270</f>
        <v>137</v>
      </c>
      <c r="N271" s="0" t="n">
        <f aca="false">O271+P271+Q271+R271+S271</f>
        <v>0</v>
      </c>
      <c r="O271" s="32"/>
      <c r="P271" s="32"/>
      <c r="Q271" s="32"/>
      <c r="R271" s="33"/>
      <c r="S271" s="33"/>
    </row>
    <row r="272" customFormat="false" ht="16.5" hidden="false" customHeight="false" outlineLevel="0" collapsed="false">
      <c r="B272" s="47"/>
      <c r="C272" s="33" t="s">
        <v>281</v>
      </c>
      <c r="D272" s="33" t="n">
        <v>13110</v>
      </c>
      <c r="E272" s="15" t="s">
        <v>27</v>
      </c>
      <c r="F272" s="33"/>
      <c r="G272" s="29" t="n">
        <f aca="false">L272*K272/1000</f>
        <v>0</v>
      </c>
      <c r="H272" s="48"/>
      <c r="I272" s="33"/>
      <c r="K272" s="30"/>
      <c r="L272" s="31" t="n">
        <f aca="false">L271</f>
        <v>60</v>
      </c>
      <c r="M272" s="31" t="n">
        <f aca="false">M271</f>
        <v>137</v>
      </c>
      <c r="N272" s="0" t="n">
        <f aca="false">O272+P272+Q272+R272+S272</f>
        <v>0</v>
      </c>
      <c r="O272" s="32"/>
      <c r="P272" s="32"/>
      <c r="Q272" s="32"/>
      <c r="R272" s="33"/>
      <c r="S272" s="33"/>
    </row>
    <row r="273" customFormat="false" ht="16.5" hidden="false" customHeight="false" outlineLevel="0" collapsed="false">
      <c r="B273" s="47"/>
      <c r="C273" s="33" t="s">
        <v>282</v>
      </c>
      <c r="D273" s="33" t="n">
        <v>13111</v>
      </c>
      <c r="E273" s="15" t="s">
        <v>27</v>
      </c>
      <c r="F273" s="33"/>
      <c r="G273" s="29" t="n">
        <f aca="false">L273*K273/1000</f>
        <v>0</v>
      </c>
      <c r="H273" s="48"/>
      <c r="I273" s="33"/>
      <c r="K273" s="30"/>
      <c r="L273" s="31" t="n">
        <f aca="false">L272</f>
        <v>60</v>
      </c>
      <c r="M273" s="31" t="n">
        <f aca="false">M272</f>
        <v>137</v>
      </c>
      <c r="N273" s="0" t="n">
        <f aca="false">O273+P273+Q273+R273+S273</f>
        <v>0</v>
      </c>
      <c r="O273" s="32"/>
      <c r="P273" s="32"/>
      <c r="Q273" s="32"/>
      <c r="R273" s="33"/>
      <c r="S273" s="33"/>
    </row>
    <row r="274" customFormat="false" ht="16.5" hidden="false" customHeight="false" outlineLevel="0" collapsed="false">
      <c r="B274" s="47"/>
      <c r="C274" s="33" t="s">
        <v>283</v>
      </c>
      <c r="D274" s="33" t="n">
        <v>13112</v>
      </c>
      <c r="E274" s="15" t="s">
        <v>27</v>
      </c>
      <c r="F274" s="33"/>
      <c r="G274" s="29" t="n">
        <f aca="false">L274*K274/1000</f>
        <v>0</v>
      </c>
      <c r="H274" s="48"/>
      <c r="I274" s="33"/>
      <c r="K274" s="30"/>
      <c r="L274" s="31" t="n">
        <f aca="false">L273</f>
        <v>60</v>
      </c>
      <c r="M274" s="31" t="n">
        <f aca="false">M273</f>
        <v>137</v>
      </c>
      <c r="N274" s="0" t="n">
        <f aca="false">O274+P274+Q274+R274+S274</f>
        <v>0</v>
      </c>
      <c r="O274" s="32"/>
      <c r="P274" s="32"/>
      <c r="Q274" s="32"/>
      <c r="R274" s="33"/>
      <c r="S274" s="33"/>
    </row>
    <row r="275" customFormat="false" ht="16.5" hidden="false" customHeight="false" outlineLevel="0" collapsed="false">
      <c r="B275" s="47"/>
      <c r="C275" s="33" t="s">
        <v>284</v>
      </c>
      <c r="D275" s="33" t="n">
        <v>13113</v>
      </c>
      <c r="E275" s="15" t="s">
        <v>27</v>
      </c>
      <c r="F275" s="33"/>
      <c r="G275" s="29" t="n">
        <f aca="false">L275*K275/1000</f>
        <v>0</v>
      </c>
      <c r="H275" s="48"/>
      <c r="I275" s="33"/>
      <c r="K275" s="30"/>
      <c r="L275" s="31" t="n">
        <f aca="false">L274</f>
        <v>60</v>
      </c>
      <c r="M275" s="31" t="n">
        <f aca="false">M274</f>
        <v>137</v>
      </c>
      <c r="N275" s="0" t="n">
        <f aca="false">O275+P275+Q275+R275+S275</f>
        <v>0</v>
      </c>
      <c r="O275" s="32"/>
      <c r="P275" s="32"/>
      <c r="Q275" s="32"/>
      <c r="R275" s="33"/>
      <c r="S275" s="33"/>
    </row>
    <row r="276" customFormat="false" ht="16.5" hidden="false" customHeight="false" outlineLevel="0" collapsed="false">
      <c r="B276" s="47"/>
      <c r="C276" s="33" t="s">
        <v>285</v>
      </c>
      <c r="D276" s="33" t="n">
        <v>13114</v>
      </c>
      <c r="E276" s="15" t="s">
        <v>27</v>
      </c>
      <c r="F276" s="33"/>
      <c r="G276" s="29" t="n">
        <f aca="false">L276*K276/1000</f>
        <v>0</v>
      </c>
      <c r="H276" s="48"/>
      <c r="I276" s="33"/>
      <c r="K276" s="30"/>
      <c r="L276" s="31" t="n">
        <f aca="false">L275</f>
        <v>60</v>
      </c>
      <c r="M276" s="31" t="n">
        <f aca="false">M275</f>
        <v>137</v>
      </c>
      <c r="N276" s="0" t="n">
        <f aca="false">O276+P276+Q276+R276+S276</f>
        <v>0</v>
      </c>
      <c r="O276" s="32"/>
      <c r="P276" s="32"/>
      <c r="Q276" s="32"/>
      <c r="R276" s="33"/>
      <c r="S276" s="33"/>
    </row>
    <row r="277" customFormat="false" ht="16.5" hidden="false" customHeight="false" outlineLevel="0" collapsed="false">
      <c r="B277" s="47"/>
      <c r="C277" s="33" t="s">
        <v>286</v>
      </c>
      <c r="D277" s="33" t="n">
        <v>13115</v>
      </c>
      <c r="E277" s="15" t="s">
        <v>27</v>
      </c>
      <c r="F277" s="33"/>
      <c r="G277" s="29" t="n">
        <f aca="false">L277*K277/1000</f>
        <v>0</v>
      </c>
      <c r="H277" s="48"/>
      <c r="I277" s="33"/>
      <c r="K277" s="30"/>
      <c r="L277" s="31" t="n">
        <f aca="false">L276</f>
        <v>60</v>
      </c>
      <c r="M277" s="31" t="n">
        <f aca="false">M276</f>
        <v>137</v>
      </c>
      <c r="N277" s="0" t="n">
        <f aca="false">O277+P277+Q277+R277+S277</f>
        <v>0</v>
      </c>
      <c r="O277" s="32"/>
      <c r="P277" s="32"/>
      <c r="Q277" s="32"/>
      <c r="R277" s="33"/>
      <c r="S277" s="33"/>
    </row>
    <row r="278" customFormat="false" ht="16.5" hidden="false" customHeight="false" outlineLevel="0" collapsed="false">
      <c r="B278" s="47"/>
      <c r="C278" s="33" t="s">
        <v>287</v>
      </c>
      <c r="D278" s="33" t="n">
        <v>13116</v>
      </c>
      <c r="E278" s="15" t="s">
        <v>27</v>
      </c>
      <c r="F278" s="33"/>
      <c r="G278" s="29" t="n">
        <f aca="false">L278*K278/1000</f>
        <v>0</v>
      </c>
      <c r="H278" s="48"/>
      <c r="I278" s="33"/>
      <c r="K278" s="30"/>
      <c r="L278" s="31" t="n">
        <f aca="false">L277</f>
        <v>60</v>
      </c>
      <c r="M278" s="31" t="n">
        <f aca="false">M277</f>
        <v>137</v>
      </c>
      <c r="N278" s="0" t="n">
        <f aca="false">O278+P278+Q278+R278+S278</f>
        <v>0</v>
      </c>
      <c r="O278" s="32"/>
      <c r="P278" s="32"/>
      <c r="Q278" s="32"/>
      <c r="R278" s="33"/>
      <c r="S278" s="33"/>
    </row>
    <row r="279" customFormat="false" ht="16.5" hidden="false" customHeight="false" outlineLevel="0" collapsed="false">
      <c r="B279" s="47"/>
      <c r="C279" s="33" t="s">
        <v>288</v>
      </c>
      <c r="D279" s="33" t="n">
        <v>13117</v>
      </c>
      <c r="E279" s="15" t="s">
        <v>27</v>
      </c>
      <c r="F279" s="33"/>
      <c r="G279" s="29" t="n">
        <f aca="false">L279*K279/1000</f>
        <v>0</v>
      </c>
      <c r="H279" s="48"/>
      <c r="I279" s="33"/>
      <c r="K279" s="30"/>
      <c r="L279" s="31" t="n">
        <f aca="false">L278</f>
        <v>60</v>
      </c>
      <c r="M279" s="31" t="n">
        <f aca="false">M278</f>
        <v>137</v>
      </c>
      <c r="N279" s="0" t="n">
        <f aca="false">O279+P279+Q279+R279+S279</f>
        <v>0</v>
      </c>
      <c r="O279" s="32"/>
      <c r="P279" s="32"/>
      <c r="Q279" s="32"/>
      <c r="R279" s="33"/>
      <c r="S279" s="33"/>
    </row>
    <row r="280" customFormat="false" ht="16.5" hidden="false" customHeight="false" outlineLevel="0" collapsed="false">
      <c r="B280" s="47"/>
      <c r="C280" s="33" t="s">
        <v>289</v>
      </c>
      <c r="D280" s="33" t="n">
        <v>13118</v>
      </c>
      <c r="E280" s="15" t="s">
        <v>27</v>
      </c>
      <c r="F280" s="33"/>
      <c r="G280" s="29" t="n">
        <f aca="false">L280*K280/1000</f>
        <v>0</v>
      </c>
      <c r="H280" s="48"/>
      <c r="I280" s="33"/>
      <c r="K280" s="30"/>
      <c r="L280" s="31" t="n">
        <f aca="false">L279</f>
        <v>60</v>
      </c>
      <c r="M280" s="31" t="n">
        <f aca="false">M279</f>
        <v>137</v>
      </c>
      <c r="N280" s="0" t="n">
        <f aca="false">O280+P280+Q280+R280+S280</f>
        <v>0</v>
      </c>
      <c r="O280" s="32"/>
      <c r="P280" s="32"/>
      <c r="Q280" s="32"/>
      <c r="R280" s="33"/>
      <c r="S280" s="33"/>
    </row>
    <row r="281" customFormat="false" ht="16.5" hidden="false" customHeight="false" outlineLevel="0" collapsed="false">
      <c r="B281" s="47"/>
      <c r="C281" s="33" t="s">
        <v>290</v>
      </c>
      <c r="D281" s="33" t="n">
        <v>13119</v>
      </c>
      <c r="E281" s="15" t="s">
        <v>27</v>
      </c>
      <c r="F281" s="33"/>
      <c r="G281" s="29" t="n">
        <f aca="false">L281*K281/1000</f>
        <v>0</v>
      </c>
      <c r="H281" s="48"/>
      <c r="I281" s="33"/>
      <c r="K281" s="30"/>
      <c r="L281" s="31" t="n">
        <f aca="false">L280</f>
        <v>60</v>
      </c>
      <c r="M281" s="31" t="n">
        <f aca="false">M280</f>
        <v>137</v>
      </c>
      <c r="N281" s="0" t="n">
        <f aca="false">O281+P281+Q281+R281+S281</f>
        <v>0</v>
      </c>
      <c r="O281" s="32"/>
      <c r="P281" s="32"/>
      <c r="Q281" s="32"/>
      <c r="R281" s="33"/>
      <c r="S281" s="33"/>
    </row>
    <row r="282" customFormat="false" ht="16.5" hidden="false" customHeight="false" outlineLevel="0" collapsed="false">
      <c r="B282" s="47"/>
      <c r="C282" s="33" t="s">
        <v>291</v>
      </c>
      <c r="D282" s="33" t="n">
        <v>13120</v>
      </c>
      <c r="E282" s="15" t="s">
        <v>27</v>
      </c>
      <c r="F282" s="33"/>
      <c r="G282" s="29" t="n">
        <f aca="false">L282*K282/1000</f>
        <v>0</v>
      </c>
      <c r="H282" s="48"/>
      <c r="I282" s="33"/>
      <c r="K282" s="30"/>
      <c r="L282" s="31" t="n">
        <f aca="false">L281</f>
        <v>60</v>
      </c>
      <c r="M282" s="31" t="n">
        <f aca="false">M281</f>
        <v>137</v>
      </c>
      <c r="N282" s="0" t="n">
        <f aca="false">O282+P282+Q282+R282+S282</f>
        <v>0</v>
      </c>
      <c r="O282" s="32"/>
      <c r="P282" s="32"/>
      <c r="Q282" s="32"/>
      <c r="R282" s="33"/>
      <c r="S282" s="33"/>
    </row>
    <row r="283" customFormat="false" ht="16.5" hidden="false" customHeight="false" outlineLevel="0" collapsed="false">
      <c r="B283" s="47"/>
      <c r="C283" s="33" t="s">
        <v>292</v>
      </c>
      <c r="D283" s="33" t="n">
        <v>13121</v>
      </c>
      <c r="E283" s="15" t="s">
        <v>27</v>
      </c>
      <c r="F283" s="33"/>
      <c r="G283" s="29" t="n">
        <f aca="false">L283*K283/1000</f>
        <v>0</v>
      </c>
      <c r="H283" s="48"/>
      <c r="I283" s="33"/>
      <c r="K283" s="30"/>
      <c r="L283" s="31" t="n">
        <f aca="false">L282</f>
        <v>60</v>
      </c>
      <c r="M283" s="31" t="n">
        <f aca="false">M282</f>
        <v>137</v>
      </c>
      <c r="N283" s="0" t="n">
        <f aca="false">O283+P283+Q283+R283+S283</f>
        <v>0</v>
      </c>
      <c r="O283" s="32"/>
      <c r="P283" s="32"/>
      <c r="Q283" s="32"/>
      <c r="R283" s="33"/>
      <c r="S283" s="33"/>
    </row>
    <row r="284" customFormat="false" ht="16.5" hidden="false" customHeight="false" outlineLevel="0" collapsed="false">
      <c r="B284" s="47"/>
      <c r="C284" s="33" t="s">
        <v>293</v>
      </c>
      <c r="D284" s="33" t="n">
        <v>13122</v>
      </c>
      <c r="E284" s="15" t="s">
        <v>27</v>
      </c>
      <c r="F284" s="33"/>
      <c r="G284" s="29" t="n">
        <f aca="false">L284*K284/1000</f>
        <v>0</v>
      </c>
      <c r="H284" s="48"/>
      <c r="I284" s="33"/>
      <c r="K284" s="30"/>
      <c r="L284" s="31" t="n">
        <f aca="false">L283</f>
        <v>60</v>
      </c>
      <c r="M284" s="31" t="n">
        <f aca="false">M283</f>
        <v>137</v>
      </c>
      <c r="N284" s="0" t="n">
        <f aca="false">O284+P284+Q284+R284+S284</f>
        <v>0</v>
      </c>
      <c r="O284" s="32"/>
      <c r="P284" s="32"/>
      <c r="Q284" s="32"/>
      <c r="R284" s="33"/>
      <c r="S284" s="33"/>
    </row>
    <row r="285" customFormat="false" ht="16.5" hidden="false" customHeight="false" outlineLevel="0" collapsed="false">
      <c r="B285" s="47"/>
      <c r="C285" s="33" t="s">
        <v>294</v>
      </c>
      <c r="D285" s="33" t="n">
        <v>13123</v>
      </c>
      <c r="E285" s="15" t="s">
        <v>27</v>
      </c>
      <c r="F285" s="33"/>
      <c r="G285" s="29" t="n">
        <f aca="false">L285*K285/1000</f>
        <v>0</v>
      </c>
      <c r="H285" s="48"/>
      <c r="I285" s="33"/>
      <c r="K285" s="30"/>
      <c r="L285" s="31" t="n">
        <f aca="false">L284</f>
        <v>60</v>
      </c>
      <c r="M285" s="31" t="n">
        <f aca="false">M284</f>
        <v>137</v>
      </c>
      <c r="N285" s="0" t="n">
        <f aca="false">O285+P285+Q285+R285+S285</f>
        <v>0</v>
      </c>
      <c r="O285" s="32"/>
      <c r="P285" s="32"/>
      <c r="Q285" s="32"/>
      <c r="R285" s="33"/>
      <c r="S285" s="33"/>
    </row>
    <row r="286" customFormat="false" ht="16.5" hidden="false" customHeight="false" outlineLevel="0" collapsed="false">
      <c r="B286" s="47"/>
      <c r="C286" s="33" t="s">
        <v>295</v>
      </c>
      <c r="D286" s="33" t="n">
        <v>13124</v>
      </c>
      <c r="E286" s="15" t="s">
        <v>27</v>
      </c>
      <c r="F286" s="33"/>
      <c r="G286" s="29" t="n">
        <f aca="false">L286*K286/1000</f>
        <v>0</v>
      </c>
      <c r="H286" s="48"/>
      <c r="I286" s="33"/>
      <c r="K286" s="30"/>
      <c r="L286" s="31" t="n">
        <f aca="false">L285</f>
        <v>60</v>
      </c>
      <c r="M286" s="31" t="n">
        <f aca="false">M285</f>
        <v>137</v>
      </c>
      <c r="N286" s="0" t="n">
        <f aca="false">O286+P286+Q286+R286+S286</f>
        <v>0</v>
      </c>
      <c r="O286" s="32"/>
      <c r="P286" s="32"/>
      <c r="Q286" s="32"/>
      <c r="R286" s="33"/>
      <c r="S286" s="33"/>
    </row>
    <row r="287" customFormat="false" ht="16.5" hidden="false" customHeight="false" outlineLevel="0" collapsed="false">
      <c r="B287" s="47"/>
      <c r="C287" s="33" t="s">
        <v>296</v>
      </c>
      <c r="D287" s="33" t="n">
        <v>13125</v>
      </c>
      <c r="E287" s="15" t="s">
        <v>27</v>
      </c>
      <c r="F287" s="33"/>
      <c r="G287" s="29" t="n">
        <f aca="false">L287*K287/1000</f>
        <v>0</v>
      </c>
      <c r="H287" s="48"/>
      <c r="I287" s="33"/>
      <c r="K287" s="30"/>
      <c r="L287" s="31" t="n">
        <f aca="false">L286</f>
        <v>60</v>
      </c>
      <c r="M287" s="31" t="n">
        <f aca="false">M286</f>
        <v>137</v>
      </c>
      <c r="N287" s="0" t="n">
        <f aca="false">O287+P287+Q287+R287+S287</f>
        <v>0</v>
      </c>
      <c r="O287" s="32"/>
      <c r="P287" s="32"/>
      <c r="Q287" s="32"/>
      <c r="R287" s="33"/>
      <c r="S287" s="33"/>
    </row>
    <row r="288" customFormat="false" ht="16.5" hidden="false" customHeight="false" outlineLevel="0" collapsed="false">
      <c r="B288" s="47"/>
      <c r="C288" s="33" t="s">
        <v>297</v>
      </c>
      <c r="D288" s="33" t="n">
        <v>13126</v>
      </c>
      <c r="E288" s="15" t="s">
        <v>27</v>
      </c>
      <c r="F288" s="33"/>
      <c r="G288" s="29" t="n">
        <f aca="false">L288*K288/1000</f>
        <v>0</v>
      </c>
      <c r="H288" s="48"/>
      <c r="I288" s="33"/>
      <c r="K288" s="30"/>
      <c r="L288" s="31" t="n">
        <f aca="false">L287</f>
        <v>60</v>
      </c>
      <c r="M288" s="31" t="n">
        <f aca="false">M287</f>
        <v>137</v>
      </c>
      <c r="N288" s="0" t="n">
        <f aca="false">O288+P288+Q288+R288+S288</f>
        <v>0</v>
      </c>
      <c r="O288" s="32"/>
      <c r="P288" s="32"/>
      <c r="Q288" s="32"/>
      <c r="R288" s="33"/>
      <c r="S288" s="33"/>
    </row>
    <row r="289" customFormat="false" ht="16.5" hidden="false" customHeight="false" outlineLevel="0" collapsed="false">
      <c r="B289" s="47"/>
      <c r="C289" s="33" t="s">
        <v>298</v>
      </c>
      <c r="D289" s="33" t="n">
        <v>14001</v>
      </c>
      <c r="E289" s="15" t="s">
        <v>27</v>
      </c>
      <c r="F289" s="33"/>
      <c r="G289" s="29" t="n">
        <f aca="false">L289*K289/1000</f>
        <v>0</v>
      </c>
      <c r="H289" s="48"/>
      <c r="I289" s="33"/>
      <c r="K289" s="30"/>
      <c r="L289" s="31" t="n">
        <f aca="false">L288</f>
        <v>60</v>
      </c>
      <c r="M289" s="31" t="n">
        <f aca="false">M288</f>
        <v>137</v>
      </c>
      <c r="N289" s="0" t="n">
        <f aca="false">O289+P289+Q289+R289+S289</f>
        <v>0</v>
      </c>
      <c r="O289" s="32"/>
      <c r="P289" s="32"/>
      <c r="Q289" s="32"/>
      <c r="R289" s="33"/>
      <c r="S289" s="33"/>
    </row>
    <row r="290" customFormat="false" ht="16.5" hidden="false" customHeight="false" outlineLevel="0" collapsed="false">
      <c r="B290" s="47"/>
      <c r="C290" s="33" t="s">
        <v>299</v>
      </c>
      <c r="D290" s="33" t="n">
        <v>14002</v>
      </c>
      <c r="E290" s="15" t="s">
        <v>27</v>
      </c>
      <c r="F290" s="33"/>
      <c r="G290" s="29" t="n">
        <f aca="false">L290*K290/1000</f>
        <v>0</v>
      </c>
      <c r="H290" s="48"/>
      <c r="I290" s="33"/>
      <c r="K290" s="30"/>
      <c r="L290" s="31" t="n">
        <f aca="false">L289</f>
        <v>60</v>
      </c>
      <c r="M290" s="31" t="n">
        <f aca="false">M289</f>
        <v>137</v>
      </c>
      <c r="N290" s="0" t="n">
        <f aca="false">O290+P290+Q290+R290+S290</f>
        <v>0</v>
      </c>
      <c r="O290" s="32"/>
      <c r="P290" s="32"/>
      <c r="Q290" s="32"/>
      <c r="R290" s="33"/>
      <c r="S290" s="33"/>
    </row>
    <row r="291" customFormat="false" ht="16.5" hidden="false" customHeight="false" outlineLevel="0" collapsed="false">
      <c r="B291" s="47"/>
      <c r="C291" s="33" t="s">
        <v>300</v>
      </c>
      <c r="D291" s="33" t="n">
        <v>14003</v>
      </c>
      <c r="E291" s="15" t="s">
        <v>27</v>
      </c>
      <c r="F291" s="33"/>
      <c r="G291" s="29" t="n">
        <f aca="false">L291*K291/1000</f>
        <v>0</v>
      </c>
      <c r="H291" s="48"/>
      <c r="I291" s="33"/>
      <c r="K291" s="30"/>
      <c r="L291" s="31" t="n">
        <f aca="false">L290</f>
        <v>60</v>
      </c>
      <c r="M291" s="31" t="n">
        <f aca="false">M290</f>
        <v>137</v>
      </c>
      <c r="N291" s="0" t="n">
        <f aca="false">O291+P291+Q291+R291+S291</f>
        <v>0</v>
      </c>
      <c r="O291" s="32"/>
      <c r="P291" s="32"/>
      <c r="Q291" s="32"/>
      <c r="R291" s="33"/>
      <c r="S291" s="33"/>
    </row>
    <row r="292" customFormat="false" ht="16.5" hidden="false" customHeight="false" outlineLevel="0" collapsed="false">
      <c r="B292" s="47"/>
      <c r="C292" s="33" t="s">
        <v>301</v>
      </c>
      <c r="D292" s="33" t="n">
        <v>14004</v>
      </c>
      <c r="E292" s="15" t="s">
        <v>27</v>
      </c>
      <c r="F292" s="33"/>
      <c r="G292" s="29" t="n">
        <f aca="false">L292*K292/1000</f>
        <v>0</v>
      </c>
      <c r="H292" s="48"/>
      <c r="I292" s="33"/>
      <c r="K292" s="30"/>
      <c r="L292" s="31" t="n">
        <f aca="false">L291</f>
        <v>60</v>
      </c>
      <c r="M292" s="31" t="n">
        <f aca="false">M291</f>
        <v>137</v>
      </c>
      <c r="N292" s="0" t="n">
        <f aca="false">O292+P292+Q292+R292+S292</f>
        <v>0</v>
      </c>
      <c r="O292" s="32"/>
      <c r="P292" s="32"/>
      <c r="Q292" s="32"/>
      <c r="R292" s="33"/>
      <c r="S292" s="33"/>
    </row>
    <row r="293" customFormat="false" ht="16.5" hidden="false" customHeight="false" outlineLevel="0" collapsed="false">
      <c r="B293" s="47"/>
      <c r="C293" s="33" t="s">
        <v>302</v>
      </c>
      <c r="D293" s="33" t="n">
        <v>14005</v>
      </c>
      <c r="E293" s="15" t="s">
        <v>27</v>
      </c>
      <c r="F293" s="33"/>
      <c r="G293" s="29" t="n">
        <f aca="false">L293*K293/1000</f>
        <v>0</v>
      </c>
      <c r="H293" s="48"/>
      <c r="I293" s="33"/>
      <c r="K293" s="30"/>
      <c r="L293" s="31" t="n">
        <f aca="false">L292</f>
        <v>60</v>
      </c>
      <c r="M293" s="31" t="n">
        <f aca="false">M292</f>
        <v>137</v>
      </c>
      <c r="N293" s="0" t="n">
        <f aca="false">O293+P293+Q293+R293+S293</f>
        <v>0</v>
      </c>
      <c r="O293" s="32"/>
      <c r="P293" s="32"/>
      <c r="Q293" s="32"/>
      <c r="R293" s="33"/>
      <c r="S293" s="33"/>
    </row>
    <row r="294" customFormat="false" ht="16.5" hidden="false" customHeight="false" outlineLevel="0" collapsed="false">
      <c r="B294" s="47"/>
      <c r="C294" s="33" t="s">
        <v>303</v>
      </c>
      <c r="D294" s="33" t="n">
        <v>14006</v>
      </c>
      <c r="E294" s="15" t="s">
        <v>27</v>
      </c>
      <c r="F294" s="33"/>
      <c r="G294" s="29" t="n">
        <f aca="false">L294*K294/1000</f>
        <v>0</v>
      </c>
      <c r="H294" s="48"/>
      <c r="I294" s="33"/>
      <c r="K294" s="30"/>
      <c r="L294" s="31" t="n">
        <f aca="false">L293</f>
        <v>60</v>
      </c>
      <c r="M294" s="31" t="n">
        <f aca="false">M293</f>
        <v>137</v>
      </c>
      <c r="N294" s="0" t="n">
        <f aca="false">O294+P294+Q294+R294+S294</f>
        <v>0</v>
      </c>
      <c r="O294" s="32"/>
      <c r="P294" s="32"/>
      <c r="Q294" s="32"/>
      <c r="R294" s="33"/>
      <c r="S294" s="33"/>
    </row>
    <row r="295" customFormat="false" ht="16.5" hidden="false" customHeight="false" outlineLevel="0" collapsed="false">
      <c r="B295" s="47"/>
      <c r="C295" s="33" t="s">
        <v>304</v>
      </c>
      <c r="D295" s="33" t="n">
        <v>14007</v>
      </c>
      <c r="E295" s="15" t="s">
        <v>27</v>
      </c>
      <c r="F295" s="33"/>
      <c r="G295" s="29" t="n">
        <f aca="false">L295*K295/1000</f>
        <v>0</v>
      </c>
      <c r="H295" s="48"/>
      <c r="I295" s="33"/>
      <c r="K295" s="30"/>
      <c r="L295" s="31" t="n">
        <f aca="false">L294</f>
        <v>60</v>
      </c>
      <c r="M295" s="31" t="n">
        <f aca="false">M294</f>
        <v>137</v>
      </c>
      <c r="N295" s="0" t="n">
        <f aca="false">O295+P295+Q295+R295+S295</f>
        <v>0</v>
      </c>
      <c r="O295" s="32"/>
      <c r="P295" s="32"/>
      <c r="Q295" s="32"/>
      <c r="R295" s="33"/>
      <c r="S295" s="33"/>
    </row>
    <row r="296" customFormat="false" ht="16.5" hidden="false" customHeight="false" outlineLevel="0" collapsed="false">
      <c r="B296" s="47"/>
      <c r="C296" s="33" t="s">
        <v>305</v>
      </c>
      <c r="D296" s="33" t="n">
        <v>14008</v>
      </c>
      <c r="E296" s="15" t="s">
        <v>27</v>
      </c>
      <c r="F296" s="33"/>
      <c r="G296" s="29" t="n">
        <f aca="false">L296*K296/1000</f>
        <v>0</v>
      </c>
      <c r="H296" s="48"/>
      <c r="I296" s="33"/>
      <c r="K296" s="30"/>
      <c r="L296" s="31" t="n">
        <f aca="false">L295</f>
        <v>60</v>
      </c>
      <c r="M296" s="31" t="n">
        <f aca="false">M295</f>
        <v>137</v>
      </c>
      <c r="N296" s="0" t="n">
        <f aca="false">O296+P296+Q296+R296+S296</f>
        <v>0</v>
      </c>
      <c r="O296" s="32"/>
      <c r="P296" s="32"/>
      <c r="Q296" s="32"/>
      <c r="R296" s="33"/>
      <c r="S296" s="33"/>
    </row>
    <row r="297" customFormat="false" ht="16.5" hidden="false" customHeight="false" outlineLevel="0" collapsed="false">
      <c r="B297" s="47"/>
      <c r="C297" s="33" t="s">
        <v>306</v>
      </c>
      <c r="D297" s="33" t="n">
        <v>14010</v>
      </c>
      <c r="E297" s="15" t="s">
        <v>27</v>
      </c>
      <c r="F297" s="33"/>
      <c r="G297" s="29" t="n">
        <f aca="false">L297*K297/1000</f>
        <v>0</v>
      </c>
      <c r="H297" s="48"/>
      <c r="I297" s="33"/>
      <c r="K297" s="30"/>
      <c r="L297" s="31" t="n">
        <f aca="false">L296</f>
        <v>60</v>
      </c>
      <c r="M297" s="31" t="n">
        <f aca="false">M296</f>
        <v>137</v>
      </c>
      <c r="N297" s="0" t="n">
        <f aca="false">O297+P297+Q297+R297+S297</f>
        <v>0</v>
      </c>
      <c r="O297" s="32"/>
      <c r="P297" s="32"/>
      <c r="Q297" s="32"/>
      <c r="R297" s="33"/>
      <c r="S297" s="33"/>
    </row>
    <row r="298" customFormat="false" ht="16.5" hidden="false" customHeight="false" outlineLevel="0" collapsed="false">
      <c r="B298" s="47"/>
      <c r="C298" s="33" t="s">
        <v>307</v>
      </c>
      <c r="D298" s="33" t="n">
        <v>14011</v>
      </c>
      <c r="E298" s="15" t="s">
        <v>27</v>
      </c>
      <c r="F298" s="33"/>
      <c r="G298" s="29" t="n">
        <f aca="false">L298*K298/1000</f>
        <v>0</v>
      </c>
      <c r="H298" s="48"/>
      <c r="I298" s="33"/>
      <c r="K298" s="30"/>
      <c r="L298" s="31" t="n">
        <f aca="false">L297</f>
        <v>60</v>
      </c>
      <c r="M298" s="31" t="n">
        <f aca="false">M297</f>
        <v>137</v>
      </c>
      <c r="N298" s="0" t="n">
        <f aca="false">O298+P298+Q298+R298+S298</f>
        <v>0</v>
      </c>
      <c r="O298" s="32"/>
      <c r="P298" s="32"/>
      <c r="Q298" s="32"/>
      <c r="R298" s="33"/>
      <c r="S298" s="33"/>
    </row>
    <row r="299" customFormat="false" ht="16.5" hidden="false" customHeight="false" outlineLevel="0" collapsed="false">
      <c r="B299" s="47"/>
      <c r="C299" s="33" t="s">
        <v>308</v>
      </c>
      <c r="D299" s="33" t="n">
        <v>14012</v>
      </c>
      <c r="E299" s="15" t="s">
        <v>27</v>
      </c>
      <c r="F299" s="33"/>
      <c r="G299" s="29" t="n">
        <f aca="false">L299*K299/1000</f>
        <v>0</v>
      </c>
      <c r="H299" s="48"/>
      <c r="I299" s="33"/>
      <c r="K299" s="30"/>
      <c r="L299" s="31" t="n">
        <f aca="false">L298</f>
        <v>60</v>
      </c>
      <c r="M299" s="31" t="n">
        <f aca="false">M298</f>
        <v>137</v>
      </c>
      <c r="N299" s="0" t="n">
        <f aca="false">O299+P299+Q299+R299+S299</f>
        <v>0</v>
      </c>
      <c r="O299" s="32"/>
      <c r="P299" s="32"/>
      <c r="Q299" s="32"/>
      <c r="R299" s="33"/>
      <c r="S299" s="33"/>
    </row>
    <row r="300" customFormat="false" ht="16.5" hidden="false" customHeight="false" outlineLevel="0" collapsed="false">
      <c r="B300" s="47"/>
      <c r="C300" s="33" t="s">
        <v>309</v>
      </c>
      <c r="D300" s="33" t="n">
        <v>14013</v>
      </c>
      <c r="E300" s="15" t="s">
        <v>27</v>
      </c>
      <c r="F300" s="33"/>
      <c r="G300" s="29" t="n">
        <f aca="false">L300*K300/1000</f>
        <v>0</v>
      </c>
      <c r="H300" s="48"/>
      <c r="I300" s="33"/>
      <c r="K300" s="30"/>
      <c r="L300" s="31" t="n">
        <f aca="false">L299</f>
        <v>60</v>
      </c>
      <c r="M300" s="31" t="n">
        <f aca="false">M299</f>
        <v>137</v>
      </c>
      <c r="N300" s="0" t="n">
        <f aca="false">O300+P300+Q300+R300+S300</f>
        <v>0</v>
      </c>
      <c r="O300" s="32"/>
      <c r="P300" s="32"/>
      <c r="Q300" s="32"/>
      <c r="R300" s="33"/>
      <c r="S300" s="33"/>
    </row>
    <row r="301" customFormat="false" ht="16.5" hidden="false" customHeight="false" outlineLevel="0" collapsed="false">
      <c r="B301" s="47"/>
      <c r="C301" s="33" t="s">
        <v>310</v>
      </c>
      <c r="D301" s="33" t="n">
        <v>14015</v>
      </c>
      <c r="E301" s="15" t="s">
        <v>27</v>
      </c>
      <c r="F301" s="33"/>
      <c r="G301" s="29" t="n">
        <f aca="false">L301*K301/1000</f>
        <v>0</v>
      </c>
      <c r="H301" s="48"/>
      <c r="I301" s="33"/>
      <c r="K301" s="30"/>
      <c r="L301" s="31" t="n">
        <f aca="false">L300</f>
        <v>60</v>
      </c>
      <c r="M301" s="31" t="n">
        <f aca="false">M300</f>
        <v>137</v>
      </c>
      <c r="N301" s="0" t="n">
        <f aca="false">O301+P301+Q301+R301+S301</f>
        <v>0</v>
      </c>
      <c r="O301" s="32"/>
      <c r="P301" s="32"/>
      <c r="Q301" s="32"/>
      <c r="R301" s="33"/>
      <c r="S301" s="33"/>
    </row>
    <row r="302" customFormat="false" ht="16.5" hidden="false" customHeight="false" outlineLevel="0" collapsed="false">
      <c r="B302" s="47"/>
      <c r="C302" s="33" t="s">
        <v>311</v>
      </c>
      <c r="D302" s="33" t="n">
        <v>14016</v>
      </c>
      <c r="E302" s="15" t="s">
        <v>27</v>
      </c>
      <c r="F302" s="33"/>
      <c r="G302" s="29" t="n">
        <f aca="false">L302*K302/1000</f>
        <v>0</v>
      </c>
      <c r="H302" s="48"/>
      <c r="I302" s="33"/>
      <c r="K302" s="30"/>
      <c r="L302" s="31" t="n">
        <f aca="false">L301</f>
        <v>60</v>
      </c>
      <c r="M302" s="31" t="n">
        <f aca="false">M301</f>
        <v>137</v>
      </c>
      <c r="N302" s="0" t="n">
        <f aca="false">O302+P302+Q302+R302+S302</f>
        <v>0</v>
      </c>
      <c r="O302" s="32"/>
      <c r="P302" s="32"/>
      <c r="Q302" s="32"/>
      <c r="R302" s="33"/>
      <c r="S302" s="33"/>
    </row>
    <row r="303" customFormat="false" ht="16.5" hidden="false" customHeight="false" outlineLevel="0" collapsed="false">
      <c r="B303" s="47"/>
      <c r="C303" s="33" t="s">
        <v>312</v>
      </c>
      <c r="D303" s="33" t="n">
        <v>14017</v>
      </c>
      <c r="E303" s="15" t="s">
        <v>27</v>
      </c>
      <c r="F303" s="33"/>
      <c r="G303" s="29" t="n">
        <f aca="false">L303*K303/1000</f>
        <v>0</v>
      </c>
      <c r="H303" s="48"/>
      <c r="I303" s="33"/>
      <c r="K303" s="30"/>
      <c r="L303" s="31" t="n">
        <f aca="false">L302</f>
        <v>60</v>
      </c>
      <c r="M303" s="31" t="n">
        <f aca="false">M302</f>
        <v>137</v>
      </c>
      <c r="N303" s="0" t="n">
        <f aca="false">O303+P303+Q303+R303+S303</f>
        <v>0</v>
      </c>
      <c r="O303" s="32"/>
      <c r="P303" s="32"/>
      <c r="Q303" s="32"/>
      <c r="R303" s="33"/>
      <c r="S303" s="33"/>
    </row>
    <row r="304" customFormat="false" ht="16.5" hidden="false" customHeight="false" outlineLevel="0" collapsed="false">
      <c r="B304" s="47"/>
      <c r="C304" s="33" t="s">
        <v>313</v>
      </c>
      <c r="D304" s="33" t="n">
        <v>14018</v>
      </c>
      <c r="E304" s="15" t="s">
        <v>27</v>
      </c>
      <c r="F304" s="33"/>
      <c r="G304" s="29" t="n">
        <f aca="false">L304*K304/1000</f>
        <v>0</v>
      </c>
      <c r="H304" s="48"/>
      <c r="I304" s="33"/>
      <c r="K304" s="30"/>
      <c r="L304" s="31" t="n">
        <f aca="false">L303</f>
        <v>60</v>
      </c>
      <c r="M304" s="31" t="n">
        <f aca="false">M303</f>
        <v>137</v>
      </c>
      <c r="N304" s="0" t="n">
        <f aca="false">O304+P304+Q304+R304+S304</f>
        <v>0</v>
      </c>
      <c r="O304" s="32"/>
      <c r="P304" s="32"/>
      <c r="Q304" s="32"/>
      <c r="R304" s="33"/>
      <c r="S304" s="33"/>
    </row>
    <row r="305" customFormat="false" ht="16.5" hidden="false" customHeight="false" outlineLevel="0" collapsed="false">
      <c r="B305" s="47"/>
      <c r="C305" s="33" t="s">
        <v>314</v>
      </c>
      <c r="D305" s="33" t="n">
        <v>14020</v>
      </c>
      <c r="E305" s="15" t="s">
        <v>27</v>
      </c>
      <c r="F305" s="33"/>
      <c r="G305" s="29" t="n">
        <f aca="false">L305*K305/1000</f>
        <v>0</v>
      </c>
      <c r="H305" s="48"/>
      <c r="I305" s="33"/>
      <c r="K305" s="30"/>
      <c r="L305" s="31" t="n">
        <f aca="false">L304</f>
        <v>60</v>
      </c>
      <c r="M305" s="31" t="n">
        <f aca="false">M304</f>
        <v>137</v>
      </c>
      <c r="N305" s="0" t="n">
        <f aca="false">O305+P305+Q305+R305+S305</f>
        <v>0</v>
      </c>
      <c r="O305" s="32"/>
      <c r="P305" s="32"/>
      <c r="Q305" s="32"/>
      <c r="R305" s="33"/>
      <c r="S305" s="33"/>
    </row>
    <row r="306" customFormat="false" ht="16.5" hidden="false" customHeight="false" outlineLevel="0" collapsed="false">
      <c r="B306" s="47"/>
      <c r="C306" s="33" t="s">
        <v>315</v>
      </c>
      <c r="D306" s="33" t="n">
        <v>14022</v>
      </c>
      <c r="E306" s="15" t="s">
        <v>27</v>
      </c>
      <c r="F306" s="33"/>
      <c r="G306" s="29" t="n">
        <f aca="false">L306*K306/1000</f>
        <v>0</v>
      </c>
      <c r="H306" s="48"/>
      <c r="I306" s="33"/>
      <c r="K306" s="30"/>
      <c r="L306" s="31" t="n">
        <f aca="false">L305</f>
        <v>60</v>
      </c>
      <c r="M306" s="31" t="n">
        <f aca="false">M305</f>
        <v>137</v>
      </c>
      <c r="N306" s="0" t="n">
        <f aca="false">O306+P306+Q306+R306+S306</f>
        <v>0</v>
      </c>
      <c r="O306" s="32"/>
      <c r="P306" s="32"/>
      <c r="Q306" s="32"/>
      <c r="R306" s="33"/>
      <c r="S306" s="33"/>
    </row>
    <row r="307" customFormat="false" ht="16.5" hidden="false" customHeight="false" outlineLevel="0" collapsed="false">
      <c r="B307" s="47"/>
      <c r="C307" s="33" t="s">
        <v>316</v>
      </c>
      <c r="D307" s="33" t="n">
        <v>14024</v>
      </c>
      <c r="E307" s="15" t="s">
        <v>27</v>
      </c>
      <c r="F307" s="33"/>
      <c r="G307" s="29" t="n">
        <f aca="false">L307*K307/1000</f>
        <v>0</v>
      </c>
      <c r="H307" s="48"/>
      <c r="I307" s="33"/>
      <c r="K307" s="30"/>
      <c r="L307" s="31" t="n">
        <f aca="false">L306</f>
        <v>60</v>
      </c>
      <c r="M307" s="31" t="n">
        <f aca="false">M306</f>
        <v>137</v>
      </c>
      <c r="N307" s="0" t="n">
        <f aca="false">O307+P307+Q307+R307+S307</f>
        <v>0</v>
      </c>
      <c r="O307" s="32"/>
      <c r="P307" s="32"/>
      <c r="Q307" s="32"/>
      <c r="R307" s="33"/>
      <c r="S307" s="33"/>
    </row>
    <row r="308" customFormat="false" ht="16.5" hidden="false" customHeight="false" outlineLevel="0" collapsed="false">
      <c r="B308" s="47"/>
      <c r="C308" s="33" t="s">
        <v>317</v>
      </c>
      <c r="D308" s="33" t="n">
        <v>14025</v>
      </c>
      <c r="E308" s="15" t="s">
        <v>27</v>
      </c>
      <c r="F308" s="33"/>
      <c r="G308" s="29" t="n">
        <f aca="false">L308*K308/1000</f>
        <v>0</v>
      </c>
      <c r="H308" s="48"/>
      <c r="I308" s="33"/>
      <c r="K308" s="30"/>
      <c r="L308" s="31" t="n">
        <f aca="false">L307</f>
        <v>60</v>
      </c>
      <c r="M308" s="31" t="n">
        <f aca="false">M307</f>
        <v>137</v>
      </c>
      <c r="N308" s="0" t="n">
        <f aca="false">O308+P308+Q308+R308+S308</f>
        <v>0</v>
      </c>
      <c r="O308" s="32"/>
      <c r="P308" s="32"/>
      <c r="Q308" s="32"/>
      <c r="R308" s="33"/>
      <c r="S308" s="33"/>
    </row>
    <row r="309" customFormat="false" ht="16.5" hidden="false" customHeight="false" outlineLevel="0" collapsed="false">
      <c r="B309" s="47"/>
      <c r="C309" s="33" t="s">
        <v>318</v>
      </c>
      <c r="D309" s="33" t="n">
        <v>14026</v>
      </c>
      <c r="E309" s="15" t="s">
        <v>27</v>
      </c>
      <c r="F309" s="33"/>
      <c r="G309" s="29" t="n">
        <f aca="false">L309*K309/1000</f>
        <v>0</v>
      </c>
      <c r="H309" s="48"/>
      <c r="I309" s="33"/>
      <c r="K309" s="30"/>
      <c r="L309" s="31" t="n">
        <f aca="false">L308</f>
        <v>60</v>
      </c>
      <c r="M309" s="31" t="n">
        <f aca="false">M308</f>
        <v>137</v>
      </c>
      <c r="N309" s="0" t="n">
        <f aca="false">O309+P309+Q309+R309+S309</f>
        <v>0</v>
      </c>
      <c r="O309" s="32"/>
      <c r="P309" s="32"/>
      <c r="Q309" s="32"/>
      <c r="R309" s="33"/>
      <c r="S309" s="33"/>
    </row>
    <row r="310" customFormat="false" ht="16.5" hidden="false" customHeight="false" outlineLevel="0" collapsed="false">
      <c r="B310" s="47"/>
      <c r="C310" s="33" t="s">
        <v>319</v>
      </c>
      <c r="D310" s="33" t="n">
        <v>14027</v>
      </c>
      <c r="E310" s="15" t="s">
        <v>27</v>
      </c>
      <c r="F310" s="33"/>
      <c r="G310" s="29" t="n">
        <f aca="false">L310*K310/1000</f>
        <v>0</v>
      </c>
      <c r="H310" s="48"/>
      <c r="I310" s="33"/>
      <c r="K310" s="30"/>
      <c r="L310" s="31" t="n">
        <f aca="false">L309</f>
        <v>60</v>
      </c>
      <c r="M310" s="31" t="n">
        <f aca="false">M309</f>
        <v>137</v>
      </c>
      <c r="N310" s="0" t="n">
        <f aca="false">O310+P310+Q310+R310+S310</f>
        <v>0</v>
      </c>
      <c r="O310" s="32"/>
      <c r="P310" s="32"/>
      <c r="Q310" s="32"/>
      <c r="R310" s="33"/>
      <c r="S310" s="33"/>
    </row>
    <row r="311" customFormat="false" ht="16.5" hidden="false" customHeight="false" outlineLevel="0" collapsed="false">
      <c r="B311" s="47"/>
      <c r="C311" s="33" t="s">
        <v>320</v>
      </c>
      <c r="D311" s="33" t="n">
        <v>14028</v>
      </c>
      <c r="E311" s="15" t="s">
        <v>27</v>
      </c>
      <c r="F311" s="33"/>
      <c r="G311" s="29" t="n">
        <f aca="false">L311*K311/1000</f>
        <v>0</v>
      </c>
      <c r="H311" s="48"/>
      <c r="I311" s="33"/>
      <c r="K311" s="30"/>
      <c r="L311" s="31" t="n">
        <f aca="false">L310</f>
        <v>60</v>
      </c>
      <c r="M311" s="31" t="n">
        <f aca="false">M310</f>
        <v>137</v>
      </c>
      <c r="N311" s="0" t="n">
        <f aca="false">O311+P311+Q311+R311+S311</f>
        <v>0</v>
      </c>
      <c r="O311" s="32"/>
      <c r="P311" s="32"/>
      <c r="Q311" s="32"/>
      <c r="R311" s="33"/>
      <c r="S311" s="33"/>
    </row>
    <row r="312" customFormat="false" ht="16.5" hidden="false" customHeight="false" outlineLevel="0" collapsed="false">
      <c r="B312" s="47"/>
      <c r="C312" s="33" t="s">
        <v>321</v>
      </c>
      <c r="D312" s="33" t="n">
        <v>14029</v>
      </c>
      <c r="E312" s="15" t="s">
        <v>27</v>
      </c>
      <c r="F312" s="33"/>
      <c r="G312" s="29" t="n">
        <f aca="false">L312*K312/1000</f>
        <v>0</v>
      </c>
      <c r="H312" s="48"/>
      <c r="I312" s="33"/>
      <c r="K312" s="30"/>
      <c r="L312" s="31" t="n">
        <f aca="false">L311</f>
        <v>60</v>
      </c>
      <c r="M312" s="31" t="n">
        <f aca="false">M311</f>
        <v>137</v>
      </c>
      <c r="N312" s="0" t="n">
        <f aca="false">O312+P312+Q312+R312+S312</f>
        <v>0</v>
      </c>
      <c r="O312" s="32"/>
      <c r="P312" s="32"/>
      <c r="Q312" s="32"/>
      <c r="R312" s="33"/>
      <c r="S312" s="33"/>
    </row>
    <row r="313" customFormat="false" ht="16.5" hidden="false" customHeight="false" outlineLevel="0" collapsed="false">
      <c r="B313" s="47"/>
      <c r="C313" s="33" t="s">
        <v>322</v>
      </c>
      <c r="D313" s="33" t="n">
        <v>14030</v>
      </c>
      <c r="E313" s="15" t="s">
        <v>27</v>
      </c>
      <c r="F313" s="33"/>
      <c r="G313" s="29" t="n">
        <f aca="false">L313*K313/1000</f>
        <v>0</v>
      </c>
      <c r="H313" s="48"/>
      <c r="I313" s="33"/>
      <c r="K313" s="30"/>
      <c r="L313" s="31" t="n">
        <f aca="false">L312</f>
        <v>60</v>
      </c>
      <c r="M313" s="31" t="n">
        <f aca="false">M312</f>
        <v>137</v>
      </c>
      <c r="N313" s="0" t="n">
        <f aca="false">O313+P313+Q313+R313+S313</f>
        <v>0</v>
      </c>
      <c r="O313" s="32"/>
      <c r="P313" s="32"/>
      <c r="Q313" s="32"/>
      <c r="R313" s="33"/>
      <c r="S313" s="33"/>
    </row>
    <row r="314" customFormat="false" ht="16.5" hidden="false" customHeight="false" outlineLevel="0" collapsed="false">
      <c r="B314" s="47"/>
      <c r="C314" s="33" t="s">
        <v>323</v>
      </c>
      <c r="D314" s="33" t="n">
        <v>14031</v>
      </c>
      <c r="E314" s="15" t="s">
        <v>27</v>
      </c>
      <c r="F314" s="33"/>
      <c r="G314" s="29" t="n">
        <f aca="false">L314*K314/1000</f>
        <v>0</v>
      </c>
      <c r="H314" s="48"/>
      <c r="I314" s="33"/>
      <c r="K314" s="30"/>
      <c r="L314" s="31" t="n">
        <f aca="false">L313</f>
        <v>60</v>
      </c>
      <c r="M314" s="31" t="n">
        <f aca="false">M313</f>
        <v>137</v>
      </c>
      <c r="N314" s="0" t="n">
        <f aca="false">O314+P314+Q314+R314+S314</f>
        <v>0</v>
      </c>
      <c r="O314" s="32"/>
      <c r="P314" s="32"/>
      <c r="Q314" s="32"/>
      <c r="R314" s="33"/>
      <c r="S314" s="33"/>
    </row>
    <row r="315" customFormat="false" ht="16.5" hidden="false" customHeight="false" outlineLevel="0" collapsed="false">
      <c r="B315" s="47"/>
      <c r="C315" s="33" t="s">
        <v>324</v>
      </c>
      <c r="D315" s="33" t="n">
        <v>14032</v>
      </c>
      <c r="E315" s="15" t="s">
        <v>27</v>
      </c>
      <c r="F315" s="33"/>
      <c r="G315" s="29" t="n">
        <f aca="false">L315*K315/1000</f>
        <v>0</v>
      </c>
      <c r="H315" s="48"/>
      <c r="I315" s="33"/>
      <c r="K315" s="30"/>
      <c r="L315" s="31" t="n">
        <f aca="false">L314</f>
        <v>60</v>
      </c>
      <c r="M315" s="31" t="n">
        <f aca="false">M314</f>
        <v>137</v>
      </c>
      <c r="N315" s="0" t="n">
        <f aca="false">O315+P315+Q315+R315+S315</f>
        <v>0</v>
      </c>
      <c r="O315" s="32"/>
      <c r="P315" s="32"/>
      <c r="Q315" s="32"/>
      <c r="R315" s="33"/>
      <c r="S315" s="33"/>
    </row>
    <row r="316" customFormat="false" ht="16.5" hidden="false" customHeight="false" outlineLevel="0" collapsed="false">
      <c r="B316" s="47"/>
      <c r="C316" s="33" t="s">
        <v>325</v>
      </c>
      <c r="D316" s="33" t="n">
        <v>14035</v>
      </c>
      <c r="E316" s="15" t="s">
        <v>27</v>
      </c>
      <c r="F316" s="33"/>
      <c r="G316" s="29" t="n">
        <f aca="false">L316*K316/1000</f>
        <v>0</v>
      </c>
      <c r="H316" s="48"/>
      <c r="I316" s="33"/>
      <c r="K316" s="30"/>
      <c r="L316" s="31" t="n">
        <f aca="false">L315</f>
        <v>60</v>
      </c>
      <c r="M316" s="31" t="n">
        <f aca="false">M315</f>
        <v>137</v>
      </c>
      <c r="N316" s="0" t="n">
        <f aca="false">O316+P316+Q316+R316+S316</f>
        <v>0</v>
      </c>
      <c r="O316" s="32"/>
      <c r="P316" s="32"/>
      <c r="Q316" s="32"/>
      <c r="R316" s="33"/>
      <c r="S316" s="33"/>
    </row>
    <row r="317" customFormat="false" ht="16.5" hidden="false" customHeight="false" outlineLevel="0" collapsed="false">
      <c r="B317" s="47"/>
      <c r="C317" s="33" t="s">
        <v>326</v>
      </c>
      <c r="D317" s="33" t="n">
        <v>14036</v>
      </c>
      <c r="E317" s="15" t="s">
        <v>27</v>
      </c>
      <c r="F317" s="33"/>
      <c r="G317" s="29" t="n">
        <f aca="false">L317*K317/1000</f>
        <v>0</v>
      </c>
      <c r="H317" s="48"/>
      <c r="I317" s="33"/>
      <c r="K317" s="30"/>
      <c r="L317" s="31" t="n">
        <f aca="false">L316</f>
        <v>60</v>
      </c>
      <c r="M317" s="31" t="n">
        <f aca="false">M316</f>
        <v>137</v>
      </c>
      <c r="N317" s="0" t="n">
        <f aca="false">O317+P317+Q317+R317+S317</f>
        <v>0</v>
      </c>
      <c r="O317" s="32"/>
      <c r="P317" s="32"/>
      <c r="Q317" s="32"/>
      <c r="R317" s="33"/>
      <c r="S317" s="33"/>
    </row>
    <row r="318" customFormat="false" ht="16.5" hidden="false" customHeight="false" outlineLevel="0" collapsed="false">
      <c r="B318" s="47"/>
      <c r="C318" s="33" t="s">
        <v>327</v>
      </c>
      <c r="D318" s="33" t="n">
        <v>14037</v>
      </c>
      <c r="E318" s="15" t="s">
        <v>27</v>
      </c>
      <c r="F318" s="33"/>
      <c r="G318" s="29" t="n">
        <f aca="false">L318*K318/1000</f>
        <v>0</v>
      </c>
      <c r="H318" s="48"/>
      <c r="I318" s="33"/>
      <c r="K318" s="30"/>
      <c r="L318" s="31" t="n">
        <f aca="false">L317</f>
        <v>60</v>
      </c>
      <c r="M318" s="31" t="n">
        <f aca="false">M317</f>
        <v>137</v>
      </c>
      <c r="N318" s="0" t="n">
        <f aca="false">O318+P318+Q318+R318+S318</f>
        <v>0</v>
      </c>
      <c r="O318" s="32"/>
      <c r="P318" s="32"/>
      <c r="Q318" s="32"/>
      <c r="R318" s="33"/>
      <c r="S318" s="33"/>
    </row>
    <row r="319" customFormat="false" ht="16.5" hidden="false" customHeight="false" outlineLevel="0" collapsed="false">
      <c r="B319" s="47"/>
      <c r="C319" s="33" t="s">
        <v>328</v>
      </c>
      <c r="D319" s="33" t="n">
        <v>14101</v>
      </c>
      <c r="E319" s="15" t="s">
        <v>27</v>
      </c>
      <c r="F319" s="33"/>
      <c r="G319" s="29" t="n">
        <f aca="false">L319*K319/1000</f>
        <v>0</v>
      </c>
      <c r="H319" s="48"/>
      <c r="I319" s="33"/>
      <c r="K319" s="30"/>
      <c r="L319" s="31" t="n">
        <f aca="false">L318</f>
        <v>60</v>
      </c>
      <c r="M319" s="31" t="n">
        <f aca="false">M318</f>
        <v>137</v>
      </c>
      <c r="N319" s="0" t="n">
        <f aca="false">O319+P319+Q319+R319+S319</f>
        <v>0</v>
      </c>
      <c r="O319" s="32"/>
      <c r="P319" s="32"/>
      <c r="Q319" s="32"/>
      <c r="R319" s="33"/>
      <c r="S319" s="33"/>
    </row>
    <row r="320" customFormat="false" ht="16.5" hidden="false" customHeight="false" outlineLevel="0" collapsed="false">
      <c r="B320" s="47"/>
      <c r="C320" s="33" t="s">
        <v>329</v>
      </c>
      <c r="D320" s="33" t="n">
        <v>14102</v>
      </c>
      <c r="E320" s="15" t="s">
        <v>27</v>
      </c>
      <c r="F320" s="33"/>
      <c r="G320" s="29" t="n">
        <f aca="false">L320*K320/1000</f>
        <v>0</v>
      </c>
      <c r="H320" s="48"/>
      <c r="I320" s="33"/>
      <c r="K320" s="30"/>
      <c r="L320" s="31" t="n">
        <f aca="false">L319</f>
        <v>60</v>
      </c>
      <c r="M320" s="31" t="n">
        <f aca="false">M319</f>
        <v>137</v>
      </c>
      <c r="N320" s="0" t="n">
        <f aca="false">O320+P320+Q320+R320+S320</f>
        <v>0</v>
      </c>
      <c r="O320" s="32"/>
      <c r="P320" s="32"/>
      <c r="Q320" s="32"/>
      <c r="R320" s="33"/>
      <c r="S320" s="33"/>
    </row>
    <row r="321" customFormat="false" ht="16.5" hidden="false" customHeight="false" outlineLevel="0" collapsed="false">
      <c r="B321" s="47"/>
      <c r="C321" s="33" t="s">
        <v>330</v>
      </c>
      <c r="D321" s="33" t="n">
        <v>14103</v>
      </c>
      <c r="E321" s="15" t="s">
        <v>27</v>
      </c>
      <c r="F321" s="33"/>
      <c r="G321" s="29" t="n">
        <f aca="false">L321*K321/1000</f>
        <v>0</v>
      </c>
      <c r="H321" s="48"/>
      <c r="I321" s="33"/>
      <c r="K321" s="30"/>
      <c r="L321" s="31" t="n">
        <f aca="false">L320</f>
        <v>60</v>
      </c>
      <c r="M321" s="31" t="n">
        <f aca="false">M320</f>
        <v>137</v>
      </c>
      <c r="N321" s="0" t="n">
        <f aca="false">O321+P321+Q321+R321+S321</f>
        <v>0</v>
      </c>
      <c r="O321" s="32"/>
      <c r="P321" s="32"/>
      <c r="Q321" s="32"/>
      <c r="R321" s="33"/>
      <c r="S321" s="33"/>
    </row>
    <row r="322" customFormat="false" ht="16.5" hidden="false" customHeight="false" outlineLevel="0" collapsed="false">
      <c r="B322" s="47"/>
      <c r="C322" s="33" t="s">
        <v>331</v>
      </c>
      <c r="D322" s="33" t="n">
        <v>14104</v>
      </c>
      <c r="E322" s="15" t="s">
        <v>27</v>
      </c>
      <c r="F322" s="33"/>
      <c r="G322" s="29" t="n">
        <f aca="false">L322*K322/1000</f>
        <v>0</v>
      </c>
      <c r="H322" s="48"/>
      <c r="I322" s="33"/>
      <c r="K322" s="30"/>
      <c r="L322" s="31" t="n">
        <f aca="false">L321</f>
        <v>60</v>
      </c>
      <c r="M322" s="31" t="n">
        <f aca="false">M321</f>
        <v>137</v>
      </c>
      <c r="N322" s="0" t="n">
        <f aca="false">O322+P322+Q322+R322+S322</f>
        <v>0</v>
      </c>
      <c r="O322" s="32"/>
      <c r="P322" s="32"/>
      <c r="Q322" s="32"/>
      <c r="R322" s="33"/>
      <c r="S322" s="33"/>
    </row>
    <row r="323" customFormat="false" ht="16.5" hidden="false" customHeight="false" outlineLevel="0" collapsed="false">
      <c r="B323" s="47"/>
      <c r="C323" s="33" t="s">
        <v>332</v>
      </c>
      <c r="D323" s="33" t="n">
        <v>14105</v>
      </c>
      <c r="E323" s="15" t="s">
        <v>27</v>
      </c>
      <c r="F323" s="33"/>
      <c r="G323" s="29" t="n">
        <f aca="false">L323*K323/1000</f>
        <v>0</v>
      </c>
      <c r="H323" s="48"/>
      <c r="I323" s="33"/>
      <c r="K323" s="30"/>
      <c r="L323" s="31" t="n">
        <f aca="false">L322</f>
        <v>60</v>
      </c>
      <c r="M323" s="31" t="n">
        <f aca="false">M322</f>
        <v>137</v>
      </c>
      <c r="N323" s="0" t="n">
        <f aca="false">O323+P323+Q323+R323+S323</f>
        <v>0</v>
      </c>
      <c r="O323" s="32"/>
      <c r="P323" s="32"/>
      <c r="Q323" s="32"/>
      <c r="R323" s="33"/>
      <c r="S323" s="33"/>
    </row>
    <row r="324" customFormat="false" ht="16.5" hidden="false" customHeight="false" outlineLevel="0" collapsed="false">
      <c r="B324" s="47"/>
      <c r="C324" s="33" t="s">
        <v>333</v>
      </c>
      <c r="D324" s="33" t="n">
        <v>14106</v>
      </c>
      <c r="E324" s="15" t="s">
        <v>27</v>
      </c>
      <c r="F324" s="33"/>
      <c r="G324" s="29" t="n">
        <f aca="false">L324*K324/1000</f>
        <v>0</v>
      </c>
      <c r="H324" s="48"/>
      <c r="I324" s="33"/>
      <c r="K324" s="30"/>
      <c r="L324" s="31" t="n">
        <f aca="false">L323</f>
        <v>60</v>
      </c>
      <c r="M324" s="31" t="n">
        <f aca="false">M323</f>
        <v>137</v>
      </c>
      <c r="N324" s="0" t="n">
        <f aca="false">O324+P324+Q324+R324+S324</f>
        <v>0</v>
      </c>
      <c r="O324" s="32"/>
      <c r="P324" s="32"/>
      <c r="Q324" s="32"/>
      <c r="R324" s="33"/>
      <c r="S324" s="33"/>
    </row>
    <row r="325" customFormat="false" ht="16.5" hidden="false" customHeight="false" outlineLevel="0" collapsed="false">
      <c r="B325" s="47"/>
      <c r="C325" s="33" t="s">
        <v>334</v>
      </c>
      <c r="D325" s="33" t="n">
        <v>14107</v>
      </c>
      <c r="E325" s="15" t="s">
        <v>27</v>
      </c>
      <c r="F325" s="33"/>
      <c r="G325" s="29" t="n">
        <f aca="false">L325*K325/1000</f>
        <v>0</v>
      </c>
      <c r="H325" s="48"/>
      <c r="I325" s="33"/>
      <c r="K325" s="30"/>
      <c r="L325" s="31" t="n">
        <f aca="false">L324</f>
        <v>60</v>
      </c>
      <c r="M325" s="31" t="n">
        <f aca="false">M324</f>
        <v>137</v>
      </c>
      <c r="N325" s="0" t="n">
        <f aca="false">O325+P325+Q325+R325+S325</f>
        <v>0</v>
      </c>
      <c r="O325" s="32"/>
      <c r="P325" s="32"/>
      <c r="Q325" s="32"/>
      <c r="R325" s="33"/>
      <c r="S325" s="33"/>
    </row>
    <row r="326" customFormat="false" ht="16.5" hidden="false" customHeight="false" outlineLevel="0" collapsed="false">
      <c r="B326" s="47"/>
      <c r="C326" s="33" t="s">
        <v>335</v>
      </c>
      <c r="D326" s="33" t="n">
        <v>14108</v>
      </c>
      <c r="E326" s="15" t="s">
        <v>27</v>
      </c>
      <c r="F326" s="33"/>
      <c r="G326" s="29" t="n">
        <f aca="false">L326*K326/1000</f>
        <v>0</v>
      </c>
      <c r="H326" s="48"/>
      <c r="I326" s="33"/>
      <c r="K326" s="30"/>
      <c r="L326" s="31" t="n">
        <f aca="false">L325</f>
        <v>60</v>
      </c>
      <c r="M326" s="31" t="n">
        <f aca="false">M325</f>
        <v>137</v>
      </c>
      <c r="N326" s="0" t="n">
        <f aca="false">O326+P326+Q326+R326+S326</f>
        <v>0</v>
      </c>
      <c r="O326" s="32"/>
      <c r="P326" s="32"/>
      <c r="Q326" s="32"/>
      <c r="R326" s="33"/>
      <c r="S326" s="33"/>
    </row>
    <row r="327" customFormat="false" ht="16.5" hidden="false" customHeight="false" outlineLevel="0" collapsed="false">
      <c r="B327" s="47"/>
      <c r="C327" s="33" t="s">
        <v>336</v>
      </c>
      <c r="D327" s="33" t="n">
        <v>14109</v>
      </c>
      <c r="E327" s="15" t="s">
        <v>27</v>
      </c>
      <c r="F327" s="33"/>
      <c r="G327" s="29" t="n">
        <f aca="false">L327*K327/1000</f>
        <v>0</v>
      </c>
      <c r="H327" s="48"/>
      <c r="I327" s="33"/>
      <c r="K327" s="30"/>
      <c r="L327" s="31" t="n">
        <f aca="false">L326</f>
        <v>60</v>
      </c>
      <c r="M327" s="31" t="n">
        <f aca="false">M326</f>
        <v>137</v>
      </c>
      <c r="N327" s="0" t="n">
        <f aca="false">O327+P327+Q327+R327+S327</f>
        <v>0</v>
      </c>
      <c r="O327" s="32"/>
      <c r="P327" s="32"/>
      <c r="Q327" s="32"/>
      <c r="R327" s="33"/>
      <c r="S327" s="33"/>
    </row>
    <row r="328" customFormat="false" ht="16.5" hidden="false" customHeight="false" outlineLevel="0" collapsed="false">
      <c r="B328" s="47"/>
      <c r="C328" s="33" t="s">
        <v>337</v>
      </c>
      <c r="D328" s="33" t="n">
        <v>14110</v>
      </c>
      <c r="E328" s="15" t="s">
        <v>27</v>
      </c>
      <c r="F328" s="33"/>
      <c r="G328" s="29" t="n">
        <f aca="false">L328*K328/1000</f>
        <v>0</v>
      </c>
      <c r="H328" s="48"/>
      <c r="I328" s="33"/>
      <c r="K328" s="30"/>
      <c r="L328" s="31" t="n">
        <f aca="false">L327</f>
        <v>60</v>
      </c>
      <c r="M328" s="31" t="n">
        <f aca="false">M327</f>
        <v>137</v>
      </c>
      <c r="N328" s="0" t="n">
        <f aca="false">O328+P328+Q328+R328+S328</f>
        <v>0</v>
      </c>
      <c r="O328" s="32"/>
      <c r="P328" s="32"/>
      <c r="Q328" s="32"/>
      <c r="R328" s="33"/>
      <c r="S328" s="33"/>
    </row>
    <row r="329" customFormat="false" ht="16.5" hidden="false" customHeight="false" outlineLevel="0" collapsed="false">
      <c r="B329" s="47"/>
      <c r="C329" s="33" t="s">
        <v>338</v>
      </c>
      <c r="D329" s="33" t="n">
        <v>14111</v>
      </c>
      <c r="E329" s="15" t="s">
        <v>27</v>
      </c>
      <c r="F329" s="33"/>
      <c r="G329" s="29" t="n">
        <f aca="false">L329*K329/1000</f>
        <v>0</v>
      </c>
      <c r="H329" s="48"/>
      <c r="I329" s="33"/>
      <c r="K329" s="30"/>
      <c r="L329" s="31" t="n">
        <f aca="false">L328</f>
        <v>60</v>
      </c>
      <c r="M329" s="31" t="n">
        <f aca="false">M328</f>
        <v>137</v>
      </c>
      <c r="N329" s="0" t="n">
        <f aca="false">O329+P329+Q329+R329+S329</f>
        <v>0</v>
      </c>
      <c r="O329" s="32"/>
      <c r="P329" s="32"/>
      <c r="Q329" s="32"/>
      <c r="R329" s="33"/>
      <c r="S329" s="33"/>
    </row>
    <row r="330" customFormat="false" ht="16.5" hidden="false" customHeight="false" outlineLevel="0" collapsed="false">
      <c r="B330" s="47"/>
      <c r="C330" s="33" t="s">
        <v>339</v>
      </c>
      <c r="D330" s="33" t="n">
        <v>14112</v>
      </c>
      <c r="E330" s="15" t="s">
        <v>27</v>
      </c>
      <c r="F330" s="33"/>
      <c r="G330" s="29" t="n">
        <f aca="false">L330*K330/1000</f>
        <v>0</v>
      </c>
      <c r="H330" s="48"/>
      <c r="I330" s="33"/>
      <c r="K330" s="30"/>
      <c r="L330" s="31" t="n">
        <f aca="false">L329</f>
        <v>60</v>
      </c>
      <c r="M330" s="31" t="n">
        <f aca="false">M329</f>
        <v>137</v>
      </c>
      <c r="N330" s="0" t="n">
        <f aca="false">O330+P330+Q330+R330+S330</f>
        <v>0</v>
      </c>
      <c r="O330" s="32"/>
      <c r="P330" s="32"/>
      <c r="Q330" s="32"/>
      <c r="R330" s="33"/>
      <c r="S330" s="33"/>
    </row>
    <row r="331" customFormat="false" ht="16.5" hidden="false" customHeight="false" outlineLevel="0" collapsed="false">
      <c r="B331" s="47"/>
      <c r="C331" s="33" t="s">
        <v>340</v>
      </c>
      <c r="D331" s="33" t="n">
        <v>14113</v>
      </c>
      <c r="E331" s="15" t="s">
        <v>27</v>
      </c>
      <c r="F331" s="33"/>
      <c r="G331" s="29" t="n">
        <f aca="false">L331*K331/1000</f>
        <v>0</v>
      </c>
      <c r="H331" s="48"/>
      <c r="I331" s="33"/>
      <c r="K331" s="30"/>
      <c r="L331" s="31" t="n">
        <f aca="false">L330</f>
        <v>60</v>
      </c>
      <c r="M331" s="31" t="n">
        <f aca="false">M330</f>
        <v>137</v>
      </c>
      <c r="N331" s="0" t="n">
        <f aca="false">O331+P331+Q331+R331+S331</f>
        <v>0</v>
      </c>
      <c r="O331" s="32"/>
      <c r="P331" s="32"/>
      <c r="Q331" s="32"/>
      <c r="R331" s="33"/>
      <c r="S331" s="33"/>
    </row>
    <row r="332" customFormat="false" ht="16.5" hidden="false" customHeight="false" outlineLevel="0" collapsed="false">
      <c r="B332" s="47"/>
      <c r="C332" s="33" t="s">
        <v>341</v>
      </c>
      <c r="D332" s="33" t="n">
        <v>14114</v>
      </c>
      <c r="E332" s="15" t="s">
        <v>27</v>
      </c>
      <c r="F332" s="33"/>
      <c r="G332" s="29" t="n">
        <f aca="false">L332*K332/1000</f>
        <v>0</v>
      </c>
      <c r="H332" s="48"/>
      <c r="I332" s="33"/>
      <c r="K332" s="30"/>
      <c r="L332" s="31" t="n">
        <f aca="false">L331</f>
        <v>60</v>
      </c>
      <c r="M332" s="31" t="n">
        <f aca="false">M331</f>
        <v>137</v>
      </c>
      <c r="N332" s="0" t="n">
        <f aca="false">O332+P332+Q332+R332+S332</f>
        <v>0</v>
      </c>
      <c r="O332" s="32"/>
      <c r="P332" s="32"/>
      <c r="Q332" s="32"/>
      <c r="R332" s="33"/>
      <c r="S332" s="33"/>
    </row>
    <row r="333" customFormat="false" ht="16.5" hidden="false" customHeight="false" outlineLevel="0" collapsed="false">
      <c r="B333" s="47"/>
      <c r="C333" s="33" t="s">
        <v>342</v>
      </c>
      <c r="D333" s="33" t="n">
        <v>14115</v>
      </c>
      <c r="E333" s="15" t="s">
        <v>27</v>
      </c>
      <c r="F333" s="33"/>
      <c r="G333" s="29" t="n">
        <f aca="false">L333*K333/1000</f>
        <v>0</v>
      </c>
      <c r="H333" s="48"/>
      <c r="I333" s="33"/>
      <c r="K333" s="30"/>
      <c r="L333" s="31" t="n">
        <f aca="false">L332</f>
        <v>60</v>
      </c>
      <c r="M333" s="31" t="n">
        <f aca="false">M332</f>
        <v>137</v>
      </c>
      <c r="N333" s="0" t="n">
        <f aca="false">O333+P333+Q333+R333+S333</f>
        <v>0</v>
      </c>
      <c r="O333" s="32"/>
      <c r="P333" s="32"/>
      <c r="Q333" s="32"/>
      <c r="R333" s="33"/>
      <c r="S333" s="33"/>
    </row>
    <row r="334" customFormat="false" ht="16.5" hidden="false" customHeight="false" outlineLevel="0" collapsed="false">
      <c r="B334" s="47"/>
      <c r="C334" s="33" t="s">
        <v>343</v>
      </c>
      <c r="D334" s="33" t="n">
        <v>14116</v>
      </c>
      <c r="E334" s="15" t="s">
        <v>27</v>
      </c>
      <c r="F334" s="33"/>
      <c r="G334" s="29" t="n">
        <f aca="false">L334*K334/1000</f>
        <v>0</v>
      </c>
      <c r="H334" s="48"/>
      <c r="I334" s="33"/>
      <c r="K334" s="30"/>
      <c r="L334" s="31" t="n">
        <f aca="false">L333</f>
        <v>60</v>
      </c>
      <c r="M334" s="31" t="n">
        <f aca="false">M333</f>
        <v>137</v>
      </c>
      <c r="N334" s="0" t="n">
        <f aca="false">O334+P334+Q334+R334+S334</f>
        <v>0</v>
      </c>
      <c r="O334" s="32"/>
      <c r="P334" s="32"/>
      <c r="Q334" s="32"/>
      <c r="R334" s="33"/>
      <c r="S334" s="33"/>
    </row>
    <row r="335" customFormat="false" ht="16.5" hidden="false" customHeight="false" outlineLevel="0" collapsed="false">
      <c r="B335" s="47"/>
      <c r="C335" s="33" t="s">
        <v>344</v>
      </c>
      <c r="D335" s="33" t="n">
        <v>14117</v>
      </c>
      <c r="E335" s="15" t="s">
        <v>27</v>
      </c>
      <c r="F335" s="33"/>
      <c r="G335" s="29" t="n">
        <f aca="false">L335*K335/1000</f>
        <v>0</v>
      </c>
      <c r="H335" s="48"/>
      <c r="I335" s="33"/>
      <c r="K335" s="30"/>
      <c r="L335" s="31" t="n">
        <f aca="false">L334</f>
        <v>60</v>
      </c>
      <c r="M335" s="31" t="n">
        <f aca="false">M334</f>
        <v>137</v>
      </c>
      <c r="N335" s="0" t="n">
        <f aca="false">O335+P335+Q335+R335+S335</f>
        <v>0</v>
      </c>
      <c r="O335" s="32"/>
      <c r="P335" s="32"/>
      <c r="Q335" s="32"/>
      <c r="R335" s="33"/>
      <c r="S335" s="33"/>
    </row>
    <row r="336" customFormat="false" ht="16.5" hidden="false" customHeight="false" outlineLevel="0" collapsed="false">
      <c r="B336" s="47"/>
      <c r="C336" s="33" t="s">
        <v>345</v>
      </c>
      <c r="D336" s="33" t="n">
        <v>14118</v>
      </c>
      <c r="E336" s="15" t="s">
        <v>27</v>
      </c>
      <c r="F336" s="33"/>
      <c r="G336" s="29" t="n">
        <f aca="false">L336*K336/1000</f>
        <v>0</v>
      </c>
      <c r="H336" s="48"/>
      <c r="I336" s="33"/>
      <c r="K336" s="30"/>
      <c r="L336" s="31" t="n">
        <f aca="false">L335</f>
        <v>60</v>
      </c>
      <c r="M336" s="31" t="n">
        <f aca="false">M335</f>
        <v>137</v>
      </c>
      <c r="N336" s="0" t="n">
        <f aca="false">O336+P336+Q336+R336+S336</f>
        <v>0</v>
      </c>
      <c r="O336" s="32"/>
      <c r="P336" s="32"/>
      <c r="Q336" s="32"/>
      <c r="R336" s="33"/>
      <c r="S336" s="33"/>
    </row>
    <row r="337" customFormat="false" ht="16.5" hidden="false" customHeight="false" outlineLevel="0" collapsed="false">
      <c r="B337" s="47"/>
      <c r="C337" s="33" t="s">
        <v>346</v>
      </c>
      <c r="D337" s="33" t="n">
        <v>14120</v>
      </c>
      <c r="E337" s="15" t="s">
        <v>27</v>
      </c>
      <c r="F337" s="33"/>
      <c r="G337" s="29" t="n">
        <f aca="false">L337*K337/1000</f>
        <v>0</v>
      </c>
      <c r="H337" s="48"/>
      <c r="I337" s="33"/>
      <c r="K337" s="30"/>
      <c r="L337" s="31" t="n">
        <f aca="false">L336</f>
        <v>60</v>
      </c>
      <c r="M337" s="31" t="n">
        <f aca="false">M336</f>
        <v>137</v>
      </c>
      <c r="N337" s="0" t="n">
        <f aca="false">O337+P337+Q337+R337+S337</f>
        <v>0</v>
      </c>
      <c r="O337" s="32"/>
      <c r="P337" s="32"/>
      <c r="Q337" s="32"/>
      <c r="R337" s="33"/>
      <c r="S337" s="33"/>
    </row>
    <row r="338" customFormat="false" ht="16.5" hidden="false" customHeight="false" outlineLevel="0" collapsed="false">
      <c r="B338" s="47"/>
      <c r="C338" s="33" t="s">
        <v>347</v>
      </c>
      <c r="D338" s="33" t="n">
        <v>14121</v>
      </c>
      <c r="E338" s="15" t="s">
        <v>27</v>
      </c>
      <c r="F338" s="33"/>
      <c r="G338" s="29" t="n">
        <f aca="false">L338*K338/1000</f>
        <v>0</v>
      </c>
      <c r="H338" s="48"/>
      <c r="I338" s="33"/>
      <c r="K338" s="30"/>
      <c r="L338" s="31" t="n">
        <f aca="false">L337</f>
        <v>60</v>
      </c>
      <c r="M338" s="31" t="n">
        <f aca="false">M337</f>
        <v>137</v>
      </c>
      <c r="N338" s="0" t="n">
        <f aca="false">O338+P338+Q338+R338+S338</f>
        <v>0</v>
      </c>
      <c r="O338" s="32"/>
      <c r="P338" s="32"/>
      <c r="Q338" s="32"/>
      <c r="R338" s="33"/>
      <c r="S338" s="33"/>
    </row>
    <row r="339" customFormat="false" ht="16.5" hidden="false" customHeight="false" outlineLevel="0" collapsed="false">
      <c r="B339" s="47"/>
      <c r="C339" s="33" t="s">
        <v>348</v>
      </c>
      <c r="D339" s="33" t="n">
        <v>14122</v>
      </c>
      <c r="E339" s="15" t="s">
        <v>27</v>
      </c>
      <c r="F339" s="33"/>
      <c r="G339" s="29" t="n">
        <f aca="false">L339*K339/1000</f>
        <v>0</v>
      </c>
      <c r="H339" s="48"/>
      <c r="I339" s="33"/>
      <c r="K339" s="30"/>
      <c r="L339" s="31" t="n">
        <f aca="false">L338</f>
        <v>60</v>
      </c>
      <c r="M339" s="31" t="n">
        <f aca="false">M338</f>
        <v>137</v>
      </c>
      <c r="N339" s="0" t="n">
        <f aca="false">O339+P339+Q339+R339+S339</f>
        <v>0</v>
      </c>
      <c r="O339" s="32"/>
      <c r="P339" s="32"/>
      <c r="Q339" s="32"/>
      <c r="R339" s="33"/>
      <c r="S339" s="33"/>
    </row>
    <row r="340" customFormat="false" ht="16.5" hidden="false" customHeight="false" outlineLevel="0" collapsed="false">
      <c r="B340" s="47"/>
      <c r="C340" s="33" t="s">
        <v>349</v>
      </c>
      <c r="D340" s="33" t="n">
        <v>14123</v>
      </c>
      <c r="E340" s="15" t="s">
        <v>27</v>
      </c>
      <c r="F340" s="33"/>
      <c r="G340" s="29" t="n">
        <f aca="false">L340*K340/1000</f>
        <v>0</v>
      </c>
      <c r="H340" s="48"/>
      <c r="I340" s="33"/>
      <c r="K340" s="30"/>
      <c r="L340" s="31" t="n">
        <f aca="false">L339</f>
        <v>60</v>
      </c>
      <c r="M340" s="31" t="n">
        <f aca="false">M339</f>
        <v>137</v>
      </c>
      <c r="N340" s="0" t="n">
        <f aca="false">O340+P340+Q340+R340+S340</f>
        <v>0</v>
      </c>
      <c r="O340" s="32"/>
      <c r="P340" s="32"/>
      <c r="Q340" s="32"/>
      <c r="R340" s="33"/>
      <c r="S340" s="33"/>
    </row>
    <row r="341" customFormat="false" ht="16.5" hidden="false" customHeight="false" outlineLevel="0" collapsed="false">
      <c r="B341" s="47"/>
      <c r="C341" s="33" t="s">
        <v>350</v>
      </c>
      <c r="D341" s="33" t="n">
        <v>14124</v>
      </c>
      <c r="E341" s="15" t="s">
        <v>27</v>
      </c>
      <c r="F341" s="33"/>
      <c r="G341" s="29" t="n">
        <f aca="false">L341*K341/1000</f>
        <v>0</v>
      </c>
      <c r="H341" s="48"/>
      <c r="I341" s="33"/>
      <c r="K341" s="30"/>
      <c r="L341" s="31" t="n">
        <f aca="false">L340</f>
        <v>60</v>
      </c>
      <c r="M341" s="31" t="n">
        <f aca="false">M340</f>
        <v>137</v>
      </c>
      <c r="N341" s="0" t="n">
        <f aca="false">O341+P341+Q341+R341+S341</f>
        <v>0</v>
      </c>
      <c r="O341" s="32"/>
      <c r="P341" s="32"/>
      <c r="Q341" s="32"/>
      <c r="R341" s="33"/>
      <c r="S341" s="33"/>
    </row>
    <row r="342" customFormat="false" ht="16.5" hidden="false" customHeight="false" outlineLevel="0" collapsed="false">
      <c r="B342" s="47"/>
      <c r="C342" s="33" t="s">
        <v>351</v>
      </c>
      <c r="D342" s="33" t="n">
        <v>14125</v>
      </c>
      <c r="E342" s="15" t="s">
        <v>27</v>
      </c>
      <c r="F342" s="33"/>
      <c r="G342" s="29" t="n">
        <f aca="false">L342*K342/1000</f>
        <v>0</v>
      </c>
      <c r="H342" s="48"/>
      <c r="I342" s="33"/>
      <c r="K342" s="30"/>
      <c r="L342" s="31" t="n">
        <f aca="false">L341</f>
        <v>60</v>
      </c>
      <c r="M342" s="31" t="n">
        <f aca="false">M341</f>
        <v>137</v>
      </c>
      <c r="N342" s="0" t="n">
        <f aca="false">O342+P342+Q342+R342+S342</f>
        <v>0</v>
      </c>
      <c r="O342" s="32"/>
      <c r="P342" s="32"/>
      <c r="Q342" s="32"/>
      <c r="R342" s="33"/>
      <c r="S342" s="33"/>
    </row>
    <row r="343" customFormat="false" ht="16.5" hidden="false" customHeight="false" outlineLevel="0" collapsed="false">
      <c r="B343" s="47"/>
      <c r="C343" s="33" t="s">
        <v>352</v>
      </c>
      <c r="D343" s="33" t="n">
        <v>14126</v>
      </c>
      <c r="E343" s="15" t="s">
        <v>27</v>
      </c>
      <c r="F343" s="33"/>
      <c r="G343" s="29" t="n">
        <f aca="false">L343*K343/1000</f>
        <v>0</v>
      </c>
      <c r="H343" s="48"/>
      <c r="I343" s="33"/>
      <c r="K343" s="30"/>
      <c r="L343" s="31" t="n">
        <f aca="false">L342</f>
        <v>60</v>
      </c>
      <c r="M343" s="31" t="n">
        <f aca="false">M342</f>
        <v>137</v>
      </c>
      <c r="N343" s="0" t="n">
        <f aca="false">O343+P343+Q343+R343+S343</f>
        <v>0</v>
      </c>
      <c r="O343" s="32"/>
      <c r="P343" s="32"/>
      <c r="Q343" s="32"/>
      <c r="R343" s="33"/>
      <c r="S343" s="33"/>
    </row>
    <row r="344" customFormat="false" ht="16.5" hidden="false" customHeight="false" outlineLevel="0" collapsed="false">
      <c r="B344" s="47"/>
      <c r="C344" s="33" t="s">
        <v>353</v>
      </c>
      <c r="D344" s="33" t="n">
        <v>14127</v>
      </c>
      <c r="E344" s="15" t="s">
        <v>27</v>
      </c>
      <c r="F344" s="33"/>
      <c r="G344" s="29" t="n">
        <f aca="false">L344*K344/1000</f>
        <v>0</v>
      </c>
      <c r="H344" s="48"/>
      <c r="I344" s="33"/>
      <c r="K344" s="30"/>
      <c r="L344" s="31" t="n">
        <f aca="false">L343</f>
        <v>60</v>
      </c>
      <c r="M344" s="31" t="n">
        <f aca="false">M343</f>
        <v>137</v>
      </c>
      <c r="N344" s="0" t="n">
        <f aca="false">O344+P344+Q344+R344+S344</f>
        <v>0</v>
      </c>
      <c r="O344" s="32"/>
      <c r="P344" s="32"/>
      <c r="Q344" s="32"/>
      <c r="R344" s="33"/>
      <c r="S344" s="33"/>
    </row>
    <row r="345" customFormat="false" ht="16.5" hidden="false" customHeight="false" outlineLevel="0" collapsed="false">
      <c r="B345" s="47"/>
      <c r="C345" s="33" t="s">
        <v>354</v>
      </c>
      <c r="D345" s="33" t="n">
        <v>14128</v>
      </c>
      <c r="E345" s="15" t="s">
        <v>27</v>
      </c>
      <c r="F345" s="33"/>
      <c r="G345" s="29" t="n">
        <f aca="false">L345*K345/1000</f>
        <v>0</v>
      </c>
      <c r="H345" s="48"/>
      <c r="I345" s="33"/>
      <c r="K345" s="30"/>
      <c r="L345" s="31" t="n">
        <f aca="false">L344</f>
        <v>60</v>
      </c>
      <c r="M345" s="31" t="n">
        <f aca="false">M344</f>
        <v>137</v>
      </c>
      <c r="N345" s="0" t="n">
        <f aca="false">O345+P345+Q345+R345+S345</f>
        <v>0</v>
      </c>
      <c r="O345" s="32"/>
      <c r="P345" s="32"/>
      <c r="Q345" s="32"/>
      <c r="R345" s="33"/>
      <c r="S345" s="33"/>
    </row>
    <row r="346" customFormat="false" ht="16.5" hidden="false" customHeight="false" outlineLevel="0" collapsed="false">
      <c r="B346" s="47"/>
      <c r="C346" s="33" t="s">
        <v>355</v>
      </c>
      <c r="D346" s="33" t="n">
        <v>14129</v>
      </c>
      <c r="E346" s="15" t="s">
        <v>27</v>
      </c>
      <c r="F346" s="33"/>
      <c r="G346" s="29" t="n">
        <f aca="false">L346*K346/1000</f>
        <v>0</v>
      </c>
      <c r="H346" s="48"/>
      <c r="I346" s="33"/>
      <c r="K346" s="30"/>
      <c r="L346" s="31" t="n">
        <f aca="false">L345</f>
        <v>60</v>
      </c>
      <c r="M346" s="31" t="n">
        <f aca="false">M345</f>
        <v>137</v>
      </c>
      <c r="N346" s="0" t="n">
        <f aca="false">O346+P346+Q346+R346+S346</f>
        <v>0</v>
      </c>
      <c r="O346" s="32"/>
      <c r="P346" s="32"/>
      <c r="Q346" s="32"/>
      <c r="R346" s="33"/>
      <c r="S346" s="33"/>
    </row>
    <row r="347" customFormat="false" ht="16.5" hidden="false" customHeight="false" outlineLevel="0" collapsed="false">
      <c r="B347" s="47"/>
      <c r="C347" s="33" t="s">
        <v>356</v>
      </c>
      <c r="D347" s="33" t="n">
        <v>14131</v>
      </c>
      <c r="E347" s="15" t="s">
        <v>27</v>
      </c>
      <c r="F347" s="33"/>
      <c r="G347" s="29" t="n">
        <f aca="false">L347*K347/1000</f>
        <v>0</v>
      </c>
      <c r="H347" s="48"/>
      <c r="I347" s="33"/>
      <c r="K347" s="30"/>
      <c r="L347" s="31" t="n">
        <f aca="false">L346</f>
        <v>60</v>
      </c>
      <c r="M347" s="31" t="n">
        <f aca="false">M346</f>
        <v>137</v>
      </c>
      <c r="N347" s="0" t="n">
        <f aca="false">O347+P347+Q347+R347+S347</f>
        <v>0</v>
      </c>
      <c r="O347" s="32"/>
      <c r="P347" s="32"/>
      <c r="Q347" s="32"/>
      <c r="R347" s="33"/>
      <c r="S347" s="33"/>
    </row>
    <row r="348" customFormat="false" ht="16.5" hidden="false" customHeight="false" outlineLevel="0" collapsed="false">
      <c r="B348" s="47"/>
      <c r="C348" s="33" t="s">
        <v>357</v>
      </c>
      <c r="D348" s="33" t="n">
        <v>14132</v>
      </c>
      <c r="E348" s="15" t="s">
        <v>27</v>
      </c>
      <c r="F348" s="33"/>
      <c r="G348" s="29" t="n">
        <f aca="false">L348*K348/1000</f>
        <v>0</v>
      </c>
      <c r="H348" s="48"/>
      <c r="I348" s="33"/>
      <c r="K348" s="30"/>
      <c r="L348" s="31" t="n">
        <f aca="false">L347</f>
        <v>60</v>
      </c>
      <c r="M348" s="31" t="n">
        <f aca="false">M347</f>
        <v>137</v>
      </c>
      <c r="N348" s="0" t="n">
        <f aca="false">O348+P348+Q348+R348+S348</f>
        <v>0</v>
      </c>
      <c r="O348" s="32"/>
      <c r="P348" s="32"/>
      <c r="Q348" s="32"/>
      <c r="R348" s="33"/>
      <c r="S348" s="33"/>
    </row>
    <row r="349" customFormat="false" ht="16.5" hidden="false" customHeight="false" outlineLevel="0" collapsed="false">
      <c r="B349" s="47"/>
      <c r="C349" s="33" t="s">
        <v>358</v>
      </c>
      <c r="D349" s="33" t="n">
        <v>14133</v>
      </c>
      <c r="E349" s="15" t="s">
        <v>27</v>
      </c>
      <c r="F349" s="33"/>
      <c r="G349" s="29" t="n">
        <f aca="false">L349*K349/1000</f>
        <v>0</v>
      </c>
      <c r="H349" s="48"/>
      <c r="I349" s="33"/>
      <c r="K349" s="30"/>
      <c r="L349" s="31" t="n">
        <f aca="false">L348</f>
        <v>60</v>
      </c>
      <c r="M349" s="31" t="n">
        <f aca="false">M348</f>
        <v>137</v>
      </c>
      <c r="N349" s="0" t="n">
        <f aca="false">O349+P349+Q349+R349+S349</f>
        <v>0</v>
      </c>
      <c r="O349" s="32"/>
      <c r="P349" s="32"/>
      <c r="Q349" s="32"/>
      <c r="R349" s="33"/>
      <c r="S349" s="33"/>
    </row>
    <row r="350" customFormat="false" ht="16.5" hidden="false" customHeight="false" outlineLevel="0" collapsed="false">
      <c r="B350" s="47"/>
      <c r="C350" s="33" t="s">
        <v>359</v>
      </c>
      <c r="D350" s="33" t="n">
        <v>14134</v>
      </c>
      <c r="E350" s="15" t="s">
        <v>27</v>
      </c>
      <c r="F350" s="33"/>
      <c r="G350" s="29" t="n">
        <f aca="false">L350*K350/1000</f>
        <v>0</v>
      </c>
      <c r="H350" s="48"/>
      <c r="I350" s="33"/>
      <c r="K350" s="30"/>
      <c r="L350" s="31" t="n">
        <f aca="false">L349</f>
        <v>60</v>
      </c>
      <c r="M350" s="31" t="n">
        <f aca="false">M349</f>
        <v>137</v>
      </c>
      <c r="N350" s="0" t="n">
        <f aca="false">O350+P350+Q350+R350+S350</f>
        <v>0</v>
      </c>
      <c r="O350" s="32"/>
      <c r="P350" s="32"/>
      <c r="Q350" s="32"/>
      <c r="R350" s="33"/>
      <c r="S350" s="33"/>
    </row>
    <row r="351" customFormat="false" ht="16.5" hidden="false" customHeight="false" outlineLevel="0" collapsed="false">
      <c r="B351" s="47"/>
      <c r="C351" s="33" t="s">
        <v>360</v>
      </c>
      <c r="D351" s="33" t="n">
        <v>14135</v>
      </c>
      <c r="E351" s="15" t="s">
        <v>27</v>
      </c>
      <c r="F351" s="33"/>
      <c r="G351" s="29" t="n">
        <f aca="false">L351*K351/1000</f>
        <v>0</v>
      </c>
      <c r="H351" s="48"/>
      <c r="I351" s="33"/>
      <c r="K351" s="30"/>
      <c r="L351" s="31" t="n">
        <f aca="false">L350</f>
        <v>60</v>
      </c>
      <c r="M351" s="31" t="n">
        <f aca="false">M350</f>
        <v>137</v>
      </c>
      <c r="N351" s="0" t="n">
        <f aca="false">O351+P351+Q351+R351+S351</f>
        <v>0</v>
      </c>
      <c r="O351" s="32"/>
      <c r="P351" s="32"/>
      <c r="Q351" s="32"/>
      <c r="R351" s="33"/>
      <c r="S351" s="33"/>
    </row>
    <row r="352" customFormat="false" ht="16.5" hidden="false" customHeight="false" outlineLevel="0" collapsed="false">
      <c r="B352" s="47"/>
      <c r="C352" s="33" t="s">
        <v>361</v>
      </c>
      <c r="D352" s="33" t="n">
        <v>14136</v>
      </c>
      <c r="E352" s="15" t="s">
        <v>27</v>
      </c>
      <c r="F352" s="33"/>
      <c r="G352" s="29" t="n">
        <f aca="false">L352*K352/1000</f>
        <v>0</v>
      </c>
      <c r="H352" s="48"/>
      <c r="I352" s="33"/>
      <c r="K352" s="30"/>
      <c r="L352" s="31" t="n">
        <f aca="false">L351</f>
        <v>60</v>
      </c>
      <c r="M352" s="31" t="n">
        <f aca="false">M351</f>
        <v>137</v>
      </c>
      <c r="N352" s="0" t="n">
        <f aca="false">O352+P352+Q352+R352+S352</f>
        <v>0</v>
      </c>
      <c r="O352" s="32"/>
      <c r="P352" s="32"/>
      <c r="Q352" s="32"/>
      <c r="R352" s="33"/>
      <c r="S352" s="33"/>
    </row>
    <row r="353" customFormat="false" ht="16.5" hidden="false" customHeight="false" outlineLevel="0" collapsed="false">
      <c r="B353" s="47"/>
      <c r="C353" s="33" t="s">
        <v>362</v>
      </c>
      <c r="D353" s="33" t="n">
        <v>14137</v>
      </c>
      <c r="E353" s="15" t="s">
        <v>27</v>
      </c>
      <c r="F353" s="33"/>
      <c r="G353" s="29" t="n">
        <f aca="false">L353*K353/1000</f>
        <v>0</v>
      </c>
      <c r="H353" s="48"/>
      <c r="I353" s="33"/>
      <c r="K353" s="30"/>
      <c r="L353" s="31" t="n">
        <f aca="false">L352</f>
        <v>60</v>
      </c>
      <c r="M353" s="31" t="n">
        <f aca="false">M352</f>
        <v>137</v>
      </c>
      <c r="N353" s="0" t="n">
        <f aca="false">O353+P353+Q353+R353+S353</f>
        <v>0</v>
      </c>
      <c r="O353" s="32"/>
      <c r="P353" s="32"/>
      <c r="Q353" s="32"/>
      <c r="R353" s="33"/>
      <c r="S353" s="33"/>
    </row>
    <row r="354" customFormat="false" ht="16.5" hidden="false" customHeight="false" outlineLevel="0" collapsed="false">
      <c r="B354" s="47"/>
      <c r="C354" s="33" t="s">
        <v>363</v>
      </c>
      <c r="D354" s="33" t="n">
        <v>14138</v>
      </c>
      <c r="E354" s="15" t="s">
        <v>27</v>
      </c>
      <c r="F354" s="33"/>
      <c r="G354" s="29" t="n">
        <f aca="false">L354*K354/1000</f>
        <v>0</v>
      </c>
      <c r="H354" s="48"/>
      <c r="I354" s="33"/>
      <c r="K354" s="30"/>
      <c r="L354" s="31" t="n">
        <f aca="false">L353</f>
        <v>60</v>
      </c>
      <c r="M354" s="31" t="n">
        <f aca="false">M353</f>
        <v>137</v>
      </c>
      <c r="N354" s="0" t="n">
        <f aca="false">O354+P354+Q354+R354+S354</f>
        <v>0</v>
      </c>
      <c r="O354" s="32"/>
      <c r="P354" s="32"/>
      <c r="Q354" s="32"/>
      <c r="R354" s="33"/>
      <c r="S354" s="33"/>
    </row>
    <row r="355" customFormat="false" ht="16.5" hidden="false" customHeight="false" outlineLevel="0" collapsed="false">
      <c r="B355" s="47"/>
      <c r="C355" s="33" t="s">
        <v>364</v>
      </c>
      <c r="D355" s="33" t="n">
        <v>14139</v>
      </c>
      <c r="E355" s="15" t="s">
        <v>27</v>
      </c>
      <c r="F355" s="33"/>
      <c r="G355" s="29" t="n">
        <f aca="false">L355*K355/1000</f>
        <v>0</v>
      </c>
      <c r="H355" s="48"/>
      <c r="I355" s="33"/>
      <c r="K355" s="30"/>
      <c r="L355" s="31" t="n">
        <f aca="false">L354</f>
        <v>60</v>
      </c>
      <c r="M355" s="31" t="n">
        <f aca="false">M354</f>
        <v>137</v>
      </c>
      <c r="N355" s="0" t="n">
        <f aca="false">O355+P355+Q355+R355+S355</f>
        <v>0</v>
      </c>
      <c r="O355" s="32"/>
      <c r="P355" s="32"/>
      <c r="Q355" s="32"/>
      <c r="R355" s="33"/>
      <c r="S355" s="33"/>
    </row>
    <row r="356" customFormat="false" ht="16.5" hidden="false" customHeight="false" outlineLevel="0" collapsed="false">
      <c r="B356" s="47"/>
      <c r="C356" s="33" t="s">
        <v>365</v>
      </c>
      <c r="D356" s="33" t="n">
        <v>14141</v>
      </c>
      <c r="E356" s="15" t="s">
        <v>27</v>
      </c>
      <c r="F356" s="33"/>
      <c r="G356" s="29" t="n">
        <f aca="false">L356*K356/1000</f>
        <v>0</v>
      </c>
      <c r="H356" s="48"/>
      <c r="I356" s="33"/>
      <c r="K356" s="30"/>
      <c r="L356" s="31" t="n">
        <f aca="false">L355</f>
        <v>60</v>
      </c>
      <c r="M356" s="31" t="n">
        <f aca="false">M355</f>
        <v>137</v>
      </c>
      <c r="N356" s="0" t="n">
        <f aca="false">O356+P356+Q356+R356+S356</f>
        <v>0</v>
      </c>
      <c r="O356" s="32"/>
      <c r="P356" s="32"/>
      <c r="Q356" s="32"/>
      <c r="R356" s="33"/>
      <c r="S356" s="33"/>
    </row>
    <row r="357" customFormat="false" ht="16.5" hidden="false" customHeight="false" outlineLevel="0" collapsed="false">
      <c r="B357" s="47"/>
      <c r="C357" s="33" t="s">
        <v>366</v>
      </c>
      <c r="D357" s="33" t="n">
        <v>14142</v>
      </c>
      <c r="E357" s="15" t="s">
        <v>27</v>
      </c>
      <c r="F357" s="33"/>
      <c r="G357" s="29" t="n">
        <f aca="false">L357*K357/1000</f>
        <v>0</v>
      </c>
      <c r="H357" s="48"/>
      <c r="I357" s="33"/>
      <c r="K357" s="30"/>
      <c r="L357" s="31" t="n">
        <f aca="false">L356</f>
        <v>60</v>
      </c>
      <c r="M357" s="31" t="n">
        <f aca="false">M356</f>
        <v>137</v>
      </c>
      <c r="N357" s="0" t="n">
        <f aca="false">O357+P357+Q357+R357+S357</f>
        <v>0</v>
      </c>
      <c r="O357" s="32"/>
      <c r="P357" s="32"/>
      <c r="Q357" s="32"/>
      <c r="R357" s="33"/>
      <c r="S357" s="33"/>
    </row>
    <row r="358" customFormat="false" ht="16.5" hidden="false" customHeight="false" outlineLevel="0" collapsed="false">
      <c r="B358" s="47"/>
      <c r="C358" s="33" t="s">
        <v>367</v>
      </c>
      <c r="D358" s="33" t="n">
        <v>14143</v>
      </c>
      <c r="E358" s="15" t="s">
        <v>27</v>
      </c>
      <c r="F358" s="33"/>
      <c r="G358" s="29" t="n">
        <f aca="false">L358*K358/1000</f>
        <v>0</v>
      </c>
      <c r="H358" s="48"/>
      <c r="I358" s="33"/>
      <c r="K358" s="30"/>
      <c r="L358" s="31" t="n">
        <f aca="false">L357</f>
        <v>60</v>
      </c>
      <c r="M358" s="31" t="n">
        <f aca="false">M357</f>
        <v>137</v>
      </c>
      <c r="N358" s="0" t="n">
        <f aca="false">O358+P358+Q358+R358+S358</f>
        <v>0</v>
      </c>
      <c r="O358" s="32"/>
      <c r="P358" s="32"/>
      <c r="Q358" s="32"/>
      <c r="R358" s="33"/>
      <c r="S358" s="33"/>
    </row>
    <row r="359" customFormat="false" ht="16.5" hidden="false" customHeight="false" outlineLevel="0" collapsed="false">
      <c r="B359" s="47"/>
      <c r="C359" s="33" t="s">
        <v>368</v>
      </c>
      <c r="D359" s="33" t="n">
        <v>15001</v>
      </c>
      <c r="E359" s="15" t="s">
        <v>27</v>
      </c>
      <c r="F359" s="33"/>
      <c r="G359" s="29" t="n">
        <f aca="false">L359*K359/1000</f>
        <v>0</v>
      </c>
      <c r="H359" s="48"/>
      <c r="I359" s="33"/>
      <c r="K359" s="30"/>
      <c r="L359" s="31" t="n">
        <f aca="false">L358</f>
        <v>60</v>
      </c>
      <c r="M359" s="31" t="n">
        <f aca="false">M358</f>
        <v>137</v>
      </c>
      <c r="N359" s="0" t="n">
        <f aca="false">O359+P359+Q359+R359+S359</f>
        <v>0</v>
      </c>
      <c r="O359" s="32"/>
      <c r="P359" s="32"/>
      <c r="Q359" s="32"/>
      <c r="R359" s="33"/>
      <c r="S359" s="33"/>
    </row>
    <row r="360" customFormat="false" ht="16.5" hidden="false" customHeight="false" outlineLevel="0" collapsed="false">
      <c r="B360" s="47"/>
      <c r="C360" s="33" t="s">
        <v>369</v>
      </c>
      <c r="D360" s="33" t="n">
        <v>15003</v>
      </c>
      <c r="E360" s="15" t="s">
        <v>27</v>
      </c>
      <c r="F360" s="33"/>
      <c r="G360" s="29" t="n">
        <f aca="false">L360*K360/1000</f>
        <v>0</v>
      </c>
      <c r="H360" s="48"/>
      <c r="I360" s="33"/>
      <c r="K360" s="30"/>
      <c r="L360" s="31" t="n">
        <f aca="false">L359</f>
        <v>60</v>
      </c>
      <c r="M360" s="31" t="n">
        <f aca="false">M359</f>
        <v>137</v>
      </c>
      <c r="N360" s="0" t="n">
        <f aca="false">O360+P360+Q360+R360+S360</f>
        <v>0</v>
      </c>
      <c r="O360" s="32"/>
      <c r="P360" s="32"/>
      <c r="Q360" s="32"/>
      <c r="R360" s="33"/>
      <c r="S360" s="33"/>
    </row>
    <row r="361" customFormat="false" ht="16.5" hidden="false" customHeight="false" outlineLevel="0" collapsed="false">
      <c r="B361" s="47"/>
      <c r="C361" s="33" t="s">
        <v>370</v>
      </c>
      <c r="D361" s="33" t="n">
        <v>15004</v>
      </c>
      <c r="E361" s="15" t="s">
        <v>27</v>
      </c>
      <c r="F361" s="33"/>
      <c r="G361" s="29" t="n">
        <f aca="false">L361*K361/1000</f>
        <v>0</v>
      </c>
      <c r="H361" s="48"/>
      <c r="I361" s="33"/>
      <c r="K361" s="30"/>
      <c r="L361" s="31" t="n">
        <f aca="false">L360</f>
        <v>60</v>
      </c>
      <c r="M361" s="31" t="n">
        <f aca="false">M360</f>
        <v>137</v>
      </c>
      <c r="N361" s="0" t="n">
        <f aca="false">O361+P361+Q361+R361+S361</f>
        <v>0</v>
      </c>
      <c r="O361" s="32"/>
      <c r="P361" s="32"/>
      <c r="Q361" s="32"/>
      <c r="R361" s="33"/>
      <c r="S361" s="33"/>
    </row>
    <row r="362" customFormat="false" ht="16.5" hidden="false" customHeight="false" outlineLevel="0" collapsed="false">
      <c r="B362" s="47"/>
      <c r="C362" s="33" t="s">
        <v>371</v>
      </c>
      <c r="D362" s="33" t="n">
        <v>15005</v>
      </c>
      <c r="E362" s="15" t="s">
        <v>27</v>
      </c>
      <c r="F362" s="33"/>
      <c r="G362" s="29" t="n">
        <f aca="false">L362*K362/1000</f>
        <v>0</v>
      </c>
      <c r="H362" s="48"/>
      <c r="I362" s="33"/>
      <c r="K362" s="30"/>
      <c r="L362" s="31" t="n">
        <f aca="false">L361</f>
        <v>60</v>
      </c>
      <c r="M362" s="31" t="n">
        <f aca="false">M361</f>
        <v>137</v>
      </c>
      <c r="N362" s="0" t="n">
        <f aca="false">O362+P362+Q362+R362+S362</f>
        <v>0</v>
      </c>
      <c r="O362" s="32"/>
      <c r="P362" s="32"/>
      <c r="Q362" s="32"/>
      <c r="R362" s="33"/>
      <c r="S362" s="33"/>
    </row>
    <row r="363" customFormat="false" ht="16.5" hidden="false" customHeight="false" outlineLevel="0" collapsed="false">
      <c r="B363" s="47"/>
      <c r="C363" s="33" t="s">
        <v>372</v>
      </c>
      <c r="D363" s="33" t="n">
        <v>15006</v>
      </c>
      <c r="E363" s="15" t="s">
        <v>27</v>
      </c>
      <c r="F363" s="33"/>
      <c r="G363" s="29" t="n">
        <f aca="false">L363*K363/1000</f>
        <v>0</v>
      </c>
      <c r="H363" s="48"/>
      <c r="I363" s="33"/>
      <c r="K363" s="30"/>
      <c r="L363" s="31" t="n">
        <f aca="false">L362</f>
        <v>60</v>
      </c>
      <c r="M363" s="31" t="n">
        <f aca="false">M362</f>
        <v>137</v>
      </c>
      <c r="N363" s="0" t="n">
        <f aca="false">O363+P363+Q363+R363+S363</f>
        <v>0</v>
      </c>
      <c r="O363" s="32"/>
      <c r="P363" s="32"/>
      <c r="Q363" s="32"/>
      <c r="R363" s="33"/>
      <c r="S363" s="33"/>
    </row>
    <row r="364" customFormat="false" ht="16.5" hidden="false" customHeight="false" outlineLevel="0" collapsed="false">
      <c r="B364" s="47"/>
      <c r="C364" s="33" t="s">
        <v>373</v>
      </c>
      <c r="D364" s="33" t="n">
        <v>15007</v>
      </c>
      <c r="E364" s="15" t="s">
        <v>27</v>
      </c>
      <c r="F364" s="33"/>
      <c r="G364" s="29" t="n">
        <f aca="false">L364*K364/1000</f>
        <v>0</v>
      </c>
      <c r="H364" s="48"/>
      <c r="I364" s="33"/>
      <c r="K364" s="30"/>
      <c r="L364" s="31" t="n">
        <f aca="false">L363</f>
        <v>60</v>
      </c>
      <c r="M364" s="31" t="n">
        <f aca="false">M363</f>
        <v>137</v>
      </c>
      <c r="N364" s="0" t="n">
        <f aca="false">O364+P364+Q364+R364+S364</f>
        <v>0</v>
      </c>
      <c r="O364" s="32"/>
      <c r="P364" s="32"/>
      <c r="Q364" s="32"/>
      <c r="R364" s="33"/>
      <c r="S364" s="33"/>
    </row>
    <row r="365" customFormat="false" ht="16.5" hidden="false" customHeight="false" outlineLevel="0" collapsed="false">
      <c r="B365" s="47"/>
      <c r="C365" s="33" t="s">
        <v>374</v>
      </c>
      <c r="D365" s="33" t="n">
        <v>15008</v>
      </c>
      <c r="E365" s="15" t="s">
        <v>27</v>
      </c>
      <c r="F365" s="33"/>
      <c r="G365" s="29" t="n">
        <f aca="false">L365*K365/1000</f>
        <v>0</v>
      </c>
      <c r="H365" s="48"/>
      <c r="I365" s="33"/>
      <c r="K365" s="30"/>
      <c r="L365" s="31" t="n">
        <f aca="false">L364</f>
        <v>60</v>
      </c>
      <c r="M365" s="31" t="n">
        <f aca="false">M364</f>
        <v>137</v>
      </c>
      <c r="N365" s="0" t="n">
        <f aca="false">O365+P365+Q365+R365+S365</f>
        <v>0</v>
      </c>
      <c r="O365" s="32"/>
      <c r="P365" s="32"/>
      <c r="Q365" s="32"/>
      <c r="R365" s="33"/>
      <c r="S365" s="33"/>
    </row>
    <row r="366" customFormat="false" ht="16.5" hidden="false" customHeight="false" outlineLevel="0" collapsed="false">
      <c r="B366" s="47"/>
      <c r="C366" s="33" t="s">
        <v>375</v>
      </c>
      <c r="D366" s="33" t="n">
        <v>15009</v>
      </c>
      <c r="E366" s="15" t="s">
        <v>27</v>
      </c>
      <c r="F366" s="33"/>
      <c r="G366" s="29" t="n">
        <f aca="false">L366*K366/1000</f>
        <v>0</v>
      </c>
      <c r="H366" s="48"/>
      <c r="I366" s="33"/>
      <c r="K366" s="30"/>
      <c r="L366" s="31" t="n">
        <f aca="false">L365</f>
        <v>60</v>
      </c>
      <c r="M366" s="31" t="n">
        <f aca="false">M365</f>
        <v>137</v>
      </c>
      <c r="N366" s="0" t="n">
        <f aca="false">O366+P366+Q366+R366+S366</f>
        <v>0</v>
      </c>
      <c r="O366" s="32"/>
      <c r="P366" s="32"/>
      <c r="Q366" s="32"/>
      <c r="R366" s="33"/>
      <c r="S366" s="33"/>
    </row>
    <row r="367" customFormat="false" ht="16.5" hidden="false" customHeight="false" outlineLevel="0" collapsed="false">
      <c r="B367" s="47"/>
      <c r="C367" s="33" t="s">
        <v>376</v>
      </c>
      <c r="D367" s="33" t="n">
        <v>15010</v>
      </c>
      <c r="E367" s="15" t="s">
        <v>27</v>
      </c>
      <c r="F367" s="33"/>
      <c r="G367" s="29" t="n">
        <f aca="false">L367*K367/1000</f>
        <v>0</v>
      </c>
      <c r="H367" s="48"/>
      <c r="I367" s="33"/>
      <c r="K367" s="30"/>
      <c r="L367" s="31" t="n">
        <f aca="false">L366</f>
        <v>60</v>
      </c>
      <c r="M367" s="31" t="n">
        <f aca="false">M366</f>
        <v>137</v>
      </c>
      <c r="N367" s="0" t="n">
        <f aca="false">O367+P367+Q367+R367+S367</f>
        <v>0</v>
      </c>
      <c r="O367" s="32"/>
      <c r="P367" s="32"/>
      <c r="Q367" s="32"/>
      <c r="R367" s="33"/>
      <c r="S367" s="33"/>
    </row>
    <row r="368" customFormat="false" ht="16.5" hidden="false" customHeight="false" outlineLevel="0" collapsed="false">
      <c r="B368" s="47"/>
      <c r="C368" s="33" t="s">
        <v>377</v>
      </c>
      <c r="D368" s="33" t="n">
        <v>15011</v>
      </c>
      <c r="E368" s="15" t="s">
        <v>27</v>
      </c>
      <c r="F368" s="33"/>
      <c r="G368" s="29" t="n">
        <f aca="false">L368*K368/1000</f>
        <v>0</v>
      </c>
      <c r="H368" s="48"/>
      <c r="I368" s="33"/>
      <c r="K368" s="30"/>
      <c r="L368" s="31" t="n">
        <f aca="false">L367</f>
        <v>60</v>
      </c>
      <c r="M368" s="31" t="n">
        <f aca="false">M367</f>
        <v>137</v>
      </c>
      <c r="N368" s="0" t="n">
        <f aca="false">O368+P368+Q368+R368+S368</f>
        <v>0</v>
      </c>
      <c r="O368" s="32"/>
      <c r="P368" s="32"/>
      <c r="Q368" s="32"/>
      <c r="R368" s="33"/>
      <c r="S368" s="33"/>
    </row>
    <row r="369" customFormat="false" ht="16.5" hidden="false" customHeight="false" outlineLevel="0" collapsed="false">
      <c r="B369" s="47"/>
      <c r="C369" s="33" t="s">
        <v>378</v>
      </c>
      <c r="D369" s="33" t="n">
        <v>15012</v>
      </c>
      <c r="E369" s="15" t="s">
        <v>27</v>
      </c>
      <c r="F369" s="33"/>
      <c r="G369" s="29" t="n">
        <f aca="false">L369*K369/1000</f>
        <v>0</v>
      </c>
      <c r="H369" s="48"/>
      <c r="I369" s="33"/>
      <c r="K369" s="30"/>
      <c r="L369" s="31" t="n">
        <f aca="false">L368</f>
        <v>60</v>
      </c>
      <c r="M369" s="31" t="n">
        <f aca="false">M368</f>
        <v>137</v>
      </c>
      <c r="N369" s="0" t="n">
        <f aca="false">O369+P369+Q369+R369+S369</f>
        <v>0</v>
      </c>
      <c r="O369" s="32"/>
      <c r="P369" s="32"/>
      <c r="Q369" s="32"/>
      <c r="R369" s="33"/>
      <c r="S369" s="33"/>
    </row>
    <row r="370" customFormat="false" ht="16.5" hidden="false" customHeight="false" outlineLevel="0" collapsed="false">
      <c r="B370" s="47"/>
      <c r="C370" s="33" t="s">
        <v>379</v>
      </c>
      <c r="D370" s="33" t="n">
        <v>15013</v>
      </c>
      <c r="E370" s="15" t="s">
        <v>27</v>
      </c>
      <c r="F370" s="33"/>
      <c r="G370" s="29" t="n">
        <f aca="false">L370*K370/1000</f>
        <v>0</v>
      </c>
      <c r="H370" s="48"/>
      <c r="I370" s="33"/>
      <c r="K370" s="30"/>
      <c r="L370" s="31" t="n">
        <f aca="false">L369</f>
        <v>60</v>
      </c>
      <c r="M370" s="31" t="n">
        <f aca="false">M369</f>
        <v>137</v>
      </c>
      <c r="N370" s="0" t="n">
        <f aca="false">O370+P370+Q370+R370+S370</f>
        <v>0</v>
      </c>
      <c r="O370" s="32"/>
      <c r="P370" s="32"/>
      <c r="Q370" s="32"/>
      <c r="R370" s="33"/>
      <c r="S370" s="33"/>
    </row>
    <row r="371" customFormat="false" ht="16.5" hidden="false" customHeight="false" outlineLevel="0" collapsed="false">
      <c r="B371" s="47"/>
      <c r="C371" s="33" t="s">
        <v>380</v>
      </c>
      <c r="D371" s="33" t="n">
        <v>15014</v>
      </c>
      <c r="E371" s="15" t="s">
        <v>27</v>
      </c>
      <c r="F371" s="33"/>
      <c r="G371" s="29" t="n">
        <f aca="false">L371*K371/1000</f>
        <v>0</v>
      </c>
      <c r="H371" s="48"/>
      <c r="I371" s="33"/>
      <c r="K371" s="30"/>
      <c r="L371" s="31" t="n">
        <f aca="false">L370</f>
        <v>60</v>
      </c>
      <c r="M371" s="31" t="n">
        <f aca="false">M370</f>
        <v>137</v>
      </c>
      <c r="N371" s="0" t="n">
        <f aca="false">O371+P371+Q371+R371+S371</f>
        <v>0</v>
      </c>
      <c r="O371" s="32"/>
      <c r="P371" s="32"/>
      <c r="Q371" s="32"/>
      <c r="R371" s="33"/>
      <c r="S371" s="33"/>
    </row>
    <row r="372" customFormat="false" ht="16.5" hidden="false" customHeight="false" outlineLevel="0" collapsed="false">
      <c r="B372" s="47"/>
      <c r="C372" s="33" t="s">
        <v>381</v>
      </c>
      <c r="D372" s="33" t="n">
        <v>15015</v>
      </c>
      <c r="E372" s="15" t="s">
        <v>27</v>
      </c>
      <c r="F372" s="33"/>
      <c r="G372" s="29" t="n">
        <f aca="false">L372*K372/1000</f>
        <v>0</v>
      </c>
      <c r="H372" s="48"/>
      <c r="I372" s="33"/>
      <c r="K372" s="30"/>
      <c r="L372" s="31" t="n">
        <f aca="false">L371</f>
        <v>60</v>
      </c>
      <c r="M372" s="31" t="n">
        <f aca="false">M371</f>
        <v>137</v>
      </c>
      <c r="N372" s="0" t="n">
        <f aca="false">O372+P372+Q372+R372+S372</f>
        <v>0</v>
      </c>
      <c r="O372" s="32"/>
      <c r="P372" s="32"/>
      <c r="Q372" s="32"/>
      <c r="R372" s="33"/>
      <c r="S372" s="33"/>
    </row>
    <row r="373" customFormat="false" ht="16.5" hidden="false" customHeight="false" outlineLevel="0" collapsed="false">
      <c r="B373" s="47"/>
      <c r="C373" s="33" t="s">
        <v>382</v>
      </c>
      <c r="D373" s="33" t="n">
        <v>15017</v>
      </c>
      <c r="E373" s="15" t="s">
        <v>27</v>
      </c>
      <c r="F373" s="33"/>
      <c r="G373" s="29" t="n">
        <f aca="false">L373*K373/1000</f>
        <v>0</v>
      </c>
      <c r="H373" s="48"/>
      <c r="I373" s="33"/>
      <c r="K373" s="30"/>
      <c r="L373" s="31" t="n">
        <f aca="false">L372</f>
        <v>60</v>
      </c>
      <c r="M373" s="31" t="n">
        <f aca="false">M372</f>
        <v>137</v>
      </c>
      <c r="N373" s="0" t="n">
        <f aca="false">O373+P373+Q373+R373+S373</f>
        <v>0</v>
      </c>
      <c r="O373" s="32"/>
      <c r="P373" s="32"/>
      <c r="Q373" s="32"/>
      <c r="R373" s="33"/>
      <c r="S373" s="33"/>
    </row>
    <row r="374" customFormat="false" ht="16.5" hidden="false" customHeight="false" outlineLevel="0" collapsed="false">
      <c r="B374" s="47"/>
      <c r="C374" s="33" t="s">
        <v>383</v>
      </c>
      <c r="D374" s="33" t="n">
        <v>15018</v>
      </c>
      <c r="E374" s="15" t="s">
        <v>27</v>
      </c>
      <c r="F374" s="33"/>
      <c r="G374" s="29" t="n">
        <f aca="false">L374*K374/1000</f>
        <v>0</v>
      </c>
      <c r="H374" s="48"/>
      <c r="I374" s="33"/>
      <c r="K374" s="30"/>
      <c r="L374" s="31" t="n">
        <f aca="false">L373</f>
        <v>60</v>
      </c>
      <c r="M374" s="31" t="n">
        <f aca="false">M373</f>
        <v>137</v>
      </c>
      <c r="N374" s="0" t="n">
        <f aca="false">O374+P374+Q374+R374+S374</f>
        <v>0</v>
      </c>
      <c r="O374" s="32"/>
      <c r="P374" s="32"/>
      <c r="Q374" s="32"/>
      <c r="R374" s="33"/>
      <c r="S374" s="33"/>
    </row>
    <row r="375" customFormat="false" ht="16.5" hidden="false" customHeight="false" outlineLevel="0" collapsed="false">
      <c r="B375" s="47"/>
      <c r="C375" s="33" t="s">
        <v>384</v>
      </c>
      <c r="D375" s="33" t="n">
        <v>15020</v>
      </c>
      <c r="E375" s="15" t="s">
        <v>27</v>
      </c>
      <c r="F375" s="33"/>
      <c r="G375" s="29" t="n">
        <f aca="false">L375*K375/1000</f>
        <v>0</v>
      </c>
      <c r="H375" s="48"/>
      <c r="I375" s="33"/>
      <c r="K375" s="30"/>
      <c r="L375" s="31" t="n">
        <f aca="false">L374</f>
        <v>60</v>
      </c>
      <c r="M375" s="31" t="n">
        <f aca="false">M374</f>
        <v>137</v>
      </c>
      <c r="N375" s="0" t="n">
        <f aca="false">O375+P375+Q375+R375+S375</f>
        <v>0</v>
      </c>
      <c r="O375" s="32"/>
      <c r="P375" s="32"/>
      <c r="Q375" s="32"/>
      <c r="R375" s="33"/>
      <c r="S375" s="33"/>
    </row>
    <row r="376" customFormat="false" ht="16.5" hidden="false" customHeight="false" outlineLevel="0" collapsed="false">
      <c r="B376" s="47"/>
      <c r="C376" s="33" t="s">
        <v>385</v>
      </c>
      <c r="D376" s="33" t="n">
        <v>15021</v>
      </c>
      <c r="E376" s="15" t="s">
        <v>27</v>
      </c>
      <c r="F376" s="33"/>
      <c r="G376" s="29" t="n">
        <f aca="false">L376*K376/1000</f>
        <v>0</v>
      </c>
      <c r="H376" s="48"/>
      <c r="I376" s="33"/>
      <c r="K376" s="30"/>
      <c r="L376" s="31" t="n">
        <f aca="false">L375</f>
        <v>60</v>
      </c>
      <c r="M376" s="31" t="n">
        <f aca="false">M375</f>
        <v>137</v>
      </c>
      <c r="N376" s="0" t="n">
        <f aca="false">O376+P376+Q376+R376+S376</f>
        <v>0</v>
      </c>
      <c r="O376" s="32"/>
      <c r="P376" s="32"/>
      <c r="Q376" s="32"/>
      <c r="R376" s="33"/>
      <c r="S376" s="33"/>
    </row>
    <row r="377" customFormat="false" ht="16.5" hidden="false" customHeight="false" outlineLevel="0" collapsed="false">
      <c r="B377" s="47"/>
      <c r="C377" s="33" t="s">
        <v>386</v>
      </c>
      <c r="D377" s="33" t="n">
        <v>15022</v>
      </c>
      <c r="E377" s="15" t="s">
        <v>27</v>
      </c>
      <c r="F377" s="33"/>
      <c r="G377" s="29" t="n">
        <f aca="false">L377*K377/1000</f>
        <v>0</v>
      </c>
      <c r="H377" s="48"/>
      <c r="I377" s="33"/>
      <c r="K377" s="30"/>
      <c r="L377" s="31" t="n">
        <f aca="false">L376</f>
        <v>60</v>
      </c>
      <c r="M377" s="31" t="n">
        <f aca="false">M376</f>
        <v>137</v>
      </c>
      <c r="N377" s="0" t="n">
        <f aca="false">O377+P377+Q377+R377+S377</f>
        <v>0</v>
      </c>
      <c r="O377" s="32"/>
      <c r="P377" s="32"/>
      <c r="Q377" s="32"/>
      <c r="R377" s="33"/>
      <c r="S377" s="33"/>
    </row>
    <row r="378" customFormat="false" ht="16.5" hidden="false" customHeight="false" outlineLevel="0" collapsed="false">
      <c r="B378" s="47"/>
      <c r="C378" s="33" t="s">
        <v>387</v>
      </c>
      <c r="D378" s="33" t="n">
        <v>15023</v>
      </c>
      <c r="E378" s="15" t="s">
        <v>27</v>
      </c>
      <c r="F378" s="33"/>
      <c r="G378" s="29" t="n">
        <f aca="false">L378*K378/1000</f>
        <v>0</v>
      </c>
      <c r="H378" s="48"/>
      <c r="I378" s="33"/>
      <c r="K378" s="30"/>
      <c r="L378" s="31" t="n">
        <f aca="false">L377</f>
        <v>60</v>
      </c>
      <c r="M378" s="31" t="n">
        <f aca="false">M377</f>
        <v>137</v>
      </c>
      <c r="N378" s="0" t="n">
        <f aca="false">O378+P378+Q378+R378+S378</f>
        <v>0</v>
      </c>
      <c r="O378" s="32"/>
      <c r="P378" s="32"/>
      <c r="Q378" s="32"/>
      <c r="R378" s="33"/>
      <c r="S378" s="33"/>
    </row>
    <row r="379" customFormat="false" ht="16.5" hidden="false" customHeight="false" outlineLevel="0" collapsed="false">
      <c r="B379" s="47"/>
      <c r="C379" s="51" t="s">
        <v>388</v>
      </c>
      <c r="D379" s="33"/>
      <c r="E379" s="33"/>
      <c r="F379" s="33"/>
      <c r="G379" s="52" t="n">
        <f aca="false">SUM(G19:G378)</f>
        <v>0</v>
      </c>
      <c r="H379" s="48"/>
      <c r="I379" s="33"/>
      <c r="N379" s="0" t="n">
        <f aca="false">O379+P379+Q379+R379+S379</f>
        <v>0</v>
      </c>
    </row>
  </sheetData>
  <mergeCells count="15">
    <mergeCell ref="B6:I6"/>
    <mergeCell ref="B8:I8"/>
    <mergeCell ref="B9:I9"/>
    <mergeCell ref="D11:E11"/>
    <mergeCell ref="F11:G11"/>
    <mergeCell ref="H11:I11"/>
    <mergeCell ref="D12:E12"/>
    <mergeCell ref="F12:G12"/>
    <mergeCell ref="H12:I12"/>
    <mergeCell ref="D14:E14"/>
    <mergeCell ref="F14:G14"/>
    <mergeCell ref="H14:I14"/>
    <mergeCell ref="D15:E15"/>
    <mergeCell ref="F15:G15"/>
    <mergeCell ref="H15:I15"/>
  </mergeCells>
  <conditionalFormatting sqref="B19:U379">
    <cfRule type="expression" priority="2" aboveAverage="0" equalAverage="0" bottom="0" percent="0" rank="0" text="" dxfId="2">
      <formula>ROW(B19)=CELL("строка")</formula>
    </cfRule>
  </conditionalFormatting>
  <printOptions headings="false" gridLines="false" gridLinesSet="true" horizontalCentered="false" verticalCentered="false"/>
  <pageMargins left="0.708333333333333" right="0.511805555555556" top="0.354166666666667" bottom="0.354166666666667" header="0.511811023622047" footer="0.511811023622047"/>
  <pageSetup paperSize="9" scale="100" fitToWidth="1" fitToHeight="2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O379"/>
  <sheetViews>
    <sheetView showFormulas="false" showGridLines="true" showRowColHeaders="true" showZeros="true" rightToLeft="false" tabSelected="false" showOutlineSymbols="true" defaultGridColor="true" view="normal" topLeftCell="C16" colorId="64" zoomScale="110" zoomScaleNormal="110" zoomScalePageLayoutView="100" workbookViewId="0">
      <selection pane="topLeft" activeCell="O18" activeCellId="0" sqref="O18"/>
    </sheetView>
  </sheetViews>
  <sheetFormatPr defaultColWidth="9" defaultRowHeight="16.5" zeroHeight="false" outlineLevelRow="0" outlineLevelCol="0"/>
  <cols>
    <col collapsed="false" customWidth="true" hidden="false" outlineLevel="0" max="1" min="1" style="0" width="4.57"/>
    <col collapsed="false" customWidth="true" hidden="false" outlineLevel="0" max="2" min="2" style="1" width="9.14"/>
    <col collapsed="false" customWidth="true" hidden="false" outlineLevel="0" max="3" min="3" style="0" width="39.43"/>
    <col collapsed="false" customWidth="true" hidden="false" outlineLevel="0" max="4" min="4" style="0" width="9.71"/>
    <col collapsed="false" customWidth="true" hidden="false" outlineLevel="0" max="5" min="5" style="0" width="9.85"/>
    <col collapsed="false" customWidth="true" hidden="false" outlineLevel="0" max="6" min="6" style="0" width="7.57"/>
    <col collapsed="false" customWidth="true" hidden="false" outlineLevel="0" max="7" min="7" style="0" width="11.14"/>
    <col collapsed="false" customWidth="true" hidden="false" outlineLevel="0" max="8" min="8" style="2" width="10.71"/>
    <col collapsed="false" customWidth="true" hidden="false" outlineLevel="0" max="9" min="9" style="0" width="12.43"/>
    <col collapsed="false" customWidth="true" hidden="false" outlineLevel="0" max="10" min="10" style="0" width="5.85"/>
    <col collapsed="false" customWidth="true" hidden="false" outlineLevel="0" max="11" min="11" style="53" width="12"/>
  </cols>
  <sheetData>
    <row r="1" customFormat="false" ht="14.25" hidden="false" customHeight="true" outlineLevel="0" collapsed="false">
      <c r="B1" s="4"/>
      <c r="C1" s="5"/>
      <c r="D1" s="5"/>
      <c r="E1" s="5"/>
      <c r="F1" s="6" t="s">
        <v>0</v>
      </c>
      <c r="G1" s="6"/>
      <c r="H1" s="6"/>
      <c r="I1" s="6"/>
    </row>
    <row r="2" customFormat="false" ht="14.25" hidden="false" customHeight="true" outlineLevel="0" collapsed="false">
      <c r="B2" s="4"/>
      <c r="C2" s="5"/>
      <c r="D2" s="5"/>
      <c r="E2" s="5"/>
      <c r="F2" s="7" t="s">
        <v>1</v>
      </c>
      <c r="G2" s="7"/>
      <c r="H2" s="7"/>
      <c r="I2" s="7"/>
    </row>
    <row r="3" customFormat="false" ht="14.25" hidden="false" customHeight="true" outlineLevel="0" collapsed="false">
      <c r="B3" s="4"/>
      <c r="C3" s="5"/>
      <c r="D3" s="5"/>
      <c r="E3" s="5"/>
      <c r="F3" s="7" t="s">
        <v>2</v>
      </c>
      <c r="G3" s="7"/>
      <c r="H3" s="7"/>
      <c r="I3" s="7"/>
    </row>
    <row r="4" customFormat="false" ht="3" hidden="false" customHeight="true" outlineLevel="0" collapsed="false">
      <c r="B4" s="4"/>
      <c r="C4" s="5"/>
      <c r="D4" s="5"/>
      <c r="E4" s="5"/>
      <c r="F4" s="5"/>
      <c r="G4" s="5"/>
      <c r="H4" s="8"/>
      <c r="I4" s="5"/>
    </row>
    <row r="5" customFormat="false" ht="14.25" hidden="true" customHeight="true" outlineLevel="0" collapsed="false">
      <c r="B5" s="4"/>
      <c r="C5" s="5"/>
      <c r="D5" s="5"/>
      <c r="E5" s="5"/>
      <c r="F5" s="5"/>
      <c r="G5" s="5"/>
      <c r="H5" s="8"/>
      <c r="I5" s="5"/>
    </row>
    <row r="6" customFormat="false" ht="14.25" hidden="false" customHeight="true" outlineLevel="0" collapsed="false">
      <c r="B6" s="9" t="s">
        <v>3</v>
      </c>
      <c r="C6" s="9"/>
      <c r="D6" s="9"/>
      <c r="E6" s="9"/>
      <c r="F6" s="9"/>
      <c r="G6" s="9"/>
      <c r="H6" s="9"/>
      <c r="I6" s="9"/>
    </row>
    <row r="7" customFormat="false" ht="14.25" hidden="false" customHeight="true" outlineLevel="0" collapsed="false">
      <c r="B7" s="4"/>
      <c r="C7" s="5"/>
      <c r="D7" s="5"/>
      <c r="E7" s="5"/>
      <c r="F7" s="5"/>
      <c r="G7" s="5"/>
      <c r="H7" s="8"/>
      <c r="I7" s="5"/>
    </row>
    <row r="8" customFormat="false" ht="14.25" hidden="false" customHeight="true" outlineLevel="0" collapsed="false">
      <c r="B8" s="10" t="s">
        <v>4</v>
      </c>
      <c r="C8" s="10"/>
      <c r="D8" s="10"/>
      <c r="E8" s="10"/>
      <c r="F8" s="10"/>
      <c r="G8" s="10"/>
      <c r="H8" s="10"/>
      <c r="I8" s="10"/>
    </row>
    <row r="9" customFormat="false" ht="14.25" hidden="false" customHeight="true" outlineLevel="0" collapsed="false">
      <c r="B9" s="11"/>
      <c r="C9" s="11"/>
      <c r="D9" s="11"/>
      <c r="E9" s="11"/>
      <c r="F9" s="11"/>
      <c r="G9" s="11"/>
      <c r="H9" s="11"/>
      <c r="I9" s="11"/>
    </row>
    <row r="10" customFormat="false" ht="8.25" hidden="false" customHeight="true" outlineLevel="0" collapsed="false">
      <c r="B10" s="4"/>
      <c r="C10" s="5"/>
      <c r="D10" s="5"/>
      <c r="E10" s="5"/>
      <c r="F10" s="5"/>
      <c r="G10" s="5"/>
      <c r="H10" s="8"/>
      <c r="I10" s="5"/>
    </row>
    <row r="11" customFormat="false" ht="43.5" hidden="false" customHeight="true" outlineLevel="0" collapsed="false">
      <c r="B11" s="12" t="s">
        <v>5</v>
      </c>
      <c r="C11" s="13" t="s">
        <v>6</v>
      </c>
      <c r="D11" s="13" t="s">
        <v>7</v>
      </c>
      <c r="E11" s="13"/>
      <c r="F11" s="13" t="s">
        <v>8</v>
      </c>
      <c r="G11" s="13"/>
      <c r="H11" s="14" t="s">
        <v>9</v>
      </c>
      <c r="I11" s="14"/>
    </row>
    <row r="12" customFormat="false" ht="14.25" hidden="false" customHeight="true" outlineLevel="0" collapsed="false">
      <c r="B12" s="15"/>
      <c r="C12" s="16"/>
      <c r="D12" s="15"/>
      <c r="E12" s="15"/>
      <c r="F12" s="15"/>
      <c r="G12" s="15"/>
      <c r="H12" s="17"/>
      <c r="I12" s="17"/>
    </row>
    <row r="13" customFormat="false" ht="14.25" hidden="false" customHeight="true" outlineLevel="0" collapsed="false">
      <c r="B13" s="4"/>
      <c r="C13" s="5"/>
      <c r="D13" s="5"/>
      <c r="E13" s="5"/>
      <c r="F13" s="5"/>
      <c r="G13" s="5"/>
      <c r="H13" s="8"/>
      <c r="I13" s="5"/>
    </row>
    <row r="14" customFormat="false" ht="30.75" hidden="false" customHeight="true" outlineLevel="0" collapsed="false">
      <c r="B14" s="18" t="s">
        <v>10</v>
      </c>
      <c r="C14" s="12" t="s">
        <v>11</v>
      </c>
      <c r="D14" s="12" t="s">
        <v>389</v>
      </c>
      <c r="E14" s="12"/>
      <c r="F14" s="12" t="s">
        <v>13</v>
      </c>
      <c r="G14" s="12"/>
      <c r="H14" s="14" t="s">
        <v>14</v>
      </c>
      <c r="I14" s="14"/>
    </row>
    <row r="15" customFormat="false" ht="42" hidden="false" customHeight="true" outlineLevel="0" collapsed="false">
      <c r="B15" s="12" t="s">
        <v>390</v>
      </c>
      <c r="C15" s="12" t="s">
        <v>15</v>
      </c>
      <c r="D15" s="12" t="s">
        <v>391</v>
      </c>
      <c r="E15" s="12"/>
      <c r="F15" s="12"/>
      <c r="G15" s="12"/>
      <c r="H15" s="12" t="s">
        <v>392</v>
      </c>
      <c r="I15" s="12"/>
    </row>
    <row r="16" customFormat="false" ht="10.5" hidden="false" customHeight="true" outlineLevel="0" collapsed="false">
      <c r="A16" s="0" t="s">
        <v>18</v>
      </c>
      <c r="B16" s="4"/>
      <c r="C16" s="4"/>
      <c r="D16" s="4"/>
      <c r="E16" s="4"/>
      <c r="F16" s="4"/>
      <c r="G16" s="4"/>
      <c r="H16" s="21"/>
      <c r="I16" s="4"/>
    </row>
    <row r="17" customFormat="false" ht="78.75" hidden="false" customHeight="true" outlineLevel="0" collapsed="false">
      <c r="B17" s="12" t="s">
        <v>19</v>
      </c>
      <c r="C17" s="12" t="s">
        <v>20</v>
      </c>
      <c r="D17" s="22" t="s">
        <v>12</v>
      </c>
      <c r="E17" s="22" t="s">
        <v>21</v>
      </c>
      <c r="F17" s="22" t="s">
        <v>22</v>
      </c>
      <c r="G17" s="22" t="s">
        <v>23</v>
      </c>
      <c r="H17" s="23" t="s">
        <v>24</v>
      </c>
      <c r="I17" s="22" t="s">
        <v>25</v>
      </c>
    </row>
    <row r="18" customFormat="false" ht="14.25" hidden="false" customHeight="true" outlineLevel="0" collapsed="false">
      <c r="B18" s="24" t="n">
        <v>1</v>
      </c>
      <c r="C18" s="24" t="n">
        <v>2</v>
      </c>
      <c r="D18" s="24" t="n">
        <v>3</v>
      </c>
      <c r="E18" s="24" t="n">
        <v>4</v>
      </c>
      <c r="F18" s="24" t="n">
        <v>5</v>
      </c>
      <c r="G18" s="24" t="n">
        <v>6</v>
      </c>
      <c r="H18" s="25" t="n">
        <v>7</v>
      </c>
      <c r="I18" s="24" t="n">
        <v>8</v>
      </c>
      <c r="K18" s="37"/>
      <c r="L18" s="26"/>
      <c r="O18" s="0" t="n">
        <v>1</v>
      </c>
    </row>
    <row r="19" customFormat="false" ht="17.25" hidden="false" customHeight="true" outlineLevel="0" collapsed="false">
      <c r="B19" s="15"/>
      <c r="C19" s="54" t="str">
        <f aca="false">Хмільник!C19</f>
        <v>Баклажани свіжі</v>
      </c>
      <c r="D19" s="15" t="n">
        <f aca="false">Хмільник!D19</f>
        <v>11001</v>
      </c>
      <c r="E19" s="15" t="s">
        <v>27</v>
      </c>
      <c r="F19" s="15"/>
      <c r="G19" s="29" t="n">
        <f aca="false">L19*K19/1000</f>
        <v>0</v>
      </c>
      <c r="H19" s="17"/>
      <c r="I19" s="17"/>
      <c r="K19" s="55" t="n">
        <f aca="false">Хмільник!K19</f>
        <v>0</v>
      </c>
      <c r="L19" s="26" t="n">
        <v>38</v>
      </c>
      <c r="O19" s="0" t="n">
        <v>2</v>
      </c>
    </row>
    <row r="20" customFormat="false" ht="14.25" hidden="false" customHeight="true" outlineLevel="0" collapsed="false">
      <c r="B20" s="15"/>
      <c r="C20" s="54" t="str">
        <f aca="false">Хмільник!C20</f>
        <v>Баклажани свіжі сезонні</v>
      </c>
      <c r="D20" s="15" t="n">
        <f aca="false">Хмільник!D20</f>
        <v>11002</v>
      </c>
      <c r="E20" s="15" t="s">
        <v>27</v>
      </c>
      <c r="F20" s="15"/>
      <c r="G20" s="29" t="n">
        <f aca="false">L20*K20/1000</f>
        <v>0</v>
      </c>
      <c r="H20" s="17"/>
      <c r="I20" s="17"/>
      <c r="K20" s="55" t="n">
        <f aca="false">Хмільник!K20</f>
        <v>0</v>
      </c>
      <c r="L20" s="26" t="n">
        <f aca="false">L19</f>
        <v>38</v>
      </c>
      <c r="O20" s="0" t="n">
        <v>3</v>
      </c>
    </row>
    <row r="21" customFormat="false" ht="12.75" hidden="false" customHeight="true" outlineLevel="0" collapsed="false">
      <c r="B21" s="15"/>
      <c r="C21" s="54" t="str">
        <f aca="false">Хмільник!C21</f>
        <v>Буряк столовий свіжий</v>
      </c>
      <c r="D21" s="15" t="n">
        <f aca="false">Хмільник!D21</f>
        <v>11004</v>
      </c>
      <c r="E21" s="15" t="s">
        <v>27</v>
      </c>
      <c r="F21" s="15"/>
      <c r="G21" s="29" t="n">
        <f aca="false">L21*K21/1000</f>
        <v>0</v>
      </c>
      <c r="H21" s="17"/>
      <c r="I21" s="17"/>
      <c r="K21" s="55" t="n">
        <f aca="false">Хмільник!K21</f>
        <v>0</v>
      </c>
      <c r="L21" s="26" t="n">
        <f aca="false">L20</f>
        <v>38</v>
      </c>
      <c r="O21" s="0" t="n">
        <v>4</v>
      </c>
    </row>
    <row r="22" customFormat="false" ht="14.25" hidden="false" customHeight="true" outlineLevel="0" collapsed="false">
      <c r="B22" s="15"/>
      <c r="C22" s="54" t="str">
        <f aca="false">Хмільник!C22</f>
        <v>Гарбуз продовольчий свіжий</v>
      </c>
      <c r="D22" s="15" t="n">
        <f aca="false">Хмільник!D22</f>
        <v>11005</v>
      </c>
      <c r="E22" s="15" t="s">
        <v>27</v>
      </c>
      <c r="F22" s="15"/>
      <c r="G22" s="29" t="n">
        <f aca="false">L22*K22/1000</f>
        <v>0</v>
      </c>
      <c r="H22" s="17"/>
      <c r="I22" s="17"/>
      <c r="K22" s="55" t="n">
        <f aca="false">Хмільник!K22</f>
        <v>0</v>
      </c>
      <c r="L22" s="26" t="n">
        <f aca="false">L21</f>
        <v>38</v>
      </c>
      <c r="O22" s="0" t="n">
        <v>5</v>
      </c>
    </row>
    <row r="23" customFormat="false" ht="17.25" hidden="false" customHeight="true" outlineLevel="0" collapsed="false">
      <c r="B23" s="15"/>
      <c r="C23" s="54" t="str">
        <f aca="false">Хмільник!C23</f>
        <v>Горошок зелений консервований</v>
      </c>
      <c r="D23" s="15" t="n">
        <f aca="false">Хмільник!D23</f>
        <v>11006</v>
      </c>
      <c r="E23" s="15" t="s">
        <v>27</v>
      </c>
      <c r="F23" s="15"/>
      <c r="G23" s="29" t="n">
        <f aca="false">L23*K23/1000</f>
        <v>0</v>
      </c>
      <c r="H23" s="17"/>
      <c r="I23" s="17"/>
      <c r="K23" s="55" t="n">
        <f aca="false">Хмільник!K23</f>
        <v>0</v>
      </c>
      <c r="L23" s="26" t="n">
        <f aca="false">L22</f>
        <v>38</v>
      </c>
      <c r="O23" s="0" t="n">
        <v>6</v>
      </c>
    </row>
    <row r="24" customFormat="false" ht="13.5" hidden="false" customHeight="true" outlineLevel="0" collapsed="false">
      <c r="B24" s="15"/>
      <c r="C24" s="54" t="str">
        <f aca="false">Хмільник!C24</f>
        <v>Ікра баклажанна</v>
      </c>
      <c r="D24" s="15" t="n">
        <f aca="false">Хмільник!D24</f>
        <v>11007</v>
      </c>
      <c r="E24" s="15" t="s">
        <v>27</v>
      </c>
      <c r="F24" s="15"/>
      <c r="G24" s="29" t="n">
        <f aca="false">L24*K24/1000</f>
        <v>0</v>
      </c>
      <c r="H24" s="17"/>
      <c r="I24" s="17"/>
      <c r="K24" s="55" t="n">
        <f aca="false">Хмільник!K24</f>
        <v>0</v>
      </c>
      <c r="L24" s="26" t="n">
        <f aca="false">L23</f>
        <v>38</v>
      </c>
      <c r="O24" s="0" t="n">
        <v>7</v>
      </c>
    </row>
    <row r="25" customFormat="false" ht="14.25" hidden="false" customHeight="true" outlineLevel="0" collapsed="false">
      <c r="B25" s="15"/>
      <c r="C25" s="54" t="str">
        <f aca="false">Хмільник!C25</f>
        <v>Ікра кабачкова</v>
      </c>
      <c r="D25" s="15" t="n">
        <f aca="false">Хмільник!D25</f>
        <v>11008</v>
      </c>
      <c r="E25" s="15" t="s">
        <v>27</v>
      </c>
      <c r="F25" s="15"/>
      <c r="G25" s="29" t="n">
        <f aca="false">L25*K25/1000</f>
        <v>0</v>
      </c>
      <c r="H25" s="17"/>
      <c r="I25" s="17"/>
      <c r="K25" s="55" t="n">
        <f aca="false">Хмільник!K25</f>
        <v>0</v>
      </c>
      <c r="L25" s="26" t="n">
        <f aca="false">L24</f>
        <v>38</v>
      </c>
      <c r="O25" s="0" t="n">
        <v>8</v>
      </c>
    </row>
    <row r="26" customFormat="false" ht="14.25" hidden="false" customHeight="true" outlineLevel="0" collapsed="false">
      <c r="B26" s="15"/>
      <c r="C26" s="54" t="str">
        <f aca="false">Хмільник!C26</f>
        <v>Кабачки консервовані</v>
      </c>
      <c r="D26" s="15" t="n">
        <f aca="false">Хмільник!D26</f>
        <v>11009</v>
      </c>
      <c r="E26" s="15" t="s">
        <v>27</v>
      </c>
      <c r="F26" s="15"/>
      <c r="G26" s="29" t="n">
        <f aca="false">L26*K26/1000</f>
        <v>0</v>
      </c>
      <c r="H26" s="17"/>
      <c r="I26" s="17"/>
      <c r="K26" s="55" t="n">
        <f aca="false">Хмільник!K26</f>
        <v>0</v>
      </c>
      <c r="L26" s="26" t="n">
        <f aca="false">L25</f>
        <v>38</v>
      </c>
      <c r="O26" s="0" t="n">
        <v>9</v>
      </c>
    </row>
    <row r="27" customFormat="false" ht="14.25" hidden="false" customHeight="true" outlineLevel="0" collapsed="false">
      <c r="B27" s="15"/>
      <c r="C27" s="54" t="str">
        <f aca="false">Хмільник!C27</f>
        <v>Кабачки свіжі</v>
      </c>
      <c r="D27" s="15" t="n">
        <f aca="false">Хмільник!D27</f>
        <v>11010</v>
      </c>
      <c r="E27" s="15" t="s">
        <v>27</v>
      </c>
      <c r="F27" s="15"/>
      <c r="G27" s="29" t="n">
        <f aca="false">L27*K27/1000</f>
        <v>0</v>
      </c>
      <c r="H27" s="17"/>
      <c r="I27" s="17"/>
      <c r="K27" s="55" t="n">
        <f aca="false">Хмільник!K27</f>
        <v>0</v>
      </c>
      <c r="L27" s="26" t="n">
        <f aca="false">L26</f>
        <v>38</v>
      </c>
      <c r="O27" s="0" t="n">
        <v>10</v>
      </c>
    </row>
    <row r="28" customFormat="false" ht="14.25" hidden="false" customHeight="true" outlineLevel="0" collapsed="false">
      <c r="B28" s="15"/>
      <c r="C28" s="54" t="str">
        <f aca="false">Хмільник!C28</f>
        <v>Кабачки свіжі сезонні</v>
      </c>
      <c r="D28" s="15" t="n">
        <f aca="false">Хмільник!D28</f>
        <v>11011</v>
      </c>
      <c r="E28" s="15" t="s">
        <v>27</v>
      </c>
      <c r="F28" s="15"/>
      <c r="G28" s="29" t="n">
        <f aca="false">L28*K28/1000</f>
        <v>0</v>
      </c>
      <c r="H28" s="17"/>
      <c r="I28" s="17"/>
      <c r="K28" s="55" t="n">
        <f aca="false">Хмільник!K28</f>
        <v>0</v>
      </c>
      <c r="L28" s="26" t="n">
        <f aca="false">L27</f>
        <v>38</v>
      </c>
      <c r="O28" s="0" t="n">
        <v>11</v>
      </c>
    </row>
    <row r="29" customFormat="false" ht="14.25" hidden="false" customHeight="true" outlineLevel="0" collapsed="false">
      <c r="B29" s="15"/>
      <c r="C29" s="54" t="str">
        <f aca="false">Хмільник!C29</f>
        <v>Капуста білоголова свіжа</v>
      </c>
      <c r="D29" s="15" t="n">
        <f aca="false">Хмільник!D29</f>
        <v>11012</v>
      </c>
      <c r="E29" s="15" t="s">
        <v>27</v>
      </c>
      <c r="F29" s="15"/>
      <c r="G29" s="29" t="n">
        <f aca="false">L29*K29/1000</f>
        <v>0</v>
      </c>
      <c r="H29" s="17"/>
      <c r="I29" s="17"/>
      <c r="K29" s="55" t="n">
        <f aca="false">Хмільник!K29</f>
        <v>0</v>
      </c>
      <c r="L29" s="26" t="n">
        <f aca="false">L28</f>
        <v>38</v>
      </c>
      <c r="O29" s="0" t="n">
        <v>12</v>
      </c>
    </row>
    <row r="30" customFormat="false" ht="14.25" hidden="false" customHeight="true" outlineLevel="0" collapsed="false">
      <c r="B30" s="15"/>
      <c r="C30" s="54" t="str">
        <f aca="false">Хмільник!C30</f>
        <v>Капуста броколі свіжа сезонна</v>
      </c>
      <c r="D30" s="15" t="n">
        <f aca="false">Хмільник!D30</f>
        <v>11013</v>
      </c>
      <c r="E30" s="15" t="s">
        <v>27</v>
      </c>
      <c r="F30" s="15"/>
      <c r="G30" s="29" t="n">
        <f aca="false">L30*K30/1000</f>
        <v>0</v>
      </c>
      <c r="H30" s="17"/>
      <c r="I30" s="17"/>
      <c r="K30" s="55" t="n">
        <f aca="false">Хмільник!K30</f>
        <v>0</v>
      </c>
      <c r="L30" s="26" t="n">
        <f aca="false">L29</f>
        <v>38</v>
      </c>
      <c r="O30" s="0" t="n">
        <v>13</v>
      </c>
    </row>
    <row r="31" customFormat="false" ht="14.25" hidden="false" customHeight="true" outlineLevel="0" collapsed="false">
      <c r="B31" s="15"/>
      <c r="C31" s="54" t="str">
        <f aca="false">Хмільник!C31</f>
        <v>Капуста квашена</v>
      </c>
      <c r="D31" s="15" t="n">
        <f aca="false">Хмільник!D31</f>
        <v>11014</v>
      </c>
      <c r="E31" s="15" t="s">
        <v>27</v>
      </c>
      <c r="F31" s="15"/>
      <c r="G31" s="29" t="n">
        <f aca="false">L31*K31/1000</f>
        <v>0</v>
      </c>
      <c r="H31" s="17"/>
      <c r="I31" s="17"/>
      <c r="K31" s="55" t="n">
        <f aca="false">Хмільник!K31</f>
        <v>0</v>
      </c>
      <c r="L31" s="26" t="n">
        <f aca="false">L30</f>
        <v>38</v>
      </c>
      <c r="O31" s="0" t="n">
        <v>14</v>
      </c>
    </row>
    <row r="32" customFormat="false" ht="13.5" hidden="false" customHeight="true" outlineLevel="0" collapsed="false">
      <c r="B32" s="15"/>
      <c r="C32" s="54" t="str">
        <f aca="false">Хмільник!C32</f>
        <v>Капуста пекінська свіжа</v>
      </c>
      <c r="D32" s="15" t="n">
        <f aca="false">Хмільник!D32</f>
        <v>11015</v>
      </c>
      <c r="E32" s="15" t="s">
        <v>27</v>
      </c>
      <c r="F32" s="15"/>
      <c r="G32" s="29" t="n">
        <f aca="false">L32*K32/1000</f>
        <v>0</v>
      </c>
      <c r="H32" s="17"/>
      <c r="I32" s="17"/>
      <c r="K32" s="55" t="n">
        <f aca="false">Хмільник!K32</f>
        <v>0</v>
      </c>
      <c r="L32" s="26" t="n">
        <f aca="false">L31</f>
        <v>38</v>
      </c>
      <c r="O32" s="0" t="n">
        <v>15</v>
      </c>
    </row>
    <row r="33" customFormat="false" ht="14.25" hidden="false" customHeight="true" outlineLevel="0" collapsed="false">
      <c r="B33" s="15"/>
      <c r="C33" s="54" t="str">
        <f aca="false">Хмільник!C33</f>
        <v>Капуста цвітна свіжа</v>
      </c>
      <c r="D33" s="15" t="n">
        <f aca="false">Хмільник!D33</f>
        <v>11016</v>
      </c>
      <c r="E33" s="15" t="s">
        <v>27</v>
      </c>
      <c r="F33" s="15"/>
      <c r="G33" s="29" t="n">
        <f aca="false">L33*K33/1000</f>
        <v>0</v>
      </c>
      <c r="H33" s="17"/>
      <c r="I33" s="17"/>
      <c r="K33" s="55" t="n">
        <f aca="false">Хмільник!K33</f>
        <v>0</v>
      </c>
      <c r="L33" s="26" t="n">
        <f aca="false">L32</f>
        <v>38</v>
      </c>
      <c r="O33" s="0" t="n">
        <v>16</v>
      </c>
    </row>
    <row r="34" customFormat="false" ht="14.25" hidden="false" customHeight="true" outlineLevel="0" collapsed="false">
      <c r="B34" s="15"/>
      <c r="C34" s="54" t="str">
        <f aca="false">Хмільник!C34</f>
        <v>Капуста цвітна свіжа сезонна</v>
      </c>
      <c r="D34" s="15" t="n">
        <f aca="false">Хмільник!D34</f>
        <v>11017</v>
      </c>
      <c r="E34" s="15" t="s">
        <v>27</v>
      </c>
      <c r="F34" s="15"/>
      <c r="G34" s="29" t="n">
        <f aca="false">L34*K34/1000</f>
        <v>0</v>
      </c>
      <c r="H34" s="17"/>
      <c r="I34" s="17"/>
      <c r="K34" s="55" t="n">
        <f aca="false">Хмільник!K34</f>
        <v>0</v>
      </c>
      <c r="L34" s="26" t="n">
        <f aca="false">L33</f>
        <v>38</v>
      </c>
      <c r="O34" s="0" t="n">
        <v>17</v>
      </c>
    </row>
    <row r="35" customFormat="false" ht="14.25" hidden="false" customHeight="true" outlineLevel="0" collapsed="false">
      <c r="B35" s="15"/>
      <c r="C35" s="54" t="str">
        <f aca="false">Хмільник!C35</f>
        <v>Картопля рання</v>
      </c>
      <c r="D35" s="15" t="n">
        <f aca="false">Хмільник!D35</f>
        <v>11019</v>
      </c>
      <c r="E35" s="15" t="s">
        <v>27</v>
      </c>
      <c r="F35" s="15"/>
      <c r="G35" s="29" t="n">
        <f aca="false">L35*K35/1000</f>
        <v>0</v>
      </c>
      <c r="H35" s="17"/>
      <c r="I35" s="17"/>
      <c r="K35" s="55" t="n">
        <f aca="false">Хмільник!K35</f>
        <v>0</v>
      </c>
      <c r="L35" s="26" t="n">
        <f aca="false">L34</f>
        <v>38</v>
      </c>
      <c r="O35" s="0" t="n">
        <v>18</v>
      </c>
    </row>
    <row r="36" customFormat="false" ht="14.25" hidden="false" customHeight="true" outlineLevel="0" collapsed="false">
      <c r="B36" s="15"/>
      <c r="C36" s="54" t="str">
        <f aca="false">Хмільник!C36</f>
        <v>Квасоля продовольча</v>
      </c>
      <c r="D36" s="15" t="n">
        <f aca="false">Хмільник!D36</f>
        <v>11020</v>
      </c>
      <c r="E36" s="15" t="s">
        <v>27</v>
      </c>
      <c r="F36" s="15"/>
      <c r="G36" s="29" t="n">
        <f aca="false">L36*K36/1000</f>
        <v>0</v>
      </c>
      <c r="H36" s="17"/>
      <c r="I36" s="17"/>
      <c r="K36" s="55" t="n">
        <f aca="false">Хмільник!K36</f>
        <v>0</v>
      </c>
      <c r="L36" s="26" t="n">
        <f aca="false">L35</f>
        <v>38</v>
      </c>
      <c r="O36" s="0" t="n">
        <v>19</v>
      </c>
    </row>
    <row r="37" customFormat="false" ht="14.25" hidden="false" customHeight="true" outlineLevel="0" collapsed="false">
      <c r="B37" s="15"/>
      <c r="C37" s="54" t="str">
        <f aca="false">Хмільник!C37</f>
        <v>Квасоля консервована</v>
      </c>
      <c r="D37" s="15" t="n">
        <f aca="false">Хмільник!D37</f>
        <v>11021</v>
      </c>
      <c r="E37" s="15" t="s">
        <v>27</v>
      </c>
      <c r="F37" s="15"/>
      <c r="G37" s="29" t="n">
        <f aca="false">L37*K37/1000</f>
        <v>0</v>
      </c>
      <c r="H37" s="17"/>
      <c r="I37" s="17"/>
      <c r="K37" s="55" t="n">
        <f aca="false">Хмільник!K37</f>
        <v>0</v>
      </c>
      <c r="L37" s="26" t="n">
        <f aca="false">L36</f>
        <v>38</v>
      </c>
      <c r="O37" s="0" t="n">
        <v>20</v>
      </c>
    </row>
    <row r="38" customFormat="false" ht="14.25" hidden="false" customHeight="true" outlineLevel="0" collapsed="false">
      <c r="B38" s="15"/>
      <c r="C38" s="54" t="str">
        <f aca="false">Хмільник!C38</f>
        <v>Квасоля консервована в томаті</v>
      </c>
      <c r="D38" s="15" t="n">
        <f aca="false">Хмільник!D38</f>
        <v>11022</v>
      </c>
      <c r="E38" s="15" t="s">
        <v>27</v>
      </c>
      <c r="F38" s="15"/>
      <c r="G38" s="29" t="n">
        <f aca="false">L38*K38/1000</f>
        <v>0</v>
      </c>
      <c r="H38" s="17"/>
      <c r="I38" s="17"/>
      <c r="K38" s="55" t="n">
        <f aca="false">Хмільник!K38</f>
        <v>0</v>
      </c>
      <c r="L38" s="26" t="n">
        <f aca="false">L37</f>
        <v>38</v>
      </c>
      <c r="O38" s="0" t="n">
        <v>21</v>
      </c>
    </row>
    <row r="39" customFormat="false" ht="14.25" hidden="false" customHeight="true" outlineLevel="0" collapsed="false">
      <c r="B39" s="15"/>
      <c r="C39" s="54" t="str">
        <f aca="false">Хмільник!C39</f>
        <v>Консерви, заправки для перших страв</v>
      </c>
      <c r="D39" s="15" t="n">
        <f aca="false">Хмільник!D39</f>
        <v>11023</v>
      </c>
      <c r="E39" s="15" t="s">
        <v>27</v>
      </c>
      <c r="F39" s="15"/>
      <c r="G39" s="29" t="n">
        <f aca="false">L39*K39/1000</f>
        <v>0</v>
      </c>
      <c r="H39" s="17"/>
      <c r="I39" s="17"/>
      <c r="K39" s="55" t="n">
        <f aca="false">Хмільник!K39</f>
        <v>0</v>
      </c>
      <c r="L39" s="26" t="n">
        <f aca="false">L38</f>
        <v>38</v>
      </c>
    </row>
    <row r="40" customFormat="false" ht="30.75" hidden="false" customHeight="true" outlineLevel="0" collapsed="false">
      <c r="B40" s="15"/>
      <c r="C40" s="54" t="str">
        <f aca="false">Хмільник!C40</f>
        <v>Кукурудза консервована</v>
      </c>
      <c r="D40" s="15" t="n">
        <f aca="false">Хмільник!D40</f>
        <v>11024</v>
      </c>
      <c r="E40" s="15" t="s">
        <v>27</v>
      </c>
      <c r="F40" s="15"/>
      <c r="G40" s="29" t="n">
        <f aca="false">L40*K40/1000</f>
        <v>0</v>
      </c>
      <c r="H40" s="17"/>
      <c r="I40" s="17"/>
      <c r="K40" s="55" t="n">
        <f aca="false">Хмільник!K40</f>
        <v>0</v>
      </c>
      <c r="L40" s="26" t="n">
        <f aca="false">L39</f>
        <v>38</v>
      </c>
    </row>
    <row r="41" customFormat="false" ht="21.75" hidden="false" customHeight="true" outlineLevel="0" collapsed="false">
      <c r="B41" s="15"/>
      <c r="C41" s="54" t="str">
        <f aca="false">Хмільник!C41</f>
        <v>Маслини без кісточки</v>
      </c>
      <c r="D41" s="15" t="n">
        <f aca="false">Хмільник!D41</f>
        <v>11025</v>
      </c>
      <c r="E41" s="15" t="s">
        <v>27</v>
      </c>
      <c r="F41" s="15"/>
      <c r="G41" s="29" t="n">
        <f aca="false">L41*K41/1000</f>
        <v>0</v>
      </c>
      <c r="H41" s="17"/>
      <c r="I41" s="17"/>
      <c r="K41" s="55" t="n">
        <f aca="false">Хмільник!K41</f>
        <v>0</v>
      </c>
      <c r="L41" s="26" t="n">
        <f aca="false">L40</f>
        <v>38</v>
      </c>
    </row>
    <row r="42" customFormat="false" ht="15.75" hidden="false" customHeight="true" outlineLevel="0" collapsed="false">
      <c r="B42" s="15"/>
      <c r="C42" s="54" t="str">
        <f aca="false">Хмільник!C42</f>
        <v>Морква свіжа</v>
      </c>
      <c r="D42" s="15" t="n">
        <f aca="false">Хмільник!D42</f>
        <v>11026</v>
      </c>
      <c r="E42" s="15" t="s">
        <v>27</v>
      </c>
      <c r="F42" s="15"/>
      <c r="G42" s="29" t="n">
        <f aca="false">L42*K42/1000</f>
        <v>0</v>
      </c>
      <c r="H42" s="17"/>
      <c r="I42" s="17"/>
      <c r="K42" s="55" t="n">
        <f aca="false">Хмільник!K42</f>
        <v>0</v>
      </c>
      <c r="L42" s="26" t="n">
        <f aca="false">L41</f>
        <v>38</v>
      </c>
    </row>
    <row r="43" customFormat="false" ht="18" hidden="false" customHeight="true" outlineLevel="0" collapsed="false">
      <c r="B43" s="15"/>
      <c r="C43" s="54" t="str">
        <f aca="false">Хмільник!C43</f>
        <v>Огірки свіжі</v>
      </c>
      <c r="D43" s="15" t="n">
        <f aca="false">Хмільник!D43</f>
        <v>11028</v>
      </c>
      <c r="E43" s="15" t="s">
        <v>27</v>
      </c>
      <c r="F43" s="15"/>
      <c r="G43" s="29" t="n">
        <f aca="false">L43*K43/1000</f>
        <v>0</v>
      </c>
      <c r="H43" s="17"/>
      <c r="I43" s="17"/>
      <c r="K43" s="55" t="n">
        <f aca="false">Хмільник!K43</f>
        <v>0</v>
      </c>
      <c r="L43" s="26" t="n">
        <f aca="false">L42</f>
        <v>38</v>
      </c>
    </row>
    <row r="44" customFormat="false" ht="14.25" hidden="false" customHeight="true" outlineLevel="0" collapsed="false">
      <c r="B44" s="15"/>
      <c r="C44" s="54" t="str">
        <f aca="false">Хмільник!C44</f>
        <v>Огірки консервовані</v>
      </c>
      <c r="D44" s="15" t="n">
        <f aca="false">Хмільник!D44</f>
        <v>11029</v>
      </c>
      <c r="E44" s="15" t="s">
        <v>27</v>
      </c>
      <c r="F44" s="15"/>
      <c r="G44" s="29" t="n">
        <f aca="false">L44*K44/1000</f>
        <v>0</v>
      </c>
      <c r="H44" s="17"/>
      <c r="I44" s="17"/>
      <c r="K44" s="55" t="n">
        <f aca="false">Хмільник!K44</f>
        <v>0</v>
      </c>
      <c r="L44" s="26" t="n">
        <f aca="false">L43</f>
        <v>38</v>
      </c>
    </row>
    <row r="45" customFormat="false" ht="14.25" hidden="false" customHeight="true" outlineLevel="0" collapsed="false">
      <c r="B45" s="15"/>
      <c r="C45" s="54" t="str">
        <f aca="false">Хмільник!C45</f>
        <v>Огірки солоні</v>
      </c>
      <c r="D45" s="15" t="n">
        <f aca="false">Хмільник!D45</f>
        <v>11030</v>
      </c>
      <c r="E45" s="15" t="s">
        <v>27</v>
      </c>
      <c r="F45" s="15"/>
      <c r="G45" s="29" t="n">
        <f aca="false">L45*K45/1000</f>
        <v>0</v>
      </c>
      <c r="H45" s="17"/>
      <c r="I45" s="17"/>
      <c r="K45" s="55" t="n">
        <f aca="false">Хмільник!K45</f>
        <v>0</v>
      </c>
      <c r="L45" s="26" t="n">
        <f aca="false">L44</f>
        <v>38</v>
      </c>
    </row>
    <row r="46" customFormat="false" ht="14.25" hidden="false" customHeight="true" outlineLevel="0" collapsed="false">
      <c r="B46" s="15"/>
      <c r="C46" s="54" t="str">
        <f aca="false">Хмільник!C46</f>
        <v>Огірки свіжі сезонні</v>
      </c>
      <c r="D46" s="15" t="n">
        <f aca="false">Хмільник!D46</f>
        <v>11031</v>
      </c>
      <c r="E46" s="15" t="s">
        <v>27</v>
      </c>
      <c r="F46" s="15"/>
      <c r="G46" s="29" t="n">
        <f aca="false">L46*K46/1000</f>
        <v>0</v>
      </c>
      <c r="H46" s="17"/>
      <c r="I46" s="17"/>
      <c r="K46" s="55" t="n">
        <f aca="false">Хмільник!K46</f>
        <v>0</v>
      </c>
      <c r="L46" s="26" t="n">
        <f aca="false">L45</f>
        <v>38</v>
      </c>
    </row>
    <row r="47" customFormat="false" ht="14.25" hidden="false" customHeight="true" outlineLevel="0" collapsed="false">
      <c r="B47" s="15"/>
      <c r="C47" s="54" t="str">
        <f aca="false">Хмільник!C47</f>
        <v>Оливки без кісточки</v>
      </c>
      <c r="D47" s="15" t="n">
        <f aca="false">Хмільник!D47</f>
        <v>11032</v>
      </c>
      <c r="E47" s="15" t="s">
        <v>27</v>
      </c>
      <c r="F47" s="15"/>
      <c r="G47" s="29" t="n">
        <f aca="false">L47*K47/1000</f>
        <v>0</v>
      </c>
      <c r="H47" s="17"/>
      <c r="I47" s="17"/>
      <c r="K47" s="55" t="n">
        <f aca="false">Хмільник!K47</f>
        <v>0</v>
      </c>
      <c r="L47" s="26" t="n">
        <f aca="false">L46</f>
        <v>38</v>
      </c>
    </row>
    <row r="48" customFormat="false" ht="13.5" hidden="false" customHeight="true" outlineLevel="0" collapsed="false">
      <c r="B48" s="15"/>
      <c r="C48" s="54" t="str">
        <f aca="false">Хмільник!C48</f>
        <v>Перець солодкий свіжий</v>
      </c>
      <c r="D48" s="15" t="n">
        <f aca="false">Хмільник!D48</f>
        <v>11033</v>
      </c>
      <c r="E48" s="15" t="s">
        <v>27</v>
      </c>
      <c r="F48" s="15"/>
      <c r="G48" s="29" t="n">
        <f aca="false">L48*K48/1000</f>
        <v>0</v>
      </c>
      <c r="H48" s="17"/>
      <c r="I48" s="17"/>
      <c r="K48" s="55" t="n">
        <f aca="false">Хмільник!K48</f>
        <v>0</v>
      </c>
      <c r="L48" s="26" t="n">
        <f aca="false">L47</f>
        <v>38</v>
      </c>
    </row>
    <row r="49" customFormat="false" ht="14.25" hidden="false" customHeight="true" outlineLevel="0" collapsed="false">
      <c r="B49" s="15"/>
      <c r="C49" s="54" t="str">
        <f aca="false">Хмільник!C49</f>
        <v>Перець солодкий свіжий сезонний</v>
      </c>
      <c r="D49" s="15" t="n">
        <f aca="false">Хмільник!D49</f>
        <v>11034</v>
      </c>
      <c r="E49" s="15" t="s">
        <v>27</v>
      </c>
      <c r="F49" s="15"/>
      <c r="G49" s="29" t="n">
        <f aca="false">L49*K49/1000</f>
        <v>0</v>
      </c>
      <c r="H49" s="17"/>
      <c r="I49" s="17"/>
      <c r="K49" s="55" t="n">
        <f aca="false">Хмільник!K49</f>
        <v>0</v>
      </c>
      <c r="L49" s="26" t="n">
        <f aca="false">L48</f>
        <v>38</v>
      </c>
    </row>
    <row r="50" customFormat="false" ht="14.25" hidden="false" customHeight="true" outlineLevel="0" collapsed="false">
      <c r="B50" s="15"/>
      <c r="C50" s="54" t="str">
        <f aca="false">Хмільник!C50</f>
        <v>Перець стручковий свіжий червоний</v>
      </c>
      <c r="D50" s="15" t="n">
        <f aca="false">Хмільник!D50</f>
        <v>11039</v>
      </c>
      <c r="E50" s="15" t="s">
        <v>27</v>
      </c>
      <c r="F50" s="15"/>
      <c r="G50" s="29" t="n">
        <f aca="false">L50*K50/1000</f>
        <v>0</v>
      </c>
      <c r="H50" s="17"/>
      <c r="I50" s="17"/>
      <c r="K50" s="55" t="n">
        <f aca="false">Хмільник!K50</f>
        <v>0</v>
      </c>
      <c r="L50" s="26" t="n">
        <f aca="false">L49</f>
        <v>38</v>
      </c>
    </row>
    <row r="51" customFormat="false" ht="14.25" hidden="false" customHeight="true" outlineLevel="0" collapsed="false">
      <c r="B51" s="15"/>
      <c r="C51" s="54" t="str">
        <f aca="false">Хмільник!C51</f>
        <v>Перець консервований солодкий</v>
      </c>
      <c r="D51" s="15" t="n">
        <f aca="false">Хмільник!D51</f>
        <v>11040</v>
      </c>
      <c r="E51" s="15" t="s">
        <v>27</v>
      </c>
      <c r="F51" s="15"/>
      <c r="G51" s="29" t="n">
        <f aca="false">L51*K51/1000</f>
        <v>0</v>
      </c>
      <c r="H51" s="17"/>
      <c r="I51" s="17"/>
      <c r="K51" s="55" t="n">
        <f aca="false">Хмільник!K51</f>
        <v>0</v>
      </c>
      <c r="L51" s="26" t="n">
        <f aca="false">L50</f>
        <v>38</v>
      </c>
    </row>
    <row r="52" customFormat="false" ht="14.25" hidden="false" customHeight="true" outlineLevel="0" collapsed="false">
      <c r="B52" s="15"/>
      <c r="C52" s="54" t="str">
        <f aca="false">Хмільник!C52</f>
        <v>Салат свіжий</v>
      </c>
      <c r="D52" s="15" t="n">
        <f aca="false">Хмільник!D52</f>
        <v>11041</v>
      </c>
      <c r="E52" s="15" t="s">
        <v>27</v>
      </c>
      <c r="F52" s="15"/>
      <c r="G52" s="29" t="n">
        <f aca="false">L52*K52/1000</f>
        <v>0</v>
      </c>
      <c r="H52" s="17"/>
      <c r="I52" s="17"/>
      <c r="K52" s="55" t="n">
        <f aca="false">Хмільник!K52</f>
        <v>0</v>
      </c>
      <c r="L52" s="26" t="n">
        <f aca="false">L51</f>
        <v>38</v>
      </c>
    </row>
    <row r="53" customFormat="false" ht="14.25" hidden="false" customHeight="true" outlineLevel="0" collapsed="false">
      <c r="B53" s="15"/>
      <c r="C53" s="54" t="str">
        <f aca="false">Хмільник!C53</f>
        <v>Салат свіжий сезонний</v>
      </c>
      <c r="D53" s="15" t="n">
        <f aca="false">Хмільник!D53</f>
        <v>11042</v>
      </c>
      <c r="E53" s="15" t="s">
        <v>27</v>
      </c>
      <c r="F53" s="56"/>
      <c r="G53" s="29" t="n">
        <f aca="false">L53*K53/1000</f>
        <v>0</v>
      </c>
      <c r="H53" s="57"/>
      <c r="I53" s="57"/>
      <c r="K53" s="55" t="n">
        <f aca="false">Хмільник!K53</f>
        <v>0</v>
      </c>
      <c r="L53" s="26" t="n">
        <f aca="false">L52</f>
        <v>38</v>
      </c>
    </row>
    <row r="54" customFormat="false" ht="14.25" hidden="false" customHeight="true" outlineLevel="0" collapsed="false">
      <c r="B54" s="15"/>
      <c r="C54" s="54" t="str">
        <f aca="false">Хмільник!C54</f>
        <v>Томат свіжий</v>
      </c>
      <c r="D54" s="15" t="n">
        <f aca="false">Хмільник!D54</f>
        <v>11043</v>
      </c>
      <c r="E54" s="15" t="s">
        <v>27</v>
      </c>
      <c r="F54" s="15"/>
      <c r="G54" s="29" t="n">
        <f aca="false">L54*K54/1000</f>
        <v>0</v>
      </c>
      <c r="H54" s="17"/>
      <c r="I54" s="17"/>
      <c r="K54" s="55" t="n">
        <f aca="false">Хмільник!K54</f>
        <v>0</v>
      </c>
      <c r="L54" s="26" t="n">
        <f aca="false">L53</f>
        <v>38</v>
      </c>
    </row>
    <row r="55" customFormat="false" ht="14.25" hidden="false" customHeight="true" outlineLevel="0" collapsed="false">
      <c r="B55" s="15"/>
      <c r="C55" s="54" t="str">
        <f aca="false">Хмільник!C55</f>
        <v>Томат свіжий сезонний</v>
      </c>
      <c r="D55" s="15" t="n">
        <f aca="false">Хмільник!D55</f>
        <v>11044</v>
      </c>
      <c r="E55" s="15" t="s">
        <v>27</v>
      </c>
      <c r="F55" s="15"/>
      <c r="G55" s="29" t="n">
        <f aca="false">L55*K55/1000</f>
        <v>0</v>
      </c>
      <c r="H55" s="17"/>
      <c r="I55" s="17"/>
      <c r="K55" s="55" t="n">
        <f aca="false">Хмільник!K55</f>
        <v>0</v>
      </c>
      <c r="L55" s="26" t="n">
        <f aca="false">L54</f>
        <v>38</v>
      </c>
    </row>
    <row r="56" customFormat="false" ht="12.75" hidden="false" customHeight="true" outlineLevel="0" collapsed="false">
      <c r="B56" s="15"/>
      <c r="C56" s="54" t="str">
        <f aca="false">Хмільник!C56</f>
        <v>Томат консервований</v>
      </c>
      <c r="D56" s="15" t="n">
        <f aca="false">Хмільник!D56</f>
        <v>11045</v>
      </c>
      <c r="E56" s="15" t="s">
        <v>27</v>
      </c>
      <c r="F56" s="56"/>
      <c r="G56" s="29" t="n">
        <f aca="false">L56*K56/1000</f>
        <v>0</v>
      </c>
      <c r="H56" s="57"/>
      <c r="I56" s="57"/>
      <c r="K56" s="55" t="n">
        <f aca="false">Хмільник!K56</f>
        <v>0</v>
      </c>
      <c r="L56" s="26" t="n">
        <f aca="false">L55</f>
        <v>38</v>
      </c>
    </row>
    <row r="57" customFormat="false" ht="14.25" hidden="false" customHeight="true" outlineLevel="0" collapsed="false">
      <c r="B57" s="15"/>
      <c r="C57" s="54" t="str">
        <f aca="false">Хмільник!C57</f>
        <v>Томат солоний</v>
      </c>
      <c r="D57" s="15" t="n">
        <f aca="false">Хмільник!D57</f>
        <v>11046</v>
      </c>
      <c r="E57" s="15" t="s">
        <v>27</v>
      </c>
      <c r="F57" s="15"/>
      <c r="G57" s="29" t="n">
        <f aca="false">L57*K57/1000</f>
        <v>0</v>
      </c>
      <c r="H57" s="17"/>
      <c r="I57" s="17"/>
      <c r="K57" s="55" t="n">
        <f aca="false">Хмільник!K57</f>
        <v>0</v>
      </c>
      <c r="L57" s="26" t="n">
        <f aca="false">L56</f>
        <v>38</v>
      </c>
    </row>
    <row r="58" customFormat="false" ht="14.25" hidden="false" customHeight="true" outlineLevel="0" collapsed="false">
      <c r="B58" s="15"/>
      <c r="C58" s="54" t="str">
        <f aca="false">Хмільник!C58</f>
        <v>Цибуля зелена свіжа</v>
      </c>
      <c r="D58" s="15" t="n">
        <f aca="false">Хмільник!D58</f>
        <v>11047</v>
      </c>
      <c r="E58" s="15" t="s">
        <v>27</v>
      </c>
      <c r="F58" s="15"/>
      <c r="G58" s="29" t="n">
        <f aca="false">L58*K58/1000</f>
        <v>0</v>
      </c>
      <c r="H58" s="17"/>
      <c r="I58" s="17"/>
      <c r="K58" s="55" t="n">
        <f aca="false">Хмільник!K58</f>
        <v>0</v>
      </c>
      <c r="L58" s="26" t="n">
        <f aca="false">L57</f>
        <v>38</v>
      </c>
    </row>
    <row r="59" customFormat="false" ht="14.25" hidden="false" customHeight="true" outlineLevel="0" collapsed="false">
      <c r="B59" s="15"/>
      <c r="C59" s="54" t="str">
        <f aca="false">Хмільник!C59</f>
        <v>Цибуля порей свіжа</v>
      </c>
      <c r="D59" s="15" t="n">
        <f aca="false">Хмільник!D59</f>
        <v>11048</v>
      </c>
      <c r="E59" s="15" t="s">
        <v>27</v>
      </c>
      <c r="F59" s="15"/>
      <c r="G59" s="29" t="n">
        <f aca="false">L59*K59/1000</f>
        <v>0</v>
      </c>
      <c r="H59" s="17"/>
      <c r="I59" s="17"/>
      <c r="K59" s="55" t="n">
        <f aca="false">Хмільник!K59</f>
        <v>0</v>
      </c>
      <c r="L59" s="26" t="n">
        <f aca="false">L58</f>
        <v>38</v>
      </c>
    </row>
    <row r="60" customFormat="false" ht="14.25" hidden="false" customHeight="true" outlineLevel="0" collapsed="false">
      <c r="B60" s="15"/>
      <c r="C60" s="54" t="str">
        <f aca="false">Хмільник!C60</f>
        <v>Цибуля ріпчаста свіжа</v>
      </c>
      <c r="D60" s="15" t="n">
        <f aca="false">Хмільник!D60</f>
        <v>11049</v>
      </c>
      <c r="E60" s="15" t="s">
        <v>27</v>
      </c>
      <c r="F60" s="15"/>
      <c r="G60" s="29" t="n">
        <f aca="false">L60*K60/1000</f>
        <v>0</v>
      </c>
      <c r="H60" s="17"/>
      <c r="I60" s="17"/>
      <c r="K60" s="55" t="n">
        <f aca="false">Хмільник!K60</f>
        <v>0</v>
      </c>
      <c r="L60" s="26" t="n">
        <f aca="false">L59</f>
        <v>38</v>
      </c>
    </row>
    <row r="61" customFormat="false" ht="14.25" hidden="false" customHeight="true" outlineLevel="0" collapsed="false">
      <c r="B61" s="15"/>
      <c r="C61" s="54" t="str">
        <f aca="false">Хмільник!C61</f>
        <v>Часник свіжий</v>
      </c>
      <c r="D61" s="15" t="n">
        <f aca="false">Хмільник!D61</f>
        <v>11050</v>
      </c>
      <c r="E61" s="15" t="s">
        <v>27</v>
      </c>
      <c r="F61" s="15"/>
      <c r="G61" s="29" t="n">
        <f aca="false">L61*K61/1000</f>
        <v>0</v>
      </c>
      <c r="H61" s="17"/>
      <c r="I61" s="17"/>
      <c r="K61" s="55" t="n">
        <f aca="false">Хмільник!K61</f>
        <v>0</v>
      </c>
      <c r="L61" s="26" t="n">
        <f aca="false">L60</f>
        <v>38</v>
      </c>
    </row>
    <row r="62" customFormat="false" ht="14.25" hidden="false" customHeight="true" outlineLevel="0" collapsed="false">
      <c r="B62" s="15"/>
      <c r="C62" s="54" t="str">
        <f aca="false">Хмільник!C62</f>
        <v>Печериці свіжі</v>
      </c>
      <c r="D62" s="15" t="n">
        <f aca="false">Хмільник!D62</f>
        <v>11051</v>
      </c>
      <c r="E62" s="15" t="s">
        <v>27</v>
      </c>
      <c r="F62" s="15"/>
      <c r="G62" s="29" t="n">
        <f aca="false">L62*K62/1000</f>
        <v>0</v>
      </c>
      <c r="H62" s="17"/>
      <c r="I62" s="17"/>
      <c r="K62" s="55" t="n">
        <f aca="false">Хмільник!K62</f>
        <v>0</v>
      </c>
      <c r="L62" s="26" t="n">
        <f aca="false">L61</f>
        <v>38</v>
      </c>
    </row>
    <row r="63" customFormat="false" ht="14.25" hidden="false" customHeight="true" outlineLevel="0" collapsed="false">
      <c r="B63" s="15"/>
      <c r="C63" s="54" t="str">
        <f aca="false">Хмільник!C63</f>
        <v>Печериці консервовані</v>
      </c>
      <c r="D63" s="15" t="n">
        <f aca="false">Хмільник!D63</f>
        <v>11052</v>
      </c>
      <c r="E63" s="15" t="s">
        <v>27</v>
      </c>
      <c r="F63" s="15"/>
      <c r="G63" s="29" t="n">
        <f aca="false">L63*K63/1000</f>
        <v>0</v>
      </c>
      <c r="H63" s="17"/>
      <c r="I63" s="17"/>
      <c r="K63" s="55" t="n">
        <f aca="false">Хмільник!K63</f>
        <v>0</v>
      </c>
      <c r="L63" s="26" t="n">
        <f aca="false">L62</f>
        <v>38</v>
      </c>
    </row>
    <row r="64" customFormat="false" ht="14.25" hidden="false" customHeight="true" outlineLevel="0" collapsed="false">
      <c r="B64" s="15"/>
      <c r="C64" s="54" t="str">
        <f aca="false">Хмільник!C64</f>
        <v>Щавель свіжий</v>
      </c>
      <c r="D64" s="15" t="n">
        <f aca="false">Хмільник!D64</f>
        <v>11053</v>
      </c>
      <c r="E64" s="15" t="s">
        <v>27</v>
      </c>
      <c r="F64" s="15"/>
      <c r="G64" s="29" t="n">
        <f aca="false">L64*K64/1000</f>
        <v>0</v>
      </c>
      <c r="H64" s="17"/>
      <c r="I64" s="17"/>
      <c r="K64" s="55" t="n">
        <f aca="false">Хмільник!K64</f>
        <v>0</v>
      </c>
      <c r="L64" s="26" t="n">
        <f aca="false">L63</f>
        <v>38</v>
      </c>
    </row>
    <row r="65" customFormat="false" ht="14.25" hidden="false" customHeight="true" outlineLevel="0" collapsed="false">
      <c r="B65" s="15"/>
      <c r="C65" s="54" t="str">
        <f aca="false">Хмільник!C65</f>
        <v>Щавель консервований</v>
      </c>
      <c r="D65" s="15" t="n">
        <f aca="false">Хмільник!D65</f>
        <v>11054</v>
      </c>
      <c r="E65" s="15" t="s">
        <v>27</v>
      </c>
      <c r="F65" s="15"/>
      <c r="G65" s="29" t="n">
        <f aca="false">L65*K65/1000</f>
        <v>0</v>
      </c>
      <c r="H65" s="17"/>
      <c r="I65" s="17"/>
      <c r="K65" s="55" t="n">
        <f aca="false">Хмільник!K65</f>
        <v>0</v>
      </c>
      <c r="L65" s="26" t="n">
        <f aca="false">L64</f>
        <v>38</v>
      </c>
    </row>
    <row r="66" customFormat="false" ht="15" hidden="false" customHeight="true" outlineLevel="0" collapsed="false">
      <c r="B66" s="15"/>
      <c r="C66" s="54" t="str">
        <f aca="false">Хмільник!C66</f>
        <v>Салат овочевий закусочний</v>
      </c>
      <c r="D66" s="15" t="n">
        <f aca="false">Хмільник!D66</f>
        <v>11055</v>
      </c>
      <c r="E66" s="15" t="s">
        <v>27</v>
      </c>
      <c r="F66" s="56"/>
      <c r="G66" s="29" t="n">
        <f aca="false">L66*K66/1000</f>
        <v>0</v>
      </c>
      <c r="H66" s="57"/>
      <c r="I66" s="57"/>
      <c r="K66" s="55" t="n">
        <f aca="false">Хмільник!K66</f>
        <v>0</v>
      </c>
      <c r="L66" s="26" t="n">
        <f aca="false">L65</f>
        <v>38</v>
      </c>
    </row>
    <row r="67" customFormat="false" ht="15" hidden="false" customHeight="true" outlineLevel="0" collapsed="false">
      <c r="B67" s="15"/>
      <c r="C67" s="54" t="str">
        <f aca="false">Хмільник!C67</f>
        <v>Редис свіжий</v>
      </c>
      <c r="D67" s="15" t="n">
        <f aca="false">Хмільник!D67</f>
        <v>11057</v>
      </c>
      <c r="E67" s="15" t="s">
        <v>27</v>
      </c>
      <c r="F67" s="15"/>
      <c r="G67" s="29" t="n">
        <f aca="false">L67*K67/1000</f>
        <v>0</v>
      </c>
      <c r="H67" s="17"/>
      <c r="I67" s="17"/>
      <c r="K67" s="55" t="n">
        <f aca="false">Хмільник!K67</f>
        <v>0</v>
      </c>
      <c r="L67" s="26" t="n">
        <f aca="false">L66</f>
        <v>38</v>
      </c>
    </row>
    <row r="68" customFormat="false" ht="12.75" hidden="false" customHeight="true" outlineLevel="0" collapsed="false">
      <c r="B68" s="15"/>
      <c r="C68" s="54" t="str">
        <f aca="false">Хмільник!C68</f>
        <v>Редька свіжа</v>
      </c>
      <c r="D68" s="15" t="n">
        <f aca="false">Хмільник!D68</f>
        <v>11058</v>
      </c>
      <c r="E68" s="15" t="s">
        <v>27</v>
      </c>
      <c r="F68" s="15"/>
      <c r="G68" s="29" t="n">
        <f aca="false">L68*K68/1000</f>
        <v>0</v>
      </c>
      <c r="H68" s="17"/>
      <c r="I68" s="17"/>
      <c r="K68" s="55" t="n">
        <f aca="false">Хмільник!K68</f>
        <v>0</v>
      </c>
      <c r="L68" s="26" t="n">
        <f aca="false">L67</f>
        <v>38</v>
      </c>
    </row>
    <row r="69" customFormat="false" ht="15.75" hidden="false" customHeight="true" outlineLevel="0" collapsed="false">
      <c r="B69" s="15"/>
      <c r="C69" s="54" t="str">
        <f aca="false">Хмільник!C69</f>
        <v>Капуста морська (салати капусти морської)</v>
      </c>
      <c r="D69" s="15" t="n">
        <f aca="false">Хмільник!D69</f>
        <v>11059</v>
      </c>
      <c r="E69" s="15" t="s">
        <v>27</v>
      </c>
      <c r="F69" s="56"/>
      <c r="G69" s="29" t="n">
        <f aca="false">L69*K69/1000</f>
        <v>0</v>
      </c>
      <c r="H69" s="57"/>
      <c r="I69" s="57"/>
      <c r="K69" s="55" t="n">
        <f aca="false">Хмільник!K69</f>
        <v>0</v>
      </c>
      <c r="L69" s="26" t="n">
        <f aca="false">L68</f>
        <v>38</v>
      </c>
    </row>
    <row r="70" customFormat="false" ht="12" hidden="false" customHeight="true" outlineLevel="0" collapsed="false">
      <c r="B70" s="15"/>
      <c r="C70" s="54" t="str">
        <f aca="false">Хмільник!C70</f>
        <v>М’ята свіжа</v>
      </c>
      <c r="D70" s="15" t="n">
        <f aca="false">Хмільник!D70</f>
        <v>11060</v>
      </c>
      <c r="E70" s="15" t="s">
        <v>27</v>
      </c>
      <c r="F70" s="15"/>
      <c r="G70" s="29" t="n">
        <f aca="false">L70*K70/1000</f>
        <v>0</v>
      </c>
      <c r="H70" s="17"/>
      <c r="I70" s="17"/>
      <c r="K70" s="55" t="n">
        <f aca="false">Хмільник!K70</f>
        <v>0</v>
      </c>
      <c r="L70" s="26" t="n">
        <f aca="false">L69</f>
        <v>38</v>
      </c>
    </row>
    <row r="71" customFormat="false" ht="14.25" hidden="false" customHeight="true" outlineLevel="0" collapsed="false">
      <c r="B71" s="15"/>
      <c r="C71" s="54" t="str">
        <f aca="false">Хмільник!C71</f>
        <v>Цибуля напівгострих сортів</v>
      </c>
      <c r="D71" s="15" t="n">
        <f aca="false">Хмільник!D71</f>
        <v>11061</v>
      </c>
      <c r="E71" s="15" t="s">
        <v>27</v>
      </c>
      <c r="F71" s="15"/>
      <c r="G71" s="29" t="n">
        <f aca="false">L71*K71/1000</f>
        <v>0</v>
      </c>
      <c r="H71" s="17"/>
      <c r="I71" s="17"/>
      <c r="K71" s="55" t="n">
        <f aca="false">Хмільник!K71</f>
        <v>0</v>
      </c>
      <c r="L71" s="26" t="n">
        <f aca="false">L70</f>
        <v>38</v>
      </c>
    </row>
    <row r="72" customFormat="false" ht="12.75" hidden="false" customHeight="true" outlineLevel="0" collapsed="false">
      <c r="B72" s="15"/>
      <c r="C72" s="54" t="str">
        <f aca="false">Хмільник!C72</f>
        <v>Цибуля солодких сортів</v>
      </c>
      <c r="D72" s="15" t="n">
        <f aca="false">Хмільник!D72</f>
        <v>11062</v>
      </c>
      <c r="E72" s="15" t="s">
        <v>27</v>
      </c>
      <c r="F72" s="56"/>
      <c r="G72" s="29" t="n">
        <f aca="false">L72*K72/1000</f>
        <v>0</v>
      </c>
      <c r="H72" s="57"/>
      <c r="I72" s="57"/>
      <c r="K72" s="55" t="n">
        <f aca="false">Хмільник!K72</f>
        <v>0</v>
      </c>
      <c r="L72" s="26" t="n">
        <f aca="false">L71</f>
        <v>38</v>
      </c>
    </row>
    <row r="73" customFormat="false" ht="15.75" hidden="false" customHeight="true" outlineLevel="0" collapsed="false">
      <c r="B73" s="15"/>
      <c r="C73" s="54" t="str">
        <f aca="false">Хмільник!C73</f>
        <v>Картопля пізня</v>
      </c>
      <c r="D73" s="15" t="n">
        <f aca="false">Хмільник!D73</f>
        <v>11063</v>
      </c>
      <c r="E73" s="15" t="s">
        <v>27</v>
      </c>
      <c r="F73" s="15"/>
      <c r="G73" s="29" t="n">
        <f aca="false">L73*K73/1000</f>
        <v>0</v>
      </c>
      <c r="H73" s="17"/>
      <c r="I73" s="17"/>
      <c r="K73" s="55" t="n">
        <f aca="false">Хмільник!K73</f>
        <v>0</v>
      </c>
      <c r="L73" s="26" t="n">
        <f aca="false">L72</f>
        <v>38</v>
      </c>
    </row>
    <row r="74" customFormat="false" ht="14.25" hidden="false" customHeight="true" outlineLevel="0" collapsed="false">
      <c r="B74" s="15"/>
      <c r="C74" s="54" t="str">
        <f aca="false">Хмільник!C74</f>
        <v>Капуста червоноголова свіжа</v>
      </c>
      <c r="D74" s="15" t="n">
        <f aca="false">Хмільник!D74</f>
        <v>11064</v>
      </c>
      <c r="E74" s="15" t="s">
        <v>27</v>
      </c>
      <c r="F74" s="15"/>
      <c r="G74" s="29" t="n">
        <f aca="false">L74*K74/1000</f>
        <v>0</v>
      </c>
      <c r="H74" s="17"/>
      <c r="I74" s="17"/>
      <c r="K74" s="55" t="n">
        <f aca="false">Хмільник!K74</f>
        <v>0</v>
      </c>
      <c r="L74" s="26" t="n">
        <f aca="false">L73</f>
        <v>38</v>
      </c>
    </row>
    <row r="75" customFormat="false" ht="14.25" hidden="false" customHeight="true" outlineLevel="0" collapsed="false">
      <c r="B75" s="15"/>
      <c r="C75" s="54" t="str">
        <f aca="false">Хмільник!C75</f>
        <v>Рукола свіжа</v>
      </c>
      <c r="D75" s="15" t="n">
        <f aca="false">Хмільник!D75</f>
        <v>11065</v>
      </c>
      <c r="E75" s="15" t="s">
        <v>27</v>
      </c>
      <c r="F75" s="15"/>
      <c r="G75" s="29" t="n">
        <f aca="false">L75*K75/1000</f>
        <v>0</v>
      </c>
      <c r="H75" s="17"/>
      <c r="I75" s="17"/>
      <c r="K75" s="55" t="n">
        <f aca="false">Хмільник!K75</f>
        <v>0</v>
      </c>
      <c r="L75" s="26" t="n">
        <f aca="false">L74</f>
        <v>38</v>
      </c>
    </row>
    <row r="76" customFormat="false" ht="14.25" hidden="false" customHeight="true" outlineLevel="0" collapsed="false">
      <c r="B76" s="15"/>
      <c r="C76" s="54" t="str">
        <f aca="false">Хмільник!C76</f>
        <v>Капуста броколі заморожена</v>
      </c>
      <c r="D76" s="15" t="n">
        <f aca="false">Хмільник!D76</f>
        <v>11201</v>
      </c>
      <c r="E76" s="15" t="s">
        <v>27</v>
      </c>
      <c r="F76" s="15"/>
      <c r="G76" s="29" t="n">
        <f aca="false">L76*K76/1000</f>
        <v>0</v>
      </c>
      <c r="H76" s="17"/>
      <c r="I76" s="17"/>
      <c r="K76" s="55" t="n">
        <f aca="false">Хмільник!K76</f>
        <v>0</v>
      </c>
      <c r="L76" s="26" t="n">
        <f aca="false">L75</f>
        <v>38</v>
      </c>
    </row>
    <row r="77" customFormat="false" ht="15" hidden="false" customHeight="true" outlineLevel="0" collapsed="false">
      <c r="B77" s="15"/>
      <c r="C77" s="54" t="str">
        <f aca="false">Хмільник!C77</f>
        <v>Вишня заморожена</v>
      </c>
      <c r="D77" s="15" t="n">
        <f aca="false">Хмільник!D77</f>
        <v>11202</v>
      </c>
      <c r="E77" s="15" t="s">
        <v>27</v>
      </c>
      <c r="F77" s="56"/>
      <c r="G77" s="29" t="n">
        <f aca="false">L77*K77/1000</f>
        <v>0</v>
      </c>
      <c r="H77" s="57"/>
      <c r="I77" s="57"/>
      <c r="K77" s="55" t="n">
        <f aca="false">Хмільник!K77</f>
        <v>0</v>
      </c>
      <c r="L77" s="26" t="n">
        <f aca="false">L76</f>
        <v>38</v>
      </c>
    </row>
    <row r="78" customFormat="false" ht="14.25" hidden="false" customHeight="true" outlineLevel="0" collapsed="false">
      <c r="B78" s="15"/>
      <c r="C78" s="54" t="str">
        <f aca="false">Хмільник!C78</f>
        <v>Горошок зелений заморожений</v>
      </c>
      <c r="D78" s="15" t="n">
        <f aca="false">Хмільник!D78</f>
        <v>11203</v>
      </c>
      <c r="E78" s="15" t="s">
        <v>27</v>
      </c>
      <c r="F78" s="15"/>
      <c r="G78" s="29" t="n">
        <f aca="false">L78*K78/1000</f>
        <v>0</v>
      </c>
      <c r="H78" s="17"/>
      <c r="I78" s="17"/>
      <c r="K78" s="55" t="n">
        <f aca="false">Хмільник!K78</f>
        <v>0</v>
      </c>
      <c r="L78" s="26" t="n">
        <f aca="false">L77</f>
        <v>38</v>
      </c>
    </row>
    <row r="79" customFormat="false" ht="12.75" hidden="false" customHeight="true" outlineLevel="0" collapsed="false">
      <c r="B79" s="15"/>
      <c r="C79" s="54" t="str">
        <f aca="false">Хмільник!C79</f>
        <v>Капуста цвітна заморожена</v>
      </c>
      <c r="D79" s="15" t="n">
        <f aca="false">Хмільник!D79</f>
        <v>11204</v>
      </c>
      <c r="E79" s="15" t="s">
        <v>27</v>
      </c>
      <c r="F79" s="56"/>
      <c r="G79" s="29" t="n">
        <f aca="false">L79*K79/1000</f>
        <v>0</v>
      </c>
      <c r="H79" s="57"/>
      <c r="I79" s="57"/>
      <c r="K79" s="55" t="n">
        <f aca="false">Хмільник!K79</f>
        <v>0</v>
      </c>
      <c r="L79" s="26" t="n">
        <f aca="false">L78</f>
        <v>38</v>
      </c>
    </row>
    <row r="80" customFormat="false" ht="14.25" hidden="false" customHeight="true" outlineLevel="0" collapsed="false">
      <c r="B80" s="15"/>
      <c r="C80" s="54" t="str">
        <f aca="false">Хмільник!C80</f>
        <v>Картопля фрі заморожена</v>
      </c>
      <c r="D80" s="15" t="n">
        <f aca="false">Хмільник!D80</f>
        <v>11205</v>
      </c>
      <c r="E80" s="15" t="s">
        <v>27</v>
      </c>
      <c r="F80" s="15"/>
      <c r="G80" s="29" t="n">
        <f aca="false">L80*K80/1000</f>
        <v>0</v>
      </c>
      <c r="H80" s="17"/>
      <c r="I80" s="17"/>
      <c r="K80" s="55" t="n">
        <f aca="false">Хмільник!K80</f>
        <v>0</v>
      </c>
      <c r="L80" s="26" t="n">
        <f aca="false">L79</f>
        <v>38</v>
      </c>
    </row>
    <row r="81" customFormat="false" ht="13.5" hidden="false" customHeight="true" outlineLevel="0" collapsed="false">
      <c r="B81" s="15"/>
      <c r="C81" s="54" t="str">
        <f aca="false">Хмільник!C81</f>
        <v>Кукурудза заморожена</v>
      </c>
      <c r="D81" s="15" t="n">
        <f aca="false">Хмільник!D81</f>
        <v>11206</v>
      </c>
      <c r="E81" s="15" t="s">
        <v>27</v>
      </c>
      <c r="F81" s="56"/>
      <c r="G81" s="29" t="n">
        <f aca="false">L81*K81/1000</f>
        <v>0</v>
      </c>
      <c r="H81" s="57"/>
      <c r="I81" s="57"/>
      <c r="K81" s="55" t="n">
        <f aca="false">Хмільник!K81</f>
        <v>0</v>
      </c>
      <c r="L81" s="26" t="n">
        <f aca="false">L80</f>
        <v>38</v>
      </c>
    </row>
    <row r="82" customFormat="false" ht="14.25" hidden="false" customHeight="true" outlineLevel="0" collapsed="false">
      <c r="B82" s="15"/>
      <c r="C82" s="54" t="str">
        <f aca="false">Хмільник!C82</f>
        <v>Перець солодкий заморожений</v>
      </c>
      <c r="D82" s="15" t="n">
        <f aca="false">Хмільник!D82</f>
        <v>11208</v>
      </c>
      <c r="E82" s="15" t="s">
        <v>27</v>
      </c>
      <c r="F82" s="15"/>
      <c r="G82" s="29" t="n">
        <f aca="false">L82*K82/1000</f>
        <v>0</v>
      </c>
      <c r="H82" s="17"/>
      <c r="I82" s="17"/>
      <c r="K82" s="55" t="n">
        <f aca="false">Хмільник!K82</f>
        <v>0</v>
      </c>
      <c r="L82" s="26" t="n">
        <f aca="false">L81</f>
        <v>38</v>
      </c>
    </row>
    <row r="83" customFormat="false" ht="14.25" hidden="false" customHeight="true" outlineLevel="0" collapsed="false">
      <c r="B83" s="15"/>
      <c r="C83" s="54" t="str">
        <f aca="false">Хмільник!C83</f>
        <v>Полуниця заморожена</v>
      </c>
      <c r="D83" s="15" t="n">
        <f aca="false">Хмільник!D83</f>
        <v>11209</v>
      </c>
      <c r="E83" s="15" t="s">
        <v>27</v>
      </c>
      <c r="F83" s="15"/>
      <c r="G83" s="29" t="n">
        <f aca="false">L83*K83/1000</f>
        <v>0</v>
      </c>
      <c r="H83" s="17"/>
      <c r="I83" s="17"/>
      <c r="K83" s="55" t="n">
        <f aca="false">Хмільник!K83</f>
        <v>0</v>
      </c>
      <c r="L83" s="26" t="n">
        <f aca="false">L82</f>
        <v>38</v>
      </c>
    </row>
    <row r="84" customFormat="false" ht="14.25" hidden="false" customHeight="true" outlineLevel="0" collapsed="false">
      <c r="B84" s="15"/>
      <c r="C84" s="54" t="str">
        <f aca="false">Хмільник!C84</f>
        <v>Слива заморожена</v>
      </c>
      <c r="D84" s="15" t="n">
        <f aca="false">Хмільник!D84</f>
        <v>11210</v>
      </c>
      <c r="E84" s="15" t="s">
        <v>27</v>
      </c>
      <c r="F84" s="15"/>
      <c r="G84" s="29" t="n">
        <f aca="false">L84*K84/1000</f>
        <v>0</v>
      </c>
      <c r="H84" s="17"/>
      <c r="I84" s="17"/>
      <c r="K84" s="55" t="n">
        <f aca="false">Хмільник!K84</f>
        <v>0</v>
      </c>
      <c r="L84" s="26" t="n">
        <f aca="false">L83</f>
        <v>38</v>
      </c>
    </row>
    <row r="85" customFormat="false" ht="14.25" hidden="false" customHeight="true" outlineLevel="0" collapsed="false">
      <c r="B85" s="15"/>
      <c r="C85" s="54" t="str">
        <f aca="false">Хмільник!C85</f>
        <v>Смородина чорна заморожена</v>
      </c>
      <c r="D85" s="15" t="n">
        <f aca="false">Хмільник!D85</f>
        <v>11211</v>
      </c>
      <c r="E85" s="15" t="s">
        <v>27</v>
      </c>
      <c r="F85" s="15"/>
      <c r="G85" s="29" t="n">
        <f aca="false">L85*K85/1000</f>
        <v>0</v>
      </c>
      <c r="H85" s="17"/>
      <c r="I85" s="17"/>
      <c r="K85" s="55" t="n">
        <f aca="false">Хмільник!K85</f>
        <v>0</v>
      </c>
      <c r="L85" s="26" t="n">
        <f aca="false">L84</f>
        <v>38</v>
      </c>
    </row>
    <row r="86" customFormat="false" ht="14.25" hidden="false" customHeight="true" outlineLevel="0" collapsed="false">
      <c r="B86" s="15"/>
      <c r="C86" s="54" t="str">
        <f aca="false">Хмільник!C86</f>
        <v>Квасоля стручкова заморожена</v>
      </c>
      <c r="D86" s="15" t="n">
        <f aca="false">Хмільник!D86</f>
        <v>11212</v>
      </c>
      <c r="E86" s="15" t="s">
        <v>27</v>
      </c>
      <c r="F86" s="15"/>
      <c r="G86" s="29" t="n">
        <f aca="false">L86*K86/1000</f>
        <v>0</v>
      </c>
      <c r="H86" s="17"/>
      <c r="I86" s="17"/>
      <c r="K86" s="55" t="n">
        <f aca="false">Хмільник!K86</f>
        <v>0</v>
      </c>
      <c r="L86" s="26" t="n">
        <f aca="false">L85</f>
        <v>38</v>
      </c>
    </row>
    <row r="87" customFormat="false" ht="15" hidden="false" customHeight="true" outlineLevel="0" collapsed="false">
      <c r="B87" s="15"/>
      <c r="C87" s="54" t="str">
        <f aca="false">Хмільник!C87</f>
        <v>Чорниця заморожена</v>
      </c>
      <c r="D87" s="15" t="n">
        <f aca="false">Хмільник!D87</f>
        <v>11213</v>
      </c>
      <c r="E87" s="15" t="s">
        <v>27</v>
      </c>
      <c r="F87" s="56"/>
      <c r="G87" s="29" t="n">
        <f aca="false">L87*K87/1000</f>
        <v>0</v>
      </c>
      <c r="H87" s="57"/>
      <c r="I87" s="57"/>
      <c r="K87" s="55" t="n">
        <f aca="false">Хмільник!K87</f>
        <v>0</v>
      </c>
      <c r="L87" s="26" t="n">
        <f aca="false">L86</f>
        <v>38</v>
      </c>
    </row>
    <row r="88" customFormat="false" ht="13.5" hidden="false" customHeight="true" outlineLevel="0" collapsed="false">
      <c r="B88" s="15"/>
      <c r="C88" s="54" t="str">
        <f aca="false">Хмільник!C88</f>
        <v>Обліпиха заморожена</v>
      </c>
      <c r="D88" s="15" t="n">
        <f aca="false">Хмільник!D88</f>
        <v>11214</v>
      </c>
      <c r="E88" s="15" t="s">
        <v>27</v>
      </c>
      <c r="F88" s="15"/>
      <c r="G88" s="29" t="n">
        <f aca="false">L88*K88/1000</f>
        <v>0</v>
      </c>
      <c r="H88" s="17"/>
      <c r="I88" s="17"/>
      <c r="K88" s="55" t="n">
        <f aca="false">Хмільник!K88</f>
        <v>0</v>
      </c>
      <c r="L88" s="26" t="n">
        <f aca="false">L87</f>
        <v>38</v>
      </c>
    </row>
    <row r="89" customFormat="false" ht="11.25" hidden="false" customHeight="true" outlineLevel="0" collapsed="false">
      <c r="B89" s="15"/>
      <c r="C89" s="54" t="str">
        <f aca="false">Хмільник!C89</f>
        <v>Журавлина заморожена</v>
      </c>
      <c r="D89" s="15" t="n">
        <f aca="false">Хмільник!D89</f>
        <v>11215</v>
      </c>
      <c r="E89" s="15" t="s">
        <v>27</v>
      </c>
      <c r="F89" s="15"/>
      <c r="G89" s="29" t="n">
        <f aca="false">L89*K89/1000</f>
        <v>0</v>
      </c>
      <c r="H89" s="17"/>
      <c r="I89" s="17"/>
      <c r="K89" s="55" t="n">
        <f aca="false">Хмільник!K89</f>
        <v>0</v>
      </c>
      <c r="L89" s="26" t="n">
        <f aca="false">L88</f>
        <v>38</v>
      </c>
    </row>
    <row r="90" customFormat="false" ht="12" hidden="false" customHeight="true" outlineLevel="0" collapsed="false">
      <c r="B90" s="15"/>
      <c r="C90" s="54" t="str">
        <f aca="false">Хмільник!C90</f>
        <v>Крупа горохова швидкого приготування</v>
      </c>
      <c r="D90" s="15" t="n">
        <f aca="false">Хмільник!D90</f>
        <v>11301</v>
      </c>
      <c r="E90" s="15" t="s">
        <v>27</v>
      </c>
      <c r="F90" s="15"/>
      <c r="G90" s="29" t="n">
        <f aca="false">L90*K90/1000</f>
        <v>0</v>
      </c>
      <c r="H90" s="17"/>
      <c r="I90" s="17"/>
      <c r="K90" s="55" t="n">
        <f aca="false">Хмільник!K90</f>
        <v>0</v>
      </c>
      <c r="L90" s="26" t="n">
        <f aca="false">L89</f>
        <v>38</v>
      </c>
    </row>
    <row r="91" customFormat="false" ht="14.25" hidden="false" customHeight="true" outlineLevel="0" collapsed="false">
      <c r="B91" s="15"/>
      <c r="C91" s="54" t="str">
        <f aca="false">Хмільник!C91</f>
        <v>Крупа гречана швидкого приготування</v>
      </c>
      <c r="D91" s="15" t="n">
        <f aca="false">Хмільник!D91</f>
        <v>11302</v>
      </c>
      <c r="E91" s="15" t="s">
        <v>27</v>
      </c>
      <c r="F91" s="15"/>
      <c r="G91" s="29" t="n">
        <f aca="false">L91*K91/1000</f>
        <v>0</v>
      </c>
      <c r="H91" s="17"/>
      <c r="I91" s="17"/>
      <c r="K91" s="55" t="n">
        <f aca="false">Хмільник!K91</f>
        <v>0</v>
      </c>
      <c r="L91" s="26" t="n">
        <f aca="false">L90</f>
        <v>38</v>
      </c>
    </row>
    <row r="92" customFormat="false" ht="14.25" hidden="false" customHeight="true" outlineLevel="0" collapsed="false">
      <c r="B92" s="15"/>
      <c r="C92" s="54" t="str">
        <f aca="false">Хмільник!C92</f>
        <v>Макаронні вироби швидкого приготування</v>
      </c>
      <c r="D92" s="15" t="n">
        <f aca="false">Хмільник!D92</f>
        <v>11303</v>
      </c>
      <c r="E92" s="15" t="s">
        <v>27</v>
      </c>
      <c r="F92" s="15"/>
      <c r="G92" s="29" t="n">
        <f aca="false">L92*K92/1000</f>
        <v>0</v>
      </c>
      <c r="H92" s="17"/>
      <c r="I92" s="17"/>
      <c r="K92" s="55" t="n">
        <f aca="false">Хмільник!K92</f>
        <v>0</v>
      </c>
      <c r="L92" s="26" t="n">
        <f aca="false">L91</f>
        <v>38</v>
      </c>
    </row>
    <row r="93" customFormat="false" ht="12.75" hidden="false" customHeight="true" outlineLevel="0" collapsed="false">
      <c r="B93" s="15"/>
      <c r="C93" s="54" t="str">
        <f aca="false">Хмільник!C93</f>
        <v>Концентрати харчові (перші страви)</v>
      </c>
      <c r="D93" s="15" t="n">
        <f aca="false">Хмільник!D93</f>
        <v>11309</v>
      </c>
      <c r="E93" s="15" t="s">
        <v>27</v>
      </c>
      <c r="F93" s="56"/>
      <c r="G93" s="29" t="n">
        <f aca="false">L93*K93/1000</f>
        <v>0</v>
      </c>
      <c r="H93" s="57"/>
      <c r="I93" s="57"/>
      <c r="K93" s="55" t="n">
        <f aca="false">Хмільник!K93</f>
        <v>0</v>
      </c>
      <c r="L93" s="26" t="n">
        <f aca="false">L92</f>
        <v>38</v>
      </c>
    </row>
    <row r="94" customFormat="false" ht="13.5" hidden="false" customHeight="true" outlineLevel="0" collapsed="false">
      <c r="B94" s="15"/>
      <c r="C94" s="54" t="str">
        <f aca="false">Хмільник!C94</f>
        <v>Концентрати харчові (другі страви)</v>
      </c>
      <c r="D94" s="15" t="n">
        <f aca="false">Хмільник!D94</f>
        <v>11310</v>
      </c>
      <c r="E94" s="15" t="s">
        <v>27</v>
      </c>
      <c r="F94" s="15"/>
      <c r="G94" s="29" t="n">
        <f aca="false">L94*K94/1000</f>
        <v>0</v>
      </c>
      <c r="H94" s="17"/>
      <c r="I94" s="17"/>
      <c r="K94" s="55" t="n">
        <f aca="false">Хмільник!K94</f>
        <v>0</v>
      </c>
      <c r="L94" s="26" t="n">
        <f aca="false">L93</f>
        <v>38</v>
      </c>
    </row>
    <row r="95" customFormat="false" ht="14.25" hidden="false" customHeight="true" outlineLevel="0" collapsed="false">
      <c r="B95" s="15"/>
      <c r="C95" s="54" t="str">
        <f aca="false">Хмільник!C95</f>
        <v>Пластівці вівсяні “Екстра”</v>
      </c>
      <c r="D95" s="15" t="n">
        <f aca="false">Хмільник!D95</f>
        <v>11401</v>
      </c>
      <c r="E95" s="15" t="s">
        <v>27</v>
      </c>
      <c r="F95" s="15"/>
      <c r="G95" s="29" t="n">
        <f aca="false">L95*K95/1000</f>
        <v>0</v>
      </c>
      <c r="H95" s="17"/>
      <c r="I95" s="17"/>
      <c r="K95" s="55" t="n">
        <f aca="false">Хмільник!K95</f>
        <v>0</v>
      </c>
      <c r="L95" s="26" t="n">
        <f aca="false">L94</f>
        <v>38</v>
      </c>
    </row>
    <row r="96" customFormat="false" ht="14.25" hidden="false" customHeight="true" outlineLevel="0" collapsed="false">
      <c r="B96" s="15"/>
      <c r="C96" s="54" t="str">
        <f aca="false">Хмільник!C96</f>
        <v>Крупа вівсяна неподрібнена</v>
      </c>
      <c r="D96" s="15" t="n">
        <f aca="false">Хмільник!D96</f>
        <v>11402</v>
      </c>
      <c r="E96" s="15" t="s">
        <v>27</v>
      </c>
      <c r="F96" s="15"/>
      <c r="G96" s="29" t="n">
        <f aca="false">L96*K96/1000</f>
        <v>0</v>
      </c>
      <c r="H96" s="17"/>
      <c r="I96" s="17"/>
      <c r="K96" s="55" t="n">
        <f aca="false">Хмільник!K96</f>
        <v>0</v>
      </c>
      <c r="L96" s="26" t="n">
        <f aca="false">L95</f>
        <v>38</v>
      </c>
    </row>
    <row r="97" customFormat="false" ht="12.75" hidden="false" customHeight="true" outlineLevel="0" collapsed="false">
      <c r="B97" s="15"/>
      <c r="C97" s="54" t="str">
        <f aca="false">Хмільник!C97</f>
        <v>Крупа вівсяна плющена</v>
      </c>
      <c r="D97" s="15" t="n">
        <f aca="false">Хмільник!D97</f>
        <v>11403</v>
      </c>
      <c r="E97" s="15" t="s">
        <v>27</v>
      </c>
      <c r="F97" s="56"/>
      <c r="G97" s="29" t="n">
        <f aca="false">L97*K97/1000</f>
        <v>0</v>
      </c>
      <c r="H97" s="57"/>
      <c r="I97" s="57"/>
      <c r="K97" s="55" t="n">
        <f aca="false">Хмільник!K97</f>
        <v>0</v>
      </c>
      <c r="L97" s="26" t="n">
        <f aca="false">L96</f>
        <v>38</v>
      </c>
    </row>
    <row r="98" customFormat="false" ht="15.75" hidden="false" customHeight="true" outlineLevel="0" collapsed="false">
      <c r="B98" s="15"/>
      <c r="C98" s="54" t="str">
        <f aca="false">Хмільник!C98</f>
        <v>Крупа горохова колота</v>
      </c>
      <c r="D98" s="15" t="n">
        <f aca="false">Хмільник!D98</f>
        <v>11404</v>
      </c>
      <c r="E98" s="15" t="s">
        <v>27</v>
      </c>
      <c r="F98" s="15"/>
      <c r="G98" s="29" t="n">
        <f aca="false">L98*K98/1000</f>
        <v>0</v>
      </c>
      <c r="H98" s="17"/>
      <c r="I98" s="17"/>
      <c r="K98" s="55" t="n">
        <f aca="false">Хмільник!K98</f>
        <v>0</v>
      </c>
      <c r="L98" s="26" t="n">
        <f aca="false">L97</f>
        <v>38</v>
      </c>
    </row>
    <row r="99" customFormat="false" ht="15" hidden="false" customHeight="true" outlineLevel="0" collapsed="false">
      <c r="B99" s="15"/>
      <c r="C99" s="54" t="str">
        <f aca="false">Хмільник!C99</f>
        <v>Крупа гречана ядриця</v>
      </c>
      <c r="D99" s="15" t="n">
        <f aca="false">Хмільник!D99</f>
        <v>11405</v>
      </c>
      <c r="E99" s="15" t="s">
        <v>27</v>
      </c>
      <c r="F99" s="15"/>
      <c r="G99" s="29" t="n">
        <f aca="false">L99*K99/1000</f>
        <v>0</v>
      </c>
      <c r="H99" s="17"/>
      <c r="I99" s="17"/>
      <c r="K99" s="55" t="n">
        <f aca="false">Хмільник!K99</f>
        <v>0</v>
      </c>
      <c r="L99" s="26" t="n">
        <f aca="false">L98</f>
        <v>38</v>
      </c>
    </row>
    <row r="100" customFormat="false" ht="14.25" hidden="false" customHeight="true" outlineLevel="0" collapsed="false">
      <c r="B100" s="15"/>
      <c r="C100" s="54" t="str">
        <f aca="false">Хмільник!C100</f>
        <v>Крупа кукурудзяна шліфована</v>
      </c>
      <c r="D100" s="15" t="n">
        <f aca="false">Хмільник!D100</f>
        <v>11406</v>
      </c>
      <c r="E100" s="15" t="s">
        <v>27</v>
      </c>
      <c r="F100" s="56"/>
      <c r="G100" s="29" t="n">
        <f aca="false">L100*K100/1000</f>
        <v>0</v>
      </c>
      <c r="H100" s="57"/>
      <c r="I100" s="57"/>
      <c r="K100" s="55" t="n">
        <f aca="false">Хмільник!K100</f>
        <v>0</v>
      </c>
      <c r="L100" s="26" t="n">
        <f aca="false">L99</f>
        <v>38</v>
      </c>
    </row>
    <row r="101" customFormat="false" ht="15" hidden="false" customHeight="true" outlineLevel="0" collapsed="false">
      <c r="B101" s="15"/>
      <c r="C101" s="54" t="str">
        <f aca="false">Хмільник!C101</f>
        <v>Крупа манна</v>
      </c>
      <c r="D101" s="15" t="n">
        <f aca="false">Хмільник!D101</f>
        <v>11407</v>
      </c>
      <c r="E101" s="15" t="s">
        <v>27</v>
      </c>
      <c r="F101" s="15"/>
      <c r="G101" s="29" t="n">
        <f aca="false">L101*K101/1000</f>
        <v>0</v>
      </c>
      <c r="H101" s="17"/>
      <c r="I101" s="17"/>
      <c r="K101" s="55" t="n">
        <f aca="false">Хмільник!K101</f>
        <v>0</v>
      </c>
      <c r="L101" s="26" t="n">
        <f aca="false">L100</f>
        <v>38</v>
      </c>
    </row>
    <row r="102" customFormat="false" ht="14.25" hidden="false" customHeight="true" outlineLevel="0" collapsed="false">
      <c r="B102" s="15"/>
      <c r="C102" s="54" t="str">
        <f aca="false">Хмільник!C102</f>
        <v>Крупа перлова</v>
      </c>
      <c r="D102" s="15" t="n">
        <f aca="false">Хмільник!D102</f>
        <v>11408</v>
      </c>
      <c r="E102" s="15" t="s">
        <v>27</v>
      </c>
      <c r="F102" s="15"/>
      <c r="G102" s="29" t="n">
        <f aca="false">L102*K102/1000</f>
        <v>0</v>
      </c>
      <c r="H102" s="17"/>
      <c r="I102" s="17"/>
      <c r="K102" s="55" t="n">
        <f aca="false">Хмільник!K102</f>
        <v>0</v>
      </c>
      <c r="L102" s="26" t="n">
        <f aca="false">L101</f>
        <v>38</v>
      </c>
    </row>
    <row r="103" customFormat="false" ht="13.5" hidden="false" customHeight="true" outlineLevel="0" collapsed="false">
      <c r="B103" s="15"/>
      <c r="C103" s="54" t="str">
        <f aca="false">Хмільник!C103</f>
        <v>Крупа пшенична</v>
      </c>
      <c r="D103" s="15" t="n">
        <f aca="false">Хмільник!D103</f>
        <v>11409</v>
      </c>
      <c r="E103" s="15" t="s">
        <v>27</v>
      </c>
      <c r="F103" s="56"/>
      <c r="G103" s="29" t="n">
        <f aca="false">L103*K103/1000</f>
        <v>0</v>
      </c>
      <c r="H103" s="57"/>
      <c r="I103" s="57"/>
      <c r="K103" s="55" t="n">
        <f aca="false">Хмільник!K103</f>
        <v>0</v>
      </c>
      <c r="L103" s="26" t="n">
        <f aca="false">L102</f>
        <v>38</v>
      </c>
    </row>
    <row r="104" customFormat="false" ht="14.25" hidden="false" customHeight="true" outlineLevel="0" collapsed="false">
      <c r="B104" s="15"/>
      <c r="C104" s="54" t="str">
        <f aca="false">Хмільник!C104</f>
        <v>Крупа пшоняна</v>
      </c>
      <c r="D104" s="15" t="n">
        <f aca="false">Хмільник!D104</f>
        <v>11410</v>
      </c>
      <c r="E104" s="15" t="s">
        <v>27</v>
      </c>
      <c r="F104" s="15"/>
      <c r="G104" s="29" t="n">
        <f aca="false">L104*K104/1000</f>
        <v>0</v>
      </c>
      <c r="H104" s="17"/>
      <c r="I104" s="17"/>
      <c r="K104" s="55" t="n">
        <f aca="false">Хмільник!K104</f>
        <v>0</v>
      </c>
      <c r="L104" s="26" t="n">
        <f aca="false">L103</f>
        <v>38</v>
      </c>
    </row>
    <row r="105" customFormat="false" ht="13.5" hidden="false" customHeight="true" outlineLevel="0" collapsed="false">
      <c r="B105" s="15"/>
      <c r="C105" s="54" t="str">
        <f aca="false">Хмільник!C105</f>
        <v>Крупа ячна</v>
      </c>
      <c r="D105" s="15" t="n">
        <f aca="false">Хмільник!D105</f>
        <v>11411</v>
      </c>
      <c r="E105" s="15" t="s">
        <v>27</v>
      </c>
      <c r="F105" s="56"/>
      <c r="G105" s="29" t="n">
        <f aca="false">L105*K105/1000</f>
        <v>0</v>
      </c>
      <c r="H105" s="57"/>
      <c r="I105" s="57"/>
      <c r="K105" s="55" t="n">
        <f aca="false">Хмільник!K105</f>
        <v>0</v>
      </c>
      <c r="L105" s="26" t="n">
        <f aca="false">L104</f>
        <v>38</v>
      </c>
    </row>
    <row r="106" customFormat="false" ht="15.75" hidden="false" customHeight="true" outlineLevel="0" collapsed="false">
      <c r="B106" s="15"/>
      <c r="C106" s="54" t="str">
        <f aca="false">Хмільник!C106</f>
        <v>Пластівці кукурудзяні</v>
      </c>
      <c r="D106" s="15" t="n">
        <f aca="false">Хмільник!D106</f>
        <v>11412</v>
      </c>
      <c r="E106" s="15" t="s">
        <v>27</v>
      </c>
      <c r="F106" s="15"/>
      <c r="G106" s="29" t="n">
        <f aca="false">L106*K106/1000</f>
        <v>0</v>
      </c>
      <c r="H106" s="17"/>
      <c r="I106" s="17"/>
      <c r="K106" s="55" t="n">
        <f aca="false">Хмільник!K106</f>
        <v>0</v>
      </c>
      <c r="L106" s="26" t="n">
        <f aca="false">L105</f>
        <v>38</v>
      </c>
    </row>
    <row r="107" customFormat="false" ht="14.25" hidden="false" customHeight="true" outlineLevel="0" collapsed="false">
      <c r="B107" s="15"/>
      <c r="C107" s="54" t="str">
        <f aca="false">Хмільник!C107</f>
        <v>Пластівці круп’яні зі смаковими добавками</v>
      </c>
      <c r="D107" s="15" t="n">
        <f aca="false">Хмільник!D107</f>
        <v>11413</v>
      </c>
      <c r="E107" s="15" t="s">
        <v>27</v>
      </c>
      <c r="F107" s="15"/>
      <c r="G107" s="29" t="n">
        <f aca="false">L107*K107/1000</f>
        <v>0</v>
      </c>
      <c r="H107" s="17"/>
      <c r="I107" s="17"/>
      <c r="K107" s="55" t="n">
        <f aca="false">Хмільник!K107</f>
        <v>0</v>
      </c>
      <c r="L107" s="26" t="n">
        <f aca="false">L106</f>
        <v>38</v>
      </c>
    </row>
    <row r="108" customFormat="false" ht="14.25" hidden="false" customHeight="true" outlineLevel="0" collapsed="false">
      <c r="B108" s="15"/>
      <c r="C108" s="54" t="str">
        <f aca="false">Хмільник!C108</f>
        <v>Плаcтівці круп’яні</v>
      </c>
      <c r="D108" s="15" t="n">
        <f aca="false">Хмільник!D108</f>
        <v>11414</v>
      </c>
      <c r="E108" s="15" t="s">
        <v>27</v>
      </c>
      <c r="F108" s="15"/>
      <c r="G108" s="29" t="n">
        <f aca="false">L108*K108/1000</f>
        <v>0</v>
      </c>
      <c r="H108" s="17"/>
      <c r="I108" s="17"/>
      <c r="K108" s="55" t="n">
        <f aca="false">Хмільник!K108</f>
        <v>0</v>
      </c>
      <c r="L108" s="26" t="n">
        <f aca="false">L107</f>
        <v>38</v>
      </c>
    </row>
    <row r="109" customFormat="false" ht="14.25" hidden="false" customHeight="true" outlineLevel="0" collapsed="false">
      <c r="B109" s="15"/>
      <c r="C109" s="54" t="str">
        <f aca="false">Хмільник!C109</f>
        <v>Нут</v>
      </c>
      <c r="D109" s="15" t="n">
        <f aca="false">Хмільник!D109</f>
        <v>11415</v>
      </c>
      <c r="E109" s="15" t="s">
        <v>27</v>
      </c>
      <c r="F109" s="15"/>
      <c r="G109" s="29" t="n">
        <f aca="false">L109*K109/1000</f>
        <v>0</v>
      </c>
      <c r="H109" s="17"/>
      <c r="I109" s="17"/>
      <c r="K109" s="55" t="n">
        <f aca="false">Хмільник!K109</f>
        <v>0</v>
      </c>
      <c r="L109" s="26" t="n">
        <f aca="false">L108</f>
        <v>38</v>
      </c>
    </row>
    <row r="110" customFormat="false" ht="13.5" hidden="false" customHeight="true" outlineLevel="0" collapsed="false">
      <c r="B110" s="15"/>
      <c r="C110" s="54" t="str">
        <f aca="false">Хмільник!C110</f>
        <v>Рис довгозернистий шліфований</v>
      </c>
      <c r="D110" s="15" t="n">
        <f aca="false">Хмільник!D110</f>
        <v>11416</v>
      </c>
      <c r="E110" s="15" t="s">
        <v>27</v>
      </c>
      <c r="F110" s="56"/>
      <c r="G110" s="29" t="n">
        <f aca="false">L110*K110/1000</f>
        <v>0</v>
      </c>
      <c r="H110" s="57"/>
      <c r="I110" s="57"/>
      <c r="K110" s="55" t="n">
        <f aca="false">Хмільник!K110</f>
        <v>0</v>
      </c>
      <c r="L110" s="26" t="n">
        <f aca="false">L109</f>
        <v>38</v>
      </c>
    </row>
    <row r="111" customFormat="false" ht="14.25" hidden="false" customHeight="true" outlineLevel="0" collapsed="false">
      <c r="B111" s="15"/>
      <c r="C111" s="54" t="str">
        <f aca="false">Хмільник!C111</f>
        <v>Рис круглозернистий (середньозернистий)</v>
      </c>
      <c r="D111" s="15" t="n">
        <f aca="false">Хмільник!D111</f>
        <v>11417</v>
      </c>
      <c r="E111" s="15" t="s">
        <v>27</v>
      </c>
      <c r="F111" s="15"/>
      <c r="G111" s="29" t="n">
        <f aca="false">L111*K111/1000</f>
        <v>0</v>
      </c>
      <c r="H111" s="17"/>
      <c r="I111" s="17"/>
      <c r="K111" s="55" t="n">
        <f aca="false">Хмільник!K111</f>
        <v>0</v>
      </c>
      <c r="L111" s="26" t="n">
        <f aca="false">L110</f>
        <v>38</v>
      </c>
    </row>
    <row r="112" customFormat="false" ht="14.25" hidden="false" customHeight="true" outlineLevel="0" collapsed="false">
      <c r="B112" s="15"/>
      <c r="C112" s="54" t="str">
        <f aca="false">Хмільник!C112</f>
        <v>Рис нешліфований</v>
      </c>
      <c r="D112" s="15" t="n">
        <f aca="false">Хмільник!D112</f>
        <v>11419</v>
      </c>
      <c r="E112" s="15" t="s">
        <v>27</v>
      </c>
      <c r="F112" s="15"/>
      <c r="G112" s="29" t="n">
        <f aca="false">L112*K112/1000</f>
        <v>0</v>
      </c>
      <c r="H112" s="17"/>
      <c r="I112" s="17"/>
      <c r="K112" s="55" t="n">
        <f aca="false">Хмільник!K112</f>
        <v>0</v>
      </c>
      <c r="L112" s="26" t="n">
        <f aca="false">L111</f>
        <v>38</v>
      </c>
    </row>
    <row r="113" customFormat="false" ht="14.25" hidden="false" customHeight="true" outlineLevel="0" collapsed="false">
      <c r="B113" s="15"/>
      <c r="C113" s="54" t="str">
        <f aca="false">Хмільник!C113</f>
        <v>Сніданки сухі</v>
      </c>
      <c r="D113" s="15" t="n">
        <f aca="false">Хмільник!D113</f>
        <v>11420</v>
      </c>
      <c r="E113" s="15" t="s">
        <v>27</v>
      </c>
      <c r="F113" s="15"/>
      <c r="G113" s="29" t="n">
        <f aca="false">L113*K113/1000</f>
        <v>0</v>
      </c>
      <c r="H113" s="17"/>
      <c r="I113" s="17"/>
      <c r="K113" s="55" t="n">
        <f aca="false">Хмільник!K113</f>
        <v>0</v>
      </c>
      <c r="L113" s="26" t="n">
        <f aca="false">L112</f>
        <v>38</v>
      </c>
    </row>
    <row r="114" customFormat="false" ht="14.25" hidden="false" customHeight="true" outlineLevel="0" collapsed="false">
      <c r="B114" s="15"/>
      <c r="C114" s="54" t="str">
        <f aca="false">Хмільник!C114</f>
        <v>Крупа кускус</v>
      </c>
      <c r="D114" s="15" t="n">
        <f aca="false">Хмільник!D114</f>
        <v>11422</v>
      </c>
      <c r="E114" s="15" t="s">
        <v>27</v>
      </c>
      <c r="F114" s="15"/>
      <c r="G114" s="29" t="n">
        <f aca="false">L114*K114/1000</f>
        <v>0</v>
      </c>
      <c r="H114" s="17"/>
      <c r="I114" s="17"/>
      <c r="K114" s="55" t="n">
        <f aca="false">Хмільник!K114</f>
        <v>0</v>
      </c>
      <c r="L114" s="26" t="n">
        <f aca="false">L113</f>
        <v>38</v>
      </c>
    </row>
    <row r="115" customFormat="false" ht="14.25" hidden="false" customHeight="true" outlineLevel="0" collapsed="false">
      <c r="B115" s="15"/>
      <c r="C115" s="54" t="str">
        <f aca="false">Хмільник!C115</f>
        <v>Крупа булгур</v>
      </c>
      <c r="D115" s="15" t="n">
        <f aca="false">Хмільник!D115</f>
        <v>11423</v>
      </c>
      <c r="E115" s="15" t="s">
        <v>27</v>
      </c>
      <c r="F115" s="15"/>
      <c r="G115" s="29" t="n">
        <f aca="false">L115*K115/1000</f>
        <v>0</v>
      </c>
      <c r="H115" s="17"/>
      <c r="I115" s="17"/>
      <c r="K115" s="55" t="n">
        <f aca="false">Хмільник!K115</f>
        <v>0</v>
      </c>
      <c r="L115" s="26" t="n">
        <f aca="false">L114</f>
        <v>38</v>
      </c>
    </row>
    <row r="116" customFormat="false" ht="14.25" hidden="false" customHeight="true" outlineLevel="0" collapsed="false">
      <c r="B116" s="15"/>
      <c r="C116" s="54" t="str">
        <f aca="false">Хмільник!C116</f>
        <v>Крупа сочевиця</v>
      </c>
      <c r="D116" s="15" t="n">
        <f aca="false">Хмільник!D116</f>
        <v>11424</v>
      </c>
      <c r="E116" s="15" t="s">
        <v>27</v>
      </c>
      <c r="F116" s="15"/>
      <c r="G116" s="29" t="n">
        <f aca="false">L116*K116/1000</f>
        <v>0</v>
      </c>
      <c r="H116" s="17"/>
      <c r="I116" s="17"/>
      <c r="K116" s="55" t="n">
        <f aca="false">Хмільник!K116</f>
        <v>0</v>
      </c>
      <c r="L116" s="26" t="n">
        <f aca="false">L115</f>
        <v>38</v>
      </c>
    </row>
    <row r="117" customFormat="false" ht="14.25" hidden="false" customHeight="true" outlineLevel="0" collapsed="false">
      <c r="B117" s="15"/>
      <c r="C117" s="54" t="str">
        <f aca="false">Хмільник!C117</f>
        <v>Вермішель довга (твердих сортів)</v>
      </c>
      <c r="D117" s="15" t="n">
        <f aca="false">Хмільник!D117</f>
        <v>11501</v>
      </c>
      <c r="E117" s="38" t="s">
        <v>211</v>
      </c>
      <c r="F117" s="38"/>
      <c r="G117" s="29" t="n">
        <f aca="false">L117*K117/1000</f>
        <v>0</v>
      </c>
      <c r="H117" s="17"/>
      <c r="I117" s="17"/>
      <c r="K117" s="55" t="n">
        <f aca="false">Хмільник!K117</f>
        <v>0</v>
      </c>
      <c r="L117" s="26" t="n">
        <f aca="false">L116</f>
        <v>38</v>
      </c>
    </row>
    <row r="118" customFormat="false" ht="13.5" hidden="false" customHeight="true" outlineLevel="0" collapsed="false">
      <c r="B118" s="15"/>
      <c r="C118" s="54" t="str">
        <f aca="false">Хмільник!C118</f>
        <v>Макарони</v>
      </c>
      <c r="D118" s="15" t="n">
        <f aca="false">Хмільник!D118</f>
        <v>11502</v>
      </c>
      <c r="E118" s="15" t="s">
        <v>211</v>
      </c>
      <c r="F118" s="58"/>
      <c r="G118" s="29" t="n">
        <f aca="false">L118*K118/1000</f>
        <v>0</v>
      </c>
      <c r="H118" s="57"/>
      <c r="I118" s="57"/>
      <c r="K118" s="55" t="n">
        <f aca="false">Хмільник!K118</f>
        <v>0</v>
      </c>
      <c r="L118" s="26" t="n">
        <f aca="false">L117</f>
        <v>38</v>
      </c>
    </row>
    <row r="119" customFormat="false" ht="14.25" hidden="false" customHeight="true" outlineLevel="0" collapsed="false">
      <c r="B119" s="15"/>
      <c r="C119" s="54" t="str">
        <f aca="false">Хмільник!C119</f>
        <v>Трубчасті макаронні вироби (ріжки, перо)</v>
      </c>
      <c r="D119" s="15" t="n">
        <f aca="false">Хмільник!D119</f>
        <v>11503</v>
      </c>
      <c r="E119" s="15" t="s">
        <v>27</v>
      </c>
      <c r="F119" s="15"/>
      <c r="G119" s="29" t="n">
        <f aca="false">L119*K119/1000</f>
        <v>0</v>
      </c>
      <c r="H119" s="17"/>
      <c r="I119" s="17"/>
      <c r="K119" s="55" t="n">
        <f aca="false">Хмільник!K119</f>
        <v>0</v>
      </c>
      <c r="L119" s="26" t="n">
        <f aca="false">L118</f>
        <v>38</v>
      </c>
    </row>
    <row r="120" customFormat="false" ht="16.5" hidden="false" customHeight="false" outlineLevel="0" collapsed="false">
      <c r="B120" s="15"/>
      <c r="C120" s="54" t="str">
        <f aca="false">Хмільник!C120</f>
        <v>Локшина</v>
      </c>
      <c r="D120" s="15" t="n">
        <f aca="false">Хмільник!D120</f>
        <v>11504</v>
      </c>
      <c r="E120" s="15" t="s">
        <v>27</v>
      </c>
      <c r="F120" s="15"/>
      <c r="G120" s="29" t="n">
        <f aca="false">L120*K120/1000</f>
        <v>0</v>
      </c>
      <c r="H120" s="17"/>
      <c r="I120" s="17"/>
      <c r="K120" s="55" t="n">
        <f aca="false">Хмільник!K120</f>
        <v>0</v>
      </c>
      <c r="L120" s="26" t="n">
        <f aca="false">L119</f>
        <v>38</v>
      </c>
    </row>
    <row r="121" customFormat="false" ht="13.5" hidden="false" customHeight="true" outlineLevel="0" collapsed="false">
      <c r="B121" s="15"/>
      <c r="C121" s="54" t="str">
        <f aca="false">Хмільник!C121</f>
        <v>Фігурні макаронні вироби</v>
      </c>
      <c r="D121" s="15" t="n">
        <f aca="false">Хмільник!D121</f>
        <v>11505</v>
      </c>
      <c r="E121" s="15" t="s">
        <v>27</v>
      </c>
      <c r="F121" s="56"/>
      <c r="G121" s="29" t="n">
        <f aca="false">L121*K121/1000</f>
        <v>0</v>
      </c>
      <c r="H121" s="57"/>
      <c r="I121" s="57"/>
      <c r="K121" s="55" t="n">
        <f aca="false">Хмільник!K121</f>
        <v>0</v>
      </c>
      <c r="L121" s="26" t="n">
        <f aca="false">L120</f>
        <v>38</v>
      </c>
    </row>
    <row r="122" customFormat="false" ht="12.75" hidden="false" customHeight="true" outlineLevel="0" collapsed="false">
      <c r="B122" s="15"/>
      <c r="C122" s="54" t="str">
        <f aca="false">Хмільник!C122</f>
        <v>Базилік (спеції)</v>
      </c>
      <c r="D122" s="15" t="n">
        <f aca="false">Хмільник!D122</f>
        <v>11602</v>
      </c>
      <c r="E122" s="15" t="s">
        <v>27</v>
      </c>
      <c r="F122" s="15"/>
      <c r="G122" s="29" t="n">
        <f aca="false">L122*K122/1000</f>
        <v>0</v>
      </c>
      <c r="H122" s="17"/>
      <c r="I122" s="17"/>
      <c r="K122" s="55" t="n">
        <f aca="false">Хмільник!K122</f>
        <v>0</v>
      </c>
      <c r="L122" s="26" t="n">
        <f aca="false">L121</f>
        <v>38</v>
      </c>
    </row>
    <row r="123" customFormat="false" ht="13.5" hidden="false" customHeight="true" outlineLevel="0" collapsed="false">
      <c r="B123" s="15"/>
      <c r="C123" s="54" t="str">
        <f aca="false">Хмільник!C123</f>
        <v>Гірчиця харчова</v>
      </c>
      <c r="D123" s="15" t="n">
        <f aca="false">Хмільник!D123</f>
        <v>11603</v>
      </c>
      <c r="E123" s="15" t="s">
        <v>27</v>
      </c>
      <c r="F123" s="15"/>
      <c r="G123" s="29" t="n">
        <f aca="false">L123*K123/1000</f>
        <v>0</v>
      </c>
      <c r="H123" s="17"/>
      <c r="I123" s="17"/>
      <c r="K123" s="55" t="n">
        <f aca="false">Хмільник!K123</f>
        <v>0</v>
      </c>
      <c r="L123" s="26" t="n">
        <f aca="false">L122</f>
        <v>38</v>
      </c>
    </row>
    <row r="124" customFormat="false" ht="14.25" hidden="false" customHeight="true" outlineLevel="0" collapsed="false">
      <c r="B124" s="15"/>
      <c r="C124" s="54" t="str">
        <f aca="false">Хмільник!C124</f>
        <v>Дріжджі хлібопекарські пресовані</v>
      </c>
      <c r="D124" s="15" t="n">
        <f aca="false">Хмільник!D124</f>
        <v>11604</v>
      </c>
      <c r="E124" s="15" t="s">
        <v>27</v>
      </c>
      <c r="F124" s="15"/>
      <c r="G124" s="29" t="n">
        <f aca="false">L124*K124/1000</f>
        <v>0</v>
      </c>
      <c r="H124" s="17"/>
      <c r="I124" s="17"/>
      <c r="K124" s="55" t="n">
        <f aca="false">Хмільник!K124</f>
        <v>0</v>
      </c>
      <c r="L124" s="26" t="n">
        <f aca="false">L123</f>
        <v>38</v>
      </c>
    </row>
    <row r="125" customFormat="false" ht="14.25" hidden="false" customHeight="true" outlineLevel="0" collapsed="false">
      <c r="B125" s="15"/>
      <c r="C125" s="54" t="str">
        <f aca="false">Хмільник!C125</f>
        <v>Дріжджі хлібопекарські сухі</v>
      </c>
      <c r="D125" s="15" t="n">
        <f aca="false">Хмільник!D125</f>
        <v>11605</v>
      </c>
      <c r="E125" s="15" t="s">
        <v>27</v>
      </c>
      <c r="F125" s="56"/>
      <c r="G125" s="29" t="n">
        <f aca="false">L125*K125/1000</f>
        <v>0</v>
      </c>
      <c r="H125" s="57"/>
      <c r="I125" s="57"/>
      <c r="K125" s="55" t="n">
        <f aca="false">Хмільник!K125</f>
        <v>0</v>
      </c>
      <c r="L125" s="26" t="n">
        <f aca="false">L124</f>
        <v>38</v>
      </c>
    </row>
    <row r="126" customFormat="false" ht="14.25" hidden="false" customHeight="true" outlineLevel="0" collapsed="false">
      <c r="B126" s="15"/>
      <c r="C126" s="54" t="str">
        <f aca="false">Хмільник!C126</f>
        <v>Желатин харчовий</v>
      </c>
      <c r="D126" s="15" t="n">
        <f aca="false">Хмільник!D126</f>
        <v>11606</v>
      </c>
      <c r="E126" s="15" t="s">
        <v>27</v>
      </c>
      <c r="F126" s="15"/>
      <c r="G126" s="29" t="n">
        <f aca="false">L126*K126/1000</f>
        <v>0</v>
      </c>
      <c r="H126" s="17"/>
      <c r="I126" s="17"/>
      <c r="K126" s="55" t="n">
        <f aca="false">Хмільник!K126</f>
        <v>0</v>
      </c>
      <c r="L126" s="26" t="n">
        <f aca="false">L125</f>
        <v>38</v>
      </c>
    </row>
    <row r="127" customFormat="false" ht="14.25" hidden="false" customHeight="true" outlineLevel="0" collapsed="false">
      <c r="B127" s="15"/>
      <c r="C127" s="54" t="str">
        <f aca="false">Хмільник!C127</f>
        <v>Кетчуп</v>
      </c>
      <c r="D127" s="15" t="n">
        <f aca="false">Хмільник!D127</f>
        <v>11607</v>
      </c>
      <c r="E127" s="15" t="s">
        <v>27</v>
      </c>
      <c r="F127" s="56"/>
      <c r="G127" s="29" t="n">
        <f aca="false">L127*K127/1000</f>
        <v>0</v>
      </c>
      <c r="H127" s="57"/>
      <c r="I127" s="57"/>
      <c r="K127" s="55" t="n">
        <f aca="false">Хмільник!K127</f>
        <v>0</v>
      </c>
      <c r="L127" s="26" t="n">
        <f aca="false">L126</f>
        <v>38</v>
      </c>
    </row>
    <row r="128" customFormat="false" ht="14.25" hidden="false" customHeight="true" outlineLevel="0" collapsed="false">
      <c r="B128" s="15"/>
      <c r="C128" s="54" t="str">
        <f aca="false">Хмільник!C128</f>
        <v>Корінь селери</v>
      </c>
      <c r="D128" s="15" t="n">
        <f aca="false">Хмільник!D128</f>
        <v>11608</v>
      </c>
      <c r="E128" s="15" t="s">
        <v>27</v>
      </c>
      <c r="F128" s="15"/>
      <c r="G128" s="29" t="n">
        <f aca="false">L128*K128/1000</f>
        <v>0</v>
      </c>
      <c r="H128" s="17"/>
      <c r="I128" s="17"/>
      <c r="K128" s="55" t="n">
        <f aca="false">Хмільник!K128</f>
        <v>0</v>
      </c>
      <c r="L128" s="26" t="n">
        <f aca="false">L127</f>
        <v>38</v>
      </c>
    </row>
    <row r="129" customFormat="false" ht="14.25" hidden="false" customHeight="true" outlineLevel="0" collapsed="false">
      <c r="B129" s="15"/>
      <c r="C129" s="54" t="str">
        <f aca="false">Хмільник!C129</f>
        <v>Кріп свіжий</v>
      </c>
      <c r="D129" s="15" t="n">
        <f aca="false">Хмільник!D129</f>
        <v>11609</v>
      </c>
      <c r="E129" s="15" t="s">
        <v>27</v>
      </c>
      <c r="F129" s="56"/>
      <c r="G129" s="29" t="n">
        <f aca="false">L129*K129/1000</f>
        <v>0</v>
      </c>
      <c r="H129" s="57"/>
      <c r="I129" s="57"/>
      <c r="K129" s="55" t="n">
        <f aca="false">Хмільник!K129</f>
        <v>0</v>
      </c>
      <c r="L129" s="26" t="n">
        <f aca="false">L128</f>
        <v>38</v>
      </c>
    </row>
    <row r="130" customFormat="false" ht="14.25" hidden="false" customHeight="true" outlineLevel="0" collapsed="false">
      <c r="B130" s="15"/>
      <c r="C130" s="54" t="str">
        <f aca="false">Хмільник!C130</f>
        <v>Кріп сушений</v>
      </c>
      <c r="D130" s="15" t="n">
        <f aca="false">Хмільник!D130</f>
        <v>11610</v>
      </c>
      <c r="E130" s="15" t="s">
        <v>27</v>
      </c>
      <c r="F130" s="15"/>
      <c r="G130" s="29" t="n">
        <f aca="false">L130*K130/1000</f>
        <v>0</v>
      </c>
      <c r="H130" s="17"/>
      <c r="I130" s="17"/>
      <c r="K130" s="55" t="n">
        <f aca="false">Хмільник!K130</f>
        <v>0</v>
      </c>
      <c r="L130" s="26" t="n">
        <f aca="false">L129</f>
        <v>38</v>
      </c>
    </row>
    <row r="131" customFormat="false" ht="14.25" hidden="false" customHeight="true" outlineLevel="0" collapsed="false">
      <c r="B131" s="15"/>
      <c r="C131" s="54" t="str">
        <f aca="false">Хмільник!C131</f>
        <v>Крохмаль картопляний</v>
      </c>
      <c r="D131" s="15" t="n">
        <f aca="false">Хмільник!D131</f>
        <v>11611</v>
      </c>
      <c r="E131" s="15" t="s">
        <v>27</v>
      </c>
      <c r="F131" s="56"/>
      <c r="G131" s="29" t="n">
        <f aca="false">L131*K131/1000</f>
        <v>0</v>
      </c>
      <c r="H131" s="57"/>
      <c r="I131" s="57"/>
      <c r="K131" s="55" t="n">
        <f aca="false">Хмільник!K131</f>
        <v>0</v>
      </c>
      <c r="L131" s="26" t="n">
        <f aca="false">L130</f>
        <v>38</v>
      </c>
    </row>
    <row r="132" customFormat="false" ht="14.25" hidden="false" customHeight="true" outlineLevel="0" collapsed="false">
      <c r="B132" s="15"/>
      <c r="C132" s="54" t="str">
        <f aca="false">Хмільник!C132</f>
        <v>Лист лавровий сухий</v>
      </c>
      <c r="D132" s="15" t="n">
        <f aca="false">Хмільник!D132</f>
        <v>11612</v>
      </c>
      <c r="E132" s="15" t="s">
        <v>27</v>
      </c>
      <c r="F132" s="15"/>
      <c r="G132" s="29" t="n">
        <f aca="false">L132*K132/1000</f>
        <v>0</v>
      </c>
      <c r="H132" s="17"/>
      <c r="I132" s="17"/>
      <c r="K132" s="55" t="n">
        <f aca="false">Хмільник!K132</f>
        <v>0</v>
      </c>
      <c r="L132" s="26" t="n">
        <f aca="false">L131</f>
        <v>38</v>
      </c>
    </row>
    <row r="133" customFormat="false" ht="11.25" hidden="false" customHeight="true" outlineLevel="0" collapsed="false">
      <c r="B133" s="15"/>
      <c r="C133" s="54" t="str">
        <f aca="false">Хмільник!C133</f>
        <v>Майонезний соус</v>
      </c>
      <c r="D133" s="15" t="n">
        <f aca="false">Хмільник!D133</f>
        <v>11613</v>
      </c>
      <c r="E133" s="15" t="s">
        <v>27</v>
      </c>
      <c r="F133" s="56"/>
      <c r="G133" s="29" t="n">
        <f aca="false">L133*K133/1000</f>
        <v>0</v>
      </c>
      <c r="H133" s="57"/>
      <c r="I133" s="57"/>
      <c r="K133" s="55" t="n">
        <f aca="false">Хмільник!K133</f>
        <v>0</v>
      </c>
      <c r="L133" s="26" t="n">
        <f aca="false">L132</f>
        <v>38</v>
      </c>
    </row>
    <row r="134" customFormat="false" ht="12" hidden="false" customHeight="true" outlineLevel="0" collapsed="false">
      <c r="B134" s="15"/>
      <c r="C134" s="54" t="str">
        <f aca="false">Хмільник!C134</f>
        <v>Майонез (понад 55 %)</v>
      </c>
      <c r="D134" s="15" t="n">
        <f aca="false">Хмільник!D134</f>
        <v>11614</v>
      </c>
      <c r="E134" s="15" t="s">
        <v>27</v>
      </c>
      <c r="F134" s="15"/>
      <c r="G134" s="29" t="n">
        <f aca="false">L134*K134/1000</f>
        <v>0</v>
      </c>
      <c r="H134" s="17"/>
      <c r="I134" s="17"/>
      <c r="K134" s="55" t="n">
        <f aca="false">Хмільник!K134</f>
        <v>0</v>
      </c>
      <c r="L134" s="26" t="n">
        <f aca="false">L133</f>
        <v>38</v>
      </c>
    </row>
    <row r="135" customFormat="false" ht="13.5" hidden="false" customHeight="true" outlineLevel="0" collapsed="false">
      <c r="B135" s="15"/>
      <c r="C135" s="54" t="str">
        <f aca="false">Хмільник!C135</f>
        <v>Орегано (спеції)</v>
      </c>
      <c r="D135" s="15" t="n">
        <f aca="false">Хмільник!D135</f>
        <v>11615</v>
      </c>
      <c r="E135" s="15" t="s">
        <v>27</v>
      </c>
      <c r="F135" s="15"/>
      <c r="G135" s="29" t="n">
        <f aca="false">L135*K135/1000</f>
        <v>0</v>
      </c>
      <c r="H135" s="17"/>
      <c r="I135" s="17"/>
      <c r="K135" s="55" t="n">
        <f aca="false">Хмільник!K135</f>
        <v>0</v>
      </c>
      <c r="L135" s="26" t="n">
        <f aca="false">L134</f>
        <v>38</v>
      </c>
    </row>
    <row r="136" customFormat="false" ht="12.75" hidden="false" customHeight="true" outlineLevel="0" collapsed="false">
      <c r="B136" s="15"/>
      <c r="C136" s="54" t="str">
        <f aca="false">Хмільник!C136</f>
        <v>Оцет 9 %</v>
      </c>
      <c r="D136" s="15" t="n">
        <f aca="false">Хмільник!D136</f>
        <v>11616</v>
      </c>
      <c r="E136" s="15" t="s">
        <v>27</v>
      </c>
      <c r="F136" s="15"/>
      <c r="G136" s="29" t="n">
        <f aca="false">L136*K136/1000</f>
        <v>0</v>
      </c>
      <c r="H136" s="17"/>
      <c r="I136" s="17"/>
      <c r="K136" s="55" t="n">
        <f aca="false">Хмільник!K136</f>
        <v>0</v>
      </c>
      <c r="L136" s="26" t="n">
        <f aca="false">L135</f>
        <v>38</v>
      </c>
    </row>
    <row r="137" customFormat="false" ht="12" hidden="false" customHeight="true" outlineLevel="0" collapsed="false">
      <c r="B137" s="15"/>
      <c r="C137" s="54" t="str">
        <f aca="false">Хмільник!C137</f>
        <v>Перець червоний мелений</v>
      </c>
      <c r="D137" s="15" t="n">
        <f aca="false">Хмільник!D137</f>
        <v>11617</v>
      </c>
      <c r="E137" s="15" t="s">
        <v>27</v>
      </c>
      <c r="F137" s="15"/>
      <c r="G137" s="29" t="n">
        <f aca="false">L137*K137/1000</f>
        <v>0</v>
      </c>
      <c r="H137" s="17"/>
      <c r="I137" s="17"/>
      <c r="K137" s="55" t="n">
        <f aca="false">Хмільник!K137</f>
        <v>0</v>
      </c>
      <c r="L137" s="26" t="n">
        <f aca="false">L136</f>
        <v>38</v>
      </c>
    </row>
    <row r="138" customFormat="false" ht="12.75" hidden="false" customHeight="true" outlineLevel="0" collapsed="false">
      <c r="B138" s="15"/>
      <c r="C138" s="54" t="str">
        <f aca="false">Хмільник!C138</f>
        <v>Петрушка свіжа</v>
      </c>
      <c r="D138" s="15" t="n">
        <f aca="false">Хмільник!D138</f>
        <v>11618</v>
      </c>
      <c r="E138" s="15" t="s">
        <v>27</v>
      </c>
      <c r="F138" s="15"/>
      <c r="G138" s="29" t="n">
        <f aca="false">L138*K138/1000</f>
        <v>0</v>
      </c>
      <c r="H138" s="17"/>
      <c r="I138" s="17"/>
      <c r="K138" s="55" t="n">
        <f aca="false">Хмільник!K138</f>
        <v>0</v>
      </c>
      <c r="L138" s="26" t="n">
        <f aca="false">L137</f>
        <v>38</v>
      </c>
    </row>
    <row r="139" customFormat="false" ht="13.5" hidden="false" customHeight="true" outlineLevel="0" collapsed="false">
      <c r="B139" s="15"/>
      <c r="C139" s="54" t="str">
        <f aca="false">Хмільник!C139</f>
        <v>Петрушка сушена</v>
      </c>
      <c r="D139" s="15" t="n">
        <f aca="false">Хмільник!D139</f>
        <v>11619</v>
      </c>
      <c r="E139" s="15" t="s">
        <v>27</v>
      </c>
      <c r="F139" s="15"/>
      <c r="G139" s="29" t="n">
        <f aca="false">L139*K139/1000</f>
        <v>0</v>
      </c>
      <c r="H139" s="17"/>
      <c r="I139" s="17"/>
      <c r="K139" s="55" t="n">
        <f aca="false">Хмільник!K139</f>
        <v>0</v>
      </c>
      <c r="L139" s="26" t="n">
        <f aca="false">L138</f>
        <v>38</v>
      </c>
    </row>
    <row r="140" customFormat="false" ht="14.25" hidden="false" customHeight="true" outlineLevel="0" collapsed="false">
      <c r="B140" s="15"/>
      <c r="C140" s="54" t="str">
        <f aca="false">Хмільник!C140</f>
        <v>Порошок гірчичний</v>
      </c>
      <c r="D140" s="15" t="n">
        <f aca="false">Хмільник!D140</f>
        <v>11620</v>
      </c>
      <c r="E140" s="15" t="s">
        <v>27</v>
      </c>
      <c r="F140" s="15"/>
      <c r="G140" s="29" t="n">
        <f aca="false">L140*K140/1000</f>
        <v>0</v>
      </c>
      <c r="H140" s="17"/>
      <c r="I140" s="17"/>
      <c r="K140" s="55" t="n">
        <f aca="false">Хмільник!K140</f>
        <v>0</v>
      </c>
      <c r="L140" s="26" t="n">
        <f aca="false">L139</f>
        <v>38</v>
      </c>
    </row>
    <row r="141" customFormat="false" ht="12.75" hidden="false" customHeight="true" outlineLevel="0" collapsed="false">
      <c r="B141" s="15"/>
      <c r="C141" s="54" t="str">
        <f aca="false">Хмільник!C141</f>
        <v>Приправи для моркви по-корейськи</v>
      </c>
      <c r="D141" s="15" t="n">
        <f aca="false">Хмільник!D141</f>
        <v>11621</v>
      </c>
      <c r="E141" s="15" t="s">
        <v>27</v>
      </c>
      <c r="F141" s="56"/>
      <c r="G141" s="29" t="n">
        <f aca="false">L141*K141/1000</f>
        <v>0</v>
      </c>
      <c r="H141" s="57"/>
      <c r="I141" s="57"/>
      <c r="K141" s="55" t="n">
        <f aca="false">Хмільник!K141</f>
        <v>0</v>
      </c>
      <c r="L141" s="26" t="n">
        <f aca="false">L140</f>
        <v>38</v>
      </c>
    </row>
    <row r="142" customFormat="false" ht="14.25" hidden="false" customHeight="true" outlineLevel="0" collapsed="false">
      <c r="B142" s="15"/>
      <c r="C142" s="54" t="str">
        <f aca="false">Хмільник!C142</f>
        <v>Перець чорний горошком</v>
      </c>
      <c r="D142" s="15" t="n">
        <f aca="false">Хмільник!D142</f>
        <v>11622</v>
      </c>
      <c r="E142" s="15" t="s">
        <v>27</v>
      </c>
      <c r="F142" s="15"/>
      <c r="G142" s="29" t="n">
        <f aca="false">L142*K142/1000</f>
        <v>0</v>
      </c>
      <c r="H142" s="17"/>
      <c r="I142" s="17"/>
      <c r="K142" s="55" t="n">
        <f aca="false">Хмільник!K142</f>
        <v>0</v>
      </c>
      <c r="L142" s="26" t="n">
        <f aca="false">L141</f>
        <v>38</v>
      </c>
    </row>
    <row r="143" customFormat="false" ht="12" hidden="false" customHeight="true" outlineLevel="0" collapsed="false">
      <c r="B143" s="15"/>
      <c r="C143" s="54" t="str">
        <f aca="false">Хмільник!C143</f>
        <v>Перець чорний мелений</v>
      </c>
      <c r="D143" s="15" t="n">
        <f aca="false">Хмільник!D143</f>
        <v>11623</v>
      </c>
      <c r="E143" s="15" t="s">
        <v>27</v>
      </c>
      <c r="F143" s="56"/>
      <c r="G143" s="29" t="n">
        <f aca="false">L143*K143/1000</f>
        <v>0</v>
      </c>
      <c r="H143" s="57"/>
      <c r="I143" s="57"/>
      <c r="K143" s="55" t="n">
        <f aca="false">Хмільник!K143</f>
        <v>0</v>
      </c>
      <c r="L143" s="26" t="n">
        <f aca="false">L142</f>
        <v>38</v>
      </c>
    </row>
    <row r="144" customFormat="false" ht="12" hidden="false" customHeight="true" outlineLevel="0" collapsed="false">
      <c r="B144" s="15"/>
      <c r="C144" s="54" t="str">
        <f aca="false">Хмільник!C144</f>
        <v>Сіль кухонна екстра</v>
      </c>
      <c r="D144" s="15" t="n">
        <f aca="false">Хмільник!D144</f>
        <v>11624</v>
      </c>
      <c r="E144" s="15" t="s">
        <v>27</v>
      </c>
      <c r="F144" s="15"/>
      <c r="G144" s="29" t="n">
        <f aca="false">L144*K144/1000</f>
        <v>0</v>
      </c>
      <c r="H144" s="17"/>
      <c r="I144" s="17"/>
      <c r="K144" s="55" t="n">
        <f aca="false">Хмільник!K144</f>
        <v>0</v>
      </c>
      <c r="L144" s="26" t="n">
        <f aca="false">L143</f>
        <v>38</v>
      </c>
    </row>
    <row r="145" customFormat="false" ht="12.75" hidden="false" customHeight="true" outlineLevel="0" collapsed="false">
      <c r="B145" s="15"/>
      <c r="C145" s="54" t="str">
        <f aca="false">Хмільник!C145</f>
        <v>Сіль кухонна</v>
      </c>
      <c r="D145" s="15" t="n">
        <f aca="false">Хмільник!D145</f>
        <v>11625</v>
      </c>
      <c r="E145" s="15" t="s">
        <v>27</v>
      </c>
      <c r="F145" s="15"/>
      <c r="G145" s="29" t="n">
        <f aca="false">L145*K145/1000</f>
        <v>0</v>
      </c>
      <c r="H145" s="17"/>
      <c r="I145" s="17"/>
      <c r="K145" s="55" t="n">
        <f aca="false">Хмільник!K145</f>
        <v>0</v>
      </c>
      <c r="L145" s="26" t="n">
        <f aca="false">L144</f>
        <v>38</v>
      </c>
    </row>
    <row r="146" customFormat="false" ht="14.25" hidden="false" customHeight="true" outlineLevel="0" collapsed="false">
      <c r="B146" s="15"/>
      <c r="C146" s="54" t="str">
        <f aca="false">Хмільник!C146</f>
        <v>Томатна паста</v>
      </c>
      <c r="D146" s="15" t="n">
        <f aca="false">Хмільник!D146</f>
        <v>11626</v>
      </c>
      <c r="E146" s="15" t="s">
        <v>27</v>
      </c>
      <c r="F146" s="15"/>
      <c r="G146" s="29" t="n">
        <f aca="false">L146*K146/1000</f>
        <v>0</v>
      </c>
      <c r="H146" s="17"/>
      <c r="I146" s="17"/>
      <c r="K146" s="55" t="n">
        <f aca="false">Хмільник!K146</f>
        <v>0</v>
      </c>
      <c r="L146" s="26" t="n">
        <f aca="false">L145</f>
        <v>38</v>
      </c>
    </row>
    <row r="147" customFormat="false" ht="14.25" hidden="false" customHeight="true" outlineLevel="0" collapsed="false">
      <c r="B147" s="15"/>
      <c r="C147" s="54" t="str">
        <f aca="false">Хмільник!C147</f>
        <v>Хрін</v>
      </c>
      <c r="D147" s="15" t="n">
        <f aca="false">Хмільник!D147</f>
        <v>11627</v>
      </c>
      <c r="E147" s="15" t="s">
        <v>27</v>
      </c>
      <c r="F147" s="56"/>
      <c r="G147" s="29" t="n">
        <f aca="false">L147*K147/1000</f>
        <v>0</v>
      </c>
      <c r="H147" s="57"/>
      <c r="I147" s="57"/>
      <c r="K147" s="55" t="n">
        <f aca="false">Хмільник!K147</f>
        <v>0</v>
      </c>
      <c r="L147" s="26" t="n">
        <f aca="false">L146</f>
        <v>38</v>
      </c>
    </row>
    <row r="148" customFormat="false" ht="13.5" hidden="false" customHeight="true" outlineLevel="0" collapsed="false">
      <c r="B148" s="15"/>
      <c r="C148" s="54" t="str">
        <f aca="false">Хмільник!C148</f>
        <v>Кориця мелена</v>
      </c>
      <c r="D148" s="15" t="n">
        <f aca="false">Хмільник!D148</f>
        <v>11628</v>
      </c>
      <c r="E148" s="15" t="s">
        <v>27</v>
      </c>
      <c r="F148" s="15"/>
      <c r="G148" s="29" t="n">
        <f aca="false">L148*K148/1000</f>
        <v>0</v>
      </c>
      <c r="H148" s="17"/>
      <c r="I148" s="17"/>
      <c r="K148" s="55" t="n">
        <f aca="false">Хмільник!K148</f>
        <v>0</v>
      </c>
      <c r="L148" s="26" t="n">
        <f aca="false">L147</f>
        <v>38</v>
      </c>
    </row>
    <row r="149" customFormat="false" ht="13.5" hidden="false" customHeight="true" outlineLevel="0" collapsed="false">
      <c r="B149" s="15"/>
      <c r="C149" s="54" t="str">
        <f aca="false">Хмільник!C149</f>
        <v>Ванілін</v>
      </c>
      <c r="D149" s="15" t="n">
        <f aca="false">Хмільник!D149</f>
        <v>11629</v>
      </c>
      <c r="E149" s="15" t="s">
        <v>27</v>
      </c>
      <c r="F149" s="56"/>
      <c r="G149" s="29" t="n">
        <f aca="false">L149*K149/1000</f>
        <v>0</v>
      </c>
      <c r="H149" s="57"/>
      <c r="I149" s="57"/>
      <c r="K149" s="55" t="n">
        <f aca="false">Хмільник!K149</f>
        <v>0</v>
      </c>
      <c r="L149" s="26" t="n">
        <f aca="false">L148</f>
        <v>38</v>
      </c>
    </row>
    <row r="150" customFormat="false" ht="14.25" hidden="false" customHeight="true" outlineLevel="0" collapsed="false">
      <c r="B150" s="15"/>
      <c r="C150" s="54" t="str">
        <f aca="false">Хмільник!C150</f>
        <v>Ванільний цукор</v>
      </c>
      <c r="D150" s="15" t="n">
        <f aca="false">Хмільник!D150</f>
        <v>11630</v>
      </c>
      <c r="E150" s="15"/>
      <c r="F150" s="15"/>
      <c r="G150" s="29" t="n">
        <f aca="false">L150*K150/1000</f>
        <v>0</v>
      </c>
      <c r="H150" s="17"/>
      <c r="I150" s="17"/>
      <c r="K150" s="55" t="n">
        <f aca="false">Хмільник!K150</f>
        <v>0</v>
      </c>
      <c r="L150" s="26" t="n">
        <f aca="false">L149</f>
        <v>38</v>
      </c>
    </row>
    <row r="151" customFormat="false" ht="13.5" hidden="false" customHeight="true" outlineLevel="0" collapsed="false">
      <c r="B151" s="15"/>
      <c r="C151" s="54" t="str">
        <f aca="false">Хмільник!C151</f>
        <v>Сіль йодована</v>
      </c>
      <c r="D151" s="15" t="n">
        <f aca="false">Хмільник!D151</f>
        <v>11631</v>
      </c>
      <c r="E151" s="15" t="s">
        <v>27</v>
      </c>
      <c r="F151" s="15"/>
      <c r="G151" s="29" t="n">
        <f aca="false">L151*K151/1000</f>
        <v>0</v>
      </c>
      <c r="H151" s="17"/>
      <c r="I151" s="17"/>
      <c r="K151" s="55" t="n">
        <f aca="false">Хмільник!K151</f>
        <v>0</v>
      </c>
      <c r="L151" s="26" t="n">
        <f aca="false">L150</f>
        <v>38</v>
      </c>
    </row>
    <row r="152" customFormat="false" ht="16.5" hidden="false" customHeight="false" outlineLevel="0" collapsed="false">
      <c r="B152" s="15"/>
      <c r="C152" s="54" t="str">
        <f aca="false">Хмільник!C152</f>
        <v>Оцет яблучний 9 %</v>
      </c>
      <c r="D152" s="15" t="n">
        <f aca="false">Хмільник!D152</f>
        <v>11633</v>
      </c>
      <c r="E152" s="15" t="s">
        <v>27</v>
      </c>
      <c r="F152" s="15"/>
      <c r="G152" s="29" t="n">
        <f aca="false">L152*K152/1000</f>
        <v>0</v>
      </c>
      <c r="H152" s="17"/>
      <c r="I152" s="17"/>
      <c r="K152" s="55" t="n">
        <f aca="false">Хмільник!K152</f>
        <v>0</v>
      </c>
      <c r="L152" s="26" t="n">
        <f aca="false">L151</f>
        <v>38</v>
      </c>
    </row>
    <row r="153" customFormat="false" ht="12" hidden="false" customHeight="true" outlineLevel="0" collapsed="false">
      <c r="B153" s="15"/>
      <c r="C153" s="54" t="str">
        <f aca="false">Хмільник!C153</f>
        <v>Кислота лимонна</v>
      </c>
      <c r="D153" s="15" t="n">
        <f aca="false">Хмільник!D153</f>
        <v>11634</v>
      </c>
      <c r="E153" s="15" t="s">
        <v>27</v>
      </c>
      <c r="F153" s="15"/>
      <c r="G153" s="29" t="n">
        <f aca="false">L153*K153/1000</f>
        <v>0</v>
      </c>
      <c r="H153" s="17"/>
      <c r="I153" s="17"/>
      <c r="K153" s="55" t="n">
        <f aca="false">Хмільник!K153</f>
        <v>0</v>
      </c>
      <c r="L153" s="26" t="n">
        <f aca="false">L149</f>
        <v>38</v>
      </c>
    </row>
    <row r="154" customFormat="false" ht="14.25" hidden="false" customHeight="true" outlineLevel="0" collapsed="false">
      <c r="B154" s="15"/>
      <c r="C154" s="54" t="str">
        <f aca="false">Хмільник!C154</f>
        <v>Сода харчова</v>
      </c>
      <c r="D154" s="15" t="n">
        <f aca="false">Хмільник!D154</f>
        <v>11635</v>
      </c>
      <c r="E154" s="15" t="s">
        <v>27</v>
      </c>
      <c r="F154" s="15"/>
      <c r="G154" s="29" t="n">
        <f aca="false">L154*K154/1000</f>
        <v>0</v>
      </c>
      <c r="H154" s="17"/>
      <c r="I154" s="17"/>
      <c r="K154" s="55" t="n">
        <f aca="false">Хмільник!K154</f>
        <v>0</v>
      </c>
      <c r="L154" s="26" t="n">
        <f aca="false">L153</f>
        <v>38</v>
      </c>
    </row>
    <row r="155" customFormat="false" ht="14.25" hidden="false" customHeight="true" outlineLevel="0" collapsed="false">
      <c r="B155" s="15"/>
      <c r="C155" s="54" t="str">
        <f aca="false">Хмільник!C155</f>
        <v>Перець духмяний горошком</v>
      </c>
      <c r="D155" s="15" t="n">
        <f aca="false">Хмільник!D155</f>
        <v>11636</v>
      </c>
      <c r="E155" s="15" t="s">
        <v>27</v>
      </c>
      <c r="F155" s="15"/>
      <c r="G155" s="29" t="n">
        <f aca="false">L155*K155/1000</f>
        <v>0</v>
      </c>
      <c r="H155" s="17"/>
      <c r="I155" s="17"/>
      <c r="K155" s="55" t="n">
        <f aca="false">Хмільник!K155</f>
        <v>0</v>
      </c>
      <c r="L155" s="26" t="n">
        <f aca="false">L154</f>
        <v>38</v>
      </c>
    </row>
    <row r="156" customFormat="false" ht="13.5" hidden="false" customHeight="true" outlineLevel="0" collapsed="false">
      <c r="B156" s="15"/>
      <c r="C156" s="54" t="str">
        <f aca="false">Хмільник!C156</f>
        <v>Коріандр (прянощі)</v>
      </c>
      <c r="D156" s="15" t="n">
        <f aca="false">Хмільник!D156</f>
        <v>11637</v>
      </c>
      <c r="E156" s="15" t="s">
        <v>27</v>
      </c>
      <c r="F156" s="56"/>
      <c r="G156" s="29" t="n">
        <f aca="false">L156*K156/1000</f>
        <v>0</v>
      </c>
      <c r="H156" s="57"/>
      <c r="I156" s="57"/>
      <c r="K156" s="55" t="n">
        <f aca="false">Хмільник!K156</f>
        <v>0</v>
      </c>
      <c r="L156" s="26" t="n">
        <f aca="false">L155</f>
        <v>38</v>
      </c>
    </row>
    <row r="157" customFormat="false" ht="14.25" hidden="false" customHeight="true" outlineLevel="0" collapsed="false">
      <c r="B157" s="15"/>
      <c r="C157" s="54" t="str">
        <f aca="false">Хмільник!C157</f>
        <v>Суміш спецій (без солі)</v>
      </c>
      <c r="D157" s="15" t="n">
        <f aca="false">Хмільник!D157</f>
        <v>11638</v>
      </c>
      <c r="E157" s="15" t="s">
        <v>27</v>
      </c>
      <c r="F157" s="15"/>
      <c r="G157" s="29" t="n">
        <f aca="false">L157*K157/1000</f>
        <v>0</v>
      </c>
      <c r="H157" s="17"/>
      <c r="I157" s="17"/>
      <c r="K157" s="55" t="n">
        <f aca="false">Хмільник!K157</f>
        <v>0</v>
      </c>
      <c r="L157" s="26" t="n">
        <f aca="false">L156</f>
        <v>38</v>
      </c>
    </row>
    <row r="158" customFormat="false" ht="15" hidden="false" customHeight="true" outlineLevel="0" collapsed="false">
      <c r="B158" s="15"/>
      <c r="C158" s="54" t="str">
        <f aca="false">Хмільник!C158</f>
        <v>Паприка копчена мелена</v>
      </c>
      <c r="D158" s="15" t="n">
        <f aca="false">Хмільник!D158</f>
        <v>11639</v>
      </c>
      <c r="E158" s="15" t="s">
        <v>27</v>
      </c>
      <c r="F158" s="56"/>
      <c r="G158" s="29" t="n">
        <f aca="false">L158*K158/1000</f>
        <v>0</v>
      </c>
      <c r="H158" s="57"/>
      <c r="I158" s="57"/>
      <c r="K158" s="55" t="n">
        <f aca="false">Хмільник!K158</f>
        <v>0</v>
      </c>
      <c r="L158" s="26" t="n">
        <f aca="false">L157</f>
        <v>38</v>
      </c>
    </row>
    <row r="159" customFormat="false" ht="14.25" hidden="false" customHeight="true" outlineLevel="0" collapsed="false">
      <c r="B159" s="15"/>
      <c r="C159" s="54" t="str">
        <f aca="false">Хмільник!C159</f>
        <v>Грудинка безкісткова копчена</v>
      </c>
      <c r="D159" s="15" t="n">
        <f aca="false">Хмільник!D159</f>
        <v>12001</v>
      </c>
      <c r="E159" s="15" t="s">
        <v>27</v>
      </c>
      <c r="F159" s="15"/>
      <c r="G159" s="29" t="n">
        <f aca="false">L159*K159/1000</f>
        <v>0</v>
      </c>
      <c r="H159" s="17"/>
      <c r="I159" s="17"/>
      <c r="K159" s="55" t="n">
        <f aca="false">Хмільник!K159</f>
        <v>0</v>
      </c>
      <c r="L159" s="26" t="n">
        <f aca="false">L158</f>
        <v>38</v>
      </c>
    </row>
    <row r="160" customFormat="false" ht="12" hidden="false" customHeight="true" outlineLevel="0" collapsed="false">
      <c r="B160" s="15"/>
      <c r="C160" s="54" t="str">
        <f aca="false">Хмільник!C160</f>
        <v>Ковбаса варена вищого ґатунку</v>
      </c>
      <c r="D160" s="15" t="n">
        <f aca="false">Хмільник!D160</f>
        <v>12003</v>
      </c>
      <c r="E160" s="15" t="s">
        <v>27</v>
      </c>
      <c r="F160" s="15"/>
      <c r="G160" s="29" t="n">
        <f aca="false">L160*K160/1000</f>
        <v>0</v>
      </c>
      <c r="H160" s="17"/>
      <c r="I160" s="17"/>
      <c r="K160" s="55" t="n">
        <f aca="false">Хмільник!K160</f>
        <v>0</v>
      </c>
      <c r="L160" s="26" t="n">
        <f aca="false">L159</f>
        <v>38</v>
      </c>
    </row>
    <row r="161" customFormat="false" ht="12.75" hidden="false" customHeight="true" outlineLevel="0" collapsed="false">
      <c r="B161" s="15"/>
      <c r="C161" s="54" t="str">
        <f aca="false">Хмільник!C161</f>
        <v>Ковбаса напівкопчена першого ґатунку</v>
      </c>
      <c r="D161" s="15" t="n">
        <f aca="false">Хмільник!D161</f>
        <v>12004</v>
      </c>
      <c r="E161" s="15" t="s">
        <v>27</v>
      </c>
      <c r="F161" s="15"/>
      <c r="G161" s="29" t="n">
        <f aca="false">L161*K161/1000</f>
        <v>0</v>
      </c>
      <c r="H161" s="17"/>
      <c r="I161" s="17"/>
      <c r="K161" s="55" t="n">
        <f aca="false">Хмільник!K161</f>
        <v>0</v>
      </c>
      <c r="L161" s="26" t="n">
        <f aca="false">L160</f>
        <v>38</v>
      </c>
    </row>
    <row r="162" customFormat="false" ht="15" hidden="false" customHeight="true" outlineLevel="0" collapsed="false">
      <c r="B162" s="15"/>
      <c r="C162" s="54" t="str">
        <f aca="false">Хмільник!C162</f>
        <v>Ковбаса напівкопчена вищого ґатунку</v>
      </c>
      <c r="D162" s="15" t="n">
        <f aca="false">Хмільник!D162</f>
        <v>12005</v>
      </c>
      <c r="E162" s="15" t="s">
        <v>27</v>
      </c>
      <c r="F162" s="15"/>
      <c r="G162" s="29" t="n">
        <f aca="false">L162*K162/1000</f>
        <v>0</v>
      </c>
      <c r="H162" s="17"/>
      <c r="I162" s="17"/>
      <c r="K162" s="55" t="n">
        <f aca="false">Хмільник!K162</f>
        <v>0</v>
      </c>
      <c r="L162" s="26" t="n">
        <f aca="false">L161</f>
        <v>38</v>
      </c>
    </row>
    <row r="163" customFormat="false" ht="14.25" hidden="false" customHeight="true" outlineLevel="0" collapsed="false">
      <c r="B163" s="15"/>
      <c r="C163" s="54" t="str">
        <f aca="false">Хмільник!C163</f>
        <v>Ковбаса сирокопчена вищого ґатунку</v>
      </c>
      <c r="D163" s="15" t="n">
        <f aca="false">Хмільник!D163</f>
        <v>12007</v>
      </c>
      <c r="E163" s="15" t="s">
        <v>27</v>
      </c>
      <c r="F163" s="15"/>
      <c r="G163" s="29" t="n">
        <f aca="false">L163*K163/1000</f>
        <v>0</v>
      </c>
      <c r="H163" s="17"/>
      <c r="I163" s="17"/>
      <c r="K163" s="55" t="n">
        <f aca="false">Хмільник!K163</f>
        <v>0</v>
      </c>
      <c r="L163" s="26" t="n">
        <f aca="false">L162</f>
        <v>38</v>
      </c>
    </row>
    <row r="164" customFormat="false" ht="14.25" hidden="false" customHeight="true" outlineLevel="0" collapsed="false">
      <c r="B164" s="15"/>
      <c r="C164" s="54" t="str">
        <f aca="false">Хмільник!C164</f>
        <v>Консерви “Паштети м’ясні”</v>
      </c>
      <c r="D164" s="15" t="n">
        <f aca="false">Хмільник!D164</f>
        <v>12008</v>
      </c>
      <c r="E164" s="15" t="s">
        <v>27</v>
      </c>
      <c r="F164" s="15"/>
      <c r="G164" s="29" t="n">
        <f aca="false">L164*K164/1000</f>
        <v>0</v>
      </c>
      <c r="H164" s="17"/>
      <c r="I164" s="17"/>
      <c r="K164" s="55" t="n">
        <f aca="false">Хмільник!K164</f>
        <v>0</v>
      </c>
      <c r="L164" s="26" t="n">
        <f aca="false">L163</f>
        <v>38</v>
      </c>
    </row>
    <row r="165" customFormat="false" ht="14.25" hidden="false" customHeight="true" outlineLevel="0" collapsed="false">
      <c r="B165" s="15"/>
      <c r="C165" s="54" t="str">
        <f aca="false">Хмільник!C165</f>
        <v>Консерви “Паштети печінкові”</v>
      </c>
      <c r="D165" s="15" t="n">
        <f aca="false">Хмільник!D165</f>
        <v>12009</v>
      </c>
      <c r="E165" s="15" t="s">
        <v>27</v>
      </c>
      <c r="F165" s="15"/>
      <c r="G165" s="29" t="n">
        <f aca="false">L165*K165/1000</f>
        <v>0</v>
      </c>
      <c r="H165" s="17"/>
      <c r="I165" s="17"/>
      <c r="K165" s="55" t="n">
        <f aca="false">Хмільник!K165</f>
        <v>0</v>
      </c>
      <c r="L165" s="26" t="n">
        <f aca="false">L163</f>
        <v>38</v>
      </c>
    </row>
    <row r="166" customFormat="false" ht="15" hidden="false" customHeight="true" outlineLevel="0" collapsed="false">
      <c r="B166" s="15"/>
      <c r="C166" s="54" t="str">
        <f aca="false">Хмільник!C166</f>
        <v>Консерви м’ясорослинні в асортименті</v>
      </c>
      <c r="D166" s="15" t="n">
        <f aca="false">Хмільник!D166</f>
        <v>12010</v>
      </c>
      <c r="E166" s="15" t="s">
        <v>27</v>
      </c>
      <c r="F166" s="56"/>
      <c r="G166" s="29" t="n">
        <f aca="false">L166*K166/1000</f>
        <v>0</v>
      </c>
      <c r="H166" s="57"/>
      <c r="I166" s="57"/>
      <c r="K166" s="55" t="n">
        <f aca="false">Хмільник!K166</f>
        <v>0</v>
      </c>
      <c r="L166" s="26" t="n">
        <f aca="false">L165</f>
        <v>38</v>
      </c>
    </row>
    <row r="167" customFormat="false" ht="14.25" hidden="false" customHeight="true" outlineLevel="0" collapsed="false">
      <c r="B167" s="15"/>
      <c r="C167" s="54" t="str">
        <f aca="false">Хмільник!C167</f>
        <v>Консерви сніданки м'ясні</v>
      </c>
      <c r="D167" s="15" t="n">
        <f aca="false">Хмільник!D167</f>
        <v>12011</v>
      </c>
      <c r="E167" s="15" t="s">
        <v>27</v>
      </c>
      <c r="F167" s="15"/>
      <c r="G167" s="29" t="n">
        <f aca="false">L167*K167/1000</f>
        <v>0</v>
      </c>
      <c r="H167" s="17"/>
      <c r="I167" s="17"/>
      <c r="K167" s="55" t="n">
        <f aca="false">Хмільник!K167</f>
        <v>0</v>
      </c>
      <c r="L167" s="26" t="n">
        <f aca="false">L166</f>
        <v>38</v>
      </c>
    </row>
    <row r="168" customFormat="false" ht="14.25" hidden="false" customHeight="true" outlineLevel="0" collapsed="false">
      <c r="B168" s="15"/>
      <c r="C168" s="54" t="str">
        <f aca="false">Хмільник!C168</f>
        <v>Консерви “Свинина тушкована”</v>
      </c>
      <c r="D168" s="15" t="n">
        <f aca="false">Хмільник!D168</f>
        <v>12012</v>
      </c>
      <c r="E168" s="15" t="s">
        <v>27</v>
      </c>
      <c r="F168" s="56"/>
      <c r="G168" s="29" t="n">
        <f aca="false">L168*K168/1000</f>
        <v>0</v>
      </c>
      <c r="H168" s="57"/>
      <c r="I168" s="57"/>
      <c r="K168" s="55" t="n">
        <f aca="false">Хмільник!K168</f>
        <v>0</v>
      </c>
      <c r="L168" s="26" t="n">
        <f aca="false">L167</f>
        <v>38</v>
      </c>
    </row>
    <row r="169" customFormat="false" ht="14.25" hidden="false" customHeight="true" outlineLevel="0" collapsed="false">
      <c r="B169" s="15"/>
      <c r="C169" s="54" t="str">
        <f aca="false">Хмільник!C169</f>
        <v>Консерви “Яловичина тушкована вищ ґат”</v>
      </c>
      <c r="D169" s="15" t="n">
        <f aca="false">Хмільник!D169</f>
        <v>12013</v>
      </c>
      <c r="E169" s="15" t="s">
        <v>27</v>
      </c>
      <c r="F169" s="15"/>
      <c r="G169" s="29" t="n">
        <f aca="false">L169*K169/1000</f>
        <v>0</v>
      </c>
      <c r="H169" s="17"/>
      <c r="I169" s="17"/>
      <c r="K169" s="55" t="n">
        <f aca="false">Хмільник!K169</f>
        <v>0</v>
      </c>
      <c r="L169" s="26" t="n">
        <f aca="false">L168</f>
        <v>38</v>
      </c>
    </row>
    <row r="170" customFormat="false" ht="14.25" hidden="false" customHeight="true" outlineLevel="0" collapsed="false">
      <c r="B170" s="15"/>
      <c r="C170" s="54" t="str">
        <f aca="false">Хмільник!C170</f>
        <v>Качина тушка охолоджена</v>
      </c>
      <c r="D170" s="15" t="n">
        <f aca="false">Хмільник!D170</f>
        <v>12014</v>
      </c>
      <c r="E170" s="15" t="s">
        <v>27</v>
      </c>
      <c r="F170" s="15"/>
      <c r="G170" s="29" t="n">
        <f aca="false">L170*K170/1000</f>
        <v>0</v>
      </c>
      <c r="H170" s="17"/>
      <c r="I170" s="17"/>
      <c r="K170" s="55" t="n">
        <f aca="false">Хмільник!K170</f>
        <v>0</v>
      </c>
      <c r="L170" s="26" t="n">
        <f aca="false">L169</f>
        <v>38</v>
      </c>
    </row>
    <row r="171" customFormat="false" ht="14.25" hidden="false" customHeight="true" outlineLevel="0" collapsed="false">
      <c r="B171" s="15"/>
      <c r="C171" s="54" t="str">
        <f aca="false">Хмільник!C171</f>
        <v>Індиче філе заморожене</v>
      </c>
      <c r="D171" s="15" t="n">
        <f aca="false">Хмільник!D171</f>
        <v>12016</v>
      </c>
      <c r="E171" s="15" t="s">
        <v>27</v>
      </c>
      <c r="F171" s="56"/>
      <c r="G171" s="29" t="n">
        <f aca="false">L171*K171/1000</f>
        <v>0</v>
      </c>
      <c r="H171" s="57"/>
      <c r="I171" s="57"/>
      <c r="K171" s="55" t="n">
        <f aca="false">Хмільник!K171</f>
        <v>0</v>
      </c>
      <c r="L171" s="26" t="n">
        <f aca="false">L170</f>
        <v>38</v>
      </c>
    </row>
    <row r="172" customFormat="false" ht="14.25" hidden="false" customHeight="true" outlineLevel="0" collapsed="false">
      <c r="B172" s="15"/>
      <c r="C172" s="54" t="str">
        <f aca="false">Хмільник!C172</f>
        <v>Індиче стегно заморожене</v>
      </c>
      <c r="D172" s="15" t="n">
        <f aca="false">Хмільник!D172</f>
        <v>12020</v>
      </c>
      <c r="E172" s="15" t="s">
        <v>27</v>
      </c>
      <c r="F172" s="15"/>
      <c r="G172" s="29" t="n">
        <f aca="false">L172*K172/1000</f>
        <v>0</v>
      </c>
      <c r="H172" s="17"/>
      <c r="I172" s="17"/>
      <c r="K172" s="55" t="n">
        <f aca="false">Хмільник!K172</f>
        <v>0</v>
      </c>
      <c r="L172" s="26" t="n">
        <f aca="false">L171</f>
        <v>38</v>
      </c>
    </row>
    <row r="173" customFormat="false" ht="14.25" hidden="false" customHeight="true" outlineLevel="0" collapsed="false">
      <c r="B173" s="15"/>
      <c r="C173" s="54" t="str">
        <f aca="false">Хмільник!C173</f>
        <v>Куряче філе заморожене</v>
      </c>
      <c r="D173" s="15" t="n">
        <f aca="false">Хмільник!D173</f>
        <v>12022</v>
      </c>
      <c r="E173" s="15" t="s">
        <v>27</v>
      </c>
      <c r="F173" s="15"/>
      <c r="G173" s="29" t="n">
        <f aca="false">L173*K173/1000</f>
        <v>0</v>
      </c>
      <c r="H173" s="17"/>
      <c r="I173" s="17"/>
      <c r="K173" s="55" t="n">
        <f aca="false">Хмільник!K173</f>
        <v>0</v>
      </c>
      <c r="L173" s="26" t="n">
        <f aca="false">L172</f>
        <v>38</v>
      </c>
    </row>
    <row r="174" customFormat="false" ht="12.75" hidden="false" customHeight="true" outlineLevel="0" collapsed="false">
      <c r="B174" s="15"/>
      <c r="C174" s="54" t="str">
        <f aca="false">Хмільник!C174</f>
        <v>Куряче філе охолоджене</v>
      </c>
      <c r="D174" s="15" t="n">
        <f aca="false">Хмільник!D174</f>
        <v>12023</v>
      </c>
      <c r="E174" s="15" t="s">
        <v>27</v>
      </c>
      <c r="F174" s="56"/>
      <c r="G174" s="29" t="n">
        <f aca="false">L174*K174/1000</f>
        <v>0</v>
      </c>
      <c r="H174" s="57"/>
      <c r="I174" s="57"/>
      <c r="K174" s="55" t="n">
        <f aca="false">Хмільник!K174</f>
        <v>0</v>
      </c>
      <c r="L174" s="26" t="n">
        <f aca="false">L173</f>
        <v>38</v>
      </c>
    </row>
    <row r="175" customFormat="false" ht="13.5" hidden="false" customHeight="true" outlineLevel="0" collapsed="false">
      <c r="B175" s="15"/>
      <c r="C175" s="54" t="str">
        <f aca="false">Хмільник!C175</f>
        <v>Куряча гомілка заморожена</v>
      </c>
      <c r="D175" s="15" t="n">
        <f aca="false">Хмільник!D175</f>
        <v>12024</v>
      </c>
      <c r="E175" s="15" t="s">
        <v>27</v>
      </c>
      <c r="F175" s="15"/>
      <c r="G175" s="29" t="n">
        <f aca="false">L175*K175/1000</f>
        <v>0</v>
      </c>
      <c r="H175" s="17"/>
      <c r="I175" s="17"/>
      <c r="K175" s="55" t="n">
        <f aca="false">Хмільник!K175</f>
        <v>0</v>
      </c>
      <c r="L175" s="26" t="n">
        <f aca="false">L174</f>
        <v>38</v>
      </c>
    </row>
    <row r="176" customFormat="false" ht="13.5" hidden="false" customHeight="true" outlineLevel="0" collapsed="false">
      <c r="B176" s="15"/>
      <c r="C176" s="54" t="str">
        <f aca="false">Хмільник!C176</f>
        <v>Куряча гомілка охолоджена</v>
      </c>
      <c r="D176" s="15" t="n">
        <f aca="false">Хмільник!D176</f>
        <v>12025</v>
      </c>
      <c r="E176" s="15" t="s">
        <v>27</v>
      </c>
      <c r="F176" s="15"/>
      <c r="G176" s="29" t="n">
        <f aca="false">L176*K176/1000</f>
        <v>0</v>
      </c>
      <c r="H176" s="17"/>
      <c r="I176" s="17"/>
      <c r="K176" s="55" t="n">
        <f aca="false">Хмільник!K176</f>
        <v>0</v>
      </c>
      <c r="L176" s="26" t="n">
        <f aca="false">L175</f>
        <v>38</v>
      </c>
    </row>
    <row r="177" customFormat="false" ht="14.25" hidden="false" customHeight="true" outlineLevel="0" collapsed="false">
      <c r="B177" s="15"/>
      <c r="C177" s="54" t="str">
        <f aca="false">Хмільник!C177</f>
        <v>Куряче крило заморожене</v>
      </c>
      <c r="D177" s="15" t="n">
        <f aca="false">Хмільник!D177</f>
        <v>12026</v>
      </c>
      <c r="E177" s="15" t="s">
        <v>27</v>
      </c>
      <c r="F177" s="15"/>
      <c r="G177" s="29" t="n">
        <f aca="false">L177*K177/1000</f>
        <v>0</v>
      </c>
      <c r="H177" s="17"/>
      <c r="I177" s="17"/>
      <c r="K177" s="55" t="n">
        <f aca="false">Хмільник!K177</f>
        <v>0</v>
      </c>
      <c r="L177" s="26" t="n">
        <f aca="false">L176</f>
        <v>38</v>
      </c>
    </row>
    <row r="178" customFormat="false" ht="14.25" hidden="false" customHeight="true" outlineLevel="0" collapsed="false">
      <c r="B178" s="15"/>
      <c r="C178" s="54" t="str">
        <f aca="false">Хмільник!C178</f>
        <v>Куряче стегно заморожене</v>
      </c>
      <c r="D178" s="15" t="n">
        <v>15020</v>
      </c>
      <c r="E178" s="15" t="s">
        <v>27</v>
      </c>
      <c r="F178" s="56"/>
      <c r="G178" s="29" t="n">
        <f aca="false">L178*K178/1000</f>
        <v>0</v>
      </c>
      <c r="H178" s="57"/>
      <c r="I178" s="57"/>
      <c r="K178" s="55" t="n">
        <f aca="false">Хмільник!K178</f>
        <v>0</v>
      </c>
      <c r="L178" s="26" t="n">
        <f aca="false">L176</f>
        <v>38</v>
      </c>
    </row>
    <row r="179" s="41" customFormat="true" ht="16.5" hidden="false" customHeight="true" outlineLevel="0" collapsed="false">
      <c r="B179" s="59"/>
      <c r="C179" s="54" t="str">
        <f aca="false">Хмільник!C179</f>
        <v>Куряче стегно охолоджене</v>
      </c>
      <c r="D179" s="15" t="n">
        <f aca="false">Хмільник!D179</f>
        <v>12029</v>
      </c>
      <c r="E179" s="15" t="s">
        <v>27</v>
      </c>
      <c r="F179" s="42"/>
      <c r="G179" s="29" t="n">
        <f aca="false">L179*K179/1000</f>
        <v>0</v>
      </c>
      <c r="H179" s="43"/>
      <c r="I179" s="43"/>
      <c r="K179" s="55" t="n">
        <f aca="false">Хмільник!K179</f>
        <v>0</v>
      </c>
      <c r="L179" s="26" t="n">
        <f aca="false">L178</f>
        <v>38</v>
      </c>
    </row>
    <row r="180" customFormat="false" ht="17.25" hidden="false" customHeight="true" outlineLevel="0" collapsed="false">
      <c r="B180" s="59"/>
      <c r="C180" s="54" t="str">
        <f aca="false">Хмільник!C180</f>
        <v>Куряча тушка заморожена</v>
      </c>
      <c r="D180" s="15" t="n">
        <f aca="false">Хмільник!D180</f>
        <v>12030</v>
      </c>
      <c r="E180" s="15" t="s">
        <v>27</v>
      </c>
      <c r="F180" s="47"/>
      <c r="G180" s="29" t="n">
        <f aca="false">L180*K180/1000</f>
        <v>0</v>
      </c>
      <c r="H180" s="47"/>
      <c r="I180" s="47"/>
      <c r="K180" s="55" t="n">
        <f aca="false">Хмільник!K180</f>
        <v>0</v>
      </c>
      <c r="L180" s="26" t="n">
        <f aca="false">L179</f>
        <v>38</v>
      </c>
    </row>
    <row r="181" customFormat="false" ht="14.25" hidden="false" customHeight="true" outlineLevel="0" collapsed="false">
      <c r="B181" s="59"/>
      <c r="C181" s="54" t="str">
        <f aca="false">Хмільник!C181</f>
        <v>Куряча тушка охолоджена</v>
      </c>
      <c r="D181" s="15" t="n">
        <f aca="false">Хмільник!D181</f>
        <v>12031</v>
      </c>
      <c r="E181" s="15" t="s">
        <v>27</v>
      </c>
      <c r="F181" s="47"/>
      <c r="G181" s="29" t="n">
        <f aca="false">L181*K181/1000</f>
        <v>0</v>
      </c>
      <c r="H181" s="47"/>
      <c r="I181" s="47"/>
      <c r="K181" s="55" t="n">
        <f aca="false">Хмільник!K181</f>
        <v>0</v>
      </c>
      <c r="L181" s="26" t="n">
        <f aca="false">L180</f>
        <v>38</v>
      </c>
    </row>
    <row r="182" customFormat="false" ht="14.25" hidden="false" customHeight="true" outlineLevel="0" collapsed="false">
      <c r="B182" s="59"/>
      <c r="C182" s="54" t="str">
        <f aca="false">Хмільник!C182</f>
        <v>Печінка куряча заморожена</v>
      </c>
      <c r="D182" s="15" t="n">
        <f aca="false">Хмільник!D182</f>
        <v>12032</v>
      </c>
      <c r="E182" s="15" t="s">
        <v>27</v>
      </c>
      <c r="F182" s="47"/>
      <c r="G182" s="29" t="n">
        <f aca="false">L182*K182/1000</f>
        <v>0</v>
      </c>
      <c r="H182" s="47"/>
      <c r="I182" s="47"/>
      <c r="K182" s="55" t="n">
        <f aca="false">Хмільник!K182</f>
        <v>0</v>
      </c>
      <c r="L182" s="26" t="n">
        <f aca="false">L181</f>
        <v>38</v>
      </c>
    </row>
    <row r="183" customFormat="false" ht="14.25" hidden="false" customHeight="true" outlineLevel="0" collapsed="false">
      <c r="B183" s="59"/>
      <c r="C183" s="54" t="str">
        <f aca="false">Хмільник!C183</f>
        <v>Сало свіже</v>
      </c>
      <c r="D183" s="15" t="n">
        <f aca="false">Хмільник!D183</f>
        <v>12033</v>
      </c>
      <c r="E183" s="15" t="s">
        <v>27</v>
      </c>
      <c r="F183" s="47"/>
      <c r="G183" s="29" t="n">
        <f aca="false">L183*K183/1000</f>
        <v>0</v>
      </c>
      <c r="H183" s="47"/>
      <c r="I183" s="47"/>
      <c r="K183" s="55" t="n">
        <f aca="false">Хмільник!K183</f>
        <v>0</v>
      </c>
      <c r="L183" s="26" t="n">
        <f aca="false">L182</f>
        <v>38</v>
      </c>
    </row>
    <row r="184" customFormat="false" ht="14.25" hidden="false" customHeight="true" outlineLevel="0" collapsed="false">
      <c r="B184" s="59"/>
      <c r="C184" s="54" t="str">
        <f aca="false">Хмільник!C184</f>
        <v>Сало солоне</v>
      </c>
      <c r="D184" s="15" t="n">
        <f aca="false">Хмільник!D184</f>
        <v>12034</v>
      </c>
      <c r="E184" s="15" t="s">
        <v>27</v>
      </c>
      <c r="F184" s="47"/>
      <c r="G184" s="29" t="n">
        <f aca="false">L184*K184/1000</f>
        <v>0</v>
      </c>
      <c r="H184" s="47"/>
      <c r="I184" s="47"/>
      <c r="K184" s="55" t="n">
        <f aca="false">Хмільник!K184</f>
        <v>0</v>
      </c>
      <c r="L184" s="26" t="n">
        <f aca="false">L183</f>
        <v>38</v>
      </c>
    </row>
    <row r="185" customFormat="false" ht="14.25" hidden="false" customHeight="true" outlineLevel="0" collapsed="false">
      <c r="B185" s="59"/>
      <c r="C185" s="54" t="str">
        <f aca="false">Хмільник!C185</f>
        <v>Сардельки першого ґатунку</v>
      </c>
      <c r="D185" s="15" t="n">
        <f aca="false">Хмільник!D185</f>
        <v>12035</v>
      </c>
      <c r="E185" s="15" t="s">
        <v>27</v>
      </c>
      <c r="F185" s="47"/>
      <c r="G185" s="29" t="n">
        <f aca="false">L185*K185/1000</f>
        <v>0</v>
      </c>
      <c r="H185" s="47"/>
      <c r="I185" s="47"/>
      <c r="K185" s="55" t="n">
        <f aca="false">Хмільник!K185</f>
        <v>0</v>
      </c>
      <c r="L185" s="26" t="n">
        <f aca="false">L184</f>
        <v>38</v>
      </c>
    </row>
    <row r="186" customFormat="false" ht="14.25" hidden="false" customHeight="true" outlineLevel="0" collapsed="false">
      <c r="B186" s="59"/>
      <c r="C186" s="54" t="str">
        <f aca="false">Хмільник!C186</f>
        <v>Сардельки вищого ґатунку</v>
      </c>
      <c r="D186" s="15" t="n">
        <f aca="false">Хмільник!D186</f>
        <v>12036</v>
      </c>
      <c r="E186" s="15" t="s">
        <v>27</v>
      </c>
      <c r="F186" s="47"/>
      <c r="G186" s="29" t="n">
        <f aca="false">L186*K186/1000</f>
        <v>0</v>
      </c>
      <c r="H186" s="47"/>
      <c r="I186" s="47"/>
      <c r="K186" s="55" t="n">
        <f aca="false">Хмільник!K186</f>
        <v>0</v>
      </c>
      <c r="L186" s="26" t="n">
        <f aca="false">L185</f>
        <v>38</v>
      </c>
    </row>
    <row r="187" customFormat="false" ht="14.25" hidden="false" customHeight="true" outlineLevel="0" collapsed="false">
      <c r="B187" s="59"/>
      <c r="C187" s="54" t="str">
        <f aca="false">Хмільник!C187</f>
        <v>Свинина, грудинка безкісткова охолоджена</v>
      </c>
      <c r="D187" s="15" t="n">
        <f aca="false">Хмільник!D187</f>
        <v>12037</v>
      </c>
      <c r="E187" s="15" t="s">
        <v>27</v>
      </c>
      <c r="F187" s="47"/>
      <c r="G187" s="29" t="n">
        <f aca="false">L187*K187/1000</f>
        <v>0</v>
      </c>
      <c r="H187" s="47"/>
      <c r="I187" s="47"/>
      <c r="K187" s="55" t="n">
        <f aca="false">Хмільник!K187</f>
        <v>0</v>
      </c>
      <c r="L187" s="26" t="n">
        <f aca="false">L186</f>
        <v>38</v>
      </c>
    </row>
    <row r="188" customFormat="false" ht="14.25" hidden="false" customHeight="true" outlineLevel="0" collapsed="false">
      <c r="B188" s="59"/>
      <c r="C188" s="54" t="str">
        <f aca="false">Хмільник!C188</f>
        <v>Свинина, корейка без кістки заморожена</v>
      </c>
      <c r="D188" s="15" t="n">
        <f aca="false">Хмільник!D188</f>
        <v>12038</v>
      </c>
      <c r="E188" s="15" t="s">
        <v>27</v>
      </c>
      <c r="F188" s="47"/>
      <c r="G188" s="29" t="n">
        <f aca="false">L188*K188/1000</f>
        <v>0</v>
      </c>
      <c r="H188" s="47"/>
      <c r="I188" s="47"/>
      <c r="K188" s="55" t="n">
        <f aca="false">Хмільник!K188</f>
        <v>0</v>
      </c>
      <c r="L188" s="26" t="n">
        <f aca="false">L187</f>
        <v>38</v>
      </c>
    </row>
    <row r="189" customFormat="false" ht="14.25" hidden="false" customHeight="true" outlineLevel="0" collapsed="false">
      <c r="B189" s="59"/>
      <c r="C189" s="54" t="str">
        <f aca="false">Хмільник!C189</f>
        <v>Свинина, корейка без кістки охолоджена</v>
      </c>
      <c r="D189" s="15" t="n">
        <f aca="false">Хмільник!D189</f>
        <v>12039</v>
      </c>
      <c r="E189" s="15" t="s">
        <v>27</v>
      </c>
      <c r="F189" s="47"/>
      <c r="G189" s="29" t="n">
        <f aca="false">L189*K189/1000</f>
        <v>0</v>
      </c>
      <c r="H189" s="47"/>
      <c r="I189" s="47"/>
      <c r="K189" s="55" t="n">
        <f aca="false">Хмільник!K189</f>
        <v>0</v>
      </c>
      <c r="L189" s="26" t="n">
        <f aca="false">L188</f>
        <v>38</v>
      </c>
    </row>
    <row r="190" customFormat="false" ht="14.25" hidden="false" customHeight="true" outlineLevel="0" collapsed="false">
      <c r="B190" s="59"/>
      <c r="C190" s="54" t="str">
        <f aca="false">Хмільник!C190</f>
        <v>Свинина, корейка з кісткою заморожена</v>
      </c>
      <c r="D190" s="15" t="n">
        <f aca="false">Хмільник!D190</f>
        <v>12040</v>
      </c>
      <c r="E190" s="15" t="s">
        <v>27</v>
      </c>
      <c r="F190" s="47"/>
      <c r="G190" s="29" t="n">
        <f aca="false">L190*K190/1000</f>
        <v>0</v>
      </c>
      <c r="H190" s="47"/>
      <c r="I190" s="47"/>
      <c r="K190" s="55" t="n">
        <f aca="false">Хмільник!K190</f>
        <v>0</v>
      </c>
      <c r="L190" s="26" t="n">
        <f aca="false">L189</f>
        <v>38</v>
      </c>
    </row>
    <row r="191" customFormat="false" ht="14.25" hidden="false" customHeight="true" outlineLevel="0" collapsed="false">
      <c r="B191" s="59"/>
      <c r="C191" s="54" t="str">
        <f aca="false">Хмільник!C191</f>
        <v>Свинина, корейка з кісткою охолоджена</v>
      </c>
      <c r="D191" s="15" t="n">
        <f aca="false">Хмільник!D191</f>
        <v>12041</v>
      </c>
      <c r="E191" s="15" t="s">
        <v>27</v>
      </c>
      <c r="F191" s="47"/>
      <c r="G191" s="29" t="n">
        <f aca="false">L191*K191/1000</f>
        <v>0</v>
      </c>
      <c r="H191" s="47"/>
      <c r="I191" s="47"/>
      <c r="K191" s="55" t="n">
        <f aca="false">Хмільник!K191</f>
        <v>0</v>
      </c>
      <c r="L191" s="26" t="n">
        <f aca="false">L190</f>
        <v>38</v>
      </c>
    </row>
    <row r="192" customFormat="false" ht="14.25" hidden="false" customHeight="true" outlineLevel="0" collapsed="false">
      <c r="B192" s="59"/>
      <c r="C192" s="54" t="str">
        <f aca="false">Хмільник!C192</f>
        <v>Свинина, лопатка без кістки заморожена</v>
      </c>
      <c r="D192" s="15" t="n">
        <f aca="false">Хмільник!D192</f>
        <v>12042</v>
      </c>
      <c r="E192" s="15" t="s">
        <v>27</v>
      </c>
      <c r="F192" s="47"/>
      <c r="G192" s="29" t="n">
        <f aca="false">L192*K192/1000</f>
        <v>0</v>
      </c>
      <c r="H192" s="47"/>
      <c r="I192" s="47"/>
      <c r="K192" s="55" t="n">
        <f aca="false">Хмільник!K192</f>
        <v>0</v>
      </c>
      <c r="L192" s="26" t="n">
        <f aca="false">L191</f>
        <v>38</v>
      </c>
    </row>
    <row r="193" customFormat="false" ht="16.5" hidden="false" customHeight="false" outlineLevel="0" collapsed="false">
      <c r="B193" s="59"/>
      <c r="C193" s="54" t="str">
        <f aca="false">Хмільник!C193</f>
        <v>Свинина, лопатка без кістки охолоджена</v>
      </c>
      <c r="D193" s="15" t="n">
        <f aca="false">Хмільник!D193</f>
        <v>12043</v>
      </c>
      <c r="E193" s="15" t="s">
        <v>27</v>
      </c>
      <c r="F193" s="47"/>
      <c r="G193" s="29" t="n">
        <f aca="false">L193*K193/1000</f>
        <v>0</v>
      </c>
      <c r="H193" s="47"/>
      <c r="I193" s="47"/>
      <c r="K193" s="55" t="n">
        <f aca="false">Хмільник!K193</f>
        <v>0</v>
      </c>
      <c r="L193" s="26" t="n">
        <f aca="false">L192</f>
        <v>38</v>
      </c>
    </row>
    <row r="194" customFormat="false" ht="16.5" hidden="false" customHeight="false" outlineLevel="0" collapsed="false">
      <c r="B194" s="59"/>
      <c r="C194" s="54" t="str">
        <f aca="false">Хмільник!C194</f>
        <v>Свинина півтуші, заморожена</v>
      </c>
      <c r="D194" s="15" t="n">
        <f aca="false">Хмільник!D194</f>
        <v>12044</v>
      </c>
      <c r="E194" s="15" t="s">
        <v>27</v>
      </c>
      <c r="F194" s="33"/>
      <c r="G194" s="29" t="n">
        <f aca="false">L194*K194/1000</f>
        <v>0</v>
      </c>
      <c r="H194" s="48"/>
      <c r="I194" s="33"/>
      <c r="K194" s="55" t="n">
        <f aca="false">Хмільник!K194</f>
        <v>0</v>
      </c>
      <c r="L194" s="26" t="n">
        <f aca="false">L193</f>
        <v>38</v>
      </c>
    </row>
    <row r="195" customFormat="false" ht="16.5" hidden="false" customHeight="false" outlineLevel="0" collapsed="false">
      <c r="B195" s="59"/>
      <c r="C195" s="54" t="str">
        <f aca="false">Хмільник!C195</f>
        <v>Свинина, ошийок охолоджений</v>
      </c>
      <c r="D195" s="15" t="n">
        <f aca="false">Хмільник!D195</f>
        <v>12046</v>
      </c>
      <c r="E195" s="15" t="s">
        <v>27</v>
      </c>
      <c r="F195" s="33"/>
      <c r="G195" s="29" t="n">
        <f aca="false">L195*K195/1000</f>
        <v>0</v>
      </c>
      <c r="H195" s="48"/>
      <c r="I195" s="33"/>
      <c r="K195" s="55" t="n">
        <f aca="false">Хмільник!K195</f>
        <v>0</v>
      </c>
      <c r="L195" s="26" t="n">
        <f aca="false">L194</f>
        <v>38</v>
      </c>
    </row>
    <row r="196" customFormat="false" ht="16.5" hidden="false" customHeight="false" outlineLevel="0" collapsed="false">
      <c r="B196" s="59"/>
      <c r="C196" s="54" t="str">
        <f aca="false">Хмільник!C196</f>
        <v>Свинина, печінка заморожена</v>
      </c>
      <c r="D196" s="15" t="n">
        <f aca="false">Хмільник!D196</f>
        <v>12047</v>
      </c>
      <c r="E196" s="15" t="s">
        <v>27</v>
      </c>
      <c r="F196" s="33"/>
      <c r="G196" s="29" t="n">
        <f aca="false">L196*K196/1000</f>
        <v>0</v>
      </c>
      <c r="H196" s="48"/>
      <c r="I196" s="33"/>
      <c r="K196" s="55" t="n">
        <f aca="false">Хмільник!K196</f>
        <v>0</v>
      </c>
      <c r="L196" s="26" t="n">
        <f aca="false">L195</f>
        <v>38</v>
      </c>
    </row>
    <row r="197" customFormat="false" ht="16.5" hidden="false" customHeight="false" outlineLevel="0" collapsed="false">
      <c r="B197" s="59"/>
      <c r="C197" s="54" t="str">
        <f aca="false">Хмільник!C197</f>
        <v>Свинина, ребра заморожені</v>
      </c>
      <c r="D197" s="15" t="n">
        <f aca="false">Хмільник!D197</f>
        <v>12049</v>
      </c>
      <c r="E197" s="15" t="s">
        <v>27</v>
      </c>
      <c r="F197" s="33"/>
      <c r="G197" s="29" t="n">
        <f aca="false">L197*K197/1000</f>
        <v>0</v>
      </c>
      <c r="H197" s="48"/>
      <c r="I197" s="33"/>
      <c r="K197" s="55" t="n">
        <f aca="false">Хмільник!K197</f>
        <v>0</v>
      </c>
      <c r="L197" s="26" t="n">
        <f aca="false">L196</f>
        <v>38</v>
      </c>
    </row>
    <row r="198" customFormat="false" ht="16.5" hidden="false" customHeight="false" outlineLevel="0" collapsed="false">
      <c r="B198" s="59"/>
      <c r="C198" s="54" t="str">
        <f aca="false">Хмільник!C198</f>
        <v>Свинина, стегно заморожене</v>
      </c>
      <c r="D198" s="15" t="n">
        <f aca="false">Хмільник!D198</f>
        <v>12051</v>
      </c>
      <c r="E198" s="15" t="s">
        <v>27</v>
      </c>
      <c r="F198" s="33"/>
      <c r="G198" s="29" t="n">
        <f aca="false">L198*K198/1000</f>
        <v>0</v>
      </c>
      <c r="H198" s="48"/>
      <c r="I198" s="33"/>
      <c r="K198" s="55" t="n">
        <f aca="false">Хмільник!K198</f>
        <v>0</v>
      </c>
      <c r="L198" s="26" t="n">
        <f aca="false">L197</f>
        <v>38</v>
      </c>
    </row>
    <row r="199" customFormat="false" ht="16.5" hidden="false" customHeight="false" outlineLevel="0" collapsed="false">
      <c r="B199" s="59"/>
      <c r="C199" s="54" t="str">
        <f aca="false">Хмільник!C199</f>
        <v>Свинина, стегно охолоджене</v>
      </c>
      <c r="D199" s="15" t="n">
        <f aca="false">Хмільник!D199</f>
        <v>12052</v>
      </c>
      <c r="E199" s="15" t="s">
        <v>27</v>
      </c>
      <c r="F199" s="33"/>
      <c r="G199" s="29" t="n">
        <f aca="false">L199*K199/1000</f>
        <v>0</v>
      </c>
      <c r="H199" s="48"/>
      <c r="I199" s="33"/>
      <c r="K199" s="55" t="n">
        <f aca="false">Хмільник!K199</f>
        <v>0</v>
      </c>
      <c r="L199" s="26" t="n">
        <f aca="false">L198</f>
        <v>38</v>
      </c>
    </row>
    <row r="200" customFormat="false" ht="16.5" hidden="false" customHeight="false" outlineLevel="0" collapsed="false">
      <c r="B200" s="59"/>
      <c r="C200" s="54" t="str">
        <f aca="false">Хмільник!C200</f>
        <v>Сосиски вищого ґатунку</v>
      </c>
      <c r="D200" s="15" t="n">
        <f aca="false">Хмільник!D200</f>
        <v>12054</v>
      </c>
      <c r="E200" s="15" t="s">
        <v>27</v>
      </c>
      <c r="F200" s="33"/>
      <c r="G200" s="29" t="n">
        <f aca="false">L200*K200/1000</f>
        <v>0</v>
      </c>
      <c r="H200" s="48"/>
      <c r="I200" s="33"/>
      <c r="K200" s="55" t="n">
        <f aca="false">Хмільник!K200</f>
        <v>0</v>
      </c>
      <c r="L200" s="26" t="n">
        <f aca="false">L199</f>
        <v>38</v>
      </c>
    </row>
    <row r="201" customFormat="false" ht="16.5" hidden="false" customHeight="false" outlineLevel="0" collapsed="false">
      <c r="B201" s="59"/>
      <c r="C201" s="54" t="str">
        <f aca="false">Хмільник!C201</f>
        <v>Шинка копчена</v>
      </c>
      <c r="D201" s="15" t="n">
        <f aca="false">Хмільник!D201</f>
        <v>12055</v>
      </c>
      <c r="E201" s="15" t="s">
        <v>27</v>
      </c>
      <c r="F201" s="33"/>
      <c r="G201" s="29" t="n">
        <f aca="false">L201*K201/1000</f>
        <v>0</v>
      </c>
      <c r="H201" s="48"/>
      <c r="I201" s="33"/>
      <c r="K201" s="55" t="n">
        <f aca="false">Хмільник!K201</f>
        <v>0</v>
      </c>
      <c r="L201" s="26" t="n">
        <f aca="false">L200</f>
        <v>38</v>
      </c>
    </row>
    <row r="202" customFormat="false" ht="16.5" hidden="false" customHeight="false" outlineLevel="0" collapsed="false">
      <c r="B202" s="59"/>
      <c r="C202" s="54" t="str">
        <f aca="false">Хмільник!C202</f>
        <v>Яйця курячі першого ґатунку</v>
      </c>
      <c r="D202" s="15" t="n">
        <f aca="false">Хмільник!D202</f>
        <v>12056</v>
      </c>
      <c r="E202" s="15" t="s">
        <v>27</v>
      </c>
      <c r="F202" s="33"/>
      <c r="G202" s="29" t="n">
        <f aca="false">L202*K202/1000</f>
        <v>0</v>
      </c>
      <c r="H202" s="48"/>
      <c r="I202" s="33"/>
      <c r="K202" s="55" t="n">
        <f aca="false">Хмільник!K202</f>
        <v>0</v>
      </c>
      <c r="L202" s="26" t="n">
        <f aca="false">L201</f>
        <v>38</v>
      </c>
    </row>
    <row r="203" customFormat="false" ht="16.5" hidden="false" customHeight="false" outlineLevel="0" collapsed="false">
      <c r="B203" s="59"/>
      <c r="C203" s="54" t="str">
        <f aca="false">Хмільник!C203</f>
        <v>Яйця курячі вищого ґатунку</v>
      </c>
      <c r="D203" s="15" t="n">
        <f aca="false">Хмільник!D203</f>
        <v>12057</v>
      </c>
      <c r="E203" s="15" t="s">
        <v>27</v>
      </c>
      <c r="F203" s="33"/>
      <c r="G203" s="29" t="n">
        <f aca="false">L203*K203/1000</f>
        <v>0</v>
      </c>
      <c r="H203" s="48"/>
      <c r="I203" s="33"/>
      <c r="K203" s="55" t="n">
        <f aca="false">Хмільник!K203</f>
        <v>0</v>
      </c>
      <c r="L203" s="26" t="n">
        <f aca="false">L202</f>
        <v>38</v>
      </c>
    </row>
    <row r="204" customFormat="false" ht="16.5" hidden="false" customHeight="false" outlineLevel="0" collapsed="false">
      <c r="B204" s="59"/>
      <c r="C204" s="54" t="str">
        <f aca="false">Хмільник!C204</f>
        <v>Яловичина, задня частина зам. без кістки</v>
      </c>
      <c r="D204" s="15" t="n">
        <f aca="false">Хмільник!D204</f>
        <v>12058</v>
      </c>
      <c r="E204" s="15" t="s">
        <v>27</v>
      </c>
      <c r="F204" s="33"/>
      <c r="G204" s="29" t="n">
        <f aca="false">L204*K204/1000</f>
        <v>0</v>
      </c>
      <c r="H204" s="48"/>
      <c r="I204" s="33"/>
      <c r="K204" s="55" t="n">
        <f aca="false">Хмільник!K204</f>
        <v>0</v>
      </c>
      <c r="L204" s="26" t="n">
        <f aca="false">L203</f>
        <v>38</v>
      </c>
    </row>
    <row r="205" customFormat="false" ht="16.5" hidden="false" customHeight="false" outlineLevel="0" collapsed="false">
      <c r="B205" s="59"/>
      <c r="C205" s="54" t="str">
        <f aca="false">Хмільник!C205</f>
        <v>Яловичина, лопатка заморожена без кістки</v>
      </c>
      <c r="D205" s="15" t="n">
        <f aca="false">Хмільник!D205</f>
        <v>12060</v>
      </c>
      <c r="E205" s="15" t="s">
        <v>27</v>
      </c>
      <c r="F205" s="33"/>
      <c r="G205" s="29" t="n">
        <f aca="false">L205*K205/1000</f>
        <v>0</v>
      </c>
      <c r="H205" s="48"/>
      <c r="I205" s="33"/>
      <c r="K205" s="55" t="n">
        <f aca="false">Хмільник!K205</f>
        <v>0</v>
      </c>
      <c r="L205" s="26" t="n">
        <f aca="false">L204</f>
        <v>38</v>
      </c>
    </row>
    <row r="206" customFormat="false" ht="16.5" hidden="false" customHeight="false" outlineLevel="0" collapsed="false">
      <c r="B206" s="59"/>
      <c r="C206" s="54" t="str">
        <f aca="false">Хмільник!C206</f>
        <v>Яловичина, лопатка охолоджена без кістки</v>
      </c>
      <c r="D206" s="15" t="n">
        <f aca="false">Хмільник!D206</f>
        <v>12061</v>
      </c>
      <c r="E206" s="15" t="s">
        <v>27</v>
      </c>
      <c r="F206" s="33"/>
      <c r="G206" s="29" t="n">
        <f aca="false">L206*K206/1000</f>
        <v>0</v>
      </c>
      <c r="H206" s="48"/>
      <c r="I206" s="33"/>
      <c r="K206" s="55" t="n">
        <f aca="false">Хмільник!K206</f>
        <v>0</v>
      </c>
      <c r="L206" s="26" t="n">
        <f aca="false">L205</f>
        <v>38</v>
      </c>
    </row>
    <row r="207" customFormat="false" ht="16.5" hidden="false" customHeight="false" outlineLevel="0" collapsed="false">
      <c r="B207" s="59"/>
      <c r="C207" s="54" t="str">
        <f aca="false">Хмільник!C207</f>
        <v>Яловичина півтуші, заморожена</v>
      </c>
      <c r="D207" s="15" t="n">
        <f aca="false">Хмільник!D207</f>
        <v>12062</v>
      </c>
      <c r="E207" s="15" t="s">
        <v>27</v>
      </c>
      <c r="F207" s="33"/>
      <c r="G207" s="29" t="n">
        <f aca="false">L207*K207/1000</f>
        <v>0</v>
      </c>
      <c r="H207" s="48"/>
      <c r="I207" s="33"/>
      <c r="K207" s="55" t="n">
        <f aca="false">Хмільник!K207</f>
        <v>0</v>
      </c>
      <c r="L207" s="26" t="n">
        <f aca="false">L206</f>
        <v>38</v>
      </c>
    </row>
    <row r="208" customFormat="false" ht="16.5" hidden="false" customHeight="false" outlineLevel="0" collapsed="false">
      <c r="B208" s="59"/>
      <c r="C208" s="54" t="str">
        <f aca="false">Хмільник!C208</f>
        <v>Яловичина, печінка заморожена</v>
      </c>
      <c r="D208" s="15" t="n">
        <f aca="false">Хмільник!D208</f>
        <v>12064</v>
      </c>
      <c r="E208" s="15" t="s">
        <v>27</v>
      </c>
      <c r="F208" s="33"/>
      <c r="G208" s="29" t="n">
        <f aca="false">L208*K208/1000</f>
        <v>0</v>
      </c>
      <c r="H208" s="48"/>
      <c r="I208" s="33"/>
      <c r="K208" s="55" t="n">
        <f aca="false">Хмільник!K208</f>
        <v>0</v>
      </c>
      <c r="L208" s="26" t="n">
        <f aca="false">L207</f>
        <v>38</v>
      </c>
    </row>
    <row r="209" customFormat="false" ht="16.5" hidden="false" customHeight="false" outlineLevel="0" collapsed="false">
      <c r="B209" s="59"/>
      <c r="C209" s="54" t="str">
        <f aca="false">Хмільник!C209</f>
        <v>Яловичина, стейк (биток)</v>
      </c>
      <c r="D209" s="15" t="n">
        <f aca="false">Хмільник!D209</f>
        <v>12065</v>
      </c>
      <c r="E209" s="15" t="s">
        <v>27</v>
      </c>
      <c r="F209" s="33"/>
      <c r="G209" s="29" t="n">
        <f aca="false">L209*K209/1000</f>
        <v>0</v>
      </c>
      <c r="H209" s="48"/>
      <c r="I209" s="33"/>
      <c r="K209" s="55" t="n">
        <f aca="false">Хмільник!K209</f>
        <v>0</v>
      </c>
      <c r="L209" s="26" t="n">
        <f aca="false">L208</f>
        <v>38</v>
      </c>
    </row>
    <row r="210" customFormat="false" ht="16.5" hidden="false" customHeight="false" outlineLevel="0" collapsed="false">
      <c r="B210" s="59"/>
      <c r="C210" s="54" t="str">
        <f aca="false">Хмільник!C210</f>
        <v>М’ясні субпродукти другої категорії</v>
      </c>
      <c r="D210" s="15" t="n">
        <f aca="false">Хмільник!D210</f>
        <v>12066</v>
      </c>
      <c r="E210" s="15" t="s">
        <v>27</v>
      </c>
      <c r="F210" s="33"/>
      <c r="G210" s="29" t="n">
        <f aca="false">L210*K210/1000</f>
        <v>0</v>
      </c>
      <c r="H210" s="48"/>
      <c r="I210" s="33"/>
      <c r="K210" s="55" t="n">
        <f aca="false">Хмільник!K210</f>
        <v>0</v>
      </c>
      <c r="L210" s="26" t="n">
        <f aca="false">L209</f>
        <v>38</v>
      </c>
    </row>
    <row r="211" customFormat="false" ht="16.5" hidden="false" customHeight="false" outlineLevel="0" collapsed="false">
      <c r="B211" s="59"/>
      <c r="C211" s="54" t="str">
        <f aca="false">Хмільник!C211</f>
        <v>Телятина, лопатка заморожена без кістки</v>
      </c>
      <c r="D211" s="15" t="n">
        <f aca="false">Хмільник!D211</f>
        <v>12069</v>
      </c>
      <c r="E211" s="15" t="s">
        <v>27</v>
      </c>
      <c r="F211" s="33"/>
      <c r="G211" s="29" t="n">
        <f aca="false">L211*K211/1000</f>
        <v>0</v>
      </c>
      <c r="H211" s="48"/>
      <c r="I211" s="33"/>
      <c r="K211" s="55" t="n">
        <f aca="false">Хмільник!K211</f>
        <v>0</v>
      </c>
      <c r="L211" s="26" t="n">
        <f aca="false">L210</f>
        <v>38</v>
      </c>
    </row>
    <row r="212" customFormat="false" ht="16.5" hidden="false" customHeight="false" outlineLevel="0" collapsed="false">
      <c r="B212" s="59"/>
      <c r="C212" s="54" t="str">
        <f aca="false">Хмільник!C212</f>
        <v>М’ясо кролика, тушка охолоджена</v>
      </c>
      <c r="D212" s="15" t="n">
        <f aca="false">Хмільник!D212</f>
        <v>12074</v>
      </c>
      <c r="E212" s="15" t="s">
        <v>27</v>
      </c>
      <c r="F212" s="33"/>
      <c r="G212" s="29" t="n">
        <f aca="false">L212*K212/1000</f>
        <v>0</v>
      </c>
      <c r="H212" s="48"/>
      <c r="I212" s="33"/>
      <c r="K212" s="55" t="n">
        <f aca="false">Хмільник!K212</f>
        <v>0</v>
      </c>
      <c r="L212" s="26" t="n">
        <f aca="false">L211</f>
        <v>38</v>
      </c>
    </row>
    <row r="213" customFormat="false" ht="16.5" hidden="false" customHeight="false" outlineLevel="0" collapsed="false">
      <c r="B213" s="59"/>
      <c r="C213" s="54" t="str">
        <f aca="false">Хмільник!C213</f>
        <v>Серце яловиче заморожене</v>
      </c>
      <c r="D213" s="15" t="n">
        <f aca="false">Хмільник!D213</f>
        <v>12075</v>
      </c>
      <c r="E213" s="15" t="s">
        <v>27</v>
      </c>
      <c r="F213" s="33"/>
      <c r="G213" s="29" t="n">
        <f aca="false">L213*K213/1000</f>
        <v>0</v>
      </c>
      <c r="H213" s="48"/>
      <c r="I213" s="33"/>
      <c r="K213" s="55" t="n">
        <f aca="false">Хмільник!K213</f>
        <v>0</v>
      </c>
      <c r="L213" s="26" t="n">
        <f aca="false">L212</f>
        <v>38</v>
      </c>
    </row>
    <row r="214" customFormat="false" ht="16.5" hidden="false" customHeight="false" outlineLevel="0" collapsed="false">
      <c r="B214" s="59"/>
      <c r="C214" s="54" t="str">
        <f aca="false">Хмільник!C214</f>
        <v>Субпродукти курячі (серце, шлунки)</v>
      </c>
      <c r="D214" s="15" t="n">
        <f aca="false">Хмільник!D214</f>
        <v>12076</v>
      </c>
      <c r="E214" s="15" t="s">
        <v>27</v>
      </c>
      <c r="F214" s="33"/>
      <c r="G214" s="29" t="n">
        <f aca="false">L214*K214/1000</f>
        <v>0</v>
      </c>
      <c r="H214" s="48"/>
      <c r="I214" s="33"/>
      <c r="K214" s="55" t="n">
        <f aca="false">Хмільник!K214</f>
        <v>0</v>
      </c>
      <c r="L214" s="26" t="n">
        <f aca="false">L213</f>
        <v>38</v>
      </c>
    </row>
    <row r="215" customFormat="false" ht="16.5" hidden="false" customHeight="false" outlineLevel="0" collapsed="false">
      <c r="B215" s="59"/>
      <c r="C215" s="54" t="str">
        <f aca="false">Хмільник!C215</f>
        <v>Хек (мерлуза) філе заморожене</v>
      </c>
      <c r="D215" s="15" t="n">
        <f aca="false">Хмільник!D215</f>
        <v>12201</v>
      </c>
      <c r="E215" s="15" t="s">
        <v>27</v>
      </c>
      <c r="F215" s="33"/>
      <c r="G215" s="29" t="n">
        <f aca="false">L215*K215/1000</f>
        <v>0</v>
      </c>
      <c r="H215" s="48"/>
      <c r="I215" s="33"/>
      <c r="K215" s="55" t="n">
        <f aca="false">Хмільник!K215</f>
        <v>0</v>
      </c>
      <c r="L215" s="26" t="n">
        <f aca="false">L214</f>
        <v>38</v>
      </c>
    </row>
    <row r="216" customFormat="false" ht="16.5" hidden="false" customHeight="false" outlineLevel="0" collapsed="false">
      <c r="B216" s="59"/>
      <c r="C216" s="54" t="str">
        <f aca="false">Хмільник!C216</f>
        <v>Горбуша без голови заморожена</v>
      </c>
      <c r="D216" s="15" t="n">
        <f aca="false">Хмільник!D216</f>
        <v>12202</v>
      </c>
      <c r="E216" s="15" t="s">
        <v>27</v>
      </c>
      <c r="F216" s="33"/>
      <c r="G216" s="29" t="n">
        <f aca="false">L216*K216/1000</f>
        <v>0</v>
      </c>
      <c r="H216" s="48"/>
      <c r="I216" s="33"/>
      <c r="K216" s="55" t="n">
        <f aca="false">Хмільник!K216</f>
        <v>0</v>
      </c>
      <c r="L216" s="26" t="n">
        <f aca="false">L215</f>
        <v>38</v>
      </c>
    </row>
    <row r="217" customFormat="false" ht="16.5" hidden="false" customHeight="false" outlineLevel="0" collapsed="false">
      <c r="B217" s="59"/>
      <c r="C217" s="54" t="str">
        <f aca="false">Хмільник!C217</f>
        <v>Консерви тунець в олії</v>
      </c>
      <c r="D217" s="15" t="n">
        <f aca="false">Хмільник!D217</f>
        <v>12204</v>
      </c>
      <c r="E217" s="15" t="s">
        <v>27</v>
      </c>
      <c r="F217" s="33"/>
      <c r="G217" s="29" t="n">
        <f aca="false">L217*K217/1000</f>
        <v>0</v>
      </c>
      <c r="H217" s="48"/>
      <c r="I217" s="33"/>
      <c r="K217" s="55" t="n">
        <f aca="false">Хмільник!K217</f>
        <v>0</v>
      </c>
      <c r="L217" s="26" t="n">
        <f aca="false">L216</f>
        <v>38</v>
      </c>
    </row>
    <row r="218" customFormat="false" ht="16.5" hidden="false" customHeight="false" outlineLevel="0" collapsed="false">
      <c r="B218" s="59"/>
      <c r="C218" s="54" t="str">
        <f aca="false">Хмільник!C218</f>
        <v>Консерви з риби дрібної у томаті</v>
      </c>
      <c r="D218" s="15" t="n">
        <f aca="false">Хмільник!D218</f>
        <v>12205</v>
      </c>
      <c r="E218" s="15" t="s">
        <v>27</v>
      </c>
      <c r="F218" s="33"/>
      <c r="G218" s="29" t="n">
        <f aca="false">L218*K218/1000</f>
        <v>0</v>
      </c>
      <c r="H218" s="48"/>
      <c r="I218" s="33"/>
      <c r="K218" s="55" t="n">
        <f aca="false">Хмільник!K218</f>
        <v>0</v>
      </c>
      <c r="L218" s="26" t="n">
        <f aca="false">L217</f>
        <v>38</v>
      </c>
    </row>
    <row r="219" customFormat="false" ht="16.5" hidden="false" customHeight="false" outlineLevel="0" collapsed="false">
      <c r="B219" s="59"/>
      <c r="C219" s="54" t="str">
        <f aca="false">Хмільник!C219</f>
        <v>Консерви скумбрія в олії</v>
      </c>
      <c r="D219" s="15" t="n">
        <f aca="false">Хмільник!D219</f>
        <v>12208</v>
      </c>
      <c r="E219" s="15" t="s">
        <v>27</v>
      </c>
      <c r="F219" s="33"/>
      <c r="G219" s="29" t="n">
        <f aca="false">L219*K219/1000</f>
        <v>0</v>
      </c>
      <c r="H219" s="48"/>
      <c r="I219" s="33"/>
      <c r="K219" s="55" t="n">
        <f aca="false">Хмільник!K219</f>
        <v>0</v>
      </c>
      <c r="L219" s="26" t="n">
        <f aca="false">L218</f>
        <v>38</v>
      </c>
    </row>
    <row r="220" customFormat="false" ht="16.5" hidden="false" customHeight="false" outlineLevel="0" collapsed="false">
      <c r="B220" s="59"/>
      <c r="C220" s="54" t="str">
        <f aca="false">Хмільник!C220</f>
        <v>Пресерви оселедець в олії (філе)</v>
      </c>
      <c r="D220" s="15" t="n">
        <f aca="false">Хмільник!D220</f>
        <v>12209</v>
      </c>
      <c r="E220" s="15" t="s">
        <v>27</v>
      </c>
      <c r="F220" s="33"/>
      <c r="G220" s="29" t="n">
        <f aca="false">L220*K220/1000</f>
        <v>0</v>
      </c>
      <c r="H220" s="48"/>
      <c r="I220" s="33"/>
      <c r="K220" s="55" t="n">
        <f aca="false">Хмільник!K220</f>
        <v>0</v>
      </c>
      <c r="L220" s="26" t="n">
        <f aca="false">L219</f>
        <v>38</v>
      </c>
    </row>
    <row r="221" customFormat="false" ht="16.5" hidden="false" customHeight="false" outlineLevel="0" collapsed="false">
      <c r="B221" s="59"/>
      <c r="C221" s="54" t="str">
        <f aca="false">Хмільник!C221</f>
        <v>Консерви рибні у томаті</v>
      </c>
      <c r="D221" s="15" t="n">
        <f aca="false">Хмільник!D221</f>
        <v>12211</v>
      </c>
      <c r="E221" s="15" t="s">
        <v>27</v>
      </c>
      <c r="F221" s="33"/>
      <c r="G221" s="29" t="n">
        <f aca="false">L221*K221/1000</f>
        <v>0</v>
      </c>
      <c r="H221" s="48"/>
      <c r="I221" s="33"/>
      <c r="K221" s="55" t="n">
        <f aca="false">Хмільник!K221</f>
        <v>0</v>
      </c>
      <c r="L221" s="26" t="n">
        <f aca="false">L220</f>
        <v>38</v>
      </c>
    </row>
    <row r="222" customFormat="false" ht="16.5" hidden="false" customHeight="false" outlineLevel="0" collapsed="false">
      <c r="B222" s="59"/>
      <c r="C222" s="54" t="str">
        <f aca="false">Хмільник!C222</f>
        <v>Консерви сардини в олії</v>
      </c>
      <c r="D222" s="15" t="n">
        <f aca="false">Хмільник!D222</f>
        <v>12213</v>
      </c>
      <c r="E222" s="15" t="s">
        <v>27</v>
      </c>
      <c r="F222" s="33"/>
      <c r="G222" s="29" t="n">
        <f aca="false">L222*K222/1000</f>
        <v>0</v>
      </c>
      <c r="H222" s="48"/>
      <c r="I222" s="33"/>
      <c r="K222" s="55" t="n">
        <f aca="false">Хмільник!K222</f>
        <v>0</v>
      </c>
      <c r="L222" s="26" t="n">
        <f aca="false">L221</f>
        <v>38</v>
      </c>
    </row>
    <row r="223" customFormat="false" ht="16.5" hidden="false" customHeight="false" outlineLevel="0" collapsed="false">
      <c r="B223" s="59"/>
      <c r="C223" s="54" t="str">
        <f aca="false">Хмільник!C223</f>
        <v>Консерви шпроти в олії</v>
      </c>
      <c r="D223" s="15" t="n">
        <f aca="false">Хмільник!D223</f>
        <v>12215</v>
      </c>
      <c r="E223" s="15" t="s">
        <v>27</v>
      </c>
      <c r="F223" s="33"/>
      <c r="G223" s="29" t="n">
        <f aca="false">L223*K223/1000</f>
        <v>0</v>
      </c>
      <c r="H223" s="48"/>
      <c r="I223" s="33"/>
      <c r="K223" s="55" t="n">
        <f aca="false">Хмільник!K223</f>
        <v>0</v>
      </c>
      <c r="L223" s="26" t="n">
        <f aca="false">L222</f>
        <v>38</v>
      </c>
    </row>
    <row r="224" customFormat="false" ht="16.5" hidden="false" customHeight="false" outlineLevel="0" collapsed="false">
      <c r="B224" s="59"/>
      <c r="C224" s="54" t="str">
        <f aca="false">Хмільник!C224</f>
        <v>Печінка тріски (консерва)</v>
      </c>
      <c r="D224" s="15" t="n">
        <f aca="false">Хмільник!D224</f>
        <v>12216</v>
      </c>
      <c r="E224" s="15" t="s">
        <v>27</v>
      </c>
      <c r="F224" s="33"/>
      <c r="G224" s="29" t="n">
        <f aca="false">L224*K224/1000</f>
        <v>0</v>
      </c>
      <c r="H224" s="48"/>
      <c r="I224" s="33"/>
      <c r="K224" s="55" t="n">
        <f aca="false">Хмільник!K224</f>
        <v>0</v>
      </c>
      <c r="L224" s="26" t="n">
        <f aca="false">L223</f>
        <v>38</v>
      </c>
    </row>
    <row r="225" customFormat="false" ht="16.5" hidden="false" customHeight="false" outlineLevel="0" collapsed="false">
      <c r="B225" s="59"/>
      <c r="C225" s="54" t="str">
        <f aca="false">Хмільник!C225</f>
        <v>Короп охолоджений</v>
      </c>
      <c r="D225" s="15" t="n">
        <f aca="false">Хмільник!D225</f>
        <v>12217</v>
      </c>
      <c r="E225" s="15" t="s">
        <v>27</v>
      </c>
      <c r="F225" s="33"/>
      <c r="G225" s="29" t="n">
        <f aca="false">L225*K225/1000</f>
        <v>0</v>
      </c>
      <c r="H225" s="48"/>
      <c r="I225" s="33"/>
      <c r="K225" s="55" t="n">
        <f aca="false">Хмільник!K225</f>
        <v>0</v>
      </c>
      <c r="L225" s="26" t="n">
        <f aca="false">L224</f>
        <v>38</v>
      </c>
    </row>
    <row r="226" customFormat="false" ht="16.5" hidden="false" customHeight="false" outlineLevel="0" collapsed="false">
      <c r="B226" s="59"/>
      <c r="C226" s="54" t="str">
        <f aca="false">Хмільник!C226</f>
        <v>Крабові палички заморожені</v>
      </c>
      <c r="D226" s="15" t="n">
        <f aca="false">Хмільник!D226</f>
        <v>12218</v>
      </c>
      <c r="E226" s="15" t="s">
        <v>27</v>
      </c>
      <c r="F226" s="33"/>
      <c r="G226" s="29" t="n">
        <f aca="false">L226*K226/1000</f>
        <v>0</v>
      </c>
      <c r="H226" s="48"/>
      <c r="I226" s="33"/>
      <c r="K226" s="55" t="n">
        <f aca="false">Хмільник!K226</f>
        <v>0</v>
      </c>
      <c r="L226" s="26" t="n">
        <f aca="false">L225</f>
        <v>38</v>
      </c>
    </row>
    <row r="227" customFormat="false" ht="16.5" hidden="false" customHeight="false" outlineLevel="0" collapsed="false">
      <c r="B227" s="59"/>
      <c r="C227" s="54" t="str">
        <f aca="false">Хмільник!C227</f>
        <v>Минтай, філе заморожене</v>
      </c>
      <c r="D227" s="15" t="n">
        <f aca="false">Хмільник!D227</f>
        <v>12219</v>
      </c>
      <c r="E227" s="15" t="s">
        <v>27</v>
      </c>
      <c r="F227" s="33"/>
      <c r="G227" s="29" t="n">
        <f aca="false">L227*K227/1000</f>
        <v>0</v>
      </c>
      <c r="H227" s="48"/>
      <c r="I227" s="33"/>
      <c r="K227" s="55" t="n">
        <f aca="false">Хмільник!K227</f>
        <v>0</v>
      </c>
      <c r="L227" s="26" t="n">
        <f aca="false">L226</f>
        <v>38</v>
      </c>
    </row>
    <row r="228" customFormat="false" ht="16.5" hidden="false" customHeight="false" outlineLevel="0" collapsed="false">
      <c r="B228" s="59"/>
      <c r="C228" s="54" t="str">
        <f aca="false">Хмільник!C228</f>
        <v>Минтай без голови заморожений</v>
      </c>
      <c r="D228" s="15" t="n">
        <f aca="false">Хмільник!D228</f>
        <v>12221</v>
      </c>
      <c r="E228" s="15" t="s">
        <v>27</v>
      </c>
      <c r="F228" s="33"/>
      <c r="G228" s="29" t="n">
        <f aca="false">L228*K228/1000</f>
        <v>0</v>
      </c>
      <c r="H228" s="48"/>
      <c r="I228" s="33"/>
      <c r="K228" s="55" t="n">
        <f aca="false">Хмільник!K228</f>
        <v>0</v>
      </c>
      <c r="L228" s="26" t="n">
        <f aca="false">L227</f>
        <v>38</v>
      </c>
    </row>
    <row r="229" customFormat="false" ht="16.5" hidden="false" customHeight="false" outlineLevel="0" collapsed="false">
      <c r="B229" s="59"/>
      <c r="C229" s="54" t="str">
        <f aca="false">Хмільник!C229</f>
        <v>Сайда заморожена (без голови)</v>
      </c>
      <c r="D229" s="15" t="n">
        <f aca="false">Хмільник!D229</f>
        <v>12224</v>
      </c>
      <c r="E229" s="15" t="s">
        <v>27</v>
      </c>
      <c r="F229" s="33"/>
      <c r="G229" s="29" t="n">
        <f aca="false">L229*K229/1000</f>
        <v>0</v>
      </c>
      <c r="H229" s="48"/>
      <c r="I229" s="33"/>
      <c r="K229" s="55" t="n">
        <f aca="false">Хмільник!K229</f>
        <v>0</v>
      </c>
      <c r="L229" s="26" t="n">
        <f aca="false">L228</f>
        <v>38</v>
      </c>
    </row>
    <row r="230" customFormat="false" ht="16.5" hidden="false" customHeight="false" outlineLevel="0" collapsed="false">
      <c r="B230" s="59"/>
      <c r="C230" s="54" t="str">
        <f aca="false">Хмільник!C230</f>
        <v>Товстолоб без голови патраний зам.</v>
      </c>
      <c r="D230" s="15" t="n">
        <f aca="false">Хмільник!D230</f>
        <v>12225</v>
      </c>
      <c r="E230" s="15" t="s">
        <v>27</v>
      </c>
      <c r="F230" s="33"/>
      <c r="G230" s="29" t="n">
        <f aca="false">L230*K230/1000</f>
        <v>0</v>
      </c>
      <c r="H230" s="48"/>
      <c r="I230" s="33"/>
      <c r="K230" s="55" t="n">
        <f aca="false">Хмільник!K230</f>
        <v>0</v>
      </c>
      <c r="L230" s="26" t="n">
        <f aca="false">L229</f>
        <v>38</v>
      </c>
    </row>
    <row r="231" customFormat="false" ht="16.5" hidden="false" customHeight="false" outlineLevel="0" collapsed="false">
      <c r="B231" s="59"/>
      <c r="C231" s="54" t="str">
        <f aca="false">Хмільник!C231</f>
        <v>Тріска без голови заморожена</v>
      </c>
      <c r="D231" s="15" t="n">
        <f aca="false">Хмільник!D231</f>
        <v>12226</v>
      </c>
      <c r="E231" s="15" t="s">
        <v>27</v>
      </c>
      <c r="F231" s="33"/>
      <c r="G231" s="29" t="n">
        <f aca="false">L231*K231/1000</f>
        <v>0</v>
      </c>
      <c r="H231" s="48"/>
      <c r="I231" s="33"/>
      <c r="K231" s="55" t="n">
        <f aca="false">Хмільник!K231</f>
        <v>0</v>
      </c>
      <c r="L231" s="26" t="n">
        <f aca="false">L230</f>
        <v>38</v>
      </c>
    </row>
    <row r="232" customFormat="false" ht="16.5" hidden="false" customHeight="false" outlineLevel="0" collapsed="false">
      <c r="B232" s="59"/>
      <c r="C232" s="54" t="str">
        <f aca="false">Хмільник!C232</f>
        <v>Скумбрія заморожена (без голови)</v>
      </c>
      <c r="D232" s="15" t="n">
        <f aca="false">Хмільник!D232</f>
        <v>12228</v>
      </c>
      <c r="E232" s="15" t="s">
        <v>27</v>
      </c>
      <c r="F232" s="33"/>
      <c r="G232" s="29" t="n">
        <f aca="false">L232*K232/1000</f>
        <v>0</v>
      </c>
      <c r="H232" s="48"/>
      <c r="I232" s="33"/>
      <c r="K232" s="55" t="n">
        <f aca="false">Хмільник!K232</f>
        <v>0</v>
      </c>
      <c r="L232" s="26" t="n">
        <f aca="false">L231</f>
        <v>38</v>
      </c>
    </row>
    <row r="233" customFormat="false" ht="16.5" hidden="false" customHeight="false" outlineLevel="0" collapsed="false">
      <c r="B233" s="59"/>
      <c r="C233" s="54" t="str">
        <f aca="false">Хмільник!C233</f>
        <v>Форель охолоджена</v>
      </c>
      <c r="D233" s="15" t="n">
        <f aca="false">Хмільник!D233</f>
        <v>12229</v>
      </c>
      <c r="E233" s="15" t="s">
        <v>27</v>
      </c>
      <c r="F233" s="33"/>
      <c r="G233" s="29" t="n">
        <f aca="false">L233*K233/1000</f>
        <v>0</v>
      </c>
      <c r="H233" s="48"/>
      <c r="I233" s="33"/>
      <c r="K233" s="55" t="n">
        <f aca="false">Хмільник!K233</f>
        <v>0</v>
      </c>
      <c r="L233" s="26" t="n">
        <f aca="false">L232</f>
        <v>38</v>
      </c>
    </row>
    <row r="234" customFormat="false" ht="16.5" hidden="false" customHeight="false" outlineLevel="0" collapsed="false">
      <c r="B234" s="59"/>
      <c r="C234" s="54" t="str">
        <f aca="false">Хмільник!C234</f>
        <v>Хек заморожений (без голови)</v>
      </c>
      <c r="D234" s="15" t="n">
        <f aca="false">Хмільник!D234</f>
        <v>12231</v>
      </c>
      <c r="E234" s="15" t="s">
        <v>27</v>
      </c>
      <c r="F234" s="33"/>
      <c r="G234" s="29" t="n">
        <f aca="false">L234*K234/1000</f>
        <v>0</v>
      </c>
      <c r="H234" s="48"/>
      <c r="I234" s="33"/>
      <c r="K234" s="55" t="n">
        <f aca="false">Хмільник!K234</f>
        <v>0</v>
      </c>
      <c r="L234" s="26" t="n">
        <f aca="false">L233</f>
        <v>38</v>
      </c>
    </row>
    <row r="235" customFormat="false" ht="16.5" hidden="false" customHeight="false" outlineLevel="0" collapsed="false">
      <c r="B235" s="59"/>
      <c r="C235" s="54" t="str">
        <f aca="false">Хмільник!C235</f>
        <v>Зубатка, стейк заморожений</v>
      </c>
      <c r="D235" s="15" t="n">
        <f aca="false">Хмільник!D235</f>
        <v>12235</v>
      </c>
      <c r="E235" s="15" t="s">
        <v>27</v>
      </c>
      <c r="F235" s="33"/>
      <c r="G235" s="29" t="n">
        <f aca="false">L235*K235/1000</f>
        <v>0</v>
      </c>
      <c r="H235" s="48"/>
      <c r="I235" s="33"/>
      <c r="K235" s="55" t="n">
        <f aca="false">Хмільник!K235</f>
        <v>0</v>
      </c>
      <c r="L235" s="26" t="n">
        <f aca="false">L234</f>
        <v>38</v>
      </c>
    </row>
    <row r="236" customFormat="false" ht="16.5" hidden="false" customHeight="false" outlineLevel="0" collapsed="false">
      <c r="B236" s="59"/>
      <c r="C236" s="54" t="str">
        <f aca="false">Хмільник!C236</f>
        <v>Оселедець солений</v>
      </c>
      <c r="D236" s="15" t="n">
        <f aca="false">Хмільник!D236</f>
        <v>12237</v>
      </c>
      <c r="E236" s="15" t="s">
        <v>27</v>
      </c>
      <c r="F236" s="33"/>
      <c r="G236" s="29" t="n">
        <f aca="false">L236*K236/1000</f>
        <v>0</v>
      </c>
      <c r="H236" s="48"/>
      <c r="I236" s="33"/>
      <c r="K236" s="55" t="n">
        <f aca="false">Хмільник!K236</f>
        <v>0</v>
      </c>
      <c r="L236" s="26" t="n">
        <f aca="false">L235</f>
        <v>38</v>
      </c>
    </row>
    <row r="237" customFormat="false" ht="16.5" hidden="false" customHeight="false" outlineLevel="0" collapsed="false">
      <c r="B237" s="59"/>
      <c r="C237" s="54" t="str">
        <f aca="false">Хмільник!C237</f>
        <v>Маргарин столовий</v>
      </c>
      <c r="D237" s="15" t="n">
        <f aca="false">Хмільник!D237</f>
        <v>12301</v>
      </c>
      <c r="E237" s="15" t="s">
        <v>27</v>
      </c>
      <c r="F237" s="33"/>
      <c r="G237" s="29" t="n">
        <f aca="false">L237*K237/1000</f>
        <v>0</v>
      </c>
      <c r="H237" s="48"/>
      <c r="I237" s="33"/>
      <c r="K237" s="55" t="n">
        <f aca="false">Хмільник!K237</f>
        <v>0</v>
      </c>
      <c r="L237" s="26" t="n">
        <f aca="false">L236</f>
        <v>38</v>
      </c>
    </row>
    <row r="238" customFormat="false" ht="16.5" hidden="false" customHeight="false" outlineLevel="0" collapsed="false">
      <c r="B238" s="59"/>
      <c r="C238" s="54" t="str">
        <f aca="false">Хмільник!C238</f>
        <v>Масло вершкове селянське 72,5 % - 79,9 %</v>
      </c>
      <c r="D238" s="15" t="n">
        <f aca="false">Хмільник!D238</f>
        <v>12302</v>
      </c>
      <c r="E238" s="15" t="s">
        <v>27</v>
      </c>
      <c r="F238" s="33"/>
      <c r="G238" s="29" t="n">
        <f aca="false">L238*K238/1000</f>
        <v>0</v>
      </c>
      <c r="H238" s="48"/>
      <c r="I238" s="33"/>
      <c r="K238" s="55" t="n">
        <f aca="false">Хмільник!K238</f>
        <v>0</v>
      </c>
      <c r="L238" s="26" t="n">
        <f aca="false">L237</f>
        <v>38</v>
      </c>
    </row>
    <row r="239" customFormat="false" ht="16.5" hidden="false" customHeight="false" outlineLevel="0" collapsed="false">
      <c r="B239" s="59"/>
      <c r="C239" s="54" t="str">
        <f aca="false">Хмільник!C239</f>
        <v>Масло вер. сел. 72,5 % - 79,9 % (інд. пак.)</v>
      </c>
      <c r="D239" s="15" t="n">
        <f aca="false">Хмільник!D239</f>
        <v>12303</v>
      </c>
      <c r="E239" s="15" t="s">
        <v>27</v>
      </c>
      <c r="F239" s="33"/>
      <c r="G239" s="29" t="n">
        <f aca="false">L239*K239/1000</f>
        <v>0</v>
      </c>
      <c r="H239" s="48"/>
      <c r="I239" s="33"/>
      <c r="K239" s="55" t="n">
        <f aca="false">Хмільник!K239</f>
        <v>0</v>
      </c>
      <c r="L239" s="26" t="n">
        <f aca="false">L238</f>
        <v>38</v>
      </c>
    </row>
    <row r="240" customFormat="false" ht="16.5" hidden="false" customHeight="false" outlineLevel="0" collapsed="false">
      <c r="B240" s="59"/>
      <c r="C240" s="54" t="str">
        <f aca="false">Хмільник!C240</f>
        <v>Масло вершкове бутер. 61,5 % - 72,4 %</v>
      </c>
      <c r="D240" s="15" t="n">
        <f aca="false">Хмільник!D240</f>
        <v>12304</v>
      </c>
      <c r="E240" s="15" t="s">
        <v>27</v>
      </c>
      <c r="F240" s="33"/>
      <c r="G240" s="29" t="n">
        <f aca="false">L240*K240/1000</f>
        <v>0</v>
      </c>
      <c r="H240" s="48"/>
      <c r="I240" s="33"/>
      <c r="K240" s="55" t="n">
        <f aca="false">Хмільник!K240</f>
        <v>0</v>
      </c>
      <c r="L240" s="26" t="n">
        <f aca="false">L239</f>
        <v>38</v>
      </c>
    </row>
    <row r="241" customFormat="false" ht="16.5" hidden="false" customHeight="false" outlineLevel="0" collapsed="false">
      <c r="B241" s="59"/>
      <c r="C241" s="54" t="str">
        <f aca="false">Хмільник!C241</f>
        <v>Олія оливкова</v>
      </c>
      <c r="D241" s="15" t="n">
        <f aca="false">Хмільник!D241</f>
        <v>12305</v>
      </c>
      <c r="E241" s="15" t="s">
        <v>27</v>
      </c>
      <c r="F241" s="33"/>
      <c r="G241" s="29" t="n">
        <f aca="false">L241*K241/1000</f>
        <v>0</v>
      </c>
      <c r="H241" s="48"/>
      <c r="I241" s="33"/>
      <c r="K241" s="55" t="n">
        <f aca="false">Хмільник!K241</f>
        <v>0</v>
      </c>
      <c r="L241" s="26" t="n">
        <f aca="false">L240</f>
        <v>38</v>
      </c>
    </row>
    <row r="242" customFormat="false" ht="16.5" hidden="false" customHeight="false" outlineLevel="0" collapsed="false">
      <c r="B242" s="59"/>
      <c r="C242" s="54" t="str">
        <f aca="false">Хмільник!C242</f>
        <v>Олія соняшникова нерафінована</v>
      </c>
      <c r="D242" s="15" t="n">
        <f aca="false">Хмільник!D242</f>
        <v>12306</v>
      </c>
      <c r="E242" s="15" t="s">
        <v>27</v>
      </c>
      <c r="F242" s="33"/>
      <c r="G242" s="29" t="n">
        <f aca="false">L242*K242/1000</f>
        <v>0</v>
      </c>
      <c r="H242" s="48"/>
      <c r="I242" s="33"/>
      <c r="K242" s="55" t="n">
        <f aca="false">Хмільник!K242</f>
        <v>0</v>
      </c>
      <c r="L242" s="26" t="n">
        <f aca="false">L241</f>
        <v>38</v>
      </c>
    </row>
    <row r="243" customFormat="false" ht="16.5" hidden="false" customHeight="false" outlineLevel="0" collapsed="false">
      <c r="B243" s="59"/>
      <c r="C243" s="54" t="str">
        <f aca="false">Хмільник!C243</f>
        <v>Олія соняшникова рафінована</v>
      </c>
      <c r="D243" s="15" t="n">
        <f aca="false">Хмільник!D243</f>
        <v>12307</v>
      </c>
      <c r="E243" s="15" t="s">
        <v>27</v>
      </c>
      <c r="F243" s="33"/>
      <c r="G243" s="29" t="n">
        <f aca="false">L243*K243/1000</f>
        <v>0</v>
      </c>
      <c r="H243" s="48"/>
      <c r="I243" s="33"/>
      <c r="K243" s="55" t="n">
        <f aca="false">Хмільник!K243</f>
        <v>0</v>
      </c>
      <c r="L243" s="26" t="n">
        <f aca="false">L242</f>
        <v>38</v>
      </c>
    </row>
    <row r="244" customFormat="false" ht="16.5" hidden="false" customHeight="false" outlineLevel="0" collapsed="false">
      <c r="B244" s="59"/>
      <c r="C244" s="54" t="str">
        <f aca="false">Хмільник!C244</f>
        <v>Жир тваринний</v>
      </c>
      <c r="D244" s="15" t="n">
        <f aca="false">Хмільник!D244</f>
        <v>12308</v>
      </c>
      <c r="E244" s="15" t="s">
        <v>27</v>
      </c>
      <c r="F244" s="33"/>
      <c r="G244" s="29" t="n">
        <f aca="false">L244*K244/1000</f>
        <v>0</v>
      </c>
      <c r="H244" s="48"/>
      <c r="I244" s="33"/>
      <c r="K244" s="55" t="n">
        <f aca="false">Хмільник!K244</f>
        <v>0</v>
      </c>
      <c r="L244" s="26" t="n">
        <f aca="false">L243</f>
        <v>38</v>
      </c>
    </row>
    <row r="245" customFormat="false" ht="16.5" hidden="false" customHeight="false" outlineLevel="0" collapsed="false">
      <c r="B245" s="59"/>
      <c r="C245" s="54" t="str">
        <f aca="false">Хмільник!C245</f>
        <v>Варення з малини</v>
      </c>
      <c r="D245" s="15" t="n">
        <f aca="false">Хмільник!D245</f>
        <v>13001</v>
      </c>
      <c r="E245" s="15" t="s">
        <v>27</v>
      </c>
      <c r="F245" s="33"/>
      <c r="G245" s="29" t="n">
        <f aca="false">L245*K245/1000</f>
        <v>0</v>
      </c>
      <c r="H245" s="48"/>
      <c r="I245" s="33"/>
      <c r="K245" s="55" t="n">
        <f aca="false">Хмільник!K245</f>
        <v>0</v>
      </c>
      <c r="L245" s="26" t="n">
        <f aca="false">L244</f>
        <v>38</v>
      </c>
    </row>
    <row r="246" customFormat="false" ht="16.5" hidden="false" customHeight="false" outlineLevel="0" collapsed="false">
      <c r="B246" s="59"/>
      <c r="C246" s="54" t="str">
        <f aca="false">Хмільник!C246</f>
        <v>Варення з полуниці</v>
      </c>
      <c r="D246" s="15" t="n">
        <f aca="false">Хмільник!D246</f>
        <v>13002</v>
      </c>
      <c r="E246" s="15" t="s">
        <v>27</v>
      </c>
      <c r="F246" s="33"/>
      <c r="G246" s="29" t="n">
        <f aca="false">L246*K246/1000</f>
        <v>0</v>
      </c>
      <c r="H246" s="48"/>
      <c r="I246" s="33"/>
      <c r="K246" s="55" t="n">
        <f aca="false">Хмільник!K246</f>
        <v>0</v>
      </c>
      <c r="L246" s="26" t="n">
        <f aca="false">L245</f>
        <v>38</v>
      </c>
    </row>
    <row r="247" customFormat="false" ht="16.5" hidden="false" customHeight="false" outlineLevel="0" collapsed="false">
      <c r="B247" s="59"/>
      <c r="C247" s="54" t="str">
        <f aca="false">Хмільник!C247</f>
        <v>Варення плодово-ягідне</v>
      </c>
      <c r="D247" s="15" t="n">
        <f aca="false">Хмільник!D247</f>
        <v>13003</v>
      </c>
      <c r="E247" s="15" t="s">
        <v>27</v>
      </c>
      <c r="F247" s="33"/>
      <c r="G247" s="29" t="n">
        <f aca="false">L247*K247/1000</f>
        <v>0</v>
      </c>
      <c r="H247" s="48"/>
      <c r="I247" s="33"/>
      <c r="K247" s="55" t="n">
        <f aca="false">Хмільник!K247</f>
        <v>0</v>
      </c>
      <c r="L247" s="26" t="n">
        <f aca="false">L246</f>
        <v>38</v>
      </c>
    </row>
    <row r="248" customFormat="false" ht="16.5" hidden="false" customHeight="false" outlineLevel="0" collapsed="false">
      <c r="B248" s="59"/>
      <c r="C248" s="54" t="str">
        <f aca="false">Хмільник!C248</f>
        <v>Джем плодово-ягідний</v>
      </c>
      <c r="D248" s="15" t="n">
        <f aca="false">Хмільник!D248</f>
        <v>13004</v>
      </c>
      <c r="E248" s="15" t="s">
        <v>27</v>
      </c>
      <c r="F248" s="33"/>
      <c r="G248" s="29" t="n">
        <f aca="false">L248*K248/1000</f>
        <v>0</v>
      </c>
      <c r="H248" s="48"/>
      <c r="I248" s="33"/>
      <c r="K248" s="55" t="n">
        <f aca="false">Хмільник!K248</f>
        <v>0</v>
      </c>
      <c r="L248" s="26" t="n">
        <f aca="false">L247</f>
        <v>38</v>
      </c>
    </row>
    <row r="249" customFormat="false" ht="16.5" hidden="false" customHeight="false" outlineLevel="0" collapsed="false">
      <c r="B249" s="59"/>
      <c r="C249" s="54" t="str">
        <f aca="false">Хмільник!C249</f>
        <v>Льодяники різні</v>
      </c>
      <c r="D249" s="15" t="n">
        <f aca="false">Хмільник!D249</f>
        <v>13005</v>
      </c>
      <c r="E249" s="15" t="s">
        <v>27</v>
      </c>
      <c r="F249" s="33"/>
      <c r="G249" s="29" t="n">
        <f aca="false">L249*K249/1000</f>
        <v>0</v>
      </c>
      <c r="H249" s="48"/>
      <c r="I249" s="33"/>
      <c r="K249" s="55" t="n">
        <f aca="false">Хмільник!K249</f>
        <v>0</v>
      </c>
      <c r="L249" s="26" t="n">
        <f aca="false">L248</f>
        <v>38</v>
      </c>
    </row>
    <row r="250" customFormat="false" ht="16.5" hidden="false" customHeight="false" outlineLevel="0" collapsed="false">
      <c r="B250" s="59"/>
      <c r="C250" s="54" t="str">
        <f aca="false">Хмільник!C250</f>
        <v>Мед натуральний</v>
      </c>
      <c r="D250" s="15" t="n">
        <f aca="false">Хмільник!D250</f>
        <v>13006</v>
      </c>
      <c r="E250" s="15" t="s">
        <v>27</v>
      </c>
      <c r="F250" s="33"/>
      <c r="G250" s="29" t="n">
        <f aca="false">L250*K250/1000</f>
        <v>0</v>
      </c>
      <c r="H250" s="48"/>
      <c r="I250" s="33"/>
      <c r="K250" s="55" t="n">
        <f aca="false">Хмільник!K250</f>
        <v>0</v>
      </c>
      <c r="L250" s="26" t="n">
        <f aca="false">L249</f>
        <v>38</v>
      </c>
    </row>
    <row r="251" customFormat="false" ht="16.5" hidden="false" customHeight="false" outlineLevel="0" collapsed="false">
      <c r="B251" s="59"/>
      <c r="C251" s="54" t="str">
        <f aca="false">Хмільник!C251</f>
        <v>Повидло яблучне</v>
      </c>
      <c r="D251" s="15" t="n">
        <f aca="false">Хмільник!D251</f>
        <v>13007</v>
      </c>
      <c r="E251" s="15" t="s">
        <v>27</v>
      </c>
      <c r="F251" s="33"/>
      <c r="G251" s="29" t="n">
        <f aca="false">L251*K251/1000</f>
        <v>0</v>
      </c>
      <c r="H251" s="48"/>
      <c r="I251" s="33"/>
      <c r="K251" s="55" t="n">
        <f aca="false">Хмільник!K251</f>
        <v>0</v>
      </c>
      <c r="L251" s="26" t="n">
        <f aca="false">L250</f>
        <v>38</v>
      </c>
    </row>
    <row r="252" customFormat="false" ht="16.5" hidden="false" customHeight="false" outlineLevel="0" collapsed="false">
      <c r="B252" s="59"/>
      <c r="C252" s="54" t="str">
        <f aca="false">Хмільник!C252</f>
        <v>Варення з малини індивідуального пак.</v>
      </c>
      <c r="D252" s="15" t="n">
        <f aca="false">Хмільник!D252</f>
        <v>13008</v>
      </c>
      <c r="E252" s="15" t="s">
        <v>27</v>
      </c>
      <c r="F252" s="33"/>
      <c r="G252" s="29" t="n">
        <f aca="false">L252*K252/1000</f>
        <v>0</v>
      </c>
      <c r="H252" s="48"/>
      <c r="I252" s="33"/>
      <c r="K252" s="55" t="n">
        <f aca="false">Хмільник!K252</f>
        <v>0</v>
      </c>
      <c r="L252" s="26" t="n">
        <f aca="false">L251</f>
        <v>38</v>
      </c>
    </row>
    <row r="253" customFormat="false" ht="16.5" hidden="false" customHeight="false" outlineLevel="0" collapsed="false">
      <c r="B253" s="59"/>
      <c r="C253" s="54" t="str">
        <f aca="false">Хмільник!C253</f>
        <v>Варення з полуниці індивідуального пак.</v>
      </c>
      <c r="D253" s="15" t="n">
        <f aca="false">Хмільник!D253</f>
        <v>13009</v>
      </c>
      <c r="E253" s="15" t="s">
        <v>27</v>
      </c>
      <c r="F253" s="33"/>
      <c r="G253" s="29" t="n">
        <f aca="false">L253*K253/1000</f>
        <v>0</v>
      </c>
      <c r="H253" s="48"/>
      <c r="I253" s="33"/>
      <c r="K253" s="55" t="n">
        <f aca="false">Хмільник!K253</f>
        <v>0</v>
      </c>
      <c r="L253" s="26" t="n">
        <f aca="false">L252</f>
        <v>38</v>
      </c>
    </row>
    <row r="254" customFormat="false" ht="16.5" hidden="false" customHeight="false" outlineLevel="0" collapsed="false">
      <c r="B254" s="59"/>
      <c r="C254" s="54" t="str">
        <f aca="false">Хмільник!C254</f>
        <v>Варення плодово-ягідне індив. пакування</v>
      </c>
      <c r="D254" s="15" t="n">
        <f aca="false">Хмільник!D254</f>
        <v>13010</v>
      </c>
      <c r="E254" s="15" t="s">
        <v>27</v>
      </c>
      <c r="F254" s="33"/>
      <c r="G254" s="29" t="n">
        <f aca="false">L254*K254/1000</f>
        <v>0</v>
      </c>
      <c r="H254" s="48"/>
      <c r="I254" s="33"/>
      <c r="K254" s="55" t="n">
        <f aca="false">Хмільник!K254</f>
        <v>0</v>
      </c>
      <c r="L254" s="26" t="n">
        <f aca="false">L253</f>
        <v>38</v>
      </c>
    </row>
    <row r="255" customFormat="false" ht="16.5" hidden="false" customHeight="false" outlineLevel="0" collapsed="false">
      <c r="B255" s="59"/>
      <c r="C255" s="54" t="str">
        <f aca="false">Хмільник!C255</f>
        <v>Джем плодово-ягідний індив. пакування</v>
      </c>
      <c r="D255" s="15" t="n">
        <f aca="false">Хмільник!D255</f>
        <v>13011</v>
      </c>
      <c r="E255" s="15" t="s">
        <v>27</v>
      </c>
      <c r="F255" s="33"/>
      <c r="G255" s="29" t="n">
        <f aca="false">L255*K255/1000</f>
        <v>0</v>
      </c>
      <c r="H255" s="48"/>
      <c r="I255" s="33"/>
      <c r="K255" s="55" t="n">
        <f aca="false">Хмільник!K255</f>
        <v>0</v>
      </c>
      <c r="L255" s="26" t="n">
        <f aca="false">L254</f>
        <v>38</v>
      </c>
    </row>
    <row r="256" customFormat="false" ht="16.5" hidden="false" customHeight="false" outlineLevel="0" collapsed="false">
      <c r="B256" s="59"/>
      <c r="C256" s="54" t="str">
        <f aca="false">Хмільник!C256</f>
        <v>Мед натуральний індивідуального пакув.</v>
      </c>
      <c r="D256" s="15" t="n">
        <f aca="false">Хмільник!D256</f>
        <v>13013</v>
      </c>
      <c r="E256" s="15" t="s">
        <v>27</v>
      </c>
      <c r="F256" s="33"/>
      <c r="G256" s="29" t="n">
        <f aca="false">L256*K256/1000</f>
        <v>0</v>
      </c>
      <c r="H256" s="48"/>
      <c r="I256" s="33"/>
      <c r="K256" s="55" t="n">
        <f aca="false">Хмільник!K256</f>
        <v>0</v>
      </c>
      <c r="L256" s="26" t="n">
        <f aca="false">L255</f>
        <v>38</v>
      </c>
    </row>
    <row r="257" customFormat="false" ht="16.5" hidden="false" customHeight="false" outlineLevel="0" collapsed="false">
      <c r="B257" s="59"/>
      <c r="C257" s="54" t="str">
        <f aca="false">Хмільник!C257</f>
        <v>Горіхова паста</v>
      </c>
      <c r="D257" s="15" t="n">
        <f aca="false">Хмільник!D257</f>
        <v>13015</v>
      </c>
      <c r="E257" s="15" t="s">
        <v>27</v>
      </c>
      <c r="F257" s="33"/>
      <c r="G257" s="29" t="n">
        <f aca="false">L257*K257/1000</f>
        <v>0</v>
      </c>
      <c r="H257" s="48"/>
      <c r="I257" s="33"/>
      <c r="K257" s="55" t="n">
        <f aca="false">Хмільник!K257</f>
        <v>0</v>
      </c>
      <c r="L257" s="26" t="n">
        <f aca="false">L256</f>
        <v>38</v>
      </c>
    </row>
    <row r="258" customFormat="false" ht="16.5" hidden="false" customHeight="false" outlineLevel="0" collapsed="false">
      <c r="B258" s="59"/>
      <c r="C258" s="54" t="str">
        <f aca="false">Хмільник!C258</f>
        <v>Батончик енергетичний</v>
      </c>
      <c r="D258" s="15" t="n">
        <f aca="false">Хмільник!D258</f>
        <v>13016</v>
      </c>
      <c r="E258" s="15" t="s">
        <v>27</v>
      </c>
      <c r="F258" s="33"/>
      <c r="G258" s="29" t="n">
        <f aca="false">L258*K258/1000</f>
        <v>0</v>
      </c>
      <c r="H258" s="48"/>
      <c r="I258" s="33"/>
      <c r="K258" s="55" t="n">
        <f aca="false">Хмільник!K258</f>
        <v>0</v>
      </c>
      <c r="L258" s="26" t="n">
        <f aca="false">L257</f>
        <v>38</v>
      </c>
    </row>
    <row r="259" customFormat="false" ht="16.5" hidden="false" customHeight="false" outlineLevel="0" collapsed="false">
      <c r="B259" s="59"/>
      <c r="C259" s="54" t="str">
        <f aca="false">Хмільник!C259</f>
        <v>Шоколад молочний</v>
      </c>
      <c r="D259" s="15" t="n">
        <f aca="false">Хмільник!D259</f>
        <v>13017</v>
      </c>
      <c r="E259" s="15" t="s">
        <v>27</v>
      </c>
      <c r="F259" s="33"/>
      <c r="G259" s="29" t="n">
        <f aca="false">L259*K259/1000</f>
        <v>0</v>
      </c>
      <c r="H259" s="48"/>
      <c r="I259" s="33"/>
      <c r="K259" s="55" t="n">
        <f aca="false">Хмільник!K259</f>
        <v>0</v>
      </c>
      <c r="L259" s="26" t="n">
        <f aca="false">L258</f>
        <v>38</v>
      </c>
    </row>
    <row r="260" customFormat="false" ht="16.5" hidden="false" customHeight="false" outlineLevel="0" collapsed="false">
      <c r="B260" s="59"/>
      <c r="C260" s="54" t="str">
        <f aca="false">Хмільник!C260</f>
        <v>Шоколад молочний індивідуального пакув.</v>
      </c>
      <c r="D260" s="15" t="n">
        <f aca="false">Хмільник!D260</f>
        <v>13018</v>
      </c>
      <c r="E260" s="15" t="s">
        <v>27</v>
      </c>
      <c r="F260" s="33"/>
      <c r="G260" s="29" t="n">
        <f aca="false">L260*K260/1000</f>
        <v>0</v>
      </c>
      <c r="H260" s="48"/>
      <c r="I260" s="33"/>
      <c r="K260" s="55" t="n">
        <f aca="false">Хмільник!K260</f>
        <v>0</v>
      </c>
      <c r="L260" s="26" t="n">
        <f aca="false">L259</f>
        <v>38</v>
      </c>
    </row>
    <row r="261" customFormat="false" ht="16.5" hidden="false" customHeight="false" outlineLevel="0" collapsed="false">
      <c r="B261" s="59"/>
      <c r="C261" s="54" t="str">
        <f aca="false">Хмільник!C261</f>
        <v>Шоколад темний (чорний)</v>
      </c>
      <c r="D261" s="15" t="n">
        <f aca="false">Хмільник!D261</f>
        <v>13019</v>
      </c>
      <c r="E261" s="15" t="s">
        <v>27</v>
      </c>
      <c r="F261" s="33"/>
      <c r="G261" s="29" t="n">
        <f aca="false">L261*K261/1000</f>
        <v>0</v>
      </c>
      <c r="H261" s="48"/>
      <c r="I261" s="33"/>
      <c r="K261" s="55" t="n">
        <f aca="false">Хмільник!K261</f>
        <v>0</v>
      </c>
      <c r="L261" s="26" t="n">
        <f aca="false">L260</f>
        <v>38</v>
      </c>
    </row>
    <row r="262" customFormat="false" ht="16.5" hidden="false" customHeight="false" outlineLevel="0" collapsed="false">
      <c r="B262" s="59"/>
      <c r="C262" s="54" t="str">
        <f aca="false">Хмільник!C262</f>
        <v>Шоколад темний (чорний) індив. пакування</v>
      </c>
      <c r="D262" s="15" t="n">
        <f aca="false">Хмільник!D262</f>
        <v>13020</v>
      </c>
      <c r="E262" s="15" t="s">
        <v>27</v>
      </c>
      <c r="F262" s="33"/>
      <c r="G262" s="29" t="n">
        <f aca="false">L262*K262/1000</f>
        <v>0</v>
      </c>
      <c r="H262" s="48"/>
      <c r="I262" s="33"/>
      <c r="K262" s="55" t="n">
        <f aca="false">Хмільник!K262</f>
        <v>0</v>
      </c>
      <c r="L262" s="26" t="n">
        <f aca="false">L261</f>
        <v>38</v>
      </c>
    </row>
    <row r="263" customFormat="false" ht="16.5" hidden="false" customHeight="false" outlineLevel="0" collapsed="false">
      <c r="B263" s="59"/>
      <c r="C263" s="54" t="str">
        <f aca="false">Хмільник!C263</f>
        <v>Батончик шоколадний з арахісом</v>
      </c>
      <c r="D263" s="15" t="n">
        <f aca="false">Хмільник!D263</f>
        <v>13021</v>
      </c>
      <c r="E263" s="15" t="s">
        <v>27</v>
      </c>
      <c r="F263" s="33"/>
      <c r="G263" s="29" t="n">
        <f aca="false">L263*K263/1000</f>
        <v>0</v>
      </c>
      <c r="H263" s="48"/>
      <c r="I263" s="33"/>
      <c r="K263" s="55" t="n">
        <f aca="false">Хмільник!K263</f>
        <v>0</v>
      </c>
      <c r="L263" s="26" t="n">
        <f aca="false">L262</f>
        <v>38</v>
      </c>
    </row>
    <row r="264" customFormat="false" ht="16.5" hidden="false" customHeight="false" outlineLevel="0" collapsed="false">
      <c r="B264" s="59"/>
      <c r="C264" s="54" t="str">
        <f aca="false">Хмільник!C264</f>
        <v>Бринза</v>
      </c>
      <c r="D264" s="15" t="n">
        <f aca="false">Хмільник!D264</f>
        <v>13101</v>
      </c>
      <c r="E264" s="15" t="s">
        <v>27</v>
      </c>
      <c r="F264" s="33"/>
      <c r="G264" s="29" t="n">
        <f aca="false">L264*K264/1000</f>
        <v>0</v>
      </c>
      <c r="H264" s="48"/>
      <c r="I264" s="33"/>
      <c r="K264" s="55" t="n">
        <f aca="false">Хмільник!K264</f>
        <v>0</v>
      </c>
      <c r="L264" s="26" t="n">
        <f aca="false">L263</f>
        <v>38</v>
      </c>
    </row>
    <row r="265" customFormat="false" ht="16.5" hidden="false" customHeight="false" outlineLevel="0" collapsed="false">
      <c r="B265" s="59"/>
      <c r="C265" s="54" t="str">
        <f aca="false">Хмільник!C265</f>
        <v>Вершки питні</v>
      </c>
      <c r="D265" s="15" t="n">
        <f aca="false">Хмільник!D265</f>
        <v>13102</v>
      </c>
      <c r="E265" s="15" t="s">
        <v>27</v>
      </c>
      <c r="F265" s="33"/>
      <c r="G265" s="29" t="n">
        <f aca="false">L265*K265/1000</f>
        <v>0</v>
      </c>
      <c r="H265" s="48"/>
      <c r="I265" s="33"/>
      <c r="K265" s="55" t="n">
        <f aca="false">Хмільник!K265</f>
        <v>0</v>
      </c>
      <c r="L265" s="26" t="n">
        <f aca="false">L264</f>
        <v>38</v>
      </c>
    </row>
    <row r="266" customFormat="false" ht="16.5" hidden="false" customHeight="false" outlineLevel="0" collapsed="false">
      <c r="B266" s="59"/>
      <c r="C266" s="54" t="str">
        <f aca="false">Хмільник!C266</f>
        <v>Йогурт від 1,5 % (з наповнювачами)</v>
      </c>
      <c r="D266" s="15" t="n">
        <f aca="false">Хмільник!D266</f>
        <v>13104</v>
      </c>
      <c r="E266" s="15" t="s">
        <v>27</v>
      </c>
      <c r="F266" s="33"/>
      <c r="G266" s="29" t="n">
        <f aca="false">L266*K266/1000</f>
        <v>0</v>
      </c>
      <c r="H266" s="48"/>
      <c r="I266" s="33"/>
      <c r="K266" s="55" t="n">
        <f aca="false">Хмільник!K266</f>
        <v>0</v>
      </c>
      <c r="L266" s="26" t="n">
        <f aca="false">L265</f>
        <v>38</v>
      </c>
    </row>
    <row r="267" customFormat="false" ht="16.5" hidden="false" customHeight="false" outlineLevel="0" collapsed="false">
      <c r="B267" s="59"/>
      <c r="C267" s="54" t="str">
        <f aca="false">Хмільник!C267</f>
        <v>Йогурт від 1,5 % (без харчових добавок )</v>
      </c>
      <c r="D267" s="15" t="n">
        <f aca="false">Хмільник!D267</f>
        <v>13105</v>
      </c>
      <c r="E267" s="15" t="s">
        <v>27</v>
      </c>
      <c r="F267" s="33"/>
      <c r="G267" s="29" t="n">
        <f aca="false">L267*K267/1000</f>
        <v>0</v>
      </c>
      <c r="H267" s="48"/>
      <c r="I267" s="33"/>
      <c r="K267" s="55" t="n">
        <f aca="false">Хмільник!K267</f>
        <v>0</v>
      </c>
      <c r="L267" s="26" t="n">
        <f aca="false">L266</f>
        <v>38</v>
      </c>
    </row>
    <row r="268" customFormat="false" ht="16.5" hidden="false" customHeight="false" outlineLevel="0" collapsed="false">
      <c r="B268" s="59"/>
      <c r="C268" s="54" t="str">
        <f aca="false">Хмільник!C268</f>
        <v>Кефір нежирний</v>
      </c>
      <c r="D268" s="15" t="n">
        <f aca="false">Хмільник!D268</f>
        <v>13106</v>
      </c>
      <c r="E268" s="15" t="s">
        <v>27</v>
      </c>
      <c r="F268" s="33"/>
      <c r="G268" s="29" t="n">
        <f aca="false">L268*K268/1000</f>
        <v>0</v>
      </c>
      <c r="H268" s="48"/>
      <c r="I268" s="33"/>
      <c r="K268" s="55" t="n">
        <f aca="false">Хмільник!K268</f>
        <v>0</v>
      </c>
      <c r="L268" s="26" t="n">
        <f aca="false">L267</f>
        <v>38</v>
      </c>
    </row>
    <row r="269" customFormat="false" ht="16.5" hidden="false" customHeight="false" outlineLevel="0" collapsed="false">
      <c r="B269" s="59"/>
      <c r="C269" s="54" t="str">
        <f aca="false">Хмільник!C269</f>
        <v>Кефір від 2,5 %</v>
      </c>
      <c r="D269" s="15" t="n">
        <f aca="false">Хмільник!D269</f>
        <v>13107</v>
      </c>
      <c r="E269" s="15" t="s">
        <v>27</v>
      </c>
      <c r="F269" s="33"/>
      <c r="G269" s="29" t="n">
        <f aca="false">L269*K269/1000</f>
        <v>0</v>
      </c>
      <c r="H269" s="48"/>
      <c r="I269" s="33"/>
      <c r="K269" s="55" t="n">
        <f aca="false">Хмільник!K269</f>
        <v>0</v>
      </c>
      <c r="L269" s="26" t="n">
        <f aca="false">L268</f>
        <v>38</v>
      </c>
    </row>
    <row r="270" customFormat="false" ht="16.5" hidden="false" customHeight="false" outlineLevel="0" collapsed="false">
      <c r="B270" s="59"/>
      <c r="C270" s="54" t="str">
        <f aca="false">Хмільник!C270</f>
        <v>Молоко згущене від 8,5 %</v>
      </c>
      <c r="D270" s="15" t="n">
        <f aca="false">Хмільник!D270</f>
        <v>13108</v>
      </c>
      <c r="E270" s="15" t="s">
        <v>27</v>
      </c>
      <c r="F270" s="33"/>
      <c r="G270" s="29" t="n">
        <f aca="false">L270*K270/1000</f>
        <v>0</v>
      </c>
      <c r="H270" s="48"/>
      <c r="I270" s="33"/>
      <c r="K270" s="55" t="n">
        <f aca="false">Хмільник!K270</f>
        <v>0</v>
      </c>
      <c r="L270" s="26" t="n">
        <f aca="false">L269</f>
        <v>38</v>
      </c>
    </row>
    <row r="271" customFormat="false" ht="16.5" hidden="false" customHeight="false" outlineLevel="0" collapsed="false">
      <c r="B271" s="59"/>
      <c r="C271" s="54" t="str">
        <f aca="false">Хмільник!C271</f>
        <v>Молоко пастеризоване 1 % - 2,45 %</v>
      </c>
      <c r="D271" s="15" t="n">
        <f aca="false">Хмільник!D271</f>
        <v>13109</v>
      </c>
      <c r="E271" s="15" t="s">
        <v>27</v>
      </c>
      <c r="F271" s="33"/>
      <c r="G271" s="29" t="n">
        <f aca="false">L271*K271/1000</f>
        <v>0</v>
      </c>
      <c r="H271" s="48"/>
      <c r="I271" s="33"/>
      <c r="K271" s="55" t="n">
        <f aca="false">Хмільник!K271</f>
        <v>0</v>
      </c>
      <c r="L271" s="26" t="n">
        <f aca="false">L270</f>
        <v>38</v>
      </c>
    </row>
    <row r="272" customFormat="false" ht="16.5" hidden="false" customHeight="false" outlineLevel="0" collapsed="false">
      <c r="B272" s="59"/>
      <c r="C272" s="54" t="str">
        <f aca="false">Хмільник!C272</f>
        <v>Молоко ультрапастеризоване 1-1,6 %</v>
      </c>
      <c r="D272" s="15" t="n">
        <f aca="false">Хмільник!D272</f>
        <v>13110</v>
      </c>
      <c r="E272" s="15" t="s">
        <v>27</v>
      </c>
      <c r="F272" s="33"/>
      <c r="G272" s="29" t="n">
        <f aca="false">L272*K272/1000</f>
        <v>0</v>
      </c>
      <c r="H272" s="48"/>
      <c r="I272" s="33"/>
      <c r="K272" s="55" t="n">
        <f aca="false">Хмільник!K272</f>
        <v>0</v>
      </c>
      <c r="L272" s="26" t="n">
        <f aca="false">L271</f>
        <v>38</v>
      </c>
    </row>
    <row r="273" customFormat="false" ht="16.5" hidden="false" customHeight="false" outlineLevel="0" collapsed="false">
      <c r="B273" s="59"/>
      <c r="C273" s="54" t="str">
        <f aca="false">Хмільник!C273</f>
        <v>Молоко ультрапастеризоване 2,5 %</v>
      </c>
      <c r="D273" s="15" t="n">
        <f aca="false">Хмільник!D273</f>
        <v>13111</v>
      </c>
      <c r="E273" s="15" t="s">
        <v>27</v>
      </c>
      <c r="F273" s="33"/>
      <c r="G273" s="29" t="n">
        <f aca="false">L273*K273/1000</f>
        <v>0</v>
      </c>
      <c r="H273" s="48"/>
      <c r="I273" s="33"/>
      <c r="K273" s="55" t="n">
        <f aca="false">Хмільник!K273</f>
        <v>0</v>
      </c>
      <c r="L273" s="26" t="n">
        <f aca="false">L272</f>
        <v>38</v>
      </c>
    </row>
    <row r="274" customFormat="false" ht="16.5" hidden="false" customHeight="false" outlineLevel="0" collapsed="false">
      <c r="B274" s="59"/>
      <c r="C274" s="54" t="str">
        <f aca="false">Хмільник!C274</f>
        <v>Молоко ультрапастеризоване 3,2 %</v>
      </c>
      <c r="D274" s="15" t="n">
        <f aca="false">Хмільник!D274</f>
        <v>13112</v>
      </c>
      <c r="E274" s="15" t="s">
        <v>27</v>
      </c>
      <c r="F274" s="33"/>
      <c r="G274" s="29" t="n">
        <f aca="false">L274*K274/1000</f>
        <v>0</v>
      </c>
      <c r="H274" s="48"/>
      <c r="I274" s="33"/>
      <c r="K274" s="55" t="n">
        <f aca="false">Хмільник!K274</f>
        <v>0</v>
      </c>
      <c r="L274" s="26" t="n">
        <f aca="false">L273</f>
        <v>38</v>
      </c>
    </row>
    <row r="275" customFormat="false" ht="16.5" hidden="false" customHeight="false" outlineLevel="0" collapsed="false">
      <c r="B275" s="59"/>
      <c r="C275" s="54" t="str">
        <f aca="false">Хмільник!C275</f>
        <v>Сир кисломолочний 9-18 %</v>
      </c>
      <c r="D275" s="15" t="n">
        <f aca="false">Хмільник!D275</f>
        <v>13113</v>
      </c>
      <c r="E275" s="15" t="s">
        <v>27</v>
      </c>
      <c r="F275" s="33"/>
      <c r="G275" s="29" t="n">
        <f aca="false">L275*K275/1000</f>
        <v>0</v>
      </c>
      <c r="H275" s="48"/>
      <c r="I275" s="33"/>
      <c r="K275" s="55" t="n">
        <f aca="false">Хмільник!K275</f>
        <v>0</v>
      </c>
      <c r="L275" s="26" t="n">
        <f aca="false">L274</f>
        <v>38</v>
      </c>
    </row>
    <row r="276" customFormat="false" ht="16.5" hidden="false" customHeight="false" outlineLevel="0" collapsed="false">
      <c r="B276" s="59"/>
      <c r="C276" s="54" t="str">
        <f aca="false">Хмільник!C276</f>
        <v>Сир кисломолочний нежирний</v>
      </c>
      <c r="D276" s="15" t="n">
        <f aca="false">Хмільник!D276</f>
        <v>13114</v>
      </c>
      <c r="E276" s="15" t="s">
        <v>27</v>
      </c>
      <c r="F276" s="33"/>
      <c r="G276" s="29" t="n">
        <f aca="false">L276*K276/1000</f>
        <v>0</v>
      </c>
      <c r="H276" s="48"/>
      <c r="I276" s="33"/>
      <c r="K276" s="55" t="n">
        <f aca="false">Хмільник!K276</f>
        <v>0</v>
      </c>
      <c r="L276" s="26" t="n">
        <f aca="false">L275</f>
        <v>38</v>
      </c>
    </row>
    <row r="277" customFormat="false" ht="16.5" hidden="false" customHeight="false" outlineLevel="0" collapsed="false">
      <c r="B277" s="59"/>
      <c r="C277" s="54" t="str">
        <f aca="false">Хмільник!C277</f>
        <v>Сир плавлений</v>
      </c>
      <c r="D277" s="15" t="n">
        <f aca="false">Хмільник!D277</f>
        <v>13115</v>
      </c>
      <c r="E277" s="15" t="s">
        <v>27</v>
      </c>
      <c r="F277" s="33"/>
      <c r="G277" s="29" t="n">
        <f aca="false">L277*K277/1000</f>
        <v>0</v>
      </c>
      <c r="H277" s="48"/>
      <c r="I277" s="33"/>
      <c r="K277" s="55" t="n">
        <f aca="false">Хмільник!K277</f>
        <v>0</v>
      </c>
      <c r="L277" s="26" t="n">
        <f aca="false">L276</f>
        <v>38</v>
      </c>
    </row>
    <row r="278" customFormat="false" ht="16.5" hidden="false" customHeight="false" outlineLevel="0" collapsed="false">
      <c r="B278" s="59"/>
      <c r="C278" s="54" t="str">
        <f aca="false">Хмільник!C278</f>
        <v>Сир твердий (український асортимент)</v>
      </c>
      <c r="D278" s="15" t="n">
        <f aca="false">Хмільник!D278</f>
        <v>13116</v>
      </c>
      <c r="E278" s="15" t="s">
        <v>27</v>
      </c>
      <c r="F278" s="33"/>
      <c r="G278" s="29" t="n">
        <f aca="false">L278*K278/1000</f>
        <v>0</v>
      </c>
      <c r="H278" s="48"/>
      <c r="I278" s="33"/>
      <c r="K278" s="55" t="n">
        <f aca="false">Хмільник!K278</f>
        <v>0</v>
      </c>
      <c r="L278" s="26" t="n">
        <f aca="false">L277</f>
        <v>38</v>
      </c>
    </row>
    <row r="279" customFormat="false" ht="16.5" hidden="false" customHeight="false" outlineLevel="0" collapsed="false">
      <c r="B279" s="59"/>
      <c r="C279" s="54" t="str">
        <f aca="false">Хмільник!C279</f>
        <v>Сир напівтвердий</v>
      </c>
      <c r="D279" s="15" t="n">
        <f aca="false">Хмільник!D279</f>
        <v>13117</v>
      </c>
      <c r="E279" s="15" t="s">
        <v>27</v>
      </c>
      <c r="F279" s="33"/>
      <c r="G279" s="29" t="n">
        <f aca="false">L279*K279/1000</f>
        <v>0</v>
      </c>
      <c r="H279" s="48"/>
      <c r="I279" s="33"/>
      <c r="K279" s="55" t="n">
        <f aca="false">Хмільник!K279</f>
        <v>0</v>
      </c>
      <c r="L279" s="26" t="n">
        <f aca="false">L278</f>
        <v>38</v>
      </c>
    </row>
    <row r="280" customFormat="false" ht="16.5" hidden="false" customHeight="false" outlineLevel="0" collapsed="false">
      <c r="B280" s="59"/>
      <c r="C280" s="54" t="str">
        <f aca="false">Хмільник!C280</f>
        <v>Сир твердий сичужний</v>
      </c>
      <c r="D280" s="15" t="n">
        <f aca="false">Хмільник!D280</f>
        <v>13118</v>
      </c>
      <c r="E280" s="15" t="s">
        <v>27</v>
      </c>
      <c r="F280" s="33"/>
      <c r="G280" s="29" t="n">
        <f aca="false">L280*K280/1000</f>
        <v>0</v>
      </c>
      <c r="H280" s="48"/>
      <c r="I280" s="33"/>
      <c r="K280" s="55" t="n">
        <f aca="false">Хмільник!K280</f>
        <v>0</v>
      </c>
      <c r="L280" s="26" t="n">
        <f aca="false">L279</f>
        <v>38</v>
      </c>
    </row>
    <row r="281" customFormat="false" ht="16.5" hidden="false" customHeight="false" outlineLevel="0" collapsed="false">
      <c r="B281" s="59"/>
      <c r="C281" s="54" t="str">
        <f aca="false">Хмільник!C281</f>
        <v>Сир м’який</v>
      </c>
      <c r="D281" s="15" t="n">
        <f aca="false">Хмільник!D281</f>
        <v>13119</v>
      </c>
      <c r="E281" s="15" t="s">
        <v>27</v>
      </c>
      <c r="F281" s="33"/>
      <c r="G281" s="29" t="n">
        <f aca="false">L281*K281/1000</f>
        <v>0</v>
      </c>
      <c r="H281" s="48"/>
      <c r="I281" s="33"/>
      <c r="K281" s="55" t="n">
        <f aca="false">Хмільник!K281</f>
        <v>0</v>
      </c>
      <c r="L281" s="26" t="n">
        <f aca="false">L280</f>
        <v>38</v>
      </c>
    </row>
    <row r="282" customFormat="false" ht="16.5" hidden="false" customHeight="false" outlineLevel="0" collapsed="false">
      <c r="B282" s="59"/>
      <c r="C282" s="54" t="str">
        <f aca="false">Хмільник!C282</f>
        <v>Сметана 15 % - 19 %</v>
      </c>
      <c r="D282" s="15" t="n">
        <f aca="false">Хмільник!D282</f>
        <v>13120</v>
      </c>
      <c r="E282" s="15" t="s">
        <v>27</v>
      </c>
      <c r="F282" s="33"/>
      <c r="G282" s="29" t="n">
        <f aca="false">L282*K282/1000</f>
        <v>0</v>
      </c>
      <c r="H282" s="48"/>
      <c r="I282" s="33"/>
      <c r="K282" s="55" t="n">
        <f aca="false">Хмільник!K282</f>
        <v>0</v>
      </c>
      <c r="L282" s="26" t="n">
        <f aca="false">L281</f>
        <v>38</v>
      </c>
    </row>
    <row r="283" customFormat="false" ht="16.5" hidden="false" customHeight="false" outlineLevel="0" collapsed="false">
      <c r="B283" s="59"/>
      <c r="C283" s="54" t="str">
        <f aca="false">Хмільник!C283</f>
        <v>Сметана 20 % - 24 %</v>
      </c>
      <c r="D283" s="15" t="n">
        <f aca="false">Хмільник!D283</f>
        <v>13121</v>
      </c>
      <c r="E283" s="15" t="s">
        <v>27</v>
      </c>
      <c r="F283" s="33"/>
      <c r="G283" s="29" t="n">
        <f aca="false">L283*K283/1000</f>
        <v>0</v>
      </c>
      <c r="H283" s="48"/>
      <c r="I283" s="33"/>
      <c r="K283" s="55" t="n">
        <f aca="false">Хмільник!K283</f>
        <v>0</v>
      </c>
      <c r="L283" s="26" t="n">
        <f aca="false">L282</f>
        <v>38</v>
      </c>
    </row>
    <row r="284" customFormat="false" ht="16.5" hidden="false" customHeight="false" outlineLevel="0" collapsed="false">
      <c r="B284" s="59"/>
      <c r="C284" s="54" t="str">
        <f aca="false">Хмільник!C284</f>
        <v>Молоко пастеризоване від 2,5 %</v>
      </c>
      <c r="D284" s="15" t="n">
        <f aca="false">Хмільник!D284</f>
        <v>13122</v>
      </c>
      <c r="E284" s="15" t="s">
        <v>27</v>
      </c>
      <c r="F284" s="33"/>
      <c r="G284" s="29" t="n">
        <f aca="false">L284*K284/1000</f>
        <v>0</v>
      </c>
      <c r="H284" s="48"/>
      <c r="I284" s="33"/>
      <c r="K284" s="55" t="n">
        <f aca="false">Хмільник!K284</f>
        <v>0</v>
      </c>
      <c r="L284" s="26" t="n">
        <f aca="false">L283</f>
        <v>38</v>
      </c>
    </row>
    <row r="285" customFormat="false" ht="16.5" hidden="false" customHeight="false" outlineLevel="0" collapsed="false">
      <c r="B285" s="59"/>
      <c r="C285" s="54" t="str">
        <f aca="false">Хмільник!C285</f>
        <v>Десерт сирковий</v>
      </c>
      <c r="D285" s="15" t="n">
        <f aca="false">Хмільник!D285</f>
        <v>13123</v>
      </c>
      <c r="E285" s="15" t="s">
        <v>27</v>
      </c>
      <c r="F285" s="33"/>
      <c r="G285" s="29" t="n">
        <f aca="false">L285*K285/1000</f>
        <v>0</v>
      </c>
      <c r="H285" s="48"/>
      <c r="I285" s="33"/>
      <c r="K285" s="55" t="n">
        <f aca="false">Хмільник!K285</f>
        <v>0</v>
      </c>
      <c r="L285" s="26" t="n">
        <f aca="false">L284</f>
        <v>38</v>
      </c>
    </row>
    <row r="286" customFormat="false" ht="16.5" hidden="false" customHeight="false" outlineLevel="0" collapsed="false">
      <c r="B286" s="59"/>
      <c r="C286" s="54" t="str">
        <f aca="false">Хмільник!C286</f>
        <v>Сир розсільний</v>
      </c>
      <c r="D286" s="15" t="n">
        <f aca="false">Хмільник!D286</f>
        <v>13124</v>
      </c>
      <c r="E286" s="15" t="s">
        <v>27</v>
      </c>
      <c r="F286" s="33"/>
      <c r="G286" s="29" t="n">
        <f aca="false">L286*K286/1000</f>
        <v>0</v>
      </c>
      <c r="H286" s="48"/>
      <c r="I286" s="33"/>
      <c r="K286" s="55" t="n">
        <f aca="false">Хмільник!K286</f>
        <v>0</v>
      </c>
      <c r="L286" s="26" t="n">
        <f aca="false">L285</f>
        <v>38</v>
      </c>
    </row>
    <row r="287" customFormat="false" ht="16.5" hidden="false" customHeight="false" outlineLevel="0" collapsed="false">
      <c r="B287" s="59"/>
      <c r="C287" s="54" t="str">
        <f aca="false">Хмільник!C287</f>
        <v>Сметана 25% - 40 %</v>
      </c>
      <c r="D287" s="15" t="n">
        <f aca="false">Хмільник!D287</f>
        <v>13125</v>
      </c>
      <c r="E287" s="15" t="s">
        <v>27</v>
      </c>
      <c r="F287" s="33"/>
      <c r="G287" s="29" t="n">
        <f aca="false">L287*K287/1000</f>
        <v>0</v>
      </c>
      <c r="H287" s="48"/>
      <c r="I287" s="33"/>
      <c r="K287" s="55" t="n">
        <f aca="false">Хмільник!K287</f>
        <v>0</v>
      </c>
      <c r="L287" s="26" t="n">
        <f aca="false">L286</f>
        <v>38</v>
      </c>
    </row>
    <row r="288" customFormat="false" ht="16.5" hidden="false" customHeight="false" outlineLevel="0" collapsed="false">
      <c r="B288" s="59"/>
      <c r="C288" s="54" t="str">
        <f aca="false">Хмільник!C288</f>
        <v>Сир кисломолочний 5%</v>
      </c>
      <c r="D288" s="15" t="n">
        <f aca="false">Хмільник!D288</f>
        <v>13126</v>
      </c>
      <c r="E288" s="15" t="s">
        <v>27</v>
      </c>
      <c r="F288" s="33"/>
      <c r="G288" s="29" t="n">
        <f aca="false">L288*K288/1000</f>
        <v>0</v>
      </c>
      <c r="H288" s="48"/>
      <c r="I288" s="33"/>
      <c r="K288" s="55" t="n">
        <f aca="false">Хмільник!K288</f>
        <v>0</v>
      </c>
      <c r="L288" s="26" t="n">
        <f aca="false">L287</f>
        <v>38</v>
      </c>
    </row>
    <row r="289" customFormat="false" ht="16.5" hidden="false" customHeight="false" outlineLevel="0" collapsed="false">
      <c r="B289" s="59"/>
      <c r="C289" s="54" t="str">
        <f aca="false">Хмільник!C289</f>
        <v>Апельсиновий нектар до 0,3 л</v>
      </c>
      <c r="D289" s="15" t="n">
        <f aca="false">Хмільник!D289</f>
        <v>14001</v>
      </c>
      <c r="E289" s="15" t="s">
        <v>27</v>
      </c>
      <c r="F289" s="33"/>
      <c r="G289" s="29" t="n">
        <f aca="false">L289*K289/1000</f>
        <v>0</v>
      </c>
      <c r="H289" s="48"/>
      <c r="I289" s="33"/>
      <c r="K289" s="55" t="n">
        <f aca="false">Хмільник!K289</f>
        <v>0</v>
      </c>
      <c r="L289" s="26" t="n">
        <f aca="false">L288</f>
        <v>38</v>
      </c>
    </row>
    <row r="290" customFormat="false" ht="16.5" hidden="false" customHeight="false" outlineLevel="0" collapsed="false">
      <c r="B290" s="59"/>
      <c r="C290" s="54" t="str">
        <f aca="false">Хмільник!C290</f>
        <v>Апельсиновий нектар</v>
      </c>
      <c r="D290" s="15" t="n">
        <f aca="false">Хмільник!D290</f>
        <v>14002</v>
      </c>
      <c r="E290" s="15" t="s">
        <v>27</v>
      </c>
      <c r="F290" s="33"/>
      <c r="G290" s="29" t="n">
        <f aca="false">L290*K290/1000</f>
        <v>0</v>
      </c>
      <c r="H290" s="48"/>
      <c r="I290" s="33"/>
      <c r="K290" s="55" t="n">
        <f aca="false">Хмільник!K290</f>
        <v>0</v>
      </c>
      <c r="L290" s="26" t="n">
        <f aca="false">L289</f>
        <v>38</v>
      </c>
    </row>
    <row r="291" customFormat="false" ht="16.5" hidden="false" customHeight="false" outlineLevel="0" collapsed="false">
      <c r="B291" s="59"/>
      <c r="C291" s="54" t="str">
        <f aca="false">Хмільник!C291</f>
        <v>Яблучно-виноградний сік до 0,3 л</v>
      </c>
      <c r="D291" s="15" t="n">
        <f aca="false">Хмільник!D291</f>
        <v>14003</v>
      </c>
      <c r="E291" s="15" t="s">
        <v>27</v>
      </c>
      <c r="F291" s="33"/>
      <c r="G291" s="29" t="n">
        <f aca="false">L291*K291/1000</f>
        <v>0</v>
      </c>
      <c r="H291" s="48"/>
      <c r="I291" s="33"/>
      <c r="K291" s="55" t="n">
        <f aca="false">Хмільник!K291</f>
        <v>0</v>
      </c>
      <c r="L291" s="26" t="n">
        <f aca="false">L290</f>
        <v>38</v>
      </c>
    </row>
    <row r="292" customFormat="false" ht="16.5" hidden="false" customHeight="false" outlineLevel="0" collapsed="false">
      <c r="B292" s="59"/>
      <c r="C292" s="54" t="str">
        <f aca="false">Хмільник!C292</f>
        <v>Яблучно-виноградний сік</v>
      </c>
      <c r="D292" s="15" t="n">
        <f aca="false">Хмільник!D292</f>
        <v>14004</v>
      </c>
      <c r="E292" s="15" t="s">
        <v>27</v>
      </c>
      <c r="F292" s="33"/>
      <c r="G292" s="29" t="n">
        <f aca="false">L292*K292/1000</f>
        <v>0</v>
      </c>
      <c r="H292" s="48"/>
      <c r="I292" s="33"/>
      <c r="K292" s="55" t="n">
        <f aca="false">Хмільник!K292</f>
        <v>0</v>
      </c>
      <c r="L292" s="26" t="n">
        <f aca="false">L291</f>
        <v>38</v>
      </c>
    </row>
    <row r="293" customFormat="false" ht="16.5" hidden="false" customHeight="false" outlineLevel="0" collapsed="false">
      <c r="B293" s="59"/>
      <c r="C293" s="54" t="str">
        <f aca="false">Хмільник!C293</f>
        <v>Вишневий нектар до 0,3 л</v>
      </c>
      <c r="D293" s="15" t="n">
        <f aca="false">Хмільник!D293</f>
        <v>14005</v>
      </c>
      <c r="E293" s="15" t="s">
        <v>27</v>
      </c>
      <c r="F293" s="33"/>
      <c r="G293" s="29" t="n">
        <f aca="false">L293*K293/1000</f>
        <v>0</v>
      </c>
      <c r="H293" s="48"/>
      <c r="I293" s="33"/>
      <c r="K293" s="55" t="n">
        <f aca="false">Хмільник!K293</f>
        <v>0</v>
      </c>
      <c r="L293" s="26" t="n">
        <f aca="false">L292</f>
        <v>38</v>
      </c>
    </row>
    <row r="294" customFormat="false" ht="16.5" hidden="false" customHeight="false" outlineLevel="0" collapsed="false">
      <c r="B294" s="59"/>
      <c r="C294" s="54" t="str">
        <f aca="false">Хмільник!C294</f>
        <v>Вишневий нектар</v>
      </c>
      <c r="D294" s="15" t="n">
        <f aca="false">Хмільник!D294</f>
        <v>14006</v>
      </c>
      <c r="E294" s="15" t="s">
        <v>27</v>
      </c>
      <c r="F294" s="33"/>
      <c r="G294" s="29" t="n">
        <f aca="false">L294*K294/1000</f>
        <v>0</v>
      </c>
      <c r="H294" s="48"/>
      <c r="I294" s="33"/>
      <c r="K294" s="55" t="n">
        <f aca="false">Хмільник!K294</f>
        <v>0</v>
      </c>
      <c r="L294" s="26" t="n">
        <f aca="false">L293</f>
        <v>38</v>
      </c>
    </row>
    <row r="295" customFormat="false" ht="16.5" hidden="false" customHeight="false" outlineLevel="0" collapsed="false">
      <c r="B295" s="59"/>
      <c r="C295" s="54" t="str">
        <f aca="false">Хмільник!C295</f>
        <v>Вода газована солодка 0,5 л</v>
      </c>
      <c r="D295" s="15" t="n">
        <f aca="false">Хмільник!D295</f>
        <v>14007</v>
      </c>
      <c r="E295" s="15" t="s">
        <v>27</v>
      </c>
      <c r="F295" s="33"/>
      <c r="G295" s="29" t="n">
        <f aca="false">L295*K295/1000</f>
        <v>0</v>
      </c>
      <c r="H295" s="48"/>
      <c r="I295" s="33"/>
      <c r="K295" s="55" t="n">
        <f aca="false">Хмільник!K295</f>
        <v>0</v>
      </c>
      <c r="L295" s="26" t="n">
        <f aca="false">L294</f>
        <v>38</v>
      </c>
    </row>
    <row r="296" customFormat="false" ht="16.5" hidden="false" customHeight="false" outlineLevel="0" collapsed="false">
      <c r="B296" s="59"/>
      <c r="C296" s="54" t="str">
        <f aca="false">Хмільник!C296</f>
        <v>Вода мінеральна столова сильно газ. 0,5 л</v>
      </c>
      <c r="D296" s="15" t="n">
        <f aca="false">Хмільник!D296</f>
        <v>14008</v>
      </c>
      <c r="E296" s="15" t="s">
        <v>27</v>
      </c>
      <c r="F296" s="33"/>
      <c r="G296" s="29" t="n">
        <f aca="false">L296*K296/1000</f>
        <v>0</v>
      </c>
      <c r="H296" s="48"/>
      <c r="I296" s="33"/>
      <c r="K296" s="55" t="n">
        <f aca="false">Хмільник!K296</f>
        <v>0</v>
      </c>
      <c r="L296" s="26" t="n">
        <f aca="false">L295</f>
        <v>38</v>
      </c>
    </row>
    <row r="297" customFormat="false" ht="16.5" hidden="false" customHeight="false" outlineLevel="0" collapsed="false">
      <c r="B297" s="59"/>
      <c r="C297" s="54" t="str">
        <f aca="false">Хмільник!C297</f>
        <v>Вода мінеральна столова негазована 0,5 л</v>
      </c>
      <c r="D297" s="15" t="n">
        <f aca="false">Хмільник!D297</f>
        <v>14010</v>
      </c>
      <c r="E297" s="15" t="s">
        <v>27</v>
      </c>
      <c r="F297" s="33"/>
      <c r="G297" s="29" t="n">
        <f aca="false">L297*K297/1000</f>
        <v>0</v>
      </c>
      <c r="H297" s="48"/>
      <c r="I297" s="33"/>
      <c r="K297" s="55" t="n">
        <f aca="false">Хмільник!K297</f>
        <v>0</v>
      </c>
      <c r="L297" s="26" t="n">
        <f aca="false">L296</f>
        <v>38</v>
      </c>
    </row>
    <row r="298" customFormat="false" ht="16.5" hidden="false" customHeight="false" outlineLevel="0" collapsed="false">
      <c r="B298" s="59"/>
      <c r="C298" s="54" t="str">
        <f aca="false">Хмільник!C298</f>
        <v>Вода мінеральна столова негазована 1,5 л</v>
      </c>
      <c r="D298" s="15" t="n">
        <f aca="false">Хмільник!D298</f>
        <v>14011</v>
      </c>
      <c r="E298" s="15" t="s">
        <v>27</v>
      </c>
      <c r="F298" s="33"/>
      <c r="G298" s="29" t="n">
        <f aca="false">L298*K298/1000</f>
        <v>0</v>
      </c>
      <c r="H298" s="48"/>
      <c r="I298" s="33"/>
      <c r="K298" s="55" t="n">
        <f aca="false">Хмільник!K298</f>
        <v>0</v>
      </c>
      <c r="L298" s="26" t="n">
        <f aca="false">L297</f>
        <v>38</v>
      </c>
    </row>
    <row r="299" customFormat="false" ht="16.5" hidden="false" customHeight="false" outlineLevel="0" collapsed="false">
      <c r="B299" s="59"/>
      <c r="C299" s="54" t="str">
        <f aca="false">Хмільник!C299</f>
        <v>Вода питна бутильована до 1,5 л</v>
      </c>
      <c r="D299" s="15" t="n">
        <f aca="false">Хмільник!D299</f>
        <v>14012</v>
      </c>
      <c r="E299" s="15" t="s">
        <v>27</v>
      </c>
      <c r="F299" s="33"/>
      <c r="G299" s="29" t="n">
        <f aca="false">L299*K299/1000</f>
        <v>0</v>
      </c>
      <c r="H299" s="48"/>
      <c r="I299" s="33"/>
      <c r="K299" s="55" t="n">
        <f aca="false">Хмільник!K299</f>
        <v>0</v>
      </c>
      <c r="L299" s="26" t="n">
        <f aca="false">L298</f>
        <v>38</v>
      </c>
    </row>
    <row r="300" customFormat="false" ht="16.5" hidden="false" customHeight="false" outlineLevel="0" collapsed="false">
      <c r="B300" s="59"/>
      <c r="C300" s="54" t="str">
        <f aca="false">Хмільник!C300</f>
        <v>Гранатовий нектар</v>
      </c>
      <c r="D300" s="15" t="n">
        <f aca="false">Хмільник!D300</f>
        <v>14013</v>
      </c>
      <c r="E300" s="15" t="s">
        <v>27</v>
      </c>
      <c r="F300" s="33"/>
      <c r="G300" s="29" t="n">
        <f aca="false">L300*K300/1000</f>
        <v>0</v>
      </c>
      <c r="H300" s="48"/>
      <c r="I300" s="33"/>
      <c r="K300" s="55" t="n">
        <f aca="false">Хмільник!K300</f>
        <v>0</v>
      </c>
      <c r="L300" s="26" t="n">
        <f aca="false">L299</f>
        <v>38</v>
      </c>
    </row>
    <row r="301" customFormat="false" ht="16.5" hidden="false" customHeight="false" outlineLevel="0" collapsed="false">
      <c r="B301" s="59"/>
      <c r="C301" s="54" t="str">
        <f aca="false">Хмільник!C301</f>
        <v>Кава натуральна мелена</v>
      </c>
      <c r="D301" s="15" t="n">
        <f aca="false">Хмільник!D301</f>
        <v>14015</v>
      </c>
      <c r="E301" s="15" t="s">
        <v>27</v>
      </c>
      <c r="F301" s="33"/>
      <c r="G301" s="29" t="n">
        <f aca="false">L301*K301/1000</f>
        <v>0</v>
      </c>
      <c r="H301" s="48"/>
      <c r="I301" s="33"/>
      <c r="K301" s="55" t="n">
        <f aca="false">Хмільник!K301</f>
        <v>0</v>
      </c>
      <c r="L301" s="26" t="n">
        <f aca="false">L300</f>
        <v>38</v>
      </c>
    </row>
    <row r="302" customFormat="false" ht="16.5" hidden="false" customHeight="false" outlineLevel="0" collapsed="false">
      <c r="B302" s="59"/>
      <c r="C302" s="54" t="str">
        <f aca="false">Хмільник!C302</f>
        <v>Кава розчинна</v>
      </c>
      <c r="D302" s="15" t="n">
        <f aca="false">Хмільник!D302</f>
        <v>14016</v>
      </c>
      <c r="E302" s="15" t="s">
        <v>27</v>
      </c>
      <c r="F302" s="33"/>
      <c r="G302" s="29" t="n">
        <f aca="false">L302*K302/1000</f>
        <v>0</v>
      </c>
      <c r="H302" s="48"/>
      <c r="I302" s="33"/>
      <c r="K302" s="55" t="n">
        <f aca="false">Хмільник!K302</f>
        <v>0</v>
      </c>
      <c r="L302" s="26" t="n">
        <f aca="false">L301</f>
        <v>38</v>
      </c>
    </row>
    <row r="303" customFormat="false" ht="16.5" hidden="false" customHeight="false" outlineLevel="0" collapsed="false">
      <c r="B303" s="59"/>
      <c r="C303" s="54" t="str">
        <f aca="false">Хмільник!C303</f>
        <v>Кавовий напій</v>
      </c>
      <c r="D303" s="15" t="n">
        <f aca="false">Хмільник!D303</f>
        <v>14017</v>
      </c>
      <c r="E303" s="15" t="s">
        <v>27</v>
      </c>
      <c r="F303" s="33"/>
      <c r="G303" s="29" t="n">
        <f aca="false">L303*K303/1000</f>
        <v>0</v>
      </c>
      <c r="H303" s="48"/>
      <c r="I303" s="33"/>
      <c r="K303" s="55" t="n">
        <f aca="false">Хмільник!K303</f>
        <v>0</v>
      </c>
      <c r="L303" s="26" t="n">
        <f aca="false">L302</f>
        <v>38</v>
      </c>
    </row>
    <row r="304" customFormat="false" ht="16.5" hidden="false" customHeight="false" outlineLevel="0" collapsed="false">
      <c r="B304" s="59"/>
      <c r="C304" s="54" t="str">
        <f aca="false">Хмільник!C304</f>
        <v>Какао-порошок</v>
      </c>
      <c r="D304" s="15" t="n">
        <f aca="false">Хмільник!D304</f>
        <v>14018</v>
      </c>
      <c r="E304" s="15" t="s">
        <v>27</v>
      </c>
      <c r="F304" s="33"/>
      <c r="G304" s="29" t="n">
        <f aca="false">L304*K304/1000</f>
        <v>0</v>
      </c>
      <c r="H304" s="48"/>
      <c r="I304" s="33"/>
      <c r="K304" s="55" t="n">
        <f aca="false">Хмільник!K304</f>
        <v>0</v>
      </c>
      <c r="L304" s="26" t="n">
        <f aca="false">L303</f>
        <v>38</v>
      </c>
    </row>
    <row r="305" customFormat="false" ht="16.5" hidden="false" customHeight="false" outlineLevel="0" collapsed="false">
      <c r="B305" s="59"/>
      <c r="C305" s="54" t="str">
        <f aca="false">Хмільник!C305</f>
        <v>Мультивітамінний сік</v>
      </c>
      <c r="D305" s="15" t="n">
        <f aca="false">Хмільник!D305</f>
        <v>14020</v>
      </c>
      <c r="E305" s="15" t="s">
        <v>27</v>
      </c>
      <c r="F305" s="33"/>
      <c r="G305" s="29" t="n">
        <f aca="false">L305*K305/1000</f>
        <v>0</v>
      </c>
      <c r="H305" s="48"/>
      <c r="I305" s="33"/>
      <c r="K305" s="55" t="n">
        <f aca="false">Хмільник!K305</f>
        <v>0</v>
      </c>
      <c r="L305" s="26" t="n">
        <f aca="false">L304</f>
        <v>38</v>
      </c>
    </row>
    <row r="306" customFormat="false" ht="16.5" hidden="false" customHeight="false" outlineLevel="0" collapsed="false">
      <c r="B306" s="59"/>
      <c r="C306" s="54" t="str">
        <f aca="false">Хмільник!C306</f>
        <v>Томатний сік</v>
      </c>
      <c r="D306" s="15" t="n">
        <f aca="false">Хмільник!D306</f>
        <v>14022</v>
      </c>
      <c r="E306" s="15" t="s">
        <v>27</v>
      </c>
      <c r="F306" s="33"/>
      <c r="G306" s="29" t="n">
        <f aca="false">L306*K306/1000</f>
        <v>0</v>
      </c>
      <c r="H306" s="48"/>
      <c r="I306" s="33"/>
      <c r="K306" s="55" t="n">
        <f aca="false">Хмільник!K306</f>
        <v>0</v>
      </c>
      <c r="L306" s="26" t="n">
        <f aca="false">L305</f>
        <v>38</v>
      </c>
    </row>
    <row r="307" customFormat="false" ht="16.5" hidden="false" customHeight="false" outlineLevel="0" collapsed="false">
      <c r="B307" s="59"/>
      <c r="C307" s="54" t="str">
        <f aca="false">Хмільник!C307</f>
        <v>Цукор індивідуального пакування</v>
      </c>
      <c r="D307" s="15" t="n">
        <f aca="false">Хмільник!D307</f>
        <v>14024</v>
      </c>
      <c r="E307" s="15" t="s">
        <v>27</v>
      </c>
      <c r="F307" s="33"/>
      <c r="G307" s="29" t="n">
        <f aca="false">L307*K307/1000</f>
        <v>0</v>
      </c>
      <c r="H307" s="48"/>
      <c r="I307" s="33"/>
      <c r="K307" s="55" t="n">
        <f aca="false">Хмільник!K307</f>
        <v>0</v>
      </c>
      <c r="L307" s="26" t="n">
        <f aca="false">L306</f>
        <v>38</v>
      </c>
    </row>
    <row r="308" customFormat="false" ht="16.5" hidden="false" customHeight="false" outlineLevel="0" collapsed="false">
      <c r="B308" s="59"/>
      <c r="C308" s="54" t="str">
        <f aca="false">Хмільник!C308</f>
        <v>Цукор</v>
      </c>
      <c r="D308" s="15" t="n">
        <f aca="false">Хмільник!D308</f>
        <v>14025</v>
      </c>
      <c r="E308" s="15" t="s">
        <v>27</v>
      </c>
      <c r="F308" s="33"/>
      <c r="G308" s="29" t="n">
        <f aca="false">L308*K308/1000</f>
        <v>0</v>
      </c>
      <c r="H308" s="48"/>
      <c r="I308" s="33"/>
      <c r="K308" s="55" t="n">
        <f aca="false">Хмільник!K308</f>
        <v>0</v>
      </c>
      <c r="L308" s="26" t="n">
        <f aca="false">L307</f>
        <v>38</v>
      </c>
    </row>
    <row r="309" customFormat="false" ht="16.5" hidden="false" customHeight="false" outlineLevel="0" collapsed="false">
      <c r="B309" s="59"/>
      <c r="C309" s="54" t="str">
        <f aca="false">Хмільник!C309</f>
        <v>Чай зелений пакетований</v>
      </c>
      <c r="D309" s="15" t="n">
        <f aca="false">Хмільник!D309</f>
        <v>14026</v>
      </c>
      <c r="E309" s="15" t="s">
        <v>27</v>
      </c>
      <c r="F309" s="33"/>
      <c r="G309" s="29" t="n">
        <f aca="false">L309*K309/1000</f>
        <v>0</v>
      </c>
      <c r="H309" s="48"/>
      <c r="I309" s="33"/>
      <c r="K309" s="55" t="n">
        <f aca="false">Хмільник!K309</f>
        <v>0</v>
      </c>
      <c r="L309" s="26" t="n">
        <f aca="false">L308</f>
        <v>38</v>
      </c>
    </row>
    <row r="310" customFormat="false" ht="16.5" hidden="false" customHeight="false" outlineLevel="0" collapsed="false">
      <c r="B310" s="59"/>
      <c r="C310" s="54" t="str">
        <f aca="false">Хмільник!C310</f>
        <v>Чай зелений нефасований</v>
      </c>
      <c r="D310" s="15" t="n">
        <f aca="false">Хмільник!D310</f>
        <v>14027</v>
      </c>
      <c r="E310" s="15" t="s">
        <v>27</v>
      </c>
      <c r="F310" s="33"/>
      <c r="G310" s="29" t="n">
        <f aca="false">L310*K310/1000</f>
        <v>0</v>
      </c>
      <c r="H310" s="48"/>
      <c r="I310" s="33"/>
      <c r="K310" s="55" t="n">
        <f aca="false">Хмільник!K310</f>
        <v>0</v>
      </c>
      <c r="L310" s="26" t="n">
        <f aca="false">L309</f>
        <v>38</v>
      </c>
    </row>
    <row r="311" customFormat="false" ht="16.5" hidden="false" customHeight="false" outlineLevel="0" collapsed="false">
      <c r="B311" s="59"/>
      <c r="C311" s="54" t="str">
        <f aca="false">Хмільник!C311</f>
        <v>Чай чорний з добавками пакетований</v>
      </c>
      <c r="D311" s="15" t="n">
        <f aca="false">Хмільник!D311</f>
        <v>14028</v>
      </c>
      <c r="E311" s="15" t="s">
        <v>27</v>
      </c>
      <c r="F311" s="33"/>
      <c r="G311" s="29" t="n">
        <f aca="false">L311*K311/1000</f>
        <v>0</v>
      </c>
      <c r="H311" s="48"/>
      <c r="I311" s="33"/>
      <c r="K311" s="55" t="n">
        <f aca="false">Хмільник!K311</f>
        <v>0</v>
      </c>
      <c r="L311" s="26" t="n">
        <f aca="false">L310</f>
        <v>38</v>
      </c>
    </row>
    <row r="312" customFormat="false" ht="16.5" hidden="false" customHeight="false" outlineLevel="0" collapsed="false">
      <c r="B312" s="59"/>
      <c r="C312" s="54" t="str">
        <f aca="false">Хмільник!C312</f>
        <v>Чай чорний пакетований</v>
      </c>
      <c r="D312" s="15" t="n">
        <f aca="false">Хмільник!D312</f>
        <v>14029</v>
      </c>
      <c r="E312" s="15" t="s">
        <v>27</v>
      </c>
      <c r="F312" s="33"/>
      <c r="G312" s="29" t="n">
        <f aca="false">L312*K312/1000</f>
        <v>0</v>
      </c>
      <c r="H312" s="48"/>
      <c r="I312" s="33"/>
      <c r="K312" s="55" t="n">
        <f aca="false">Хмільник!K312</f>
        <v>0</v>
      </c>
      <c r="L312" s="26" t="n">
        <f aca="false">L311</f>
        <v>38</v>
      </c>
    </row>
    <row r="313" customFormat="false" ht="16.5" hidden="false" customHeight="false" outlineLevel="0" collapsed="false">
      <c r="B313" s="59"/>
      <c r="C313" s="54" t="str">
        <f aca="false">Хмільник!C313</f>
        <v>Чай чорний нефасований</v>
      </c>
      <c r="D313" s="15" t="n">
        <f aca="false">Хмільник!D313</f>
        <v>14030</v>
      </c>
      <c r="E313" s="15" t="s">
        <v>27</v>
      </c>
      <c r="F313" s="33"/>
      <c r="G313" s="29" t="n">
        <f aca="false">L313*K313/1000</f>
        <v>0</v>
      </c>
      <c r="H313" s="48"/>
      <c r="I313" s="33"/>
      <c r="K313" s="55" t="n">
        <f aca="false">Хмільник!K313</f>
        <v>0</v>
      </c>
      <c r="L313" s="26" t="n">
        <f aca="false">L312</f>
        <v>38</v>
      </c>
    </row>
    <row r="314" customFormat="false" ht="16.5" hidden="false" customHeight="false" outlineLevel="0" collapsed="false">
      <c r="B314" s="59"/>
      <c r="C314" s="54" t="str">
        <f aca="false">Хмільник!C314</f>
        <v>Яблучний сік до 0,3 л</v>
      </c>
      <c r="D314" s="15" t="n">
        <f aca="false">Хмільник!D314</f>
        <v>14031</v>
      </c>
      <c r="E314" s="15" t="s">
        <v>27</v>
      </c>
      <c r="F314" s="33"/>
      <c r="G314" s="29" t="n">
        <f aca="false">L314*K314/1000</f>
        <v>0</v>
      </c>
      <c r="H314" s="48"/>
      <c r="I314" s="33"/>
      <c r="K314" s="55" t="n">
        <f aca="false">Хмільник!K314</f>
        <v>0</v>
      </c>
      <c r="L314" s="26" t="n">
        <f aca="false">L313</f>
        <v>38</v>
      </c>
    </row>
    <row r="315" customFormat="false" ht="16.5" hidden="false" customHeight="false" outlineLevel="0" collapsed="false">
      <c r="B315" s="59"/>
      <c r="C315" s="54" t="str">
        <f aca="false">Хмільник!C315</f>
        <v>Яблучний сік</v>
      </c>
      <c r="D315" s="15" t="n">
        <f aca="false">Хмільник!D315</f>
        <v>14032</v>
      </c>
      <c r="E315" s="15" t="s">
        <v>27</v>
      </c>
      <c r="F315" s="33"/>
      <c r="G315" s="29" t="n">
        <f aca="false">L315*K315/1000</f>
        <v>0</v>
      </c>
      <c r="H315" s="48"/>
      <c r="I315" s="33"/>
      <c r="K315" s="55" t="n">
        <f aca="false">Хмільник!K315</f>
        <v>0</v>
      </c>
      <c r="L315" s="26" t="n">
        <f aca="false">L314</f>
        <v>38</v>
      </c>
    </row>
    <row r="316" customFormat="false" ht="16.5" hidden="false" customHeight="false" outlineLevel="0" collapsed="false">
      <c r="B316" s="59"/>
      <c r="C316" s="54" t="str">
        <f aca="false">Хмільник!C316</f>
        <v>Персиковий нектар</v>
      </c>
      <c r="D316" s="15" t="n">
        <f aca="false">Хмільник!D316</f>
        <v>14035</v>
      </c>
      <c r="E316" s="15" t="s">
        <v>27</v>
      </c>
      <c r="F316" s="33"/>
      <c r="G316" s="29" t="n">
        <f aca="false">L316*K316/1000</f>
        <v>0</v>
      </c>
      <c r="H316" s="48"/>
      <c r="I316" s="33"/>
      <c r="K316" s="55" t="n">
        <f aca="false">Хмільник!K316</f>
        <v>0</v>
      </c>
      <c r="L316" s="26" t="n">
        <f aca="false">L315</f>
        <v>38</v>
      </c>
    </row>
    <row r="317" customFormat="false" ht="16.5" hidden="false" customHeight="false" outlineLevel="0" collapsed="false">
      <c r="B317" s="59"/>
      <c r="C317" s="54" t="str">
        <f aca="false">Хмільник!C317</f>
        <v>Чай зелений з добавками пакетований</v>
      </c>
      <c r="D317" s="15" t="n">
        <f aca="false">Хмільник!D317</f>
        <v>14036</v>
      </c>
      <c r="E317" s="15" t="s">
        <v>27</v>
      </c>
      <c r="F317" s="33"/>
      <c r="G317" s="29" t="n">
        <f aca="false">L317*K317/1000</f>
        <v>0</v>
      </c>
      <c r="H317" s="48"/>
      <c r="I317" s="33"/>
      <c r="K317" s="55" t="n">
        <f aca="false">Хмільник!K317</f>
        <v>0</v>
      </c>
      <c r="L317" s="26" t="n">
        <f aca="false">L316</f>
        <v>38</v>
      </c>
    </row>
    <row r="318" customFormat="false" ht="16.5" hidden="false" customHeight="false" outlineLevel="0" collapsed="false">
      <c r="B318" s="59"/>
      <c r="C318" s="54" t="str">
        <f aca="false">Хмільник!C318</f>
        <v>Сік морквяний</v>
      </c>
      <c r="D318" s="15" t="n">
        <f aca="false">Хмільник!D318</f>
        <v>14037</v>
      </c>
      <c r="E318" s="15" t="s">
        <v>27</v>
      </c>
      <c r="F318" s="33"/>
      <c r="G318" s="29" t="n">
        <f aca="false">L318*K318/1000</f>
        <v>0</v>
      </c>
      <c r="H318" s="48"/>
      <c r="I318" s="33"/>
      <c r="K318" s="55" t="n">
        <f aca="false">Хмільник!K318</f>
        <v>0</v>
      </c>
      <c r="L318" s="26" t="n">
        <f aca="false">L317</f>
        <v>38</v>
      </c>
    </row>
    <row r="319" customFormat="false" ht="16.5" hidden="false" customHeight="false" outlineLevel="0" collapsed="false">
      <c r="B319" s="59"/>
      <c r="C319" s="54" t="str">
        <f aca="false">Хмільник!C319</f>
        <v>Ананас консервований</v>
      </c>
      <c r="D319" s="15" t="n">
        <f aca="false">Хмільник!D319</f>
        <v>14101</v>
      </c>
      <c r="E319" s="15" t="s">
        <v>27</v>
      </c>
      <c r="F319" s="33"/>
      <c r="G319" s="29" t="n">
        <f aca="false">L319*K319/1000</f>
        <v>0</v>
      </c>
      <c r="H319" s="48"/>
      <c r="I319" s="33"/>
      <c r="K319" s="55" t="n">
        <f aca="false">Хмільник!K319</f>
        <v>0</v>
      </c>
      <c r="L319" s="26" t="n">
        <f aca="false">L318</f>
        <v>38</v>
      </c>
    </row>
    <row r="320" customFormat="false" ht="16.5" hidden="false" customHeight="false" outlineLevel="0" collapsed="false">
      <c r="B320" s="59"/>
      <c r="C320" s="54" t="str">
        <f aca="false">Хмільник!C320</f>
        <v>Ананас свіжий</v>
      </c>
      <c r="D320" s="15" t="n">
        <f aca="false">Хмільник!D320</f>
        <v>14102</v>
      </c>
      <c r="E320" s="15" t="s">
        <v>27</v>
      </c>
      <c r="F320" s="33"/>
      <c r="G320" s="29" t="n">
        <f aca="false">L320*K320/1000</f>
        <v>0</v>
      </c>
      <c r="H320" s="48"/>
      <c r="I320" s="33"/>
      <c r="K320" s="55" t="n">
        <f aca="false">Хмільник!K320</f>
        <v>0</v>
      </c>
      <c r="L320" s="26" t="n">
        <f aca="false">L319</f>
        <v>38</v>
      </c>
    </row>
    <row r="321" customFormat="false" ht="16.5" hidden="false" customHeight="false" outlineLevel="0" collapsed="false">
      <c r="B321" s="59"/>
      <c r="C321" s="54" t="str">
        <f aca="false">Хмільник!C321</f>
        <v>Апельсин</v>
      </c>
      <c r="D321" s="15" t="n">
        <f aca="false">Хмільник!D321</f>
        <v>14103</v>
      </c>
      <c r="E321" s="15" t="s">
        <v>27</v>
      </c>
      <c r="F321" s="33"/>
      <c r="G321" s="29" t="n">
        <f aca="false">L321*K321/1000</f>
        <v>0</v>
      </c>
      <c r="H321" s="48"/>
      <c r="I321" s="33"/>
      <c r="K321" s="55" t="n">
        <f aca="false">Хмільник!K321</f>
        <v>0</v>
      </c>
      <c r="L321" s="26" t="n">
        <f aca="false">L320</f>
        <v>38</v>
      </c>
    </row>
    <row r="322" customFormat="false" ht="16.5" hidden="false" customHeight="false" outlineLevel="0" collapsed="false">
      <c r="B322" s="59"/>
      <c r="C322" s="54" t="str">
        <f aca="false">Хмільник!C322</f>
        <v>Банан</v>
      </c>
      <c r="D322" s="15" t="n">
        <f aca="false">Хмільник!D322</f>
        <v>14104</v>
      </c>
      <c r="E322" s="15" t="s">
        <v>27</v>
      </c>
      <c r="F322" s="33"/>
      <c r="G322" s="29" t="n">
        <f aca="false">L322*K322/1000</f>
        <v>0</v>
      </c>
      <c r="H322" s="48"/>
      <c r="I322" s="33"/>
      <c r="K322" s="55" t="n">
        <f aca="false">Хмільник!K322</f>
        <v>0</v>
      </c>
      <c r="L322" s="26" t="n">
        <f aca="false">L321</f>
        <v>38</v>
      </c>
    </row>
    <row r="323" customFormat="false" ht="16.5" hidden="false" customHeight="false" outlineLevel="0" collapsed="false">
      <c r="B323" s="59"/>
      <c r="C323" s="54" t="str">
        <f aca="false">Хмільник!C323</f>
        <v>Виноград</v>
      </c>
      <c r="D323" s="15" t="n">
        <f aca="false">Хмільник!D323</f>
        <v>14105</v>
      </c>
      <c r="E323" s="15" t="s">
        <v>27</v>
      </c>
      <c r="F323" s="33"/>
      <c r="G323" s="29" t="n">
        <f aca="false">L323*K323/1000</f>
        <v>0</v>
      </c>
      <c r="H323" s="48"/>
      <c r="I323" s="33"/>
      <c r="K323" s="55" t="n">
        <f aca="false">Хмільник!K323</f>
        <v>0</v>
      </c>
      <c r="L323" s="26" t="n">
        <f aca="false">L322</f>
        <v>38</v>
      </c>
    </row>
    <row r="324" customFormat="false" ht="16.5" hidden="false" customHeight="false" outlineLevel="0" collapsed="false">
      <c r="B324" s="59"/>
      <c r="C324" s="54" t="str">
        <f aca="false">Хмільник!C324</f>
        <v>Арахіс смажений</v>
      </c>
      <c r="D324" s="15" t="n">
        <f aca="false">Хмільник!D324</f>
        <v>14106</v>
      </c>
      <c r="E324" s="15" t="s">
        <v>27</v>
      </c>
      <c r="F324" s="33"/>
      <c r="G324" s="29" t="n">
        <f aca="false">L324*K324/1000</f>
        <v>0</v>
      </c>
      <c r="H324" s="48"/>
      <c r="I324" s="33"/>
      <c r="K324" s="55" t="n">
        <f aca="false">Хмільник!K324</f>
        <v>0</v>
      </c>
      <c r="L324" s="26" t="n">
        <f aca="false">L323</f>
        <v>38</v>
      </c>
    </row>
    <row r="325" customFormat="false" ht="16.5" hidden="false" customHeight="false" outlineLevel="0" collapsed="false">
      <c r="B325" s="59"/>
      <c r="C325" s="54" t="str">
        <f aca="false">Хмільник!C325</f>
        <v>Горіх волоський ядро</v>
      </c>
      <c r="D325" s="15" t="n">
        <f aca="false">Хмільник!D325</f>
        <v>14107</v>
      </c>
      <c r="E325" s="15" t="s">
        <v>27</v>
      </c>
      <c r="F325" s="33"/>
      <c r="G325" s="29" t="n">
        <f aca="false">L325*K325/1000</f>
        <v>0</v>
      </c>
      <c r="H325" s="48"/>
      <c r="I325" s="33"/>
      <c r="K325" s="55" t="n">
        <f aca="false">Хмільник!K325</f>
        <v>0</v>
      </c>
      <c r="L325" s="26" t="n">
        <f aca="false">L324</f>
        <v>38</v>
      </c>
    </row>
    <row r="326" customFormat="false" ht="16.5" hidden="false" customHeight="false" outlineLevel="0" collapsed="false">
      <c r="B326" s="59"/>
      <c r="C326" s="54" t="str">
        <f aca="false">Хмільник!C326</f>
        <v>Горіх кеш'ю</v>
      </c>
      <c r="D326" s="15" t="n">
        <f aca="false">Хмільник!D326</f>
        <v>14108</v>
      </c>
      <c r="E326" s="15" t="s">
        <v>27</v>
      </c>
      <c r="F326" s="33"/>
      <c r="G326" s="29" t="n">
        <f aca="false">L326*K326/1000</f>
        <v>0</v>
      </c>
      <c r="H326" s="48"/>
      <c r="I326" s="33"/>
      <c r="K326" s="55" t="n">
        <f aca="false">Хмільник!K326</f>
        <v>0</v>
      </c>
      <c r="L326" s="26" t="n">
        <f aca="false">L325</f>
        <v>38</v>
      </c>
    </row>
    <row r="327" customFormat="false" ht="16.5" hidden="false" customHeight="false" outlineLevel="0" collapsed="false">
      <c r="B327" s="59"/>
      <c r="C327" s="54" t="str">
        <f aca="false">Хмільник!C327</f>
        <v>Горіх фундук ядро сушений</v>
      </c>
      <c r="D327" s="15" t="n">
        <f aca="false">Хмільник!D327</f>
        <v>14109</v>
      </c>
      <c r="E327" s="15" t="s">
        <v>27</v>
      </c>
      <c r="F327" s="33"/>
      <c r="G327" s="29" t="n">
        <f aca="false">L327*K327/1000</f>
        <v>0</v>
      </c>
      <c r="H327" s="48"/>
      <c r="I327" s="33"/>
      <c r="K327" s="55" t="n">
        <f aca="false">Хмільник!K327</f>
        <v>0</v>
      </c>
      <c r="L327" s="26" t="n">
        <f aca="false">L326</f>
        <v>38</v>
      </c>
    </row>
    <row r="328" customFormat="false" ht="16.5" hidden="false" customHeight="false" outlineLevel="0" collapsed="false">
      <c r="B328" s="59"/>
      <c r="C328" s="54" t="str">
        <f aca="false">Хмільник!C328</f>
        <v>Грейпфрут</v>
      </c>
      <c r="D328" s="15" t="n">
        <f aca="false">Хмільник!D328</f>
        <v>14110</v>
      </c>
      <c r="E328" s="15" t="s">
        <v>27</v>
      </c>
      <c r="F328" s="33"/>
      <c r="G328" s="29" t="n">
        <f aca="false">L328*K328/1000</f>
        <v>0</v>
      </c>
      <c r="H328" s="48"/>
      <c r="I328" s="33"/>
      <c r="K328" s="55" t="n">
        <f aca="false">Хмільник!K328</f>
        <v>0</v>
      </c>
      <c r="L328" s="26" t="n">
        <f aca="false">L327</f>
        <v>38</v>
      </c>
    </row>
    <row r="329" customFormat="false" ht="16.5" hidden="false" customHeight="false" outlineLevel="0" collapsed="false">
      <c r="B329" s="59"/>
      <c r="C329" s="54" t="str">
        <f aca="false">Хмільник!C329</f>
        <v>Груша свіжа ранніх термінів достигання</v>
      </c>
      <c r="D329" s="15" t="n">
        <f aca="false">Хмільник!D329</f>
        <v>14111</v>
      </c>
      <c r="E329" s="15" t="s">
        <v>27</v>
      </c>
      <c r="F329" s="33"/>
      <c r="G329" s="29" t="n">
        <f aca="false">L329*K329/1000</f>
        <v>0</v>
      </c>
      <c r="H329" s="48"/>
      <c r="I329" s="33"/>
      <c r="K329" s="55" t="n">
        <f aca="false">Хмільник!K329</f>
        <v>0</v>
      </c>
      <c r="L329" s="26" t="n">
        <f aca="false">L328</f>
        <v>38</v>
      </c>
    </row>
    <row r="330" customFormat="false" ht="16.5" hidden="false" customHeight="false" outlineLevel="0" collapsed="false">
      <c r="B330" s="59"/>
      <c r="C330" s="54" t="str">
        <f aca="false">Хмільник!C330</f>
        <v>Груша свіжа сер. та пізн. терм. достигання</v>
      </c>
      <c r="D330" s="15" t="n">
        <f aca="false">Хмільник!D330</f>
        <v>14112</v>
      </c>
      <c r="E330" s="15" t="s">
        <v>27</v>
      </c>
      <c r="F330" s="33"/>
      <c r="G330" s="29" t="n">
        <f aca="false">L330*K330/1000</f>
        <v>0</v>
      </c>
      <c r="H330" s="48"/>
      <c r="I330" s="33"/>
      <c r="K330" s="55" t="n">
        <f aca="false">Хмільник!K330</f>
        <v>0</v>
      </c>
      <c r="L330" s="26" t="n">
        <f aca="false">L329</f>
        <v>38</v>
      </c>
    </row>
    <row r="331" customFormat="false" ht="16.5" hidden="false" customHeight="false" outlineLevel="0" collapsed="false">
      <c r="B331" s="59"/>
      <c r="C331" s="54" t="str">
        <f aca="false">Хмільник!C331</f>
        <v>Груша консервована</v>
      </c>
      <c r="D331" s="15" t="n">
        <f aca="false">Хмільник!D331</f>
        <v>14113</v>
      </c>
      <c r="E331" s="15" t="s">
        <v>27</v>
      </c>
      <c r="F331" s="33"/>
      <c r="G331" s="29" t="n">
        <f aca="false">L331*K331/1000</f>
        <v>0</v>
      </c>
      <c r="H331" s="48"/>
      <c r="I331" s="33"/>
      <c r="K331" s="55" t="n">
        <f aca="false">Хмільник!K331</f>
        <v>0</v>
      </c>
      <c r="L331" s="26" t="n">
        <f aca="false">L330</f>
        <v>38</v>
      </c>
    </row>
    <row r="332" customFormat="false" ht="16.5" hidden="false" customHeight="false" outlineLevel="0" collapsed="false">
      <c r="B332" s="59"/>
      <c r="C332" s="54" t="str">
        <f aca="false">Хмільник!C332</f>
        <v>Диня</v>
      </c>
      <c r="D332" s="15" t="n">
        <f aca="false">Хмільник!D332</f>
        <v>14114</v>
      </c>
      <c r="E332" s="15" t="s">
        <v>27</v>
      </c>
      <c r="F332" s="33"/>
      <c r="G332" s="29" t="n">
        <f aca="false">L332*K332/1000</f>
        <v>0</v>
      </c>
      <c r="H332" s="48"/>
      <c r="I332" s="33"/>
      <c r="K332" s="55" t="n">
        <f aca="false">Хмільник!K332</f>
        <v>0</v>
      </c>
      <c r="L332" s="26" t="n">
        <f aca="false">L331</f>
        <v>38</v>
      </c>
    </row>
    <row r="333" customFormat="false" ht="16.5" hidden="false" customHeight="false" outlineLevel="0" collapsed="false">
      <c r="B333" s="59"/>
      <c r="C333" s="54" t="str">
        <f aca="false">Хмільник!C333</f>
        <v>Кавун</v>
      </c>
      <c r="D333" s="15" t="n">
        <f aca="false">Хмільник!D333</f>
        <v>14115</v>
      </c>
      <c r="E333" s="15" t="s">
        <v>27</v>
      </c>
      <c r="F333" s="33"/>
      <c r="G333" s="29" t="n">
        <f aca="false">L333*K333/1000</f>
        <v>0</v>
      </c>
      <c r="H333" s="48"/>
      <c r="I333" s="33"/>
      <c r="K333" s="55" t="n">
        <f aca="false">Хмільник!K333</f>
        <v>0</v>
      </c>
      <c r="L333" s="26" t="n">
        <f aca="false">L332</f>
        <v>38</v>
      </c>
    </row>
    <row r="334" customFormat="false" ht="16.5" hidden="false" customHeight="false" outlineLevel="0" collapsed="false">
      <c r="B334" s="59"/>
      <c r="C334" s="54" t="str">
        <f aca="false">Хмільник!C334</f>
        <v>Ківі</v>
      </c>
      <c r="D334" s="15" t="n">
        <f aca="false">Хмільник!D334</f>
        <v>14116</v>
      </c>
      <c r="E334" s="15" t="s">
        <v>27</v>
      </c>
      <c r="F334" s="33"/>
      <c r="G334" s="29" t="n">
        <f aca="false">L334*K334/1000</f>
        <v>0</v>
      </c>
      <c r="H334" s="48"/>
      <c r="I334" s="33"/>
      <c r="K334" s="55" t="n">
        <f aca="false">Хмільник!K334</f>
        <v>0</v>
      </c>
      <c r="L334" s="26" t="n">
        <f aca="false">L333</f>
        <v>38</v>
      </c>
    </row>
    <row r="335" customFormat="false" ht="16.5" hidden="false" customHeight="false" outlineLevel="0" collapsed="false">
      <c r="B335" s="59"/>
      <c r="C335" s="54" t="str">
        <f aca="false">Хмільник!C335</f>
        <v>Курага</v>
      </c>
      <c r="D335" s="15" t="n">
        <f aca="false">Хмільник!D335</f>
        <v>14117</v>
      </c>
      <c r="E335" s="15" t="s">
        <v>27</v>
      </c>
      <c r="F335" s="33"/>
      <c r="G335" s="29" t="n">
        <f aca="false">L335*K335/1000</f>
        <v>0</v>
      </c>
      <c r="H335" s="48"/>
      <c r="I335" s="33"/>
      <c r="K335" s="55" t="n">
        <f aca="false">Хмільник!K335</f>
        <v>0</v>
      </c>
      <c r="L335" s="26" t="n">
        <f aca="false">L334</f>
        <v>38</v>
      </c>
    </row>
    <row r="336" customFormat="false" ht="16.5" hidden="false" customHeight="false" outlineLevel="0" collapsed="false">
      <c r="B336" s="59"/>
      <c r="C336" s="54" t="str">
        <f aca="false">Хмільник!C336</f>
        <v>Лимон</v>
      </c>
      <c r="D336" s="15" t="n">
        <f aca="false">Хмільник!D336</f>
        <v>14118</v>
      </c>
      <c r="E336" s="15" t="s">
        <v>27</v>
      </c>
      <c r="F336" s="33"/>
      <c r="G336" s="29" t="n">
        <f aca="false">L336*K336/1000</f>
        <v>0</v>
      </c>
      <c r="H336" s="48"/>
      <c r="I336" s="33"/>
      <c r="K336" s="55" t="n">
        <f aca="false">Хмільник!K336</f>
        <v>0</v>
      </c>
      <c r="L336" s="26" t="n">
        <f aca="false">L335</f>
        <v>38</v>
      </c>
    </row>
    <row r="337" customFormat="false" ht="16.5" hidden="false" customHeight="false" outlineLevel="0" collapsed="false">
      <c r="B337" s="59"/>
      <c r="C337" s="54" t="str">
        <f aca="false">Хмільник!C337</f>
        <v>Малина свіжа</v>
      </c>
      <c r="D337" s="15" t="n">
        <f aca="false">Хмільник!D337</f>
        <v>14120</v>
      </c>
      <c r="E337" s="15" t="s">
        <v>27</v>
      </c>
      <c r="F337" s="33"/>
      <c r="G337" s="29" t="n">
        <f aca="false">L337*K337/1000</f>
        <v>0</v>
      </c>
      <c r="H337" s="48"/>
      <c r="I337" s="33"/>
      <c r="K337" s="55" t="n">
        <f aca="false">Хмільник!K337</f>
        <v>0</v>
      </c>
      <c r="L337" s="26" t="n">
        <f aca="false">L336</f>
        <v>38</v>
      </c>
    </row>
    <row r="338" customFormat="false" ht="16.5" hidden="false" customHeight="false" outlineLevel="0" collapsed="false">
      <c r="B338" s="59"/>
      <c r="C338" s="54" t="str">
        <f aca="false">Хмільник!C338</f>
        <v>Мандарин</v>
      </c>
      <c r="D338" s="15" t="n">
        <f aca="false">Хмільник!D338</f>
        <v>14121</v>
      </c>
      <c r="E338" s="15" t="s">
        <v>27</v>
      </c>
      <c r="F338" s="33"/>
      <c r="G338" s="29" t="n">
        <f aca="false">L338*K338/1000</f>
        <v>0</v>
      </c>
      <c r="H338" s="48"/>
      <c r="I338" s="33"/>
      <c r="K338" s="55" t="n">
        <f aca="false">Хмільник!K338</f>
        <v>0</v>
      </c>
      <c r="L338" s="26" t="n">
        <f aca="false">L337</f>
        <v>38</v>
      </c>
    </row>
    <row r="339" customFormat="false" ht="16.5" hidden="false" customHeight="false" outlineLevel="0" collapsed="false">
      <c r="B339" s="59"/>
      <c r="C339" s="54" t="str">
        <f aca="false">Хмільник!C339</f>
        <v>Персик консервований</v>
      </c>
      <c r="D339" s="15" t="n">
        <f aca="false">Хмільник!D339</f>
        <v>14122</v>
      </c>
      <c r="E339" s="15" t="s">
        <v>27</v>
      </c>
      <c r="F339" s="33"/>
      <c r="G339" s="29" t="n">
        <f aca="false">L339*K339/1000</f>
        <v>0</v>
      </c>
      <c r="H339" s="48"/>
      <c r="I339" s="33"/>
      <c r="K339" s="55" t="n">
        <f aca="false">Хмільник!K339</f>
        <v>0</v>
      </c>
      <c r="L339" s="26" t="n">
        <f aca="false">L338</f>
        <v>38</v>
      </c>
    </row>
    <row r="340" customFormat="false" ht="16.5" hidden="false" customHeight="false" outlineLevel="0" collapsed="false">
      <c r="B340" s="59"/>
      <c r="C340" s="54" t="str">
        <f aca="false">Хмільник!C340</f>
        <v>Родзинки</v>
      </c>
      <c r="D340" s="15" t="n">
        <f aca="false">Хмільник!D340</f>
        <v>14123</v>
      </c>
      <c r="E340" s="15" t="s">
        <v>27</v>
      </c>
      <c r="F340" s="33"/>
      <c r="G340" s="29" t="n">
        <f aca="false">L340*K340/1000</f>
        <v>0</v>
      </c>
      <c r="H340" s="48"/>
      <c r="I340" s="33"/>
      <c r="K340" s="55" t="n">
        <f aca="false">Хмільник!K340</f>
        <v>0</v>
      </c>
      <c r="L340" s="26" t="n">
        <f aca="false">L339</f>
        <v>38</v>
      </c>
    </row>
    <row r="341" customFormat="false" ht="16.5" hidden="false" customHeight="false" outlineLevel="0" collapsed="false">
      <c r="B341" s="59"/>
      <c r="C341" s="54" t="str">
        <f aca="false">Хмільник!C341</f>
        <v>Суміш сухофруктів</v>
      </c>
      <c r="D341" s="15" t="n">
        <f aca="false">Хмільник!D341</f>
        <v>14124</v>
      </c>
      <c r="E341" s="15" t="s">
        <v>27</v>
      </c>
      <c r="F341" s="33"/>
      <c r="G341" s="29" t="n">
        <f aca="false">L341*K341/1000</f>
        <v>0</v>
      </c>
      <c r="H341" s="48"/>
      <c r="I341" s="33"/>
      <c r="K341" s="55" t="n">
        <f aca="false">Хмільник!K341</f>
        <v>0</v>
      </c>
      <c r="L341" s="26" t="n">
        <f aca="false">L340</f>
        <v>38</v>
      </c>
    </row>
    <row r="342" customFormat="false" ht="16.5" hidden="false" customHeight="false" outlineLevel="0" collapsed="false">
      <c r="B342" s="59"/>
      <c r="C342" s="54" t="str">
        <f aca="false">Хмільник!C342</f>
        <v>Суміш фруктів консервована</v>
      </c>
      <c r="D342" s="15" t="n">
        <f aca="false">Хмільник!D342</f>
        <v>14125</v>
      </c>
      <c r="E342" s="15" t="s">
        <v>27</v>
      </c>
      <c r="F342" s="33"/>
      <c r="G342" s="29" t="n">
        <f aca="false">L342*K342/1000</f>
        <v>0</v>
      </c>
      <c r="H342" s="48"/>
      <c r="I342" s="33"/>
      <c r="K342" s="55" t="n">
        <f aca="false">Хмільник!K342</f>
        <v>0</v>
      </c>
      <c r="L342" s="26" t="n">
        <f aca="false">L341</f>
        <v>38</v>
      </c>
    </row>
    <row r="343" customFormat="false" ht="16.5" hidden="false" customHeight="false" outlineLevel="0" collapsed="false">
      <c r="B343" s="59"/>
      <c r="C343" s="54" t="str">
        <f aca="false">Хмільник!C343</f>
        <v>Хурма</v>
      </c>
      <c r="D343" s="15" t="n">
        <f aca="false">Хмільник!D343</f>
        <v>14126</v>
      </c>
      <c r="E343" s="15" t="s">
        <v>27</v>
      </c>
      <c r="F343" s="33"/>
      <c r="G343" s="29" t="n">
        <f aca="false">L343*K343/1000</f>
        <v>0</v>
      </c>
      <c r="H343" s="48"/>
      <c r="I343" s="33"/>
      <c r="K343" s="55" t="n">
        <f aca="false">Хмільник!K343</f>
        <v>0</v>
      </c>
      <c r="L343" s="26" t="n">
        <f aca="false">L342</f>
        <v>38</v>
      </c>
    </row>
    <row r="344" customFormat="false" ht="16.5" hidden="false" customHeight="false" outlineLevel="0" collapsed="false">
      <c r="B344" s="59"/>
      <c r="C344" s="54" t="str">
        <f aca="false">Хмільник!C344</f>
        <v>Черешня</v>
      </c>
      <c r="D344" s="15" t="n">
        <f aca="false">Хмільник!D344</f>
        <v>14127</v>
      </c>
      <c r="E344" s="15" t="s">
        <v>27</v>
      </c>
      <c r="F344" s="33"/>
      <c r="G344" s="29" t="n">
        <f aca="false">L344*K344/1000</f>
        <v>0</v>
      </c>
      <c r="H344" s="48"/>
      <c r="I344" s="33"/>
      <c r="K344" s="55" t="n">
        <f aca="false">Хмільник!K344</f>
        <v>0</v>
      </c>
      <c r="L344" s="26" t="n">
        <f aca="false">L343</f>
        <v>38</v>
      </c>
    </row>
    <row r="345" customFormat="false" ht="16.5" hidden="false" customHeight="false" outlineLevel="0" collapsed="false">
      <c r="B345" s="59"/>
      <c r="C345" s="54" t="str">
        <f aca="false">Хмільник!C345</f>
        <v>Чорнослив без кісточки</v>
      </c>
      <c r="D345" s="15" t="n">
        <f aca="false">Хмільник!D345</f>
        <v>14128</v>
      </c>
      <c r="E345" s="15" t="s">
        <v>27</v>
      </c>
      <c r="F345" s="33"/>
      <c r="G345" s="29" t="n">
        <f aca="false">L345*K345/1000</f>
        <v>0</v>
      </c>
      <c r="H345" s="48"/>
      <c r="I345" s="33"/>
      <c r="K345" s="55" t="n">
        <f aca="false">Хмільник!K345</f>
        <v>0</v>
      </c>
      <c r="L345" s="26" t="n">
        <f aca="false">L344</f>
        <v>38</v>
      </c>
    </row>
    <row r="346" customFormat="false" ht="16.5" hidden="false" customHeight="false" outlineLevel="0" collapsed="false">
      <c r="B346" s="59"/>
      <c r="C346" s="54" t="str">
        <f aca="false">Хмільник!C346</f>
        <v>Нектарин</v>
      </c>
      <c r="D346" s="15" t="n">
        <f aca="false">Хмільник!D346</f>
        <v>14129</v>
      </c>
      <c r="E346" s="15" t="s">
        <v>27</v>
      </c>
      <c r="F346" s="33"/>
      <c r="G346" s="29" t="n">
        <f aca="false">L346*K346/1000</f>
        <v>0</v>
      </c>
      <c r="H346" s="48"/>
      <c r="I346" s="33"/>
      <c r="K346" s="55" t="n">
        <f aca="false">Хмільник!K346</f>
        <v>0</v>
      </c>
      <c r="L346" s="26" t="n">
        <f aca="false">L345</f>
        <v>38</v>
      </c>
    </row>
    <row r="347" customFormat="false" ht="16.5" hidden="false" customHeight="false" outlineLevel="0" collapsed="false">
      <c r="B347" s="59"/>
      <c r="C347" s="54" t="str">
        <f aca="false">Хмільник!C347</f>
        <v>Яблука свіжі ранніх термінів достигання</v>
      </c>
      <c r="D347" s="15" t="n">
        <f aca="false">Хмільник!D347</f>
        <v>14131</v>
      </c>
      <c r="E347" s="15" t="s">
        <v>27</v>
      </c>
      <c r="F347" s="33"/>
      <c r="G347" s="29" t="n">
        <f aca="false">L347*K347/1000</f>
        <v>0</v>
      </c>
      <c r="H347" s="48"/>
      <c r="I347" s="33"/>
      <c r="K347" s="55" t="n">
        <f aca="false">Хмільник!K347</f>
        <v>0</v>
      </c>
      <c r="L347" s="26" t="n">
        <f aca="false">L346</f>
        <v>38</v>
      </c>
    </row>
    <row r="348" customFormat="false" ht="16.5" hidden="false" customHeight="false" outlineLevel="0" collapsed="false">
      <c r="B348" s="59"/>
      <c r="C348" s="54" t="str">
        <f aca="false">Хмільник!C348</f>
        <v>Яблука свіжі пізніх (серед.) терм. достиган.</v>
      </c>
      <c r="D348" s="15" t="n">
        <f aca="false">Хмільник!D348</f>
        <v>14132</v>
      </c>
      <c r="E348" s="15" t="s">
        <v>27</v>
      </c>
      <c r="F348" s="33"/>
      <c r="G348" s="29" t="n">
        <f aca="false">L348*K348/1000</f>
        <v>0</v>
      </c>
      <c r="H348" s="48"/>
      <c r="I348" s="33"/>
      <c r="K348" s="55" t="n">
        <f aca="false">Хмільник!K348</f>
        <v>0</v>
      </c>
      <c r="L348" s="26" t="n">
        <f aca="false">L347</f>
        <v>38</v>
      </c>
    </row>
    <row r="349" customFormat="false" ht="16.5" hidden="false" customHeight="false" outlineLevel="0" collapsed="false">
      <c r="B349" s="59"/>
      <c r="C349" s="54" t="str">
        <f aca="false">Хмільник!C349</f>
        <v>Насіння льону</v>
      </c>
      <c r="D349" s="15" t="n">
        <f aca="false">Хмільник!D349</f>
        <v>14133</v>
      </c>
      <c r="E349" s="15" t="s">
        <v>27</v>
      </c>
      <c r="F349" s="33"/>
      <c r="G349" s="29" t="n">
        <f aca="false">L349*K349/1000</f>
        <v>0</v>
      </c>
      <c r="H349" s="48"/>
      <c r="I349" s="33"/>
      <c r="K349" s="55" t="n">
        <f aca="false">Хмільник!K349</f>
        <v>0</v>
      </c>
      <c r="L349" s="26" t="n">
        <f aca="false">L348</f>
        <v>38</v>
      </c>
    </row>
    <row r="350" customFormat="false" ht="16.5" hidden="false" customHeight="false" outlineLevel="0" collapsed="false">
      <c r="B350" s="59"/>
      <c r="C350" s="54" t="str">
        <f aca="false">Хмільник!C350</f>
        <v>Шипшина сушена</v>
      </c>
      <c r="D350" s="15" t="n">
        <f aca="false">Хмільник!D350</f>
        <v>14134</v>
      </c>
      <c r="E350" s="15" t="s">
        <v>27</v>
      </c>
      <c r="F350" s="33"/>
      <c r="G350" s="29" t="n">
        <f aca="false">L350*K350/1000</f>
        <v>0</v>
      </c>
      <c r="H350" s="48"/>
      <c r="I350" s="33"/>
      <c r="K350" s="55" t="n">
        <f aca="false">Хмільник!K350</f>
        <v>0</v>
      </c>
      <c r="L350" s="26" t="n">
        <f aca="false">L349</f>
        <v>38</v>
      </c>
    </row>
    <row r="351" customFormat="false" ht="16.5" hidden="false" customHeight="false" outlineLevel="0" collapsed="false">
      <c r="B351" s="59"/>
      <c r="C351" s="54" t="str">
        <f aca="false">Хмільник!C351</f>
        <v>Слива свіжа сезонна</v>
      </c>
      <c r="D351" s="15" t="n">
        <f aca="false">Хмільник!D351</f>
        <v>14135</v>
      </c>
      <c r="E351" s="15" t="s">
        <v>27</v>
      </c>
      <c r="F351" s="33"/>
      <c r="G351" s="29" t="n">
        <f aca="false">L351*K351/1000</f>
        <v>0</v>
      </c>
      <c r="H351" s="48"/>
      <c r="I351" s="33"/>
      <c r="K351" s="55" t="n">
        <f aca="false">Хмільник!K351</f>
        <v>0</v>
      </c>
      <c r="L351" s="26" t="n">
        <f aca="false">L350</f>
        <v>38</v>
      </c>
    </row>
    <row r="352" customFormat="false" ht="16.5" hidden="false" customHeight="false" outlineLevel="0" collapsed="false">
      <c r="B352" s="59"/>
      <c r="C352" s="54" t="str">
        <f aca="false">Хмільник!C352</f>
        <v>Гарбузове насіння чищене</v>
      </c>
      <c r="D352" s="15" t="n">
        <f aca="false">Хмільник!D352</f>
        <v>14136</v>
      </c>
      <c r="E352" s="15" t="s">
        <v>27</v>
      </c>
      <c r="F352" s="33"/>
      <c r="G352" s="29" t="n">
        <f aca="false">L352*K352/1000</f>
        <v>0</v>
      </c>
      <c r="H352" s="48"/>
      <c r="I352" s="33"/>
      <c r="K352" s="55" t="n">
        <f aca="false">Хмільник!K352</f>
        <v>0</v>
      </c>
      <c r="L352" s="26" t="n">
        <f aca="false">L351</f>
        <v>38</v>
      </c>
    </row>
    <row r="353" customFormat="false" ht="16.5" hidden="false" customHeight="false" outlineLevel="0" collapsed="false">
      <c r="B353" s="59"/>
      <c r="C353" s="54" t="str">
        <f aca="false">Хмільник!C353</f>
        <v>Інжир сушений</v>
      </c>
      <c r="D353" s="15" t="n">
        <f aca="false">Хмільник!D353</f>
        <v>14137</v>
      </c>
      <c r="E353" s="15" t="s">
        <v>27</v>
      </c>
      <c r="F353" s="33"/>
      <c r="G353" s="29" t="n">
        <f aca="false">L353*K353/1000</f>
        <v>0</v>
      </c>
      <c r="H353" s="48"/>
      <c r="I353" s="33"/>
      <c r="K353" s="55" t="n">
        <f aca="false">Хмільник!K353</f>
        <v>0</v>
      </c>
      <c r="L353" s="26" t="n">
        <f aca="false">L352</f>
        <v>38</v>
      </c>
    </row>
    <row r="354" customFormat="false" ht="16.5" hidden="false" customHeight="false" outlineLevel="0" collapsed="false">
      <c r="B354" s="59"/>
      <c r="C354" s="54" t="str">
        <f aca="false">Хмільник!C354</f>
        <v>Абрикос</v>
      </c>
      <c r="D354" s="15" t="n">
        <f aca="false">Хмільник!D354</f>
        <v>14138</v>
      </c>
      <c r="E354" s="15" t="s">
        <v>27</v>
      </c>
      <c r="F354" s="33"/>
      <c r="G354" s="29" t="n">
        <f aca="false">L354*K354/1000</f>
        <v>0</v>
      </c>
      <c r="H354" s="48"/>
      <c r="I354" s="33"/>
      <c r="K354" s="55" t="n">
        <f aca="false">Хмільник!K354</f>
        <v>0</v>
      </c>
      <c r="L354" s="26" t="n">
        <f aca="false">L353</f>
        <v>38</v>
      </c>
    </row>
    <row r="355" customFormat="false" ht="16.5" hidden="false" customHeight="false" outlineLevel="0" collapsed="false">
      <c r="B355" s="59"/>
      <c r="C355" s="54" t="str">
        <f aca="false">Хмільник!C355</f>
        <v>Персик</v>
      </c>
      <c r="D355" s="15" t="n">
        <f aca="false">Хмільник!D355</f>
        <v>14139</v>
      </c>
      <c r="E355" s="15" t="s">
        <v>27</v>
      </c>
      <c r="F355" s="33"/>
      <c r="G355" s="29" t="n">
        <f aca="false">L355*K355/1000</f>
        <v>0</v>
      </c>
      <c r="H355" s="48"/>
      <c r="I355" s="33"/>
      <c r="K355" s="55" t="n">
        <f aca="false">Хмільник!K355</f>
        <v>0</v>
      </c>
      <c r="L355" s="26" t="n">
        <f aca="false">L354</f>
        <v>38</v>
      </c>
    </row>
    <row r="356" customFormat="false" ht="16.5" hidden="false" customHeight="false" outlineLevel="0" collapsed="false">
      <c r="B356" s="59"/>
      <c r="C356" s="54" t="str">
        <f aca="false">Хмільник!C356</f>
        <v>Полуниця</v>
      </c>
      <c r="D356" s="15" t="n">
        <f aca="false">Хмільник!D356</f>
        <v>14141</v>
      </c>
      <c r="E356" s="15" t="s">
        <v>27</v>
      </c>
      <c r="F356" s="33"/>
      <c r="G356" s="29" t="n">
        <f aca="false">L356*K356/1000</f>
        <v>0</v>
      </c>
      <c r="H356" s="48"/>
      <c r="I356" s="33"/>
      <c r="K356" s="55" t="n">
        <f aca="false">Хмільник!K356</f>
        <v>0</v>
      </c>
      <c r="L356" s="26" t="n">
        <f aca="false">L355</f>
        <v>38</v>
      </c>
    </row>
    <row r="357" customFormat="false" ht="16.5" hidden="false" customHeight="false" outlineLevel="0" collapsed="false">
      <c r="B357" s="59"/>
      <c r="C357" s="54" t="str">
        <f aca="false">Хмільник!C357</f>
        <v>Смородина чорна</v>
      </c>
      <c r="D357" s="15" t="n">
        <f aca="false">Хмільник!D357</f>
        <v>14142</v>
      </c>
      <c r="E357" s="15" t="s">
        <v>27</v>
      </c>
      <c r="F357" s="33"/>
      <c r="G357" s="29" t="n">
        <f aca="false">L357*K357/1000</f>
        <v>0</v>
      </c>
      <c r="H357" s="48"/>
      <c r="I357" s="33"/>
      <c r="K357" s="55" t="n">
        <f aca="false">Хмільник!K357</f>
        <v>0</v>
      </c>
      <c r="L357" s="26" t="n">
        <f aca="false">L356</f>
        <v>38</v>
      </c>
    </row>
    <row r="358" customFormat="false" ht="16.5" hidden="false" customHeight="false" outlineLevel="0" collapsed="false">
      <c r="B358" s="59"/>
      <c r="C358" s="54" t="str">
        <f aca="false">Хмільник!C358</f>
        <v>Авокадо</v>
      </c>
      <c r="D358" s="15" t="n">
        <f aca="false">Хмільник!D358</f>
        <v>14143</v>
      </c>
      <c r="E358" s="15" t="s">
        <v>27</v>
      </c>
      <c r="F358" s="33"/>
      <c r="G358" s="29" t="n">
        <f aca="false">L358*K358/1000</f>
        <v>0</v>
      </c>
      <c r="H358" s="48"/>
      <c r="I358" s="33"/>
      <c r="K358" s="55" t="n">
        <f aca="false">Хмільник!K358</f>
        <v>0</v>
      </c>
      <c r="L358" s="26" t="n">
        <f aca="false">L357</f>
        <v>38</v>
      </c>
    </row>
    <row r="359" customFormat="false" ht="16.5" hidden="false" customHeight="false" outlineLevel="0" collapsed="false">
      <c r="B359" s="59"/>
      <c r="C359" s="54" t="str">
        <f aca="false">Хмільник!C359</f>
        <v>Батон</v>
      </c>
      <c r="D359" s="15" t="n">
        <f aca="false">Хмільник!D359</f>
        <v>15001</v>
      </c>
      <c r="E359" s="15" t="s">
        <v>27</v>
      </c>
      <c r="F359" s="33"/>
      <c r="G359" s="29" t="n">
        <f aca="false">L359*K359/1000</f>
        <v>0</v>
      </c>
      <c r="H359" s="48"/>
      <c r="I359" s="33"/>
      <c r="K359" s="55" t="n">
        <f aca="false">Хмільник!K359</f>
        <v>0</v>
      </c>
      <c r="L359" s="26" t="n">
        <f aca="false">L358</f>
        <v>38</v>
      </c>
    </row>
    <row r="360" customFormat="false" ht="16.5" hidden="false" customHeight="false" outlineLevel="0" collapsed="false">
      <c r="B360" s="59"/>
      <c r="C360" s="54" t="str">
        <f aca="false">Хмільник!C360</f>
        <v>Борошно пшеничне першого ґатунку</v>
      </c>
      <c r="D360" s="15" t="n">
        <f aca="false">Хмільник!D360</f>
        <v>15003</v>
      </c>
      <c r="E360" s="15" t="s">
        <v>27</v>
      </c>
      <c r="F360" s="33"/>
      <c r="G360" s="29" t="n">
        <f aca="false">L360*K360/1000</f>
        <v>0</v>
      </c>
      <c r="H360" s="48"/>
      <c r="I360" s="33"/>
      <c r="K360" s="55" t="n">
        <f aca="false">Хмільник!K360</f>
        <v>0</v>
      </c>
      <c r="L360" s="26" t="n">
        <f aca="false">L359</f>
        <v>38</v>
      </c>
    </row>
    <row r="361" customFormat="false" ht="16.5" hidden="false" customHeight="false" outlineLevel="0" collapsed="false">
      <c r="B361" s="59"/>
      <c r="C361" s="54" t="str">
        <f aca="false">Хмільник!C361</f>
        <v>Борошно пшеничне другого ґатунку</v>
      </c>
      <c r="D361" s="15" t="n">
        <f aca="false">Хмільник!D361</f>
        <v>15004</v>
      </c>
      <c r="E361" s="15" t="s">
        <v>27</v>
      </c>
      <c r="F361" s="33"/>
      <c r="G361" s="29" t="n">
        <f aca="false">L361*K361/1000</f>
        <v>0</v>
      </c>
      <c r="H361" s="48"/>
      <c r="I361" s="33"/>
      <c r="K361" s="55" t="n">
        <f aca="false">Хмільник!K361</f>
        <v>0</v>
      </c>
      <c r="L361" s="26" t="n">
        <f aca="false">L360</f>
        <v>38</v>
      </c>
    </row>
    <row r="362" customFormat="false" ht="16.5" hidden="false" customHeight="false" outlineLevel="0" collapsed="false">
      <c r="B362" s="59"/>
      <c r="C362" s="54" t="str">
        <f aca="false">Хмільник!C362</f>
        <v>Борошно пшеничне вищого ґатунку</v>
      </c>
      <c r="D362" s="15" t="n">
        <f aca="false">Хмільник!D362</f>
        <v>15005</v>
      </c>
      <c r="E362" s="15" t="s">
        <v>27</v>
      </c>
      <c r="F362" s="33"/>
      <c r="G362" s="29" t="n">
        <f aca="false">L362*K362/1000</f>
        <v>0</v>
      </c>
      <c r="H362" s="48"/>
      <c r="I362" s="33"/>
      <c r="K362" s="55" t="n">
        <f aca="false">Хмільник!K362</f>
        <v>0</v>
      </c>
      <c r="L362" s="26" t="n">
        <f aca="false">L361</f>
        <v>38</v>
      </c>
    </row>
    <row r="363" customFormat="false" ht="16.5" hidden="false" customHeight="false" outlineLevel="0" collapsed="false">
      <c r="B363" s="59"/>
      <c r="C363" s="54" t="str">
        <f aca="false">Хмільник!C363</f>
        <v>Сушки</v>
      </c>
      <c r="D363" s="15" t="n">
        <f aca="false">Хмільник!D363</f>
        <v>15006</v>
      </c>
      <c r="E363" s="15" t="s">
        <v>27</v>
      </c>
      <c r="F363" s="33"/>
      <c r="G363" s="29" t="n">
        <f aca="false">L363*K363/1000</f>
        <v>0</v>
      </c>
      <c r="H363" s="48"/>
      <c r="I363" s="33"/>
      <c r="K363" s="55" t="n">
        <f aca="false">Хмільник!K363</f>
        <v>0</v>
      </c>
      <c r="L363" s="26" t="n">
        <f aca="false">L362</f>
        <v>38</v>
      </c>
    </row>
    <row r="364" customFormat="false" ht="16.5" hidden="false" customHeight="false" outlineLevel="0" collapsed="false">
      <c r="B364" s="59"/>
      <c r="C364" s="54" t="str">
        <f aca="false">Хмільник!C364</f>
        <v>Вафлі з начинкою</v>
      </c>
      <c r="D364" s="15" t="n">
        <f aca="false">Хмільник!D364</f>
        <v>15007</v>
      </c>
      <c r="E364" s="15" t="s">
        <v>27</v>
      </c>
      <c r="F364" s="33"/>
      <c r="G364" s="29" t="n">
        <f aca="false">L364*K364/1000</f>
        <v>0</v>
      </c>
      <c r="H364" s="48"/>
      <c r="I364" s="33"/>
      <c r="K364" s="55" t="n">
        <f aca="false">Хмільник!K364</f>
        <v>0</v>
      </c>
      <c r="L364" s="26" t="n">
        <f aca="false">L363</f>
        <v>38</v>
      </c>
    </row>
    <row r="365" customFormat="false" ht="16.5" hidden="false" customHeight="false" outlineLevel="0" collapsed="false">
      <c r="B365" s="59"/>
      <c r="C365" s="54" t="str">
        <f aca="false">Хмільник!C365</f>
        <v>Вафлі з фруктовими начинками</v>
      </c>
      <c r="D365" s="15" t="n">
        <f aca="false">Хмільник!D365</f>
        <v>15008</v>
      </c>
      <c r="E365" s="15" t="s">
        <v>27</v>
      </c>
      <c r="F365" s="33"/>
      <c r="G365" s="29" t="n">
        <f aca="false">L365*K365/1000</f>
        <v>0</v>
      </c>
      <c r="H365" s="48"/>
      <c r="I365" s="33"/>
      <c r="K365" s="55" t="n">
        <f aca="false">Хмільник!K365</f>
        <v>0</v>
      </c>
      <c r="L365" s="26" t="n">
        <f aca="false">L364</f>
        <v>38</v>
      </c>
    </row>
    <row r="366" customFormat="false" ht="16.5" hidden="false" customHeight="false" outlineLevel="0" collapsed="false">
      <c r="B366" s="59"/>
      <c r="C366" s="54" t="str">
        <f aca="false">Хмільник!C366</f>
        <v>Галети</v>
      </c>
      <c r="D366" s="15" t="n">
        <f aca="false">Хмільник!D366</f>
        <v>15009</v>
      </c>
      <c r="E366" s="15" t="s">
        <v>27</v>
      </c>
      <c r="F366" s="33"/>
      <c r="G366" s="29" t="n">
        <f aca="false">L366*K366/1000</f>
        <v>0</v>
      </c>
      <c r="H366" s="48"/>
      <c r="I366" s="33"/>
      <c r="K366" s="55" t="n">
        <f aca="false">Хмільник!K366</f>
        <v>0</v>
      </c>
      <c r="L366" s="26" t="n">
        <f aca="false">L365</f>
        <v>38</v>
      </c>
    </row>
    <row r="367" customFormat="false" ht="16.5" hidden="false" customHeight="false" outlineLevel="0" collapsed="false">
      <c r="B367" s="59"/>
      <c r="C367" s="54" t="str">
        <f aca="false">Хмільник!C367</f>
        <v>Здобна випічка</v>
      </c>
      <c r="D367" s="15" t="n">
        <f aca="false">Хмільник!D367</f>
        <v>15010</v>
      </c>
      <c r="E367" s="15" t="s">
        <v>27</v>
      </c>
      <c r="F367" s="33"/>
      <c r="G367" s="29" t="n">
        <f aca="false">L367*K367/1000</f>
        <v>0</v>
      </c>
      <c r="H367" s="48"/>
      <c r="I367" s="33"/>
      <c r="K367" s="55" t="n">
        <f aca="false">Хмільник!K367</f>
        <v>0</v>
      </c>
      <c r="L367" s="26" t="n">
        <f aca="false">L366</f>
        <v>38</v>
      </c>
    </row>
    <row r="368" customFormat="false" ht="16.5" hidden="false" customHeight="false" outlineLevel="0" collapsed="false">
      <c r="B368" s="59"/>
      <c r="C368" s="54" t="str">
        <f aca="false">Хмільник!C368</f>
        <v>Печиво вівсяне</v>
      </c>
      <c r="D368" s="15" t="n">
        <f aca="false">Хмільник!D368</f>
        <v>15011</v>
      </c>
      <c r="E368" s="15" t="s">
        <v>27</v>
      </c>
      <c r="F368" s="33"/>
      <c r="G368" s="29" t="n">
        <f aca="false">L368*K368/1000</f>
        <v>0</v>
      </c>
      <c r="H368" s="48"/>
      <c r="I368" s="33"/>
      <c r="K368" s="55" t="n">
        <f aca="false">Хмільник!K368</f>
        <v>0</v>
      </c>
      <c r="L368" s="26" t="n">
        <f aca="false">L367</f>
        <v>38</v>
      </c>
    </row>
    <row r="369" customFormat="false" ht="16.5" hidden="false" customHeight="false" outlineLevel="0" collapsed="false">
      <c r="B369" s="59"/>
      <c r="C369" s="54" t="str">
        <f aca="false">Хмільник!C369</f>
        <v>Печиво цукрове</v>
      </c>
      <c r="D369" s="15" t="n">
        <f aca="false">Хмільник!D369</f>
        <v>15012</v>
      </c>
      <c r="E369" s="15" t="s">
        <v>27</v>
      </c>
      <c r="F369" s="33"/>
      <c r="G369" s="29" t="n">
        <f aca="false">L369*K369/1000</f>
        <v>0</v>
      </c>
      <c r="H369" s="48"/>
      <c r="I369" s="33"/>
      <c r="K369" s="55" t="n">
        <f aca="false">Хмільник!K369</f>
        <v>0</v>
      </c>
      <c r="L369" s="26" t="n">
        <f aca="false">L368</f>
        <v>38</v>
      </c>
    </row>
    <row r="370" customFormat="false" ht="16.5" hidden="false" customHeight="false" outlineLevel="0" collapsed="false">
      <c r="B370" s="59"/>
      <c r="C370" s="54" t="str">
        <f aca="false">Хмільник!C370</f>
        <v>Печиво листкове</v>
      </c>
      <c r="D370" s="15" t="n">
        <f aca="false">Хмільник!D370</f>
        <v>15013</v>
      </c>
      <c r="E370" s="15" t="s">
        <v>27</v>
      </c>
      <c r="F370" s="33"/>
      <c r="G370" s="29" t="n">
        <f aca="false">L370*K370/1000</f>
        <v>0</v>
      </c>
      <c r="H370" s="48"/>
      <c r="I370" s="33"/>
      <c r="K370" s="55" t="n">
        <f aca="false">Хмільник!K370</f>
        <v>0</v>
      </c>
      <c r="L370" s="26" t="n">
        <f aca="false">L369</f>
        <v>38</v>
      </c>
    </row>
    <row r="371" customFormat="false" ht="16.5" hidden="false" customHeight="false" outlineLevel="0" collapsed="false">
      <c r="B371" s="59"/>
      <c r="C371" s="54" t="str">
        <f aca="false">Хмільник!C371</f>
        <v>Печиво затяжне</v>
      </c>
      <c r="D371" s="15" t="n">
        <f aca="false">Хмільник!D371</f>
        <v>15014</v>
      </c>
      <c r="E371" s="15" t="s">
        <v>27</v>
      </c>
      <c r="F371" s="33"/>
      <c r="G371" s="29" t="n">
        <f aca="false">L371*K371/1000</f>
        <v>0</v>
      </c>
      <c r="H371" s="48"/>
      <c r="I371" s="33"/>
      <c r="K371" s="55" t="n">
        <f aca="false">Хмільник!K371</f>
        <v>0</v>
      </c>
      <c r="L371" s="26" t="n">
        <f aca="false">L370</f>
        <v>38</v>
      </c>
    </row>
    <row r="372" customFormat="false" ht="16.5" hidden="false" customHeight="false" outlineLevel="0" collapsed="false">
      <c r="B372" s="59"/>
      <c r="C372" s="54" t="str">
        <f aca="false">Хмільник!C372</f>
        <v>Сухарі</v>
      </c>
      <c r="D372" s="15" t="n">
        <f aca="false">Хмільник!D372</f>
        <v>15015</v>
      </c>
      <c r="E372" s="15" t="s">
        <v>27</v>
      </c>
      <c r="F372" s="33"/>
      <c r="G372" s="29" t="n">
        <f aca="false">L372*K372/1000</f>
        <v>0</v>
      </c>
      <c r="H372" s="48"/>
      <c r="I372" s="33"/>
      <c r="K372" s="55" t="n">
        <f aca="false">Хмільник!K372</f>
        <v>0</v>
      </c>
      <c r="L372" s="26" t="n">
        <f aca="false">L371</f>
        <v>38</v>
      </c>
    </row>
    <row r="373" customFormat="false" ht="16.5" hidden="false" customHeight="false" outlineLevel="0" collapsed="false">
      <c r="B373" s="59"/>
      <c r="C373" s="54" t="str">
        <f aca="false">Хмільник!C373</f>
        <v>Хліб житній (нарізний)</v>
      </c>
      <c r="D373" s="15" t="n">
        <f aca="false">Хмільник!D373</f>
        <v>15017</v>
      </c>
      <c r="E373" s="15" t="s">
        <v>27</v>
      </c>
      <c r="F373" s="33"/>
      <c r="G373" s="29" t="n">
        <f aca="false">L373*K373/1000</f>
        <v>0</v>
      </c>
      <c r="H373" s="48"/>
      <c r="I373" s="33"/>
      <c r="K373" s="55" t="n">
        <f aca="false">Хмільник!K373</f>
        <v>0</v>
      </c>
      <c r="L373" s="26" t="n">
        <f aca="false">L372</f>
        <v>38</v>
      </c>
    </row>
    <row r="374" customFormat="false" ht="16.5" hidden="false" customHeight="false" outlineLevel="0" collapsed="false">
      <c r="B374" s="59"/>
      <c r="C374" s="54" t="str">
        <f aca="false">Хмільник!C374</f>
        <v>Хліб із суміші жит. і пшен. борошна (наріз)</v>
      </c>
      <c r="D374" s="15" t="n">
        <f aca="false">Хмільник!D374</f>
        <v>15018</v>
      </c>
      <c r="E374" s="15" t="s">
        <v>27</v>
      </c>
      <c r="F374" s="33"/>
      <c r="G374" s="29" t="n">
        <f aca="false">L374*K374/1000</f>
        <v>0</v>
      </c>
      <c r="H374" s="48"/>
      <c r="I374" s="33"/>
      <c r="K374" s="55" t="n">
        <f aca="false">Хмільник!K374</f>
        <v>0</v>
      </c>
      <c r="L374" s="26" t="n">
        <f aca="false">L373</f>
        <v>38</v>
      </c>
    </row>
    <row r="375" customFormat="false" ht="16.5" hidden="false" customHeight="false" outlineLevel="0" collapsed="false">
      <c r="B375" s="59"/>
      <c r="C375" s="54" t="str">
        <f aca="false">Хмільник!C375</f>
        <v>Хліб з пшенич. бор. першого ґат (нарізний)</v>
      </c>
      <c r="D375" s="15" t="n">
        <f aca="false">Хмільник!D375</f>
        <v>15020</v>
      </c>
      <c r="E375" s="15" t="s">
        <v>27</v>
      </c>
      <c r="F375" s="33"/>
      <c r="G375" s="29" t="n">
        <f aca="false">L375*K375/1000</f>
        <v>0</v>
      </c>
      <c r="H375" s="48"/>
      <c r="I375" s="33"/>
      <c r="K375" s="55" t="n">
        <f aca="false">Хмільник!K375</f>
        <v>0</v>
      </c>
      <c r="L375" s="26" t="n">
        <f aca="false">L374</f>
        <v>38</v>
      </c>
    </row>
    <row r="376" customFormat="false" ht="16.5" hidden="false" customHeight="false" outlineLevel="0" collapsed="false">
      <c r="B376" s="59"/>
      <c r="C376" s="54" t="str">
        <f aca="false">Хмільник!C376</f>
        <v>Булочка для гамбургера</v>
      </c>
      <c r="D376" s="15" t="n">
        <f aca="false">Хмільник!D376</f>
        <v>15021</v>
      </c>
      <c r="E376" s="15" t="s">
        <v>27</v>
      </c>
      <c r="F376" s="33"/>
      <c r="G376" s="29" t="n">
        <f aca="false">L376*K376/1000</f>
        <v>0</v>
      </c>
      <c r="H376" s="48"/>
      <c r="I376" s="33"/>
      <c r="K376" s="55" t="n">
        <f aca="false">Хмільник!K376</f>
        <v>0</v>
      </c>
      <c r="L376" s="26" t="n">
        <f aca="false">L375</f>
        <v>38</v>
      </c>
    </row>
    <row r="377" customFormat="false" ht="16.5" hidden="false" customHeight="false" outlineLevel="0" collapsed="false">
      <c r="B377" s="59"/>
      <c r="C377" s="54" t="str">
        <f aca="false">Хмільник!C377</f>
        <v>Хліб цільнозерновий</v>
      </c>
      <c r="D377" s="15" t="n">
        <f aca="false">Хмільник!D377</f>
        <v>15022</v>
      </c>
      <c r="E377" s="15" t="s">
        <v>27</v>
      </c>
      <c r="F377" s="33"/>
      <c r="G377" s="29" t="n">
        <f aca="false">L377*K377/1000</f>
        <v>0</v>
      </c>
      <c r="H377" s="48"/>
      <c r="I377" s="33"/>
      <c r="K377" s="55" t="n">
        <f aca="false">Хмільник!K377</f>
        <v>0</v>
      </c>
      <c r="L377" s="26" t="n">
        <f aca="false">L376</f>
        <v>38</v>
      </c>
    </row>
    <row r="378" customFormat="false" ht="16.5" hidden="false" customHeight="false" outlineLevel="0" collapsed="false">
      <c r="B378" s="59"/>
      <c r="C378" s="54" t="str">
        <f aca="false">Хмільник!C378</f>
        <v>Лаваш тонкий</v>
      </c>
      <c r="D378" s="15" t="n">
        <f aca="false">Хмільник!D378</f>
        <v>15023</v>
      </c>
      <c r="E378" s="15" t="s">
        <v>27</v>
      </c>
      <c r="F378" s="33"/>
      <c r="G378" s="29" t="n">
        <f aca="false">L378*K378/1000</f>
        <v>0</v>
      </c>
      <c r="H378" s="48"/>
      <c r="I378" s="33"/>
      <c r="K378" s="55" t="n">
        <f aca="false">Хмільник!K378</f>
        <v>0</v>
      </c>
      <c r="L378" s="26" t="n">
        <f aca="false">L377</f>
        <v>38</v>
      </c>
    </row>
    <row r="379" customFormat="false" ht="16.5" hidden="false" customHeight="false" outlineLevel="0" collapsed="false">
      <c r="B379" s="59"/>
      <c r="C379" s="54" t="str">
        <f aca="false">Хмільник!C379</f>
        <v>ВСЬОГО</v>
      </c>
      <c r="D379" s="15" t="n">
        <f aca="false">Хмільник!D379</f>
        <v>0</v>
      </c>
      <c r="E379" s="15" t="s">
        <v>27</v>
      </c>
      <c r="F379" s="33"/>
      <c r="G379" s="29" t="n">
        <f aca="false">SUM(G19:G378)</f>
        <v>0</v>
      </c>
      <c r="H379" s="48"/>
      <c r="I379" s="33"/>
    </row>
  </sheetData>
  <mergeCells count="15">
    <mergeCell ref="B6:I6"/>
    <mergeCell ref="B8:I8"/>
    <mergeCell ref="B9:I9"/>
    <mergeCell ref="D11:E11"/>
    <mergeCell ref="F11:G11"/>
    <mergeCell ref="H11:I11"/>
    <mergeCell ref="D12:E12"/>
    <mergeCell ref="F12:G12"/>
    <mergeCell ref="H12:I12"/>
    <mergeCell ref="D14:E14"/>
    <mergeCell ref="F14:G14"/>
    <mergeCell ref="H14:I14"/>
    <mergeCell ref="D15:E15"/>
    <mergeCell ref="F15:G15"/>
    <mergeCell ref="H15:I15"/>
  </mergeCells>
  <printOptions headings="false" gridLines="false" gridLinesSet="true" horizontalCentered="false" verticalCentered="false"/>
  <pageMargins left="0.708333333333333" right="0.708333333333333" top="0.747916666666667" bottom="0.747916666666667" header="0.511811023622047" footer="0.511811023622047"/>
  <pageSetup paperSize="9" scale="100" fitToWidth="1" fitToHeight="2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L3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378" activeCellId="0" sqref="H378"/>
    </sheetView>
  </sheetViews>
  <sheetFormatPr defaultColWidth="9" defaultRowHeight="16.5" zeroHeight="false" outlineLevelRow="0" outlineLevelCol="0"/>
  <cols>
    <col collapsed="false" customWidth="true" hidden="false" outlineLevel="0" max="1" min="1" style="0" width="4.57"/>
    <col collapsed="false" customWidth="true" hidden="false" outlineLevel="0" max="2" min="2" style="1" width="9.14"/>
    <col collapsed="false" customWidth="true" hidden="false" outlineLevel="0" max="3" min="3" style="0" width="39.43"/>
    <col collapsed="false" customWidth="true" hidden="false" outlineLevel="0" max="4" min="4" style="0" width="9.71"/>
    <col collapsed="false" customWidth="true" hidden="false" outlineLevel="0" max="5" min="5" style="0" width="9.43"/>
    <col collapsed="false" customWidth="true" hidden="false" outlineLevel="0" max="6" min="6" style="0" width="7.57"/>
    <col collapsed="false" customWidth="true" hidden="false" outlineLevel="0" max="7" min="7" style="0" width="11.29"/>
    <col collapsed="false" customWidth="true" hidden="false" outlineLevel="0" max="8" min="8" style="2" width="10.71"/>
    <col collapsed="false" customWidth="true" hidden="false" outlineLevel="0" max="9" min="9" style="0" width="12.43"/>
    <col collapsed="false" customWidth="true" hidden="false" outlineLevel="0" max="10" min="10" style="0" width="5.85"/>
    <col collapsed="false" customWidth="true" hidden="false" outlineLevel="0" max="11" min="11" style="60" width="8.85"/>
  </cols>
  <sheetData>
    <row r="1" customFormat="false" ht="14.25" hidden="false" customHeight="true" outlineLevel="0" collapsed="false">
      <c r="B1" s="4"/>
      <c r="C1" s="5"/>
      <c r="D1" s="5"/>
      <c r="E1" s="5"/>
      <c r="F1" s="6" t="s">
        <v>0</v>
      </c>
      <c r="G1" s="6"/>
      <c r="H1" s="6"/>
      <c r="I1" s="6"/>
    </row>
    <row r="2" customFormat="false" ht="14.25" hidden="false" customHeight="true" outlineLevel="0" collapsed="false">
      <c r="B2" s="4"/>
      <c r="C2" s="5"/>
      <c r="D2" s="5"/>
      <c r="E2" s="5"/>
      <c r="F2" s="7" t="s">
        <v>1</v>
      </c>
      <c r="G2" s="7"/>
      <c r="H2" s="7"/>
      <c r="I2" s="7"/>
    </row>
    <row r="3" customFormat="false" ht="14.25" hidden="false" customHeight="true" outlineLevel="0" collapsed="false">
      <c r="B3" s="4"/>
      <c r="C3" s="5"/>
      <c r="D3" s="5"/>
      <c r="E3" s="5"/>
      <c r="F3" s="7" t="s">
        <v>2</v>
      </c>
      <c r="G3" s="7"/>
      <c r="H3" s="7"/>
      <c r="I3" s="7"/>
    </row>
    <row r="4" customFormat="false" ht="5.25" hidden="false" customHeight="true" outlineLevel="0" collapsed="false">
      <c r="B4" s="4"/>
      <c r="C4" s="5"/>
      <c r="D4" s="5"/>
      <c r="E4" s="5"/>
      <c r="F4" s="5"/>
      <c r="G4" s="5"/>
      <c r="H4" s="8"/>
      <c r="I4" s="5"/>
    </row>
    <row r="5" customFormat="false" ht="14.25" hidden="true" customHeight="true" outlineLevel="0" collapsed="false">
      <c r="B5" s="4"/>
      <c r="C5" s="5"/>
      <c r="D5" s="5"/>
      <c r="E5" s="5"/>
      <c r="F5" s="5"/>
      <c r="G5" s="5"/>
      <c r="H5" s="8"/>
      <c r="I5" s="5"/>
    </row>
    <row r="6" customFormat="false" ht="14.25" hidden="false" customHeight="true" outlineLevel="0" collapsed="false">
      <c r="B6" s="9" t="s">
        <v>3</v>
      </c>
      <c r="C6" s="9"/>
      <c r="D6" s="9"/>
      <c r="E6" s="9"/>
      <c r="F6" s="9"/>
      <c r="G6" s="9"/>
      <c r="H6" s="9"/>
      <c r="I6" s="9"/>
    </row>
    <row r="7" customFormat="false" ht="14.25" hidden="false" customHeight="true" outlineLevel="0" collapsed="false">
      <c r="B7" s="4"/>
      <c r="C7" s="5"/>
      <c r="D7" s="5"/>
      <c r="E7" s="5"/>
      <c r="F7" s="5"/>
      <c r="G7" s="5"/>
      <c r="H7" s="8"/>
      <c r="I7" s="5"/>
    </row>
    <row r="8" customFormat="false" ht="14.25" hidden="false" customHeight="true" outlineLevel="0" collapsed="false">
      <c r="B8" s="10" t="s">
        <v>393</v>
      </c>
      <c r="C8" s="10"/>
      <c r="D8" s="10"/>
      <c r="E8" s="10"/>
      <c r="F8" s="10"/>
      <c r="G8" s="10"/>
      <c r="H8" s="10"/>
      <c r="I8" s="10"/>
    </row>
    <row r="9" customFormat="false" ht="14.25" hidden="false" customHeight="true" outlineLevel="0" collapsed="false">
      <c r="B9" s="11" t="n">
        <f aca="false">Хмільник!B9</f>
        <v>0</v>
      </c>
      <c r="C9" s="11"/>
      <c r="D9" s="11"/>
      <c r="E9" s="11"/>
      <c r="F9" s="11"/>
      <c r="G9" s="11"/>
      <c r="H9" s="11"/>
      <c r="I9" s="11"/>
    </row>
    <row r="10" customFormat="false" ht="8.25" hidden="false" customHeight="true" outlineLevel="0" collapsed="false">
      <c r="B10" s="4"/>
      <c r="C10" s="5"/>
      <c r="D10" s="5"/>
      <c r="E10" s="5"/>
      <c r="F10" s="5"/>
      <c r="G10" s="5"/>
      <c r="H10" s="8"/>
      <c r="I10" s="5"/>
    </row>
    <row r="11" customFormat="false" ht="43.5" hidden="false" customHeight="true" outlineLevel="0" collapsed="false">
      <c r="B11" s="12" t="s">
        <v>5</v>
      </c>
      <c r="C11" s="13" t="s">
        <v>6</v>
      </c>
      <c r="D11" s="13" t="s">
        <v>7</v>
      </c>
      <c r="E11" s="13"/>
      <c r="F11" s="13" t="s">
        <v>8</v>
      </c>
      <c r="G11" s="13"/>
      <c r="H11" s="14" t="s">
        <v>9</v>
      </c>
      <c r="I11" s="14"/>
    </row>
    <row r="12" customFormat="false" ht="14.25" hidden="false" customHeight="true" outlineLevel="0" collapsed="false">
      <c r="B12" s="15"/>
      <c r="C12" s="16"/>
      <c r="D12" s="15"/>
      <c r="E12" s="15"/>
      <c r="F12" s="15"/>
      <c r="G12" s="15"/>
      <c r="H12" s="17"/>
      <c r="I12" s="17"/>
    </row>
    <row r="13" customFormat="false" ht="14.25" hidden="false" customHeight="true" outlineLevel="0" collapsed="false">
      <c r="B13" s="4"/>
      <c r="C13" s="5"/>
      <c r="D13" s="5"/>
      <c r="E13" s="5"/>
      <c r="F13" s="5"/>
      <c r="G13" s="5"/>
      <c r="H13" s="8"/>
      <c r="I13" s="5"/>
    </row>
    <row r="14" customFormat="false" ht="30.75" hidden="false" customHeight="true" outlineLevel="0" collapsed="false">
      <c r="B14" s="18" t="s">
        <v>10</v>
      </c>
      <c r="C14" s="12" t="s">
        <v>11</v>
      </c>
      <c r="D14" s="12" t="s">
        <v>389</v>
      </c>
      <c r="E14" s="12"/>
      <c r="F14" s="12" t="s">
        <v>13</v>
      </c>
      <c r="G14" s="12"/>
      <c r="H14" s="14" t="s">
        <v>14</v>
      </c>
      <c r="I14" s="14"/>
    </row>
    <row r="15" customFormat="false" ht="46.5" hidden="false" customHeight="true" outlineLevel="0" collapsed="false">
      <c r="B15" s="12"/>
      <c r="C15" s="12" t="s">
        <v>15</v>
      </c>
      <c r="D15" s="12" t="s">
        <v>394</v>
      </c>
      <c r="E15" s="12"/>
      <c r="F15" s="12" t="s">
        <v>395</v>
      </c>
      <c r="G15" s="12"/>
      <c r="H15" s="12" t="s">
        <v>396</v>
      </c>
      <c r="I15" s="12"/>
    </row>
    <row r="16" customFormat="false" ht="10.5" hidden="false" customHeight="true" outlineLevel="0" collapsed="false">
      <c r="A16" s="0" t="s">
        <v>18</v>
      </c>
      <c r="B16" s="4"/>
      <c r="C16" s="4"/>
      <c r="D16" s="4"/>
      <c r="E16" s="4"/>
      <c r="F16" s="4"/>
      <c r="G16" s="4"/>
      <c r="H16" s="21"/>
      <c r="I16" s="4"/>
    </row>
    <row r="17" customFormat="false" ht="78.75" hidden="false" customHeight="true" outlineLevel="0" collapsed="false">
      <c r="B17" s="12" t="s">
        <v>19</v>
      </c>
      <c r="C17" s="12" t="s">
        <v>20</v>
      </c>
      <c r="D17" s="22" t="s">
        <v>12</v>
      </c>
      <c r="E17" s="22" t="s">
        <v>21</v>
      </c>
      <c r="F17" s="22" t="s">
        <v>22</v>
      </c>
      <c r="G17" s="22" t="s">
        <v>23</v>
      </c>
      <c r="H17" s="23" t="s">
        <v>24</v>
      </c>
      <c r="I17" s="22" t="s">
        <v>25</v>
      </c>
    </row>
    <row r="18" customFormat="false" ht="14.25" hidden="false" customHeight="true" outlineLevel="0" collapsed="false">
      <c r="B18" s="24" t="n">
        <v>1</v>
      </c>
      <c r="C18" s="24" t="n">
        <v>2</v>
      </c>
      <c r="D18" s="24" t="n">
        <v>3</v>
      </c>
      <c r="E18" s="24" t="n">
        <v>4</v>
      </c>
      <c r="F18" s="24" t="n">
        <v>5</v>
      </c>
      <c r="G18" s="24" t="n">
        <v>6</v>
      </c>
      <c r="H18" s="25" t="n">
        <v>7</v>
      </c>
      <c r="I18" s="24" t="n">
        <v>8</v>
      </c>
      <c r="L18" s="61"/>
    </row>
    <row r="19" customFormat="false" ht="14.25" hidden="false" customHeight="true" outlineLevel="0" collapsed="false">
      <c r="B19" s="15"/>
      <c r="C19" s="54" t="str">
        <f aca="false">Хмільник!C19</f>
        <v>Баклажани свіжі</v>
      </c>
      <c r="D19" s="15" t="n">
        <f aca="false">Хмільник!D19</f>
        <v>11001</v>
      </c>
      <c r="E19" s="15" t="s">
        <v>27</v>
      </c>
      <c r="F19" s="15"/>
      <c r="G19" s="29" t="n">
        <f aca="false">L19*K19</f>
        <v>0</v>
      </c>
      <c r="H19" s="17"/>
      <c r="I19" s="17"/>
      <c r="K19" s="55" t="n">
        <f aca="false">Хмільник!K19</f>
        <v>0</v>
      </c>
      <c r="L19" s="26" t="n">
        <v>39</v>
      </c>
    </row>
    <row r="20" customFormat="false" ht="14.25" hidden="false" customHeight="true" outlineLevel="0" collapsed="false">
      <c r="B20" s="15"/>
      <c r="C20" s="54" t="str">
        <f aca="false">Хмільник!C20</f>
        <v>Баклажани свіжі сезонні</v>
      </c>
      <c r="D20" s="15" t="n">
        <f aca="false">Хмільник!D20</f>
        <v>11002</v>
      </c>
      <c r="E20" s="15" t="s">
        <v>27</v>
      </c>
      <c r="F20" s="15"/>
      <c r="G20" s="29" t="n">
        <f aca="false">L20*K20</f>
        <v>0</v>
      </c>
      <c r="H20" s="17"/>
      <c r="I20" s="17"/>
      <c r="K20" s="55" t="n">
        <f aca="false">Хмільник!K20</f>
        <v>0</v>
      </c>
      <c r="L20" s="26" t="n">
        <f aca="false">L19</f>
        <v>39</v>
      </c>
    </row>
    <row r="21" customFormat="false" ht="14.25" hidden="false" customHeight="true" outlineLevel="0" collapsed="false">
      <c r="B21" s="15"/>
      <c r="C21" s="54" t="str">
        <f aca="false">Хмільник!C21</f>
        <v>Буряк столовий свіжий</v>
      </c>
      <c r="D21" s="15" t="n">
        <f aca="false">Хмільник!D21</f>
        <v>11004</v>
      </c>
      <c r="E21" s="15" t="s">
        <v>27</v>
      </c>
      <c r="F21" s="15"/>
      <c r="G21" s="29" t="n">
        <f aca="false">L21*K21</f>
        <v>0</v>
      </c>
      <c r="H21" s="17"/>
      <c r="I21" s="17"/>
      <c r="K21" s="55" t="n">
        <f aca="false">Хмільник!K21</f>
        <v>0</v>
      </c>
      <c r="L21" s="26" t="n">
        <f aca="false">L20</f>
        <v>39</v>
      </c>
    </row>
    <row r="22" customFormat="false" ht="14.25" hidden="false" customHeight="true" outlineLevel="0" collapsed="false">
      <c r="B22" s="15"/>
      <c r="C22" s="54" t="str">
        <f aca="false">Хмільник!C22</f>
        <v>Гарбуз продовольчий свіжий</v>
      </c>
      <c r="D22" s="15" t="n">
        <f aca="false">Хмільник!D22</f>
        <v>11005</v>
      </c>
      <c r="E22" s="15" t="s">
        <v>27</v>
      </c>
      <c r="F22" s="15"/>
      <c r="G22" s="29" t="n">
        <f aca="false">L22*K22</f>
        <v>0</v>
      </c>
      <c r="H22" s="17"/>
      <c r="I22" s="17"/>
      <c r="K22" s="55" t="n">
        <f aca="false">Хмільник!K22</f>
        <v>0</v>
      </c>
      <c r="L22" s="26" t="n">
        <f aca="false">L21</f>
        <v>39</v>
      </c>
    </row>
    <row r="23" customFormat="false" ht="14.25" hidden="false" customHeight="true" outlineLevel="0" collapsed="false">
      <c r="B23" s="15"/>
      <c r="C23" s="54" t="str">
        <f aca="false">Хмільник!C23</f>
        <v>Горошок зелений консервований</v>
      </c>
      <c r="D23" s="15" t="n">
        <f aca="false">Хмільник!D23</f>
        <v>11006</v>
      </c>
      <c r="E23" s="15" t="s">
        <v>27</v>
      </c>
      <c r="F23" s="15"/>
      <c r="G23" s="29" t="n">
        <f aca="false">L23*K23</f>
        <v>0</v>
      </c>
      <c r="H23" s="17"/>
      <c r="I23" s="17"/>
      <c r="K23" s="55" t="n">
        <f aca="false">Хмільник!K23</f>
        <v>0</v>
      </c>
      <c r="L23" s="26" t="n">
        <f aca="false">L22</f>
        <v>39</v>
      </c>
    </row>
    <row r="24" customFormat="false" ht="14.25" hidden="false" customHeight="true" outlineLevel="0" collapsed="false">
      <c r="B24" s="15"/>
      <c r="C24" s="54" t="str">
        <f aca="false">Хмільник!C24</f>
        <v>Ікра баклажанна</v>
      </c>
      <c r="D24" s="15" t="n">
        <f aca="false">Хмільник!D24</f>
        <v>11007</v>
      </c>
      <c r="E24" s="15" t="s">
        <v>27</v>
      </c>
      <c r="F24" s="15"/>
      <c r="G24" s="29" t="n">
        <f aca="false">L24*K24</f>
        <v>0</v>
      </c>
      <c r="H24" s="17"/>
      <c r="I24" s="17"/>
      <c r="K24" s="55" t="n">
        <f aca="false">Хмільник!K24</f>
        <v>0</v>
      </c>
      <c r="L24" s="26" t="n">
        <f aca="false">L23</f>
        <v>39</v>
      </c>
    </row>
    <row r="25" customFormat="false" ht="14.25" hidden="false" customHeight="true" outlineLevel="0" collapsed="false">
      <c r="B25" s="15"/>
      <c r="C25" s="54" t="str">
        <f aca="false">Хмільник!C25</f>
        <v>Ікра кабачкова</v>
      </c>
      <c r="D25" s="15" t="n">
        <f aca="false">Хмільник!D25</f>
        <v>11008</v>
      </c>
      <c r="E25" s="15" t="s">
        <v>27</v>
      </c>
      <c r="F25" s="15"/>
      <c r="G25" s="29" t="n">
        <f aca="false">L25*K25</f>
        <v>0</v>
      </c>
      <c r="H25" s="17"/>
      <c r="I25" s="17"/>
      <c r="K25" s="55" t="n">
        <f aca="false">Хмільник!K25</f>
        <v>0</v>
      </c>
      <c r="L25" s="26" t="n">
        <f aca="false">L24</f>
        <v>39</v>
      </c>
    </row>
    <row r="26" customFormat="false" ht="14.25" hidden="false" customHeight="true" outlineLevel="0" collapsed="false">
      <c r="B26" s="15"/>
      <c r="C26" s="54" t="str">
        <f aca="false">Хмільник!C26</f>
        <v>Кабачки консервовані</v>
      </c>
      <c r="D26" s="15" t="n">
        <f aca="false">Хмільник!D26</f>
        <v>11009</v>
      </c>
      <c r="E26" s="15" t="s">
        <v>27</v>
      </c>
      <c r="F26" s="15"/>
      <c r="G26" s="29" t="n">
        <f aca="false">L26*K26</f>
        <v>0</v>
      </c>
      <c r="H26" s="17"/>
      <c r="I26" s="17"/>
      <c r="K26" s="55" t="n">
        <f aca="false">Хмільник!K26</f>
        <v>0</v>
      </c>
      <c r="L26" s="26" t="n">
        <f aca="false">L25</f>
        <v>39</v>
      </c>
    </row>
    <row r="27" customFormat="false" ht="14.25" hidden="false" customHeight="true" outlineLevel="0" collapsed="false">
      <c r="B27" s="15"/>
      <c r="C27" s="54" t="str">
        <f aca="false">Хмільник!C27</f>
        <v>Кабачки свіжі</v>
      </c>
      <c r="D27" s="15" t="n">
        <f aca="false">Хмільник!D27</f>
        <v>11010</v>
      </c>
      <c r="E27" s="15" t="s">
        <v>27</v>
      </c>
      <c r="F27" s="15"/>
      <c r="G27" s="29" t="n">
        <f aca="false">L27*K27</f>
        <v>0</v>
      </c>
      <c r="H27" s="17"/>
      <c r="I27" s="17"/>
      <c r="K27" s="55" t="n">
        <f aca="false">Хмільник!K27</f>
        <v>0</v>
      </c>
      <c r="L27" s="26" t="n">
        <f aca="false">L26</f>
        <v>39</v>
      </c>
    </row>
    <row r="28" customFormat="false" ht="14.25" hidden="false" customHeight="true" outlineLevel="0" collapsed="false">
      <c r="B28" s="15"/>
      <c r="C28" s="54" t="str">
        <f aca="false">Хмільник!C28</f>
        <v>Кабачки свіжі сезонні</v>
      </c>
      <c r="D28" s="15" t="n">
        <f aca="false">Хмільник!D28</f>
        <v>11011</v>
      </c>
      <c r="E28" s="15" t="s">
        <v>27</v>
      </c>
      <c r="F28" s="15"/>
      <c r="G28" s="29" t="n">
        <f aca="false">L28*K28</f>
        <v>0</v>
      </c>
      <c r="H28" s="17"/>
      <c r="I28" s="17"/>
      <c r="K28" s="55" t="n">
        <f aca="false">Хмільник!K28</f>
        <v>0</v>
      </c>
      <c r="L28" s="26" t="n">
        <f aca="false">L27</f>
        <v>39</v>
      </c>
    </row>
    <row r="29" customFormat="false" ht="14.25" hidden="false" customHeight="true" outlineLevel="0" collapsed="false">
      <c r="B29" s="15"/>
      <c r="C29" s="54" t="str">
        <f aca="false">Хмільник!C29</f>
        <v>Капуста білоголова свіжа</v>
      </c>
      <c r="D29" s="15" t="n">
        <f aca="false">Хмільник!D29</f>
        <v>11012</v>
      </c>
      <c r="E29" s="15" t="s">
        <v>27</v>
      </c>
      <c r="F29" s="15"/>
      <c r="G29" s="29" t="n">
        <f aca="false">L29*K29</f>
        <v>0</v>
      </c>
      <c r="H29" s="17"/>
      <c r="I29" s="17"/>
      <c r="K29" s="55" t="n">
        <f aca="false">Хмільник!K29</f>
        <v>0</v>
      </c>
      <c r="L29" s="26" t="n">
        <f aca="false">L28</f>
        <v>39</v>
      </c>
    </row>
    <row r="30" customFormat="false" ht="14.25" hidden="false" customHeight="true" outlineLevel="0" collapsed="false">
      <c r="B30" s="15"/>
      <c r="C30" s="54" t="str">
        <f aca="false">Хмільник!C30</f>
        <v>Капуста броколі свіжа сезонна</v>
      </c>
      <c r="D30" s="15" t="n">
        <f aca="false">Хмільник!D30</f>
        <v>11013</v>
      </c>
      <c r="E30" s="15" t="s">
        <v>27</v>
      </c>
      <c r="F30" s="15"/>
      <c r="G30" s="29" t="n">
        <f aca="false">L30*K30</f>
        <v>0</v>
      </c>
      <c r="H30" s="17"/>
      <c r="I30" s="17"/>
      <c r="K30" s="55" t="n">
        <f aca="false">Хмільник!K30</f>
        <v>0</v>
      </c>
      <c r="L30" s="26" t="n">
        <f aca="false">L29</f>
        <v>39</v>
      </c>
    </row>
    <row r="31" customFormat="false" ht="14.25" hidden="false" customHeight="true" outlineLevel="0" collapsed="false">
      <c r="B31" s="15"/>
      <c r="C31" s="54" t="str">
        <f aca="false">Хмільник!C31</f>
        <v>Капуста квашена</v>
      </c>
      <c r="D31" s="15" t="n">
        <f aca="false">Хмільник!D31</f>
        <v>11014</v>
      </c>
      <c r="E31" s="15" t="s">
        <v>27</v>
      </c>
      <c r="F31" s="15"/>
      <c r="G31" s="29" t="n">
        <f aca="false">L31*K31</f>
        <v>0</v>
      </c>
      <c r="H31" s="17"/>
      <c r="I31" s="17"/>
      <c r="K31" s="55" t="n">
        <f aca="false">Хмільник!K31</f>
        <v>0</v>
      </c>
      <c r="L31" s="26" t="n">
        <f aca="false">L30</f>
        <v>39</v>
      </c>
    </row>
    <row r="32" customFormat="false" ht="14.25" hidden="false" customHeight="true" outlineLevel="0" collapsed="false">
      <c r="B32" s="15"/>
      <c r="C32" s="54" t="str">
        <f aca="false">Хмільник!C32</f>
        <v>Капуста пекінська свіжа</v>
      </c>
      <c r="D32" s="15" t="n">
        <f aca="false">Хмільник!D32</f>
        <v>11015</v>
      </c>
      <c r="E32" s="15" t="s">
        <v>27</v>
      </c>
      <c r="F32" s="15"/>
      <c r="G32" s="29" t="n">
        <f aca="false">L32*K32</f>
        <v>0</v>
      </c>
      <c r="H32" s="17"/>
      <c r="I32" s="17"/>
      <c r="K32" s="55" t="n">
        <f aca="false">Хмільник!K32</f>
        <v>0</v>
      </c>
      <c r="L32" s="26" t="n">
        <f aca="false">L31</f>
        <v>39</v>
      </c>
    </row>
    <row r="33" customFormat="false" ht="14.25" hidden="false" customHeight="true" outlineLevel="0" collapsed="false">
      <c r="B33" s="15"/>
      <c r="C33" s="54" t="str">
        <f aca="false">Хмільник!C33</f>
        <v>Капуста цвітна свіжа</v>
      </c>
      <c r="D33" s="15" t="n">
        <f aca="false">Хмільник!D33</f>
        <v>11016</v>
      </c>
      <c r="E33" s="15" t="s">
        <v>27</v>
      </c>
      <c r="F33" s="15"/>
      <c r="G33" s="29" t="n">
        <f aca="false">L33*K33</f>
        <v>0</v>
      </c>
      <c r="H33" s="17"/>
      <c r="I33" s="17"/>
      <c r="K33" s="55" t="n">
        <f aca="false">Хмільник!K33</f>
        <v>0</v>
      </c>
      <c r="L33" s="26" t="n">
        <f aca="false">L32</f>
        <v>39</v>
      </c>
    </row>
    <row r="34" customFormat="false" ht="14.25" hidden="false" customHeight="true" outlineLevel="0" collapsed="false">
      <c r="B34" s="15"/>
      <c r="C34" s="54" t="str">
        <f aca="false">Хмільник!C34</f>
        <v>Капуста цвітна свіжа сезонна</v>
      </c>
      <c r="D34" s="15" t="n">
        <f aca="false">Хмільник!D34</f>
        <v>11017</v>
      </c>
      <c r="E34" s="15" t="s">
        <v>27</v>
      </c>
      <c r="F34" s="15"/>
      <c r="G34" s="29" t="n">
        <f aca="false">L34*K34</f>
        <v>0</v>
      </c>
      <c r="H34" s="17"/>
      <c r="I34" s="17"/>
      <c r="K34" s="55" t="n">
        <f aca="false">Хмільник!K34</f>
        <v>0</v>
      </c>
      <c r="L34" s="26" t="n">
        <f aca="false">L33</f>
        <v>39</v>
      </c>
    </row>
    <row r="35" customFormat="false" ht="14.25" hidden="false" customHeight="true" outlineLevel="0" collapsed="false">
      <c r="B35" s="15"/>
      <c r="C35" s="54" t="str">
        <f aca="false">Хмільник!C35</f>
        <v>Картопля рання</v>
      </c>
      <c r="D35" s="15" t="n">
        <f aca="false">Хмільник!D35</f>
        <v>11019</v>
      </c>
      <c r="E35" s="15" t="s">
        <v>27</v>
      </c>
      <c r="F35" s="15"/>
      <c r="G35" s="29" t="n">
        <f aca="false">L35*K35</f>
        <v>0</v>
      </c>
      <c r="H35" s="17"/>
      <c r="I35" s="17"/>
      <c r="K35" s="55" t="n">
        <f aca="false">Хмільник!K35</f>
        <v>0</v>
      </c>
      <c r="L35" s="26" t="n">
        <f aca="false">L34</f>
        <v>39</v>
      </c>
    </row>
    <row r="36" customFormat="false" ht="14.25" hidden="false" customHeight="true" outlineLevel="0" collapsed="false">
      <c r="B36" s="15"/>
      <c r="C36" s="54" t="str">
        <f aca="false">Хмільник!C36</f>
        <v>Квасоля продовольча</v>
      </c>
      <c r="D36" s="15" t="n">
        <f aca="false">Хмільник!D36</f>
        <v>11020</v>
      </c>
      <c r="E36" s="15" t="s">
        <v>27</v>
      </c>
      <c r="F36" s="15"/>
      <c r="G36" s="29" t="n">
        <f aca="false">L36*K36</f>
        <v>0</v>
      </c>
      <c r="H36" s="17"/>
      <c r="I36" s="17"/>
      <c r="K36" s="55" t="n">
        <f aca="false">Хмільник!K36</f>
        <v>0</v>
      </c>
      <c r="L36" s="26" t="n">
        <f aca="false">L35</f>
        <v>39</v>
      </c>
    </row>
    <row r="37" customFormat="false" ht="14.25" hidden="false" customHeight="true" outlineLevel="0" collapsed="false">
      <c r="B37" s="15"/>
      <c r="C37" s="54" t="str">
        <f aca="false">Хмільник!C37</f>
        <v>Квасоля консервована</v>
      </c>
      <c r="D37" s="15" t="n">
        <f aca="false">Хмільник!D37</f>
        <v>11021</v>
      </c>
      <c r="E37" s="15" t="s">
        <v>27</v>
      </c>
      <c r="F37" s="15"/>
      <c r="G37" s="29" t="n">
        <f aca="false">L37*K37</f>
        <v>0</v>
      </c>
      <c r="H37" s="17"/>
      <c r="I37" s="17"/>
      <c r="K37" s="55" t="n">
        <f aca="false">Хмільник!K37</f>
        <v>0</v>
      </c>
      <c r="L37" s="26" t="n">
        <f aca="false">L36</f>
        <v>39</v>
      </c>
    </row>
    <row r="38" customFormat="false" ht="14.25" hidden="false" customHeight="true" outlineLevel="0" collapsed="false">
      <c r="B38" s="15"/>
      <c r="C38" s="54" t="str">
        <f aca="false">Хмільник!C38</f>
        <v>Квасоля консервована в томаті</v>
      </c>
      <c r="D38" s="15" t="n">
        <f aca="false">Хмільник!D38</f>
        <v>11022</v>
      </c>
      <c r="E38" s="15" t="s">
        <v>27</v>
      </c>
      <c r="F38" s="15"/>
      <c r="G38" s="29" t="n">
        <f aca="false">L38*K38</f>
        <v>0</v>
      </c>
      <c r="H38" s="17"/>
      <c r="I38" s="17"/>
      <c r="K38" s="55" t="n">
        <f aca="false">Хмільник!K38</f>
        <v>0</v>
      </c>
      <c r="L38" s="26" t="n">
        <f aca="false">L37</f>
        <v>39</v>
      </c>
    </row>
    <row r="39" customFormat="false" ht="14.25" hidden="false" customHeight="true" outlineLevel="0" collapsed="false">
      <c r="B39" s="15"/>
      <c r="C39" s="54" t="str">
        <f aca="false">Хмільник!C39</f>
        <v>Консерви, заправки для перших страв</v>
      </c>
      <c r="D39" s="15" t="n">
        <f aca="false">Хмільник!D39</f>
        <v>11023</v>
      </c>
      <c r="E39" s="15" t="s">
        <v>27</v>
      </c>
      <c r="F39" s="15"/>
      <c r="G39" s="29" t="n">
        <f aca="false">L39*K39</f>
        <v>0</v>
      </c>
      <c r="H39" s="17"/>
      <c r="I39" s="17"/>
      <c r="K39" s="55" t="n">
        <f aca="false">Хмільник!K39</f>
        <v>0</v>
      </c>
      <c r="L39" s="26" t="n">
        <f aca="false">L38</f>
        <v>39</v>
      </c>
    </row>
    <row r="40" customFormat="false" ht="16.5" hidden="false" customHeight="false" outlineLevel="0" collapsed="false">
      <c r="B40" s="15"/>
      <c r="C40" s="54" t="str">
        <f aca="false">Хмільник!C40</f>
        <v>Кукурудза консервована</v>
      </c>
      <c r="D40" s="15" t="n">
        <f aca="false">Хмільник!D40</f>
        <v>11024</v>
      </c>
      <c r="E40" s="15" t="s">
        <v>27</v>
      </c>
      <c r="F40" s="15"/>
      <c r="G40" s="29" t="n">
        <f aca="false">L40*K40</f>
        <v>0</v>
      </c>
      <c r="H40" s="17"/>
      <c r="I40" s="17"/>
      <c r="K40" s="55" t="n">
        <f aca="false">Хмільник!K40</f>
        <v>0</v>
      </c>
      <c r="L40" s="26" t="n">
        <f aca="false">L39</f>
        <v>39</v>
      </c>
    </row>
    <row r="41" customFormat="false" ht="13.5" hidden="false" customHeight="true" outlineLevel="0" collapsed="false">
      <c r="B41" s="15"/>
      <c r="C41" s="54" t="str">
        <f aca="false">Хмільник!C41</f>
        <v>Маслини без кісточки</v>
      </c>
      <c r="D41" s="15" t="n">
        <f aca="false">Хмільник!D41</f>
        <v>11025</v>
      </c>
      <c r="E41" s="15" t="s">
        <v>27</v>
      </c>
      <c r="F41" s="15"/>
      <c r="G41" s="29" t="n">
        <f aca="false">L41*K41</f>
        <v>0</v>
      </c>
      <c r="H41" s="17"/>
      <c r="I41" s="17"/>
      <c r="K41" s="55" t="n">
        <f aca="false">Хмільник!K41</f>
        <v>0</v>
      </c>
      <c r="L41" s="26" t="n">
        <f aca="false">L40</f>
        <v>39</v>
      </c>
    </row>
    <row r="42" customFormat="false" ht="16.5" hidden="false" customHeight="false" outlineLevel="0" collapsed="false">
      <c r="B42" s="15"/>
      <c r="C42" s="54" t="str">
        <f aca="false">Хмільник!C42</f>
        <v>Морква свіжа</v>
      </c>
      <c r="D42" s="15" t="n">
        <f aca="false">Хмільник!D42</f>
        <v>11026</v>
      </c>
      <c r="E42" s="15" t="s">
        <v>27</v>
      </c>
      <c r="F42" s="15"/>
      <c r="G42" s="29" t="n">
        <f aca="false">L42*K42</f>
        <v>0</v>
      </c>
      <c r="H42" s="17"/>
      <c r="I42" s="17"/>
      <c r="K42" s="55" t="n">
        <f aca="false">Хмільник!K42</f>
        <v>0</v>
      </c>
      <c r="L42" s="26" t="n">
        <f aca="false">L41</f>
        <v>39</v>
      </c>
    </row>
    <row r="43" customFormat="false" ht="12.75" hidden="false" customHeight="true" outlineLevel="0" collapsed="false">
      <c r="B43" s="15"/>
      <c r="C43" s="54" t="str">
        <f aca="false">Хмільник!C43</f>
        <v>Огірки свіжі</v>
      </c>
      <c r="D43" s="15" t="n">
        <f aca="false">Хмільник!D43</f>
        <v>11028</v>
      </c>
      <c r="E43" s="15" t="s">
        <v>27</v>
      </c>
      <c r="F43" s="15"/>
      <c r="G43" s="29" t="n">
        <f aca="false">L43*K43</f>
        <v>0</v>
      </c>
      <c r="H43" s="17"/>
      <c r="I43" s="17"/>
      <c r="K43" s="55" t="n">
        <f aca="false">Хмільник!K43</f>
        <v>0</v>
      </c>
      <c r="L43" s="26" t="n">
        <f aca="false">L42</f>
        <v>39</v>
      </c>
    </row>
    <row r="44" customFormat="false" ht="14.25" hidden="false" customHeight="true" outlineLevel="0" collapsed="false">
      <c r="B44" s="15"/>
      <c r="C44" s="54" t="str">
        <f aca="false">Хмільник!C44</f>
        <v>Огірки консервовані</v>
      </c>
      <c r="D44" s="15" t="n">
        <f aca="false">Хмільник!D44</f>
        <v>11029</v>
      </c>
      <c r="E44" s="15" t="s">
        <v>27</v>
      </c>
      <c r="F44" s="15"/>
      <c r="G44" s="29" t="n">
        <f aca="false">L44*K44</f>
        <v>0</v>
      </c>
      <c r="H44" s="17"/>
      <c r="I44" s="17"/>
      <c r="K44" s="55" t="n">
        <f aca="false">Хмільник!K44</f>
        <v>0</v>
      </c>
      <c r="L44" s="26" t="n">
        <f aca="false">L43</f>
        <v>39</v>
      </c>
    </row>
    <row r="45" customFormat="false" ht="14.25" hidden="false" customHeight="true" outlineLevel="0" collapsed="false">
      <c r="B45" s="15"/>
      <c r="C45" s="54" t="str">
        <f aca="false">Хмільник!C45</f>
        <v>Огірки солоні</v>
      </c>
      <c r="D45" s="15" t="n">
        <f aca="false">Хмільник!D45</f>
        <v>11030</v>
      </c>
      <c r="E45" s="15" t="s">
        <v>27</v>
      </c>
      <c r="F45" s="15"/>
      <c r="G45" s="29" t="n">
        <f aca="false">L45*K45</f>
        <v>0</v>
      </c>
      <c r="H45" s="17"/>
      <c r="I45" s="17"/>
      <c r="K45" s="55" t="n">
        <f aca="false">Хмільник!K45</f>
        <v>0</v>
      </c>
      <c r="L45" s="26" t="n">
        <f aca="false">L44</f>
        <v>39</v>
      </c>
    </row>
    <row r="46" customFormat="false" ht="14.25" hidden="false" customHeight="true" outlineLevel="0" collapsed="false">
      <c r="B46" s="15"/>
      <c r="C46" s="54" t="str">
        <f aca="false">Хмільник!C46</f>
        <v>Огірки свіжі сезонні</v>
      </c>
      <c r="D46" s="15" t="n">
        <f aca="false">Хмільник!D46</f>
        <v>11031</v>
      </c>
      <c r="E46" s="15" t="s">
        <v>27</v>
      </c>
      <c r="F46" s="15"/>
      <c r="G46" s="29" t="n">
        <f aca="false">L46*K46</f>
        <v>0</v>
      </c>
      <c r="H46" s="17"/>
      <c r="I46" s="17"/>
      <c r="K46" s="55" t="n">
        <f aca="false">Хмільник!K46</f>
        <v>0</v>
      </c>
      <c r="L46" s="26" t="n">
        <f aca="false">L45</f>
        <v>39</v>
      </c>
    </row>
    <row r="47" customFormat="false" ht="14.25" hidden="false" customHeight="true" outlineLevel="0" collapsed="false">
      <c r="B47" s="15"/>
      <c r="C47" s="54" t="str">
        <f aca="false">Хмільник!C47</f>
        <v>Оливки без кісточки</v>
      </c>
      <c r="D47" s="15" t="n">
        <f aca="false">Хмільник!D47</f>
        <v>11032</v>
      </c>
      <c r="E47" s="15" t="s">
        <v>27</v>
      </c>
      <c r="F47" s="15"/>
      <c r="G47" s="29" t="n">
        <f aca="false">L47*K47</f>
        <v>0</v>
      </c>
      <c r="H47" s="17"/>
      <c r="I47" s="17"/>
      <c r="K47" s="55" t="n">
        <f aca="false">Хмільник!K47</f>
        <v>0</v>
      </c>
      <c r="L47" s="26" t="n">
        <f aca="false">L46</f>
        <v>39</v>
      </c>
    </row>
    <row r="48" customFormat="false" ht="14.25" hidden="false" customHeight="true" outlineLevel="0" collapsed="false">
      <c r="B48" s="15"/>
      <c r="C48" s="54" t="str">
        <f aca="false">Хмільник!C48</f>
        <v>Перець солодкий свіжий</v>
      </c>
      <c r="D48" s="15" t="n">
        <f aca="false">Хмільник!D48</f>
        <v>11033</v>
      </c>
      <c r="E48" s="15" t="s">
        <v>27</v>
      </c>
      <c r="F48" s="15"/>
      <c r="G48" s="29" t="n">
        <f aca="false">L48*K48</f>
        <v>0</v>
      </c>
      <c r="H48" s="17"/>
      <c r="I48" s="17"/>
      <c r="K48" s="55" t="n">
        <f aca="false">Хмільник!K48</f>
        <v>0</v>
      </c>
      <c r="L48" s="26" t="n">
        <f aca="false">L47</f>
        <v>39</v>
      </c>
    </row>
    <row r="49" customFormat="false" ht="14.25" hidden="false" customHeight="true" outlineLevel="0" collapsed="false">
      <c r="B49" s="15"/>
      <c r="C49" s="54" t="str">
        <f aca="false">Хмільник!C49</f>
        <v>Перець солодкий свіжий сезонний</v>
      </c>
      <c r="D49" s="15" t="n">
        <f aca="false">Хмільник!D49</f>
        <v>11034</v>
      </c>
      <c r="E49" s="15" t="s">
        <v>27</v>
      </c>
      <c r="F49" s="15"/>
      <c r="G49" s="29" t="n">
        <f aca="false">L49*K49</f>
        <v>0</v>
      </c>
      <c r="H49" s="17"/>
      <c r="I49" s="17"/>
      <c r="K49" s="55" t="n">
        <f aca="false">Хмільник!K49</f>
        <v>0</v>
      </c>
      <c r="L49" s="26" t="n">
        <f aca="false">L48</f>
        <v>39</v>
      </c>
    </row>
    <row r="50" customFormat="false" ht="14.25" hidden="false" customHeight="true" outlineLevel="0" collapsed="false">
      <c r="B50" s="15"/>
      <c r="C50" s="54" t="str">
        <f aca="false">Хмільник!C50</f>
        <v>Перець стручковий свіжий червоний</v>
      </c>
      <c r="D50" s="15" t="n">
        <f aca="false">Хмільник!D50</f>
        <v>11039</v>
      </c>
      <c r="E50" s="15" t="s">
        <v>27</v>
      </c>
      <c r="F50" s="15"/>
      <c r="G50" s="29" t="n">
        <f aca="false">L50*K50</f>
        <v>0</v>
      </c>
      <c r="H50" s="17"/>
      <c r="I50" s="17"/>
      <c r="K50" s="55" t="n">
        <f aca="false">Хмільник!K50</f>
        <v>0</v>
      </c>
      <c r="L50" s="26" t="n">
        <f aca="false">L49</f>
        <v>39</v>
      </c>
    </row>
    <row r="51" customFormat="false" ht="14.25" hidden="false" customHeight="true" outlineLevel="0" collapsed="false">
      <c r="B51" s="15"/>
      <c r="C51" s="54" t="str">
        <f aca="false">Хмільник!C51</f>
        <v>Перець консервований солодкий</v>
      </c>
      <c r="D51" s="15" t="n">
        <f aca="false">Хмільник!D51</f>
        <v>11040</v>
      </c>
      <c r="E51" s="15" t="s">
        <v>27</v>
      </c>
      <c r="F51" s="15"/>
      <c r="G51" s="29" t="n">
        <f aca="false">L51*K51</f>
        <v>0</v>
      </c>
      <c r="H51" s="17"/>
      <c r="I51" s="17"/>
      <c r="K51" s="55" t="n">
        <f aca="false">Хмільник!K51</f>
        <v>0</v>
      </c>
      <c r="L51" s="26" t="n">
        <f aca="false">L50</f>
        <v>39</v>
      </c>
    </row>
    <row r="52" customFormat="false" ht="14.25" hidden="false" customHeight="true" outlineLevel="0" collapsed="false">
      <c r="B52" s="15"/>
      <c r="C52" s="54" t="str">
        <f aca="false">Хмільник!C52</f>
        <v>Салат свіжий</v>
      </c>
      <c r="D52" s="15" t="n">
        <f aca="false">Хмільник!D52</f>
        <v>11041</v>
      </c>
      <c r="E52" s="15" t="s">
        <v>27</v>
      </c>
      <c r="F52" s="15"/>
      <c r="G52" s="29" t="n">
        <f aca="false">L52*K52</f>
        <v>0</v>
      </c>
      <c r="H52" s="17"/>
      <c r="I52" s="17"/>
      <c r="K52" s="55" t="n">
        <f aca="false">Хмільник!K52</f>
        <v>0</v>
      </c>
      <c r="L52" s="26" t="n">
        <f aca="false">L51</f>
        <v>39</v>
      </c>
    </row>
    <row r="53" customFormat="false" ht="14.25" hidden="false" customHeight="true" outlineLevel="0" collapsed="false">
      <c r="B53" s="15"/>
      <c r="C53" s="54" t="str">
        <f aca="false">Хмільник!C53</f>
        <v>Салат свіжий сезонний</v>
      </c>
      <c r="D53" s="15" t="n">
        <f aca="false">Хмільник!D53</f>
        <v>11042</v>
      </c>
      <c r="E53" s="15" t="s">
        <v>27</v>
      </c>
      <c r="F53" s="15"/>
      <c r="G53" s="29" t="n">
        <f aca="false">L53*K53</f>
        <v>0</v>
      </c>
      <c r="H53" s="17"/>
      <c r="I53" s="17"/>
      <c r="K53" s="55" t="n">
        <f aca="false">Хмільник!K53</f>
        <v>0</v>
      </c>
      <c r="L53" s="26" t="n">
        <f aca="false">L52</f>
        <v>39</v>
      </c>
    </row>
    <row r="54" customFormat="false" ht="14.25" hidden="false" customHeight="true" outlineLevel="0" collapsed="false">
      <c r="B54" s="15"/>
      <c r="C54" s="54" t="str">
        <f aca="false">Хмільник!C54</f>
        <v>Томат свіжий</v>
      </c>
      <c r="D54" s="15" t="n">
        <f aca="false">Хмільник!D54</f>
        <v>11043</v>
      </c>
      <c r="E54" s="15" t="s">
        <v>27</v>
      </c>
      <c r="F54" s="15"/>
      <c r="G54" s="29" t="n">
        <f aca="false">L54*K54</f>
        <v>0</v>
      </c>
      <c r="H54" s="17"/>
      <c r="I54" s="17"/>
      <c r="K54" s="55" t="n">
        <f aca="false">Хмільник!K54</f>
        <v>0</v>
      </c>
      <c r="L54" s="26" t="n">
        <f aca="false">L53</f>
        <v>39</v>
      </c>
    </row>
    <row r="55" customFormat="false" ht="14.25" hidden="false" customHeight="true" outlineLevel="0" collapsed="false">
      <c r="B55" s="15"/>
      <c r="C55" s="54" t="str">
        <f aca="false">Хмільник!C55</f>
        <v>Томат свіжий сезонний</v>
      </c>
      <c r="D55" s="15" t="n">
        <f aca="false">Хмільник!D55</f>
        <v>11044</v>
      </c>
      <c r="E55" s="15" t="s">
        <v>27</v>
      </c>
      <c r="F55" s="15"/>
      <c r="G55" s="29" t="n">
        <f aca="false">L55*K55</f>
        <v>0</v>
      </c>
      <c r="H55" s="17"/>
      <c r="I55" s="17"/>
      <c r="K55" s="55" t="n">
        <f aca="false">Хмільник!K55</f>
        <v>0</v>
      </c>
      <c r="L55" s="26" t="n">
        <f aca="false">L54</f>
        <v>39</v>
      </c>
    </row>
    <row r="56" customFormat="false" ht="14.25" hidden="false" customHeight="true" outlineLevel="0" collapsed="false">
      <c r="B56" s="15"/>
      <c r="C56" s="54" t="str">
        <f aca="false">Хмільник!C56</f>
        <v>Томат консервований</v>
      </c>
      <c r="D56" s="15" t="n">
        <f aca="false">Хмільник!D56</f>
        <v>11045</v>
      </c>
      <c r="E56" s="15" t="s">
        <v>27</v>
      </c>
      <c r="F56" s="15"/>
      <c r="G56" s="29" t="n">
        <f aca="false">L56*K56</f>
        <v>0</v>
      </c>
      <c r="H56" s="17"/>
      <c r="I56" s="17"/>
      <c r="K56" s="55" t="n">
        <f aca="false">Хмільник!K56</f>
        <v>0</v>
      </c>
      <c r="L56" s="26" t="n">
        <f aca="false">L55</f>
        <v>39</v>
      </c>
    </row>
    <row r="57" customFormat="false" ht="14.25" hidden="false" customHeight="true" outlineLevel="0" collapsed="false">
      <c r="B57" s="15"/>
      <c r="C57" s="54" t="str">
        <f aca="false">Хмільник!C57</f>
        <v>Томат солоний</v>
      </c>
      <c r="D57" s="15" t="n">
        <f aca="false">Хмільник!D57</f>
        <v>11046</v>
      </c>
      <c r="E57" s="15" t="s">
        <v>27</v>
      </c>
      <c r="F57" s="15"/>
      <c r="G57" s="29" t="n">
        <f aca="false">L57*K57</f>
        <v>0</v>
      </c>
      <c r="H57" s="17"/>
      <c r="I57" s="17"/>
      <c r="K57" s="55" t="n">
        <f aca="false">Хмільник!K57</f>
        <v>0</v>
      </c>
      <c r="L57" s="26" t="n">
        <f aca="false">L56</f>
        <v>39</v>
      </c>
    </row>
    <row r="58" customFormat="false" ht="14.25" hidden="false" customHeight="true" outlineLevel="0" collapsed="false">
      <c r="B58" s="15"/>
      <c r="C58" s="54" t="str">
        <f aca="false">Хмільник!C58</f>
        <v>Цибуля зелена свіжа</v>
      </c>
      <c r="D58" s="15" t="n">
        <f aca="false">Хмільник!D58</f>
        <v>11047</v>
      </c>
      <c r="E58" s="15" t="s">
        <v>27</v>
      </c>
      <c r="F58" s="15"/>
      <c r="G58" s="29" t="n">
        <f aca="false">L58*K58</f>
        <v>0</v>
      </c>
      <c r="H58" s="17"/>
      <c r="I58" s="17"/>
      <c r="K58" s="55" t="n">
        <f aca="false">Хмільник!K58</f>
        <v>0</v>
      </c>
      <c r="L58" s="26" t="n">
        <f aca="false">L57</f>
        <v>39</v>
      </c>
    </row>
    <row r="59" customFormat="false" ht="14.25" hidden="false" customHeight="true" outlineLevel="0" collapsed="false">
      <c r="B59" s="15"/>
      <c r="C59" s="54" t="str">
        <f aca="false">Хмільник!C59</f>
        <v>Цибуля порей свіжа</v>
      </c>
      <c r="D59" s="15" t="n">
        <f aca="false">Хмільник!D59</f>
        <v>11048</v>
      </c>
      <c r="E59" s="15" t="s">
        <v>27</v>
      </c>
      <c r="F59" s="15"/>
      <c r="G59" s="29" t="n">
        <f aca="false">L59*K59</f>
        <v>0</v>
      </c>
      <c r="H59" s="17"/>
      <c r="I59" s="17"/>
      <c r="K59" s="55" t="n">
        <f aca="false">Хмільник!K59</f>
        <v>0</v>
      </c>
      <c r="L59" s="26" t="n">
        <f aca="false">L58</f>
        <v>39</v>
      </c>
    </row>
    <row r="60" customFormat="false" ht="14.25" hidden="false" customHeight="true" outlineLevel="0" collapsed="false">
      <c r="B60" s="15"/>
      <c r="C60" s="54" t="str">
        <f aca="false">Хмільник!C60</f>
        <v>Цибуля ріпчаста свіжа</v>
      </c>
      <c r="D60" s="15" t="n">
        <f aca="false">Хмільник!D60</f>
        <v>11049</v>
      </c>
      <c r="E60" s="15" t="s">
        <v>27</v>
      </c>
      <c r="F60" s="15"/>
      <c r="G60" s="29" t="n">
        <f aca="false">L60*K60</f>
        <v>0</v>
      </c>
      <c r="H60" s="17"/>
      <c r="I60" s="17"/>
      <c r="K60" s="55" t="n">
        <f aca="false">Хмільник!K60</f>
        <v>0</v>
      </c>
      <c r="L60" s="26" t="n">
        <f aca="false">L59</f>
        <v>39</v>
      </c>
    </row>
    <row r="61" customFormat="false" ht="14.25" hidden="false" customHeight="true" outlineLevel="0" collapsed="false">
      <c r="B61" s="15"/>
      <c r="C61" s="54" t="str">
        <f aca="false">Хмільник!C61</f>
        <v>Часник свіжий</v>
      </c>
      <c r="D61" s="15" t="n">
        <f aca="false">Хмільник!D61</f>
        <v>11050</v>
      </c>
      <c r="E61" s="15" t="s">
        <v>27</v>
      </c>
      <c r="F61" s="15"/>
      <c r="G61" s="29" t="n">
        <f aca="false">L61*K61</f>
        <v>0</v>
      </c>
      <c r="H61" s="17"/>
      <c r="I61" s="17"/>
      <c r="K61" s="55" t="n">
        <f aca="false">Хмільник!K61</f>
        <v>0</v>
      </c>
      <c r="L61" s="26" t="n">
        <f aca="false">L60</f>
        <v>39</v>
      </c>
    </row>
    <row r="62" customFormat="false" ht="14.25" hidden="false" customHeight="true" outlineLevel="0" collapsed="false">
      <c r="B62" s="15"/>
      <c r="C62" s="54" t="str">
        <f aca="false">Хмільник!C62</f>
        <v>Печериці свіжі</v>
      </c>
      <c r="D62" s="15" t="n">
        <f aca="false">Хмільник!D62</f>
        <v>11051</v>
      </c>
      <c r="E62" s="15" t="s">
        <v>27</v>
      </c>
      <c r="F62" s="15"/>
      <c r="G62" s="29" t="n">
        <f aca="false">L62*K62</f>
        <v>0</v>
      </c>
      <c r="H62" s="17"/>
      <c r="I62" s="17"/>
      <c r="K62" s="55" t="n">
        <f aca="false">Хмільник!K62</f>
        <v>0</v>
      </c>
      <c r="L62" s="26" t="n">
        <f aca="false">L61</f>
        <v>39</v>
      </c>
    </row>
    <row r="63" customFormat="false" ht="14.25" hidden="false" customHeight="true" outlineLevel="0" collapsed="false">
      <c r="B63" s="15"/>
      <c r="C63" s="54" t="str">
        <f aca="false">Хмільник!C63</f>
        <v>Печериці консервовані</v>
      </c>
      <c r="D63" s="15" t="n">
        <f aca="false">Хмільник!D63</f>
        <v>11052</v>
      </c>
      <c r="E63" s="15" t="s">
        <v>27</v>
      </c>
      <c r="F63" s="15"/>
      <c r="G63" s="29" t="n">
        <f aca="false">L63*K63</f>
        <v>0</v>
      </c>
      <c r="H63" s="17"/>
      <c r="I63" s="17"/>
      <c r="K63" s="55" t="n">
        <f aca="false">Хмільник!K63</f>
        <v>0</v>
      </c>
      <c r="L63" s="26" t="n">
        <f aca="false">L62</f>
        <v>39</v>
      </c>
    </row>
    <row r="64" customFormat="false" ht="14.25" hidden="false" customHeight="true" outlineLevel="0" collapsed="false">
      <c r="B64" s="15"/>
      <c r="C64" s="54" t="str">
        <f aca="false">Хмільник!C64</f>
        <v>Щавель свіжий</v>
      </c>
      <c r="D64" s="15" t="n">
        <f aca="false">Хмільник!D64</f>
        <v>11053</v>
      </c>
      <c r="E64" s="15" t="s">
        <v>27</v>
      </c>
      <c r="F64" s="15"/>
      <c r="G64" s="29" t="n">
        <f aca="false">L64*K64</f>
        <v>0</v>
      </c>
      <c r="H64" s="17"/>
      <c r="I64" s="17"/>
      <c r="K64" s="55" t="n">
        <f aca="false">Хмільник!K64</f>
        <v>0</v>
      </c>
      <c r="L64" s="26" t="n">
        <f aca="false">L63</f>
        <v>39</v>
      </c>
    </row>
    <row r="65" customFormat="false" ht="14.25" hidden="false" customHeight="true" outlineLevel="0" collapsed="false">
      <c r="B65" s="15"/>
      <c r="C65" s="54" t="str">
        <f aca="false">Хмільник!C65</f>
        <v>Щавель консервований</v>
      </c>
      <c r="D65" s="15" t="n">
        <f aca="false">Хмільник!D65</f>
        <v>11054</v>
      </c>
      <c r="E65" s="15" t="s">
        <v>27</v>
      </c>
      <c r="F65" s="15"/>
      <c r="G65" s="29" t="n">
        <f aca="false">L65*K65</f>
        <v>0</v>
      </c>
      <c r="H65" s="17"/>
      <c r="I65" s="17"/>
      <c r="K65" s="55" t="n">
        <f aca="false">Хмільник!K65</f>
        <v>0</v>
      </c>
      <c r="L65" s="26" t="n">
        <f aca="false">L64</f>
        <v>39</v>
      </c>
    </row>
    <row r="66" customFormat="false" ht="14.25" hidden="false" customHeight="true" outlineLevel="0" collapsed="false">
      <c r="B66" s="15"/>
      <c r="C66" s="54" t="str">
        <f aca="false">Хмільник!C66</f>
        <v>Салат овочевий закусочний</v>
      </c>
      <c r="D66" s="15" t="n">
        <f aca="false">Хмільник!D66</f>
        <v>11055</v>
      </c>
      <c r="E66" s="15" t="s">
        <v>27</v>
      </c>
      <c r="F66" s="15"/>
      <c r="G66" s="29" t="n">
        <f aca="false">L66*K66</f>
        <v>0</v>
      </c>
      <c r="H66" s="17"/>
      <c r="I66" s="17"/>
      <c r="K66" s="55" t="n">
        <f aca="false">Хмільник!K66</f>
        <v>0</v>
      </c>
      <c r="L66" s="26" t="n">
        <f aca="false">L65</f>
        <v>39</v>
      </c>
    </row>
    <row r="67" customFormat="false" ht="14.25" hidden="false" customHeight="true" outlineLevel="0" collapsed="false">
      <c r="B67" s="15"/>
      <c r="C67" s="54" t="str">
        <f aca="false">Хмільник!C67</f>
        <v>Редис свіжий</v>
      </c>
      <c r="D67" s="15" t="n">
        <f aca="false">Хмільник!D67</f>
        <v>11057</v>
      </c>
      <c r="E67" s="15" t="s">
        <v>27</v>
      </c>
      <c r="F67" s="15"/>
      <c r="G67" s="29" t="n">
        <f aca="false">L67*K67</f>
        <v>0</v>
      </c>
      <c r="H67" s="17"/>
      <c r="I67" s="17"/>
      <c r="K67" s="55" t="n">
        <f aca="false">Хмільник!K67</f>
        <v>0</v>
      </c>
      <c r="L67" s="26" t="n">
        <f aca="false">L66</f>
        <v>39</v>
      </c>
    </row>
    <row r="68" customFormat="false" ht="14.25" hidden="false" customHeight="true" outlineLevel="0" collapsed="false">
      <c r="B68" s="15"/>
      <c r="C68" s="54" t="str">
        <f aca="false">Хмільник!C68</f>
        <v>Редька свіжа</v>
      </c>
      <c r="D68" s="15" t="n">
        <f aca="false">Хмільник!D68</f>
        <v>11058</v>
      </c>
      <c r="E68" s="15" t="s">
        <v>27</v>
      </c>
      <c r="F68" s="15"/>
      <c r="G68" s="29" t="n">
        <f aca="false">L68*K68</f>
        <v>0</v>
      </c>
      <c r="H68" s="17"/>
      <c r="I68" s="17"/>
      <c r="K68" s="55" t="n">
        <f aca="false">Хмільник!K68</f>
        <v>0</v>
      </c>
      <c r="L68" s="26" t="n">
        <f aca="false">L67</f>
        <v>39</v>
      </c>
    </row>
    <row r="69" customFormat="false" ht="14.25" hidden="false" customHeight="true" outlineLevel="0" collapsed="false">
      <c r="B69" s="15"/>
      <c r="C69" s="54" t="str">
        <f aca="false">Хмільник!C69</f>
        <v>Капуста морська (салати капусти морської)</v>
      </c>
      <c r="D69" s="15" t="n">
        <f aca="false">Хмільник!D69</f>
        <v>11059</v>
      </c>
      <c r="E69" s="15" t="s">
        <v>27</v>
      </c>
      <c r="F69" s="15"/>
      <c r="G69" s="29" t="n">
        <f aca="false">L69*K69</f>
        <v>0</v>
      </c>
      <c r="H69" s="17"/>
      <c r="I69" s="17"/>
      <c r="K69" s="55" t="n">
        <f aca="false">Хмільник!K69</f>
        <v>0</v>
      </c>
      <c r="L69" s="26" t="n">
        <f aca="false">L68</f>
        <v>39</v>
      </c>
    </row>
    <row r="70" customFormat="false" ht="14.25" hidden="false" customHeight="true" outlineLevel="0" collapsed="false">
      <c r="B70" s="15"/>
      <c r="C70" s="54" t="str">
        <f aca="false">Хмільник!C70</f>
        <v>М’ята свіжа</v>
      </c>
      <c r="D70" s="15" t="n">
        <f aca="false">Хмільник!D70</f>
        <v>11060</v>
      </c>
      <c r="E70" s="15" t="s">
        <v>27</v>
      </c>
      <c r="F70" s="15"/>
      <c r="G70" s="29" t="n">
        <f aca="false">L70*K70</f>
        <v>0</v>
      </c>
      <c r="H70" s="17"/>
      <c r="I70" s="17"/>
      <c r="K70" s="55" t="n">
        <f aca="false">Хмільник!K70</f>
        <v>0</v>
      </c>
      <c r="L70" s="26" t="n">
        <f aca="false">L69</f>
        <v>39</v>
      </c>
    </row>
    <row r="71" customFormat="false" ht="14.25" hidden="false" customHeight="true" outlineLevel="0" collapsed="false">
      <c r="B71" s="15"/>
      <c r="C71" s="54" t="str">
        <f aca="false">Хмільник!C71</f>
        <v>Цибуля напівгострих сортів</v>
      </c>
      <c r="D71" s="15" t="n">
        <f aca="false">Хмільник!D71</f>
        <v>11061</v>
      </c>
      <c r="E71" s="15" t="s">
        <v>27</v>
      </c>
      <c r="F71" s="15"/>
      <c r="G71" s="29" t="n">
        <f aca="false">L71*K71</f>
        <v>0</v>
      </c>
      <c r="H71" s="17"/>
      <c r="I71" s="17"/>
      <c r="K71" s="55" t="n">
        <f aca="false">Хмільник!K71</f>
        <v>0</v>
      </c>
      <c r="L71" s="26" t="n">
        <f aca="false">L70</f>
        <v>39</v>
      </c>
    </row>
    <row r="72" customFormat="false" ht="14.25" hidden="false" customHeight="true" outlineLevel="0" collapsed="false">
      <c r="B72" s="15"/>
      <c r="C72" s="54" t="str">
        <f aca="false">Хмільник!C72</f>
        <v>Цибуля солодких сортів</v>
      </c>
      <c r="D72" s="15" t="n">
        <f aca="false">Хмільник!D72</f>
        <v>11062</v>
      </c>
      <c r="E72" s="15" t="s">
        <v>27</v>
      </c>
      <c r="F72" s="15"/>
      <c r="G72" s="29" t="n">
        <f aca="false">L72*K72</f>
        <v>0</v>
      </c>
      <c r="H72" s="17"/>
      <c r="I72" s="17"/>
      <c r="K72" s="55" t="n">
        <f aca="false">Хмільник!K72</f>
        <v>0</v>
      </c>
      <c r="L72" s="26" t="n">
        <f aca="false">L71</f>
        <v>39</v>
      </c>
    </row>
    <row r="73" customFormat="false" ht="14.25" hidden="false" customHeight="true" outlineLevel="0" collapsed="false">
      <c r="B73" s="15"/>
      <c r="C73" s="54" t="str">
        <f aca="false">Хмільник!C73</f>
        <v>Картопля пізня</v>
      </c>
      <c r="D73" s="15" t="n">
        <f aca="false">Хмільник!D73</f>
        <v>11063</v>
      </c>
      <c r="E73" s="15" t="s">
        <v>27</v>
      </c>
      <c r="F73" s="15"/>
      <c r="G73" s="29" t="n">
        <f aca="false">L73*K73</f>
        <v>0</v>
      </c>
      <c r="H73" s="17"/>
      <c r="I73" s="17"/>
      <c r="K73" s="55" t="n">
        <f aca="false">Хмільник!K73</f>
        <v>0</v>
      </c>
      <c r="L73" s="26" t="n">
        <f aca="false">L72</f>
        <v>39</v>
      </c>
    </row>
    <row r="74" customFormat="false" ht="14.25" hidden="false" customHeight="true" outlineLevel="0" collapsed="false">
      <c r="B74" s="15"/>
      <c r="C74" s="54" t="str">
        <f aca="false">Хмільник!C74</f>
        <v>Капуста червоноголова свіжа</v>
      </c>
      <c r="D74" s="15" t="n">
        <f aca="false">Хмільник!D74</f>
        <v>11064</v>
      </c>
      <c r="E74" s="15" t="s">
        <v>27</v>
      </c>
      <c r="F74" s="15"/>
      <c r="G74" s="29" t="n">
        <f aca="false">L74*K74</f>
        <v>0</v>
      </c>
      <c r="H74" s="17"/>
      <c r="I74" s="17"/>
      <c r="K74" s="55" t="n">
        <f aca="false">Хмільник!K74</f>
        <v>0</v>
      </c>
      <c r="L74" s="26" t="n">
        <f aca="false">L73</f>
        <v>39</v>
      </c>
    </row>
    <row r="75" customFormat="false" ht="14.25" hidden="false" customHeight="true" outlineLevel="0" collapsed="false">
      <c r="B75" s="15"/>
      <c r="C75" s="54" t="str">
        <f aca="false">Хмільник!C75</f>
        <v>Рукола свіжа</v>
      </c>
      <c r="D75" s="15" t="n">
        <f aca="false">Хмільник!D75</f>
        <v>11065</v>
      </c>
      <c r="E75" s="15" t="s">
        <v>27</v>
      </c>
      <c r="F75" s="15"/>
      <c r="G75" s="29" t="n">
        <f aca="false">L75*K75</f>
        <v>0</v>
      </c>
      <c r="H75" s="17"/>
      <c r="I75" s="17"/>
      <c r="K75" s="55" t="n">
        <f aca="false">Хмільник!K75</f>
        <v>0</v>
      </c>
      <c r="L75" s="26" t="n">
        <f aca="false">L74</f>
        <v>39</v>
      </c>
    </row>
    <row r="76" customFormat="false" ht="14.25" hidden="false" customHeight="true" outlineLevel="0" collapsed="false">
      <c r="B76" s="15"/>
      <c r="C76" s="54" t="str">
        <f aca="false">Хмільник!C76</f>
        <v>Капуста броколі заморожена</v>
      </c>
      <c r="D76" s="15" t="n">
        <f aca="false">Хмільник!D76</f>
        <v>11201</v>
      </c>
      <c r="E76" s="15" t="s">
        <v>27</v>
      </c>
      <c r="F76" s="15"/>
      <c r="G76" s="29" t="n">
        <f aca="false">L76*K76</f>
        <v>0</v>
      </c>
      <c r="H76" s="17"/>
      <c r="I76" s="17"/>
      <c r="K76" s="55" t="n">
        <f aca="false">Хмільник!K76</f>
        <v>0</v>
      </c>
      <c r="L76" s="26" t="n">
        <f aca="false">L75</f>
        <v>39</v>
      </c>
    </row>
    <row r="77" customFormat="false" ht="14.25" hidden="false" customHeight="true" outlineLevel="0" collapsed="false">
      <c r="B77" s="15"/>
      <c r="C77" s="54" t="str">
        <f aca="false">Хмільник!C77</f>
        <v>Вишня заморожена</v>
      </c>
      <c r="D77" s="15" t="n">
        <f aca="false">Хмільник!D77</f>
        <v>11202</v>
      </c>
      <c r="E77" s="15" t="s">
        <v>27</v>
      </c>
      <c r="F77" s="15"/>
      <c r="G77" s="29" t="n">
        <f aca="false">L77*K77</f>
        <v>0</v>
      </c>
      <c r="H77" s="17"/>
      <c r="I77" s="17"/>
      <c r="K77" s="55" t="n">
        <f aca="false">Хмільник!K77</f>
        <v>0</v>
      </c>
      <c r="L77" s="26" t="n">
        <f aca="false">L76</f>
        <v>39</v>
      </c>
    </row>
    <row r="78" customFormat="false" ht="14.25" hidden="false" customHeight="true" outlineLevel="0" collapsed="false">
      <c r="B78" s="15"/>
      <c r="C78" s="54" t="str">
        <f aca="false">Хмільник!C78</f>
        <v>Горошок зелений заморожений</v>
      </c>
      <c r="D78" s="15" t="n">
        <f aca="false">Хмільник!D78</f>
        <v>11203</v>
      </c>
      <c r="E78" s="15" t="s">
        <v>27</v>
      </c>
      <c r="F78" s="15"/>
      <c r="G78" s="29" t="n">
        <f aca="false">L78*K78</f>
        <v>0</v>
      </c>
      <c r="H78" s="17"/>
      <c r="I78" s="17"/>
      <c r="K78" s="55" t="n">
        <f aca="false">Хмільник!K78</f>
        <v>0</v>
      </c>
      <c r="L78" s="26" t="n">
        <f aca="false">L77</f>
        <v>39</v>
      </c>
    </row>
    <row r="79" customFormat="false" ht="14.25" hidden="false" customHeight="true" outlineLevel="0" collapsed="false">
      <c r="B79" s="15"/>
      <c r="C79" s="54" t="str">
        <f aca="false">Хмільник!C79</f>
        <v>Капуста цвітна заморожена</v>
      </c>
      <c r="D79" s="15" t="n">
        <f aca="false">Хмільник!D79</f>
        <v>11204</v>
      </c>
      <c r="E79" s="15" t="s">
        <v>27</v>
      </c>
      <c r="F79" s="15"/>
      <c r="G79" s="29" t="n">
        <f aca="false">L79*K79</f>
        <v>0</v>
      </c>
      <c r="H79" s="17"/>
      <c r="I79" s="17"/>
      <c r="K79" s="55" t="n">
        <f aca="false">Хмільник!K79</f>
        <v>0</v>
      </c>
      <c r="L79" s="26" t="n">
        <f aca="false">L78</f>
        <v>39</v>
      </c>
    </row>
    <row r="80" customFormat="false" ht="14.25" hidden="false" customHeight="true" outlineLevel="0" collapsed="false">
      <c r="B80" s="15"/>
      <c r="C80" s="54" t="str">
        <f aca="false">Хмільник!C80</f>
        <v>Картопля фрі заморожена</v>
      </c>
      <c r="D80" s="15" t="n">
        <f aca="false">Хмільник!D80</f>
        <v>11205</v>
      </c>
      <c r="E80" s="15" t="s">
        <v>27</v>
      </c>
      <c r="F80" s="15"/>
      <c r="G80" s="29" t="n">
        <f aca="false">L80*K80</f>
        <v>0</v>
      </c>
      <c r="H80" s="17"/>
      <c r="I80" s="17"/>
      <c r="K80" s="55" t="n">
        <f aca="false">Хмільник!K80</f>
        <v>0</v>
      </c>
      <c r="L80" s="26" t="n">
        <f aca="false">L79</f>
        <v>39</v>
      </c>
    </row>
    <row r="81" customFormat="false" ht="14.25" hidden="false" customHeight="true" outlineLevel="0" collapsed="false">
      <c r="B81" s="15"/>
      <c r="C81" s="54" t="str">
        <f aca="false">Хмільник!C81</f>
        <v>Кукурудза заморожена</v>
      </c>
      <c r="D81" s="15" t="n">
        <f aca="false">Хмільник!D81</f>
        <v>11206</v>
      </c>
      <c r="E81" s="15" t="s">
        <v>27</v>
      </c>
      <c r="F81" s="15"/>
      <c r="G81" s="29" t="n">
        <f aca="false">L81*K81</f>
        <v>0</v>
      </c>
      <c r="H81" s="17"/>
      <c r="I81" s="17"/>
      <c r="K81" s="55" t="n">
        <f aca="false">Хмільник!K81</f>
        <v>0</v>
      </c>
      <c r="L81" s="26" t="n">
        <f aca="false">L80</f>
        <v>39</v>
      </c>
    </row>
    <row r="82" customFormat="false" ht="14.25" hidden="false" customHeight="true" outlineLevel="0" collapsed="false">
      <c r="B82" s="15"/>
      <c r="C82" s="54" t="str">
        <f aca="false">Хмільник!C82</f>
        <v>Перець солодкий заморожений</v>
      </c>
      <c r="D82" s="15" t="n">
        <f aca="false">Хмільник!D82</f>
        <v>11208</v>
      </c>
      <c r="E82" s="15" t="s">
        <v>27</v>
      </c>
      <c r="F82" s="15"/>
      <c r="G82" s="29" t="n">
        <f aca="false">L82*K82</f>
        <v>0</v>
      </c>
      <c r="H82" s="17"/>
      <c r="I82" s="17"/>
      <c r="K82" s="55" t="n">
        <f aca="false">Хмільник!K82</f>
        <v>0</v>
      </c>
      <c r="L82" s="26" t="n">
        <f aca="false">L81</f>
        <v>39</v>
      </c>
    </row>
    <row r="83" customFormat="false" ht="14.25" hidden="false" customHeight="true" outlineLevel="0" collapsed="false">
      <c r="B83" s="15"/>
      <c r="C83" s="54" t="str">
        <f aca="false">Хмільник!C83</f>
        <v>Полуниця заморожена</v>
      </c>
      <c r="D83" s="15" t="n">
        <f aca="false">Хмільник!D83</f>
        <v>11209</v>
      </c>
      <c r="E83" s="15" t="s">
        <v>27</v>
      </c>
      <c r="F83" s="15"/>
      <c r="G83" s="29" t="n">
        <f aca="false">L83*K83</f>
        <v>0</v>
      </c>
      <c r="H83" s="17"/>
      <c r="I83" s="17"/>
      <c r="K83" s="55" t="n">
        <f aca="false">Хмільник!K83</f>
        <v>0</v>
      </c>
      <c r="L83" s="26" t="n">
        <f aca="false">L82</f>
        <v>39</v>
      </c>
    </row>
    <row r="84" customFormat="false" ht="14.25" hidden="false" customHeight="true" outlineLevel="0" collapsed="false">
      <c r="B84" s="15"/>
      <c r="C84" s="54" t="str">
        <f aca="false">Хмільник!C84</f>
        <v>Слива заморожена</v>
      </c>
      <c r="D84" s="15" t="n">
        <f aca="false">Хмільник!D84</f>
        <v>11210</v>
      </c>
      <c r="E84" s="15" t="s">
        <v>27</v>
      </c>
      <c r="F84" s="15"/>
      <c r="G84" s="29" t="n">
        <f aca="false">L84*K84</f>
        <v>0</v>
      </c>
      <c r="H84" s="17"/>
      <c r="I84" s="17"/>
      <c r="K84" s="55" t="n">
        <f aca="false">Хмільник!K84</f>
        <v>0</v>
      </c>
      <c r="L84" s="26" t="n">
        <f aca="false">L83</f>
        <v>39</v>
      </c>
    </row>
    <row r="85" customFormat="false" ht="14.25" hidden="false" customHeight="true" outlineLevel="0" collapsed="false">
      <c r="B85" s="15"/>
      <c r="C85" s="54" t="str">
        <f aca="false">Хмільник!C85</f>
        <v>Смородина чорна заморожена</v>
      </c>
      <c r="D85" s="15" t="n">
        <f aca="false">Хмільник!D85</f>
        <v>11211</v>
      </c>
      <c r="E85" s="15" t="s">
        <v>27</v>
      </c>
      <c r="F85" s="15"/>
      <c r="G85" s="29" t="n">
        <f aca="false">L85*K85</f>
        <v>0</v>
      </c>
      <c r="H85" s="17"/>
      <c r="I85" s="17"/>
      <c r="K85" s="55" t="n">
        <f aca="false">Хмільник!K85</f>
        <v>0</v>
      </c>
      <c r="L85" s="26" t="n">
        <f aca="false">L84</f>
        <v>39</v>
      </c>
    </row>
    <row r="86" customFormat="false" ht="14.25" hidden="false" customHeight="true" outlineLevel="0" collapsed="false">
      <c r="B86" s="15"/>
      <c r="C86" s="54" t="str">
        <f aca="false">Хмільник!C86</f>
        <v>Квасоля стручкова заморожена</v>
      </c>
      <c r="D86" s="15" t="n">
        <f aca="false">Хмільник!D86</f>
        <v>11212</v>
      </c>
      <c r="E86" s="15" t="s">
        <v>27</v>
      </c>
      <c r="F86" s="15"/>
      <c r="G86" s="29" t="n">
        <f aca="false">L86*K86</f>
        <v>0</v>
      </c>
      <c r="H86" s="17"/>
      <c r="I86" s="17"/>
      <c r="K86" s="55" t="n">
        <f aca="false">Хмільник!K86</f>
        <v>0</v>
      </c>
      <c r="L86" s="26" t="n">
        <f aca="false">L85</f>
        <v>39</v>
      </c>
    </row>
    <row r="87" customFormat="false" ht="14.25" hidden="false" customHeight="true" outlineLevel="0" collapsed="false">
      <c r="B87" s="15"/>
      <c r="C87" s="54" t="str">
        <f aca="false">Хмільник!C87</f>
        <v>Чорниця заморожена</v>
      </c>
      <c r="D87" s="15" t="n">
        <f aca="false">Хмільник!D87</f>
        <v>11213</v>
      </c>
      <c r="E87" s="15" t="s">
        <v>27</v>
      </c>
      <c r="F87" s="15"/>
      <c r="G87" s="29" t="n">
        <f aca="false">L87*K87</f>
        <v>0</v>
      </c>
      <c r="H87" s="17"/>
      <c r="I87" s="17"/>
      <c r="K87" s="55" t="n">
        <f aca="false">Хмільник!K87</f>
        <v>0</v>
      </c>
      <c r="L87" s="26" t="n">
        <f aca="false">L86</f>
        <v>39</v>
      </c>
    </row>
    <row r="88" customFormat="false" ht="14.25" hidden="false" customHeight="true" outlineLevel="0" collapsed="false">
      <c r="B88" s="15"/>
      <c r="C88" s="54" t="str">
        <f aca="false">Хмільник!C88</f>
        <v>Обліпиха заморожена</v>
      </c>
      <c r="D88" s="15" t="n">
        <f aca="false">Хмільник!D88</f>
        <v>11214</v>
      </c>
      <c r="E88" s="15" t="s">
        <v>27</v>
      </c>
      <c r="F88" s="15"/>
      <c r="G88" s="29" t="n">
        <f aca="false">L88*K88</f>
        <v>0</v>
      </c>
      <c r="H88" s="17"/>
      <c r="I88" s="17"/>
      <c r="K88" s="55" t="n">
        <f aca="false">Хмільник!K88</f>
        <v>0</v>
      </c>
      <c r="L88" s="26" t="n">
        <f aca="false">L87</f>
        <v>39</v>
      </c>
    </row>
    <row r="89" customFormat="false" ht="14.25" hidden="false" customHeight="true" outlineLevel="0" collapsed="false">
      <c r="B89" s="15"/>
      <c r="C89" s="54" t="str">
        <f aca="false">Хмільник!C89</f>
        <v>Журавлина заморожена</v>
      </c>
      <c r="D89" s="15" t="n">
        <f aca="false">Хмільник!D89</f>
        <v>11215</v>
      </c>
      <c r="E89" s="15" t="s">
        <v>27</v>
      </c>
      <c r="F89" s="15"/>
      <c r="G89" s="29" t="n">
        <f aca="false">L89*K89</f>
        <v>0</v>
      </c>
      <c r="H89" s="17"/>
      <c r="I89" s="17"/>
      <c r="K89" s="55" t="n">
        <f aca="false">Хмільник!K89</f>
        <v>0</v>
      </c>
      <c r="L89" s="26" t="n">
        <f aca="false">L88</f>
        <v>39</v>
      </c>
    </row>
    <row r="90" customFormat="false" ht="14.25" hidden="false" customHeight="true" outlineLevel="0" collapsed="false">
      <c r="B90" s="15"/>
      <c r="C90" s="54" t="str">
        <f aca="false">Хмільник!C90</f>
        <v>Крупа горохова швидкого приготування</v>
      </c>
      <c r="D90" s="15" t="n">
        <f aca="false">Хмільник!D90</f>
        <v>11301</v>
      </c>
      <c r="E90" s="15" t="s">
        <v>27</v>
      </c>
      <c r="F90" s="15"/>
      <c r="G90" s="29" t="n">
        <f aca="false">L90*K90</f>
        <v>0</v>
      </c>
      <c r="H90" s="17"/>
      <c r="I90" s="17"/>
      <c r="K90" s="55" t="n">
        <f aca="false">Хмільник!K90</f>
        <v>0</v>
      </c>
      <c r="L90" s="26" t="n">
        <f aca="false">L89</f>
        <v>39</v>
      </c>
    </row>
    <row r="91" customFormat="false" ht="14.25" hidden="false" customHeight="true" outlineLevel="0" collapsed="false">
      <c r="B91" s="15"/>
      <c r="C91" s="54" t="str">
        <f aca="false">Хмільник!C91</f>
        <v>Крупа гречана швидкого приготування</v>
      </c>
      <c r="D91" s="15" t="n">
        <f aca="false">Хмільник!D91</f>
        <v>11302</v>
      </c>
      <c r="E91" s="15" t="s">
        <v>27</v>
      </c>
      <c r="F91" s="15"/>
      <c r="G91" s="29" t="n">
        <f aca="false">L91*K91</f>
        <v>0</v>
      </c>
      <c r="H91" s="17"/>
      <c r="I91" s="17"/>
      <c r="K91" s="55" t="n">
        <f aca="false">Хмільник!K91</f>
        <v>0</v>
      </c>
      <c r="L91" s="26" t="n">
        <f aca="false">L90</f>
        <v>39</v>
      </c>
    </row>
    <row r="92" customFormat="false" ht="14.25" hidden="false" customHeight="true" outlineLevel="0" collapsed="false">
      <c r="B92" s="15"/>
      <c r="C92" s="54" t="str">
        <f aca="false">Хмільник!C92</f>
        <v>Макаронні вироби швидкого приготування</v>
      </c>
      <c r="D92" s="15" t="n">
        <f aca="false">Хмільник!D92</f>
        <v>11303</v>
      </c>
      <c r="E92" s="15" t="s">
        <v>27</v>
      </c>
      <c r="F92" s="15"/>
      <c r="G92" s="29" t="n">
        <f aca="false">L92*K92</f>
        <v>0</v>
      </c>
      <c r="H92" s="17"/>
      <c r="I92" s="17"/>
      <c r="K92" s="55" t="n">
        <f aca="false">Хмільник!K92</f>
        <v>0</v>
      </c>
      <c r="L92" s="26" t="n">
        <f aca="false">L91</f>
        <v>39</v>
      </c>
    </row>
    <row r="93" customFormat="false" ht="14.25" hidden="false" customHeight="true" outlineLevel="0" collapsed="false">
      <c r="B93" s="15"/>
      <c r="C93" s="54" t="str">
        <f aca="false">Хмільник!C93</f>
        <v>Концентрати харчові (перші страви)</v>
      </c>
      <c r="D93" s="15" t="n">
        <f aca="false">Хмільник!D93</f>
        <v>11309</v>
      </c>
      <c r="E93" s="15" t="s">
        <v>27</v>
      </c>
      <c r="F93" s="15"/>
      <c r="G93" s="29" t="n">
        <f aca="false">L93*K93</f>
        <v>0</v>
      </c>
      <c r="H93" s="17"/>
      <c r="I93" s="17"/>
      <c r="K93" s="55" t="n">
        <f aca="false">Хмільник!K93</f>
        <v>0</v>
      </c>
      <c r="L93" s="26" t="n">
        <f aca="false">L92</f>
        <v>39</v>
      </c>
    </row>
    <row r="94" customFormat="false" ht="14.25" hidden="false" customHeight="true" outlineLevel="0" collapsed="false">
      <c r="B94" s="15"/>
      <c r="C94" s="54" t="str">
        <f aca="false">Хмільник!C94</f>
        <v>Концентрати харчові (другі страви)</v>
      </c>
      <c r="D94" s="15" t="n">
        <f aca="false">Хмільник!D94</f>
        <v>11310</v>
      </c>
      <c r="E94" s="15" t="s">
        <v>27</v>
      </c>
      <c r="F94" s="15"/>
      <c r="G94" s="29" t="n">
        <f aca="false">L94*K94</f>
        <v>0</v>
      </c>
      <c r="H94" s="17"/>
      <c r="I94" s="17"/>
      <c r="K94" s="55" t="n">
        <f aca="false">Хмільник!K94</f>
        <v>0</v>
      </c>
      <c r="L94" s="26" t="n">
        <f aca="false">L93</f>
        <v>39</v>
      </c>
    </row>
    <row r="95" customFormat="false" ht="14.25" hidden="false" customHeight="true" outlineLevel="0" collapsed="false">
      <c r="B95" s="15"/>
      <c r="C95" s="54" t="str">
        <f aca="false">Хмільник!C95</f>
        <v>Пластівці вівсяні “Екстра”</v>
      </c>
      <c r="D95" s="15" t="n">
        <f aca="false">Хмільник!D95</f>
        <v>11401</v>
      </c>
      <c r="E95" s="15" t="s">
        <v>27</v>
      </c>
      <c r="F95" s="15"/>
      <c r="G95" s="29" t="n">
        <f aca="false">L95*K95</f>
        <v>0</v>
      </c>
      <c r="H95" s="17"/>
      <c r="I95" s="17"/>
      <c r="K95" s="55" t="n">
        <f aca="false">Хмільник!K95</f>
        <v>0</v>
      </c>
      <c r="L95" s="26" t="n">
        <f aca="false">L94</f>
        <v>39</v>
      </c>
    </row>
    <row r="96" customFormat="false" ht="14.25" hidden="false" customHeight="true" outlineLevel="0" collapsed="false">
      <c r="B96" s="15"/>
      <c r="C96" s="54" t="str">
        <f aca="false">Хмільник!C96</f>
        <v>Крупа вівсяна неподрібнена</v>
      </c>
      <c r="D96" s="15" t="n">
        <f aca="false">Хмільник!D96</f>
        <v>11402</v>
      </c>
      <c r="E96" s="15" t="s">
        <v>27</v>
      </c>
      <c r="F96" s="15"/>
      <c r="G96" s="29" t="n">
        <f aca="false">L96*K96</f>
        <v>0</v>
      </c>
      <c r="H96" s="17"/>
      <c r="I96" s="17"/>
      <c r="K96" s="55" t="n">
        <f aca="false">Хмільник!K96</f>
        <v>0</v>
      </c>
      <c r="L96" s="26" t="n">
        <f aca="false">L95</f>
        <v>39</v>
      </c>
    </row>
    <row r="97" customFormat="false" ht="14.25" hidden="false" customHeight="true" outlineLevel="0" collapsed="false">
      <c r="B97" s="15"/>
      <c r="C97" s="54" t="str">
        <f aca="false">Хмільник!C97</f>
        <v>Крупа вівсяна плющена</v>
      </c>
      <c r="D97" s="15" t="n">
        <f aca="false">Хмільник!D97</f>
        <v>11403</v>
      </c>
      <c r="E97" s="15" t="s">
        <v>27</v>
      </c>
      <c r="F97" s="15"/>
      <c r="G97" s="29" t="n">
        <f aca="false">L97*K97</f>
        <v>0</v>
      </c>
      <c r="H97" s="17"/>
      <c r="I97" s="17"/>
      <c r="K97" s="55" t="n">
        <f aca="false">Хмільник!K97</f>
        <v>0</v>
      </c>
      <c r="L97" s="26" t="n">
        <f aca="false">L96</f>
        <v>39</v>
      </c>
    </row>
    <row r="98" customFormat="false" ht="14.25" hidden="false" customHeight="true" outlineLevel="0" collapsed="false">
      <c r="B98" s="15"/>
      <c r="C98" s="54" t="str">
        <f aca="false">Хмільник!C98</f>
        <v>Крупа горохова колота</v>
      </c>
      <c r="D98" s="15" t="n">
        <f aca="false">Хмільник!D98</f>
        <v>11404</v>
      </c>
      <c r="E98" s="15" t="s">
        <v>27</v>
      </c>
      <c r="F98" s="15"/>
      <c r="G98" s="29" t="n">
        <f aca="false">L98*K98</f>
        <v>0</v>
      </c>
      <c r="H98" s="17"/>
      <c r="I98" s="17"/>
      <c r="K98" s="55" t="n">
        <f aca="false">Хмільник!K98</f>
        <v>0</v>
      </c>
      <c r="L98" s="26" t="n">
        <f aca="false">L97</f>
        <v>39</v>
      </c>
    </row>
    <row r="99" customFormat="false" ht="14.25" hidden="false" customHeight="true" outlineLevel="0" collapsed="false">
      <c r="B99" s="15"/>
      <c r="C99" s="54" t="str">
        <f aca="false">Хмільник!C99</f>
        <v>Крупа гречана ядриця</v>
      </c>
      <c r="D99" s="15" t="n">
        <f aca="false">Хмільник!D99</f>
        <v>11405</v>
      </c>
      <c r="E99" s="15" t="s">
        <v>27</v>
      </c>
      <c r="F99" s="15"/>
      <c r="G99" s="29" t="n">
        <f aca="false">L99*K99</f>
        <v>0</v>
      </c>
      <c r="H99" s="17"/>
      <c r="I99" s="17"/>
      <c r="K99" s="55" t="n">
        <f aca="false">Хмільник!K99</f>
        <v>0</v>
      </c>
      <c r="L99" s="26" t="n">
        <f aca="false">L98</f>
        <v>39</v>
      </c>
    </row>
    <row r="100" customFormat="false" ht="14.25" hidden="false" customHeight="true" outlineLevel="0" collapsed="false">
      <c r="B100" s="15"/>
      <c r="C100" s="54" t="str">
        <f aca="false">Хмільник!C100</f>
        <v>Крупа кукурудзяна шліфована</v>
      </c>
      <c r="D100" s="15" t="n">
        <f aca="false">Хмільник!D100</f>
        <v>11406</v>
      </c>
      <c r="E100" s="15" t="s">
        <v>27</v>
      </c>
      <c r="F100" s="15"/>
      <c r="G100" s="29" t="n">
        <f aca="false">L100*K100</f>
        <v>0</v>
      </c>
      <c r="H100" s="17"/>
      <c r="I100" s="17"/>
      <c r="K100" s="55" t="n">
        <f aca="false">Хмільник!K100</f>
        <v>0</v>
      </c>
      <c r="L100" s="26" t="n">
        <f aca="false">L99</f>
        <v>39</v>
      </c>
    </row>
    <row r="101" customFormat="false" ht="14.25" hidden="false" customHeight="true" outlineLevel="0" collapsed="false">
      <c r="B101" s="15"/>
      <c r="C101" s="54" t="str">
        <f aca="false">Хмільник!C101</f>
        <v>Крупа манна</v>
      </c>
      <c r="D101" s="15" t="n">
        <f aca="false">Хмільник!D101</f>
        <v>11407</v>
      </c>
      <c r="E101" s="15" t="s">
        <v>27</v>
      </c>
      <c r="F101" s="15"/>
      <c r="G101" s="29" t="n">
        <f aca="false">L101*K101</f>
        <v>0</v>
      </c>
      <c r="H101" s="17"/>
      <c r="I101" s="17"/>
      <c r="K101" s="55" t="n">
        <f aca="false">Хмільник!K101</f>
        <v>0</v>
      </c>
      <c r="L101" s="26" t="n">
        <f aca="false">L100</f>
        <v>39</v>
      </c>
    </row>
    <row r="102" customFormat="false" ht="14.25" hidden="false" customHeight="true" outlineLevel="0" collapsed="false">
      <c r="B102" s="15"/>
      <c r="C102" s="54" t="str">
        <f aca="false">Хмільник!C102</f>
        <v>Крупа перлова</v>
      </c>
      <c r="D102" s="15" t="n">
        <f aca="false">Хмільник!D102</f>
        <v>11408</v>
      </c>
      <c r="E102" s="15" t="s">
        <v>27</v>
      </c>
      <c r="F102" s="15"/>
      <c r="G102" s="29" t="n">
        <f aca="false">L102*K102</f>
        <v>0</v>
      </c>
      <c r="H102" s="17"/>
      <c r="I102" s="17"/>
      <c r="K102" s="55" t="n">
        <f aca="false">Хмільник!K102</f>
        <v>0</v>
      </c>
      <c r="L102" s="26" t="n">
        <f aca="false">L101</f>
        <v>39</v>
      </c>
    </row>
    <row r="103" customFormat="false" ht="14.25" hidden="false" customHeight="true" outlineLevel="0" collapsed="false">
      <c r="B103" s="15"/>
      <c r="C103" s="54" t="str">
        <f aca="false">Хмільник!C103</f>
        <v>Крупа пшенична</v>
      </c>
      <c r="D103" s="15" t="n">
        <f aca="false">Хмільник!D103</f>
        <v>11409</v>
      </c>
      <c r="E103" s="15" t="s">
        <v>27</v>
      </c>
      <c r="F103" s="15"/>
      <c r="G103" s="29" t="n">
        <f aca="false">L103*K103</f>
        <v>0</v>
      </c>
      <c r="H103" s="17"/>
      <c r="I103" s="17"/>
      <c r="K103" s="55" t="n">
        <f aca="false">Хмільник!K103</f>
        <v>0</v>
      </c>
      <c r="L103" s="26" t="n">
        <f aca="false">L102</f>
        <v>39</v>
      </c>
    </row>
    <row r="104" customFormat="false" ht="14.25" hidden="false" customHeight="true" outlineLevel="0" collapsed="false">
      <c r="B104" s="15"/>
      <c r="C104" s="54" t="str">
        <f aca="false">Хмільник!C104</f>
        <v>Крупа пшоняна</v>
      </c>
      <c r="D104" s="15" t="n">
        <f aca="false">Хмільник!D104</f>
        <v>11410</v>
      </c>
      <c r="E104" s="15" t="s">
        <v>27</v>
      </c>
      <c r="F104" s="15"/>
      <c r="G104" s="29" t="n">
        <f aca="false">L104*K104</f>
        <v>0</v>
      </c>
      <c r="H104" s="17"/>
      <c r="I104" s="17"/>
      <c r="K104" s="55" t="n">
        <f aca="false">Хмільник!K104</f>
        <v>0</v>
      </c>
      <c r="L104" s="26" t="n">
        <f aca="false">L103</f>
        <v>39</v>
      </c>
    </row>
    <row r="105" customFormat="false" ht="14.25" hidden="false" customHeight="true" outlineLevel="0" collapsed="false">
      <c r="B105" s="15"/>
      <c r="C105" s="54" t="str">
        <f aca="false">Хмільник!C105</f>
        <v>Крупа ячна</v>
      </c>
      <c r="D105" s="15" t="n">
        <f aca="false">Хмільник!D105</f>
        <v>11411</v>
      </c>
      <c r="E105" s="15" t="s">
        <v>27</v>
      </c>
      <c r="F105" s="15"/>
      <c r="G105" s="29" t="n">
        <f aca="false">L105*K105</f>
        <v>0</v>
      </c>
      <c r="H105" s="17"/>
      <c r="I105" s="17"/>
      <c r="K105" s="55" t="n">
        <f aca="false">Хмільник!K105</f>
        <v>0</v>
      </c>
      <c r="L105" s="26" t="n">
        <f aca="false">L104</f>
        <v>39</v>
      </c>
    </row>
    <row r="106" customFormat="false" ht="14.25" hidden="false" customHeight="true" outlineLevel="0" collapsed="false">
      <c r="B106" s="15"/>
      <c r="C106" s="54" t="str">
        <f aca="false">Хмільник!C106</f>
        <v>Пластівці кукурудзяні</v>
      </c>
      <c r="D106" s="15" t="n">
        <f aca="false">Хмільник!D106</f>
        <v>11412</v>
      </c>
      <c r="E106" s="15" t="s">
        <v>27</v>
      </c>
      <c r="F106" s="15"/>
      <c r="G106" s="29" t="n">
        <f aca="false">L106*K106</f>
        <v>0</v>
      </c>
      <c r="H106" s="17"/>
      <c r="I106" s="17"/>
      <c r="K106" s="55" t="n">
        <f aca="false">Хмільник!K106</f>
        <v>0</v>
      </c>
      <c r="L106" s="26" t="n">
        <f aca="false">L105</f>
        <v>39</v>
      </c>
    </row>
    <row r="107" customFormat="false" ht="14.25" hidden="false" customHeight="true" outlineLevel="0" collapsed="false">
      <c r="B107" s="15"/>
      <c r="C107" s="54" t="str">
        <f aca="false">Хмільник!C107</f>
        <v>Пластівці круп’яні зі смаковими добавками</v>
      </c>
      <c r="D107" s="15" t="n">
        <f aca="false">Хмільник!D107</f>
        <v>11413</v>
      </c>
      <c r="E107" s="15" t="s">
        <v>27</v>
      </c>
      <c r="F107" s="15"/>
      <c r="G107" s="29" t="n">
        <f aca="false">L107*K107</f>
        <v>0</v>
      </c>
      <c r="H107" s="17"/>
      <c r="I107" s="17"/>
      <c r="K107" s="55" t="n">
        <f aca="false">Хмільник!K107</f>
        <v>0</v>
      </c>
      <c r="L107" s="26" t="n">
        <f aca="false">L106</f>
        <v>39</v>
      </c>
    </row>
    <row r="108" customFormat="false" ht="14.25" hidden="false" customHeight="true" outlineLevel="0" collapsed="false">
      <c r="B108" s="15"/>
      <c r="C108" s="54" t="str">
        <f aca="false">Хмільник!C108</f>
        <v>Плаcтівці круп’яні</v>
      </c>
      <c r="D108" s="15" t="n">
        <f aca="false">Хмільник!D108</f>
        <v>11414</v>
      </c>
      <c r="E108" s="15" t="s">
        <v>27</v>
      </c>
      <c r="F108" s="15"/>
      <c r="G108" s="29" t="n">
        <f aca="false">L108*K108</f>
        <v>0</v>
      </c>
      <c r="H108" s="17"/>
      <c r="I108" s="17"/>
      <c r="K108" s="55" t="n">
        <f aca="false">Хмільник!K108</f>
        <v>0</v>
      </c>
      <c r="L108" s="26" t="n">
        <f aca="false">L107</f>
        <v>39</v>
      </c>
    </row>
    <row r="109" customFormat="false" ht="14.25" hidden="false" customHeight="true" outlineLevel="0" collapsed="false">
      <c r="B109" s="15"/>
      <c r="C109" s="54" t="str">
        <f aca="false">Хмільник!C109</f>
        <v>Нут</v>
      </c>
      <c r="D109" s="15" t="n">
        <f aca="false">Хмільник!D109</f>
        <v>11415</v>
      </c>
      <c r="E109" s="15" t="s">
        <v>27</v>
      </c>
      <c r="F109" s="15"/>
      <c r="G109" s="29" t="n">
        <f aca="false">L109*K109</f>
        <v>0</v>
      </c>
      <c r="H109" s="17"/>
      <c r="I109" s="17"/>
      <c r="K109" s="55" t="n">
        <f aca="false">Хмільник!K109</f>
        <v>0</v>
      </c>
      <c r="L109" s="26" t="n">
        <f aca="false">L108</f>
        <v>39</v>
      </c>
    </row>
    <row r="110" customFormat="false" ht="14.25" hidden="false" customHeight="true" outlineLevel="0" collapsed="false">
      <c r="B110" s="15"/>
      <c r="C110" s="54" t="str">
        <f aca="false">Хмільник!C110</f>
        <v>Рис довгозернистий шліфований</v>
      </c>
      <c r="D110" s="15" t="n">
        <f aca="false">Хмільник!D110</f>
        <v>11416</v>
      </c>
      <c r="E110" s="15" t="s">
        <v>27</v>
      </c>
      <c r="F110" s="15"/>
      <c r="G110" s="29" t="n">
        <f aca="false">L110*K110</f>
        <v>0</v>
      </c>
      <c r="H110" s="17"/>
      <c r="I110" s="17"/>
      <c r="K110" s="55" t="n">
        <f aca="false">Хмільник!K110</f>
        <v>0</v>
      </c>
      <c r="L110" s="26" t="n">
        <f aca="false">L109</f>
        <v>39</v>
      </c>
    </row>
    <row r="111" customFormat="false" ht="14.25" hidden="false" customHeight="true" outlineLevel="0" collapsed="false">
      <c r="B111" s="15"/>
      <c r="C111" s="54" t="str">
        <f aca="false">Хмільник!C111</f>
        <v>Рис круглозернистий (середньозернистий)</v>
      </c>
      <c r="D111" s="15" t="n">
        <f aca="false">Хмільник!D111</f>
        <v>11417</v>
      </c>
      <c r="E111" s="15" t="s">
        <v>27</v>
      </c>
      <c r="F111" s="15"/>
      <c r="G111" s="29" t="n">
        <f aca="false">L111*K111</f>
        <v>0</v>
      </c>
      <c r="H111" s="17"/>
      <c r="I111" s="17"/>
      <c r="K111" s="55" t="n">
        <f aca="false">Хмільник!K111</f>
        <v>0</v>
      </c>
      <c r="L111" s="26" t="n">
        <f aca="false">L110</f>
        <v>39</v>
      </c>
    </row>
    <row r="112" customFormat="false" ht="14.25" hidden="false" customHeight="true" outlineLevel="0" collapsed="false">
      <c r="B112" s="15"/>
      <c r="C112" s="54" t="str">
        <f aca="false">Хмільник!C112</f>
        <v>Рис нешліфований</v>
      </c>
      <c r="D112" s="15" t="n">
        <f aca="false">Хмільник!D112</f>
        <v>11419</v>
      </c>
      <c r="E112" s="15" t="s">
        <v>27</v>
      </c>
      <c r="F112" s="15"/>
      <c r="G112" s="29" t="n">
        <f aca="false">L112*K112</f>
        <v>0</v>
      </c>
      <c r="H112" s="17"/>
      <c r="I112" s="17"/>
      <c r="K112" s="55" t="n">
        <f aca="false">Хмільник!K112</f>
        <v>0</v>
      </c>
      <c r="L112" s="26" t="n">
        <f aca="false">L111</f>
        <v>39</v>
      </c>
    </row>
    <row r="113" customFormat="false" ht="14.25" hidden="false" customHeight="true" outlineLevel="0" collapsed="false">
      <c r="B113" s="15"/>
      <c r="C113" s="54" t="str">
        <f aca="false">Хмільник!C113</f>
        <v>Сніданки сухі</v>
      </c>
      <c r="D113" s="15" t="n">
        <f aca="false">Хмільник!D113</f>
        <v>11420</v>
      </c>
      <c r="E113" s="15" t="s">
        <v>27</v>
      </c>
      <c r="F113" s="15"/>
      <c r="G113" s="29" t="n">
        <f aca="false">L113*K113</f>
        <v>0</v>
      </c>
      <c r="H113" s="17"/>
      <c r="I113" s="17"/>
      <c r="K113" s="55" t="n">
        <f aca="false">Хмільник!K113</f>
        <v>0</v>
      </c>
      <c r="L113" s="26" t="n">
        <f aca="false">L112</f>
        <v>39</v>
      </c>
    </row>
    <row r="114" customFormat="false" ht="14.25" hidden="false" customHeight="true" outlineLevel="0" collapsed="false">
      <c r="B114" s="15"/>
      <c r="C114" s="54" t="str">
        <f aca="false">Хмільник!C114</f>
        <v>Крупа кускус</v>
      </c>
      <c r="D114" s="15" t="n">
        <f aca="false">Хмільник!D114</f>
        <v>11422</v>
      </c>
      <c r="E114" s="15" t="s">
        <v>27</v>
      </c>
      <c r="F114" s="15"/>
      <c r="G114" s="29" t="n">
        <f aca="false">L114*K114</f>
        <v>0</v>
      </c>
      <c r="H114" s="17"/>
      <c r="I114" s="17"/>
      <c r="K114" s="55" t="n">
        <f aca="false">Хмільник!K114</f>
        <v>0</v>
      </c>
      <c r="L114" s="26" t="n">
        <f aca="false">L113</f>
        <v>39</v>
      </c>
    </row>
    <row r="115" customFormat="false" ht="14.25" hidden="false" customHeight="true" outlineLevel="0" collapsed="false">
      <c r="B115" s="15"/>
      <c r="C115" s="54" t="str">
        <f aca="false">Хмільник!C115</f>
        <v>Крупа булгур</v>
      </c>
      <c r="D115" s="15" t="n">
        <f aca="false">Хмільник!D115</f>
        <v>11423</v>
      </c>
      <c r="E115" s="15" t="s">
        <v>27</v>
      </c>
      <c r="F115" s="15"/>
      <c r="G115" s="29" t="n">
        <f aca="false">L115*K115</f>
        <v>0</v>
      </c>
      <c r="H115" s="17"/>
      <c r="I115" s="17"/>
      <c r="K115" s="55" t="n">
        <f aca="false">Хмільник!K115</f>
        <v>0</v>
      </c>
      <c r="L115" s="26" t="n">
        <f aca="false">L114</f>
        <v>39</v>
      </c>
    </row>
    <row r="116" customFormat="false" ht="14.25" hidden="false" customHeight="true" outlineLevel="0" collapsed="false">
      <c r="B116" s="15"/>
      <c r="C116" s="54" t="str">
        <f aca="false">Хмільник!C116</f>
        <v>Крупа сочевиця</v>
      </c>
      <c r="D116" s="15" t="n">
        <f aca="false">Хмільник!D116</f>
        <v>11424</v>
      </c>
      <c r="E116" s="15" t="s">
        <v>27</v>
      </c>
      <c r="F116" s="15"/>
      <c r="G116" s="29" t="n">
        <f aca="false">L116*K116</f>
        <v>0</v>
      </c>
      <c r="H116" s="17"/>
      <c r="I116" s="17"/>
      <c r="K116" s="55" t="n">
        <f aca="false">Хмільник!K116</f>
        <v>0</v>
      </c>
      <c r="L116" s="26" t="n">
        <f aca="false">L115</f>
        <v>39</v>
      </c>
    </row>
    <row r="117" customFormat="false" ht="14.25" hidden="false" customHeight="true" outlineLevel="0" collapsed="false">
      <c r="B117" s="15"/>
      <c r="C117" s="54" t="str">
        <f aca="false">Хмільник!C117</f>
        <v>Вермішель довга (твердих сортів)</v>
      </c>
      <c r="D117" s="15" t="n">
        <f aca="false">Хмільник!D117</f>
        <v>11501</v>
      </c>
      <c r="E117" s="38" t="s">
        <v>211</v>
      </c>
      <c r="F117" s="38"/>
      <c r="G117" s="29" t="n">
        <f aca="false">L117*K117</f>
        <v>0</v>
      </c>
      <c r="H117" s="17"/>
      <c r="I117" s="17"/>
      <c r="K117" s="55" t="n">
        <f aca="false">Хмільник!K117</f>
        <v>0</v>
      </c>
      <c r="L117" s="26" t="n">
        <f aca="false">L116</f>
        <v>39</v>
      </c>
    </row>
    <row r="118" customFormat="false" ht="14.25" hidden="false" customHeight="true" outlineLevel="0" collapsed="false">
      <c r="B118" s="15"/>
      <c r="C118" s="54" t="str">
        <f aca="false">Хмільник!C118</f>
        <v>Макарони</v>
      </c>
      <c r="D118" s="15" t="n">
        <f aca="false">Хмільник!D118</f>
        <v>11502</v>
      </c>
      <c r="E118" s="15" t="s">
        <v>211</v>
      </c>
      <c r="F118" s="39"/>
      <c r="G118" s="29" t="n">
        <f aca="false">L118*K118</f>
        <v>0</v>
      </c>
      <c r="H118" s="17"/>
      <c r="I118" s="17"/>
      <c r="K118" s="55" t="n">
        <f aca="false">Хмільник!K118</f>
        <v>0</v>
      </c>
      <c r="L118" s="26" t="n">
        <f aca="false">L117</f>
        <v>39</v>
      </c>
    </row>
    <row r="119" customFormat="false" ht="14.25" hidden="false" customHeight="true" outlineLevel="0" collapsed="false">
      <c r="B119" s="15"/>
      <c r="C119" s="54" t="str">
        <f aca="false">Хмільник!C119</f>
        <v>Трубчасті макаронні вироби (ріжки, перо)</v>
      </c>
      <c r="D119" s="15" t="n">
        <f aca="false">Хмільник!D119</f>
        <v>11503</v>
      </c>
      <c r="E119" s="15" t="s">
        <v>27</v>
      </c>
      <c r="F119" s="15"/>
      <c r="G119" s="29" t="n">
        <f aca="false">L119*K119</f>
        <v>0</v>
      </c>
      <c r="H119" s="17"/>
      <c r="I119" s="17"/>
      <c r="K119" s="55" t="n">
        <f aca="false">Хмільник!K119</f>
        <v>0</v>
      </c>
      <c r="L119" s="26" t="n">
        <f aca="false">L118</f>
        <v>39</v>
      </c>
    </row>
    <row r="120" customFormat="false" ht="16.5" hidden="false" customHeight="false" outlineLevel="0" collapsed="false">
      <c r="B120" s="15"/>
      <c r="C120" s="54" t="str">
        <f aca="false">Хмільник!C120</f>
        <v>Локшина</v>
      </c>
      <c r="D120" s="15" t="n">
        <f aca="false">Хмільник!D120</f>
        <v>11504</v>
      </c>
      <c r="E120" s="15" t="s">
        <v>27</v>
      </c>
      <c r="F120" s="15"/>
      <c r="G120" s="29" t="n">
        <f aca="false">L120*K120</f>
        <v>0</v>
      </c>
      <c r="H120" s="17"/>
      <c r="I120" s="17"/>
      <c r="K120" s="55" t="n">
        <f aca="false">Хмільник!K120</f>
        <v>0</v>
      </c>
      <c r="L120" s="26" t="n">
        <f aca="false">L119</f>
        <v>39</v>
      </c>
    </row>
    <row r="121" customFormat="false" ht="14.25" hidden="false" customHeight="true" outlineLevel="0" collapsed="false">
      <c r="B121" s="15"/>
      <c r="C121" s="54" t="str">
        <f aca="false">Хмільник!C121</f>
        <v>Фігурні макаронні вироби</v>
      </c>
      <c r="D121" s="15" t="n">
        <f aca="false">Хмільник!D121</f>
        <v>11505</v>
      </c>
      <c r="E121" s="15" t="s">
        <v>27</v>
      </c>
      <c r="F121" s="15"/>
      <c r="G121" s="29" t="n">
        <f aca="false">L121*K121</f>
        <v>0</v>
      </c>
      <c r="H121" s="17"/>
      <c r="I121" s="17"/>
      <c r="K121" s="55" t="n">
        <f aca="false">Хмільник!K121</f>
        <v>0</v>
      </c>
      <c r="L121" s="26" t="n">
        <f aca="false">L120</f>
        <v>39</v>
      </c>
    </row>
    <row r="122" customFormat="false" ht="14.25" hidden="false" customHeight="true" outlineLevel="0" collapsed="false">
      <c r="B122" s="15"/>
      <c r="C122" s="54" t="str">
        <f aca="false">Хмільник!C122</f>
        <v>Базилік (спеції)</v>
      </c>
      <c r="D122" s="15" t="n">
        <f aca="false">Хмільник!D122</f>
        <v>11602</v>
      </c>
      <c r="E122" s="15" t="s">
        <v>27</v>
      </c>
      <c r="F122" s="15"/>
      <c r="G122" s="29" t="n">
        <f aca="false">L122*K122</f>
        <v>0</v>
      </c>
      <c r="H122" s="17"/>
      <c r="I122" s="17"/>
      <c r="K122" s="55" t="n">
        <f aca="false">Хмільник!K122</f>
        <v>0</v>
      </c>
      <c r="L122" s="26" t="n">
        <f aca="false">L121</f>
        <v>39</v>
      </c>
    </row>
    <row r="123" customFormat="false" ht="14.25" hidden="false" customHeight="true" outlineLevel="0" collapsed="false">
      <c r="B123" s="15"/>
      <c r="C123" s="54" t="str">
        <f aca="false">Хмільник!C123</f>
        <v>Гірчиця харчова</v>
      </c>
      <c r="D123" s="15" t="n">
        <f aca="false">Хмільник!D123</f>
        <v>11603</v>
      </c>
      <c r="E123" s="15" t="s">
        <v>27</v>
      </c>
      <c r="F123" s="15"/>
      <c r="G123" s="29" t="n">
        <f aca="false">L123*K123</f>
        <v>0</v>
      </c>
      <c r="H123" s="17"/>
      <c r="I123" s="17"/>
      <c r="K123" s="55" t="n">
        <f aca="false">Хмільник!K123</f>
        <v>0</v>
      </c>
      <c r="L123" s="26" t="n">
        <f aca="false">L122</f>
        <v>39</v>
      </c>
    </row>
    <row r="124" customFormat="false" ht="14.25" hidden="false" customHeight="true" outlineLevel="0" collapsed="false">
      <c r="B124" s="15"/>
      <c r="C124" s="54" t="str">
        <f aca="false">Хмільник!C124</f>
        <v>Дріжджі хлібопекарські пресовані</v>
      </c>
      <c r="D124" s="15" t="n">
        <f aca="false">Хмільник!D124</f>
        <v>11604</v>
      </c>
      <c r="E124" s="15" t="s">
        <v>27</v>
      </c>
      <c r="F124" s="15"/>
      <c r="G124" s="29" t="n">
        <f aca="false">L124*K124</f>
        <v>0</v>
      </c>
      <c r="H124" s="17"/>
      <c r="I124" s="17"/>
      <c r="K124" s="55" t="n">
        <f aca="false">Хмільник!K124</f>
        <v>0</v>
      </c>
      <c r="L124" s="26" t="n">
        <f aca="false">L123</f>
        <v>39</v>
      </c>
    </row>
    <row r="125" customFormat="false" ht="14.25" hidden="false" customHeight="true" outlineLevel="0" collapsed="false">
      <c r="B125" s="15"/>
      <c r="C125" s="54" t="str">
        <f aca="false">Хмільник!C125</f>
        <v>Дріжджі хлібопекарські сухі</v>
      </c>
      <c r="D125" s="15" t="n">
        <f aca="false">Хмільник!D125</f>
        <v>11605</v>
      </c>
      <c r="E125" s="15" t="s">
        <v>27</v>
      </c>
      <c r="F125" s="15"/>
      <c r="G125" s="29" t="n">
        <f aca="false">L125*K125</f>
        <v>0</v>
      </c>
      <c r="H125" s="17"/>
      <c r="I125" s="17"/>
      <c r="K125" s="55" t="n">
        <f aca="false">Хмільник!K125</f>
        <v>0</v>
      </c>
      <c r="L125" s="26" t="n">
        <f aca="false">L124</f>
        <v>39</v>
      </c>
    </row>
    <row r="126" customFormat="false" ht="14.25" hidden="false" customHeight="true" outlineLevel="0" collapsed="false">
      <c r="B126" s="15"/>
      <c r="C126" s="54" t="str">
        <f aca="false">Хмільник!C126</f>
        <v>Желатин харчовий</v>
      </c>
      <c r="D126" s="15" t="n">
        <f aca="false">Хмільник!D126</f>
        <v>11606</v>
      </c>
      <c r="E126" s="15" t="s">
        <v>27</v>
      </c>
      <c r="F126" s="15"/>
      <c r="G126" s="29" t="n">
        <f aca="false">L126*K126</f>
        <v>0</v>
      </c>
      <c r="H126" s="17"/>
      <c r="I126" s="17"/>
      <c r="K126" s="55" t="n">
        <f aca="false">Хмільник!K126</f>
        <v>0</v>
      </c>
      <c r="L126" s="26" t="n">
        <f aca="false">L125</f>
        <v>39</v>
      </c>
    </row>
    <row r="127" customFormat="false" ht="14.25" hidden="false" customHeight="true" outlineLevel="0" collapsed="false">
      <c r="B127" s="15"/>
      <c r="C127" s="54" t="str">
        <f aca="false">Хмільник!C127</f>
        <v>Кетчуп</v>
      </c>
      <c r="D127" s="15" t="n">
        <f aca="false">Хмільник!D127</f>
        <v>11607</v>
      </c>
      <c r="E127" s="15" t="s">
        <v>27</v>
      </c>
      <c r="F127" s="15"/>
      <c r="G127" s="29" t="n">
        <f aca="false">L127*K127</f>
        <v>0</v>
      </c>
      <c r="H127" s="17"/>
      <c r="I127" s="17"/>
      <c r="K127" s="55" t="n">
        <f aca="false">Хмільник!K127</f>
        <v>0</v>
      </c>
      <c r="L127" s="26" t="n">
        <f aca="false">L126</f>
        <v>39</v>
      </c>
    </row>
    <row r="128" customFormat="false" ht="14.25" hidden="false" customHeight="true" outlineLevel="0" collapsed="false">
      <c r="B128" s="15"/>
      <c r="C128" s="54" t="str">
        <f aca="false">Хмільник!C128</f>
        <v>Корінь селери</v>
      </c>
      <c r="D128" s="15" t="n">
        <f aca="false">Хмільник!D128</f>
        <v>11608</v>
      </c>
      <c r="E128" s="15" t="s">
        <v>27</v>
      </c>
      <c r="F128" s="15"/>
      <c r="G128" s="29" t="n">
        <f aca="false">L128*K128</f>
        <v>0</v>
      </c>
      <c r="H128" s="17"/>
      <c r="I128" s="17"/>
      <c r="K128" s="55" t="n">
        <f aca="false">Хмільник!K128</f>
        <v>0</v>
      </c>
      <c r="L128" s="26" t="n">
        <f aca="false">L127</f>
        <v>39</v>
      </c>
    </row>
    <row r="129" customFormat="false" ht="14.25" hidden="false" customHeight="true" outlineLevel="0" collapsed="false">
      <c r="B129" s="15"/>
      <c r="C129" s="54" t="str">
        <f aca="false">Хмільник!C129</f>
        <v>Кріп свіжий</v>
      </c>
      <c r="D129" s="15" t="n">
        <f aca="false">Хмільник!D129</f>
        <v>11609</v>
      </c>
      <c r="E129" s="15" t="s">
        <v>27</v>
      </c>
      <c r="F129" s="15"/>
      <c r="G129" s="29" t="n">
        <f aca="false">L129*K129</f>
        <v>0</v>
      </c>
      <c r="H129" s="17"/>
      <c r="I129" s="17"/>
      <c r="K129" s="55" t="n">
        <f aca="false">Хмільник!K129</f>
        <v>0</v>
      </c>
      <c r="L129" s="26" t="n">
        <f aca="false">L128</f>
        <v>39</v>
      </c>
    </row>
    <row r="130" customFormat="false" ht="14.25" hidden="false" customHeight="true" outlineLevel="0" collapsed="false">
      <c r="B130" s="15"/>
      <c r="C130" s="54" t="str">
        <f aca="false">Хмільник!C130</f>
        <v>Кріп сушений</v>
      </c>
      <c r="D130" s="15" t="n">
        <f aca="false">Хмільник!D130</f>
        <v>11610</v>
      </c>
      <c r="E130" s="15" t="s">
        <v>27</v>
      </c>
      <c r="F130" s="15"/>
      <c r="G130" s="29" t="n">
        <f aca="false">L130*K130</f>
        <v>0</v>
      </c>
      <c r="H130" s="17"/>
      <c r="I130" s="17"/>
      <c r="K130" s="55" t="n">
        <f aca="false">Хмільник!K130</f>
        <v>0</v>
      </c>
      <c r="L130" s="26" t="n">
        <f aca="false">L129</f>
        <v>39</v>
      </c>
    </row>
    <row r="131" customFormat="false" ht="14.25" hidden="false" customHeight="true" outlineLevel="0" collapsed="false">
      <c r="B131" s="15"/>
      <c r="C131" s="54" t="str">
        <f aca="false">Хмільник!C131</f>
        <v>Крохмаль картопляний</v>
      </c>
      <c r="D131" s="15" t="n">
        <f aca="false">Хмільник!D131</f>
        <v>11611</v>
      </c>
      <c r="E131" s="15" t="s">
        <v>27</v>
      </c>
      <c r="F131" s="15"/>
      <c r="G131" s="29" t="n">
        <f aca="false">L131*K131</f>
        <v>0</v>
      </c>
      <c r="H131" s="17"/>
      <c r="I131" s="17"/>
      <c r="K131" s="55" t="n">
        <f aca="false">Хмільник!K131</f>
        <v>0</v>
      </c>
      <c r="L131" s="26" t="n">
        <f aca="false">L130</f>
        <v>39</v>
      </c>
    </row>
    <row r="132" customFormat="false" ht="14.25" hidden="false" customHeight="true" outlineLevel="0" collapsed="false">
      <c r="B132" s="15"/>
      <c r="C132" s="54" t="str">
        <f aca="false">Хмільник!C132</f>
        <v>Лист лавровий сухий</v>
      </c>
      <c r="D132" s="15" t="n">
        <f aca="false">Хмільник!D132</f>
        <v>11612</v>
      </c>
      <c r="E132" s="15" t="s">
        <v>27</v>
      </c>
      <c r="F132" s="15"/>
      <c r="G132" s="29" t="n">
        <f aca="false">L132*K132</f>
        <v>0</v>
      </c>
      <c r="H132" s="17"/>
      <c r="I132" s="17"/>
      <c r="K132" s="55" t="n">
        <f aca="false">Хмільник!K132</f>
        <v>0</v>
      </c>
      <c r="L132" s="26" t="n">
        <f aca="false">L131</f>
        <v>39</v>
      </c>
    </row>
    <row r="133" customFormat="false" ht="14.25" hidden="false" customHeight="true" outlineLevel="0" collapsed="false">
      <c r="B133" s="15"/>
      <c r="C133" s="54" t="str">
        <f aca="false">Хмільник!C133</f>
        <v>Майонезний соус</v>
      </c>
      <c r="D133" s="15" t="n">
        <f aca="false">Хмільник!D133</f>
        <v>11613</v>
      </c>
      <c r="E133" s="15" t="s">
        <v>27</v>
      </c>
      <c r="F133" s="15"/>
      <c r="G133" s="29" t="n">
        <f aca="false">L133*K133</f>
        <v>0</v>
      </c>
      <c r="H133" s="17"/>
      <c r="I133" s="17"/>
      <c r="K133" s="55" t="n">
        <f aca="false">Хмільник!K133</f>
        <v>0</v>
      </c>
      <c r="L133" s="26" t="n">
        <f aca="false">L132</f>
        <v>39</v>
      </c>
    </row>
    <row r="134" customFormat="false" ht="14.25" hidden="false" customHeight="true" outlineLevel="0" collapsed="false">
      <c r="B134" s="15"/>
      <c r="C134" s="54" t="str">
        <f aca="false">Хмільник!C134</f>
        <v>Майонез (понад 55 %)</v>
      </c>
      <c r="D134" s="15" t="n">
        <f aca="false">Хмільник!D134</f>
        <v>11614</v>
      </c>
      <c r="E134" s="15" t="s">
        <v>27</v>
      </c>
      <c r="F134" s="15"/>
      <c r="G134" s="29" t="n">
        <f aca="false">L134*K134</f>
        <v>0</v>
      </c>
      <c r="H134" s="17"/>
      <c r="I134" s="17"/>
      <c r="K134" s="55" t="n">
        <f aca="false">Хмільник!K134</f>
        <v>0</v>
      </c>
      <c r="L134" s="26" t="n">
        <f aca="false">L133</f>
        <v>39</v>
      </c>
    </row>
    <row r="135" customFormat="false" ht="14.25" hidden="false" customHeight="true" outlineLevel="0" collapsed="false">
      <c r="B135" s="15"/>
      <c r="C135" s="54" t="str">
        <f aca="false">Хмільник!C135</f>
        <v>Орегано (спеції)</v>
      </c>
      <c r="D135" s="15" t="n">
        <f aca="false">Хмільник!D135</f>
        <v>11615</v>
      </c>
      <c r="E135" s="15" t="s">
        <v>27</v>
      </c>
      <c r="F135" s="15"/>
      <c r="G135" s="29" t="n">
        <f aca="false">L135*K135</f>
        <v>0</v>
      </c>
      <c r="H135" s="17"/>
      <c r="I135" s="17"/>
      <c r="K135" s="55" t="n">
        <f aca="false">Хмільник!K135</f>
        <v>0</v>
      </c>
      <c r="L135" s="26" t="n">
        <f aca="false">L134</f>
        <v>39</v>
      </c>
    </row>
    <row r="136" customFormat="false" ht="14.25" hidden="false" customHeight="true" outlineLevel="0" collapsed="false">
      <c r="B136" s="15"/>
      <c r="C136" s="54" t="str">
        <f aca="false">Хмільник!C136</f>
        <v>Оцет 9 %</v>
      </c>
      <c r="D136" s="15" t="n">
        <f aca="false">Хмільник!D136</f>
        <v>11616</v>
      </c>
      <c r="E136" s="15" t="s">
        <v>27</v>
      </c>
      <c r="F136" s="15"/>
      <c r="G136" s="29" t="n">
        <f aca="false">L136*K136</f>
        <v>0</v>
      </c>
      <c r="H136" s="17"/>
      <c r="I136" s="17"/>
      <c r="K136" s="55" t="n">
        <f aca="false">Хмільник!K136</f>
        <v>0</v>
      </c>
      <c r="L136" s="26" t="n">
        <f aca="false">L135</f>
        <v>39</v>
      </c>
    </row>
    <row r="137" customFormat="false" ht="14.25" hidden="false" customHeight="true" outlineLevel="0" collapsed="false">
      <c r="B137" s="15"/>
      <c r="C137" s="54" t="str">
        <f aca="false">Хмільник!C137</f>
        <v>Перець червоний мелений</v>
      </c>
      <c r="D137" s="15" t="n">
        <f aca="false">Хмільник!D137</f>
        <v>11617</v>
      </c>
      <c r="E137" s="15" t="s">
        <v>27</v>
      </c>
      <c r="F137" s="15"/>
      <c r="G137" s="29" t="n">
        <f aca="false">L137*K137</f>
        <v>0</v>
      </c>
      <c r="H137" s="17"/>
      <c r="I137" s="17"/>
      <c r="K137" s="55" t="n">
        <f aca="false">Хмільник!K137</f>
        <v>0</v>
      </c>
      <c r="L137" s="26" t="n">
        <f aca="false">L136</f>
        <v>39</v>
      </c>
    </row>
    <row r="138" customFormat="false" ht="14.25" hidden="false" customHeight="true" outlineLevel="0" collapsed="false">
      <c r="B138" s="15"/>
      <c r="C138" s="54" t="str">
        <f aca="false">Хмільник!C138</f>
        <v>Петрушка свіжа</v>
      </c>
      <c r="D138" s="15" t="n">
        <f aca="false">Хмільник!D138</f>
        <v>11618</v>
      </c>
      <c r="E138" s="15" t="s">
        <v>27</v>
      </c>
      <c r="F138" s="15"/>
      <c r="G138" s="29" t="n">
        <f aca="false">L138*K138</f>
        <v>0</v>
      </c>
      <c r="H138" s="17"/>
      <c r="I138" s="17"/>
      <c r="K138" s="55" t="n">
        <f aca="false">Хмільник!K138</f>
        <v>0</v>
      </c>
      <c r="L138" s="26" t="n">
        <f aca="false">L137</f>
        <v>39</v>
      </c>
    </row>
    <row r="139" customFormat="false" ht="14.25" hidden="false" customHeight="true" outlineLevel="0" collapsed="false">
      <c r="B139" s="15"/>
      <c r="C139" s="54" t="str">
        <f aca="false">Хмільник!C139</f>
        <v>Петрушка сушена</v>
      </c>
      <c r="D139" s="15" t="n">
        <f aca="false">Хмільник!D139</f>
        <v>11619</v>
      </c>
      <c r="E139" s="15" t="s">
        <v>27</v>
      </c>
      <c r="F139" s="15"/>
      <c r="G139" s="29" t="n">
        <f aca="false">L139*K139</f>
        <v>0</v>
      </c>
      <c r="H139" s="17"/>
      <c r="I139" s="17"/>
      <c r="K139" s="55" t="n">
        <f aca="false">Хмільник!K139</f>
        <v>0</v>
      </c>
      <c r="L139" s="26" t="n">
        <f aca="false">L138</f>
        <v>39</v>
      </c>
    </row>
    <row r="140" customFormat="false" ht="14.25" hidden="false" customHeight="true" outlineLevel="0" collapsed="false">
      <c r="B140" s="15"/>
      <c r="C140" s="54" t="str">
        <f aca="false">Хмільник!C140</f>
        <v>Порошок гірчичний</v>
      </c>
      <c r="D140" s="15" t="n">
        <f aca="false">Хмільник!D140</f>
        <v>11620</v>
      </c>
      <c r="E140" s="15" t="s">
        <v>27</v>
      </c>
      <c r="F140" s="15"/>
      <c r="G140" s="29" t="n">
        <f aca="false">L140*K140</f>
        <v>0</v>
      </c>
      <c r="H140" s="17"/>
      <c r="I140" s="17"/>
      <c r="K140" s="55" t="n">
        <f aca="false">Хмільник!K140</f>
        <v>0</v>
      </c>
      <c r="L140" s="26" t="n">
        <f aca="false">L139</f>
        <v>39</v>
      </c>
    </row>
    <row r="141" customFormat="false" ht="14.25" hidden="false" customHeight="true" outlineLevel="0" collapsed="false">
      <c r="B141" s="15"/>
      <c r="C141" s="54" t="str">
        <f aca="false">Хмільник!C141</f>
        <v>Приправи для моркви по-корейськи</v>
      </c>
      <c r="D141" s="15" t="n">
        <f aca="false">Хмільник!D141</f>
        <v>11621</v>
      </c>
      <c r="E141" s="15" t="s">
        <v>27</v>
      </c>
      <c r="F141" s="15"/>
      <c r="G141" s="29" t="n">
        <f aca="false">L141*K141</f>
        <v>0</v>
      </c>
      <c r="H141" s="17"/>
      <c r="I141" s="17"/>
      <c r="K141" s="55" t="n">
        <f aca="false">Хмільник!K141</f>
        <v>0</v>
      </c>
      <c r="L141" s="26" t="n">
        <f aca="false">L140</f>
        <v>39</v>
      </c>
    </row>
    <row r="142" customFormat="false" ht="14.25" hidden="false" customHeight="true" outlineLevel="0" collapsed="false">
      <c r="B142" s="15"/>
      <c r="C142" s="54" t="str">
        <f aca="false">Хмільник!C142</f>
        <v>Перець чорний горошком</v>
      </c>
      <c r="D142" s="15" t="n">
        <f aca="false">Хмільник!D142</f>
        <v>11622</v>
      </c>
      <c r="E142" s="15" t="s">
        <v>27</v>
      </c>
      <c r="F142" s="15"/>
      <c r="G142" s="29" t="n">
        <f aca="false">L142*K142</f>
        <v>0</v>
      </c>
      <c r="H142" s="17"/>
      <c r="I142" s="17"/>
      <c r="K142" s="55" t="n">
        <f aca="false">Хмільник!K142</f>
        <v>0</v>
      </c>
      <c r="L142" s="26" t="n">
        <f aca="false">L141</f>
        <v>39</v>
      </c>
    </row>
    <row r="143" customFormat="false" ht="14.25" hidden="false" customHeight="true" outlineLevel="0" collapsed="false">
      <c r="B143" s="15"/>
      <c r="C143" s="54" t="str">
        <f aca="false">Хмільник!C143</f>
        <v>Перець чорний мелений</v>
      </c>
      <c r="D143" s="15" t="n">
        <f aca="false">Хмільник!D143</f>
        <v>11623</v>
      </c>
      <c r="E143" s="15" t="s">
        <v>27</v>
      </c>
      <c r="F143" s="15"/>
      <c r="G143" s="29" t="n">
        <f aca="false">L143*K143</f>
        <v>0</v>
      </c>
      <c r="H143" s="17"/>
      <c r="I143" s="17"/>
      <c r="K143" s="55" t="n">
        <f aca="false">Хмільник!K143</f>
        <v>0</v>
      </c>
      <c r="L143" s="26" t="n">
        <f aca="false">L142</f>
        <v>39</v>
      </c>
    </row>
    <row r="144" customFormat="false" ht="14.25" hidden="false" customHeight="true" outlineLevel="0" collapsed="false">
      <c r="B144" s="15"/>
      <c r="C144" s="54" t="str">
        <f aca="false">Хмільник!C144</f>
        <v>Сіль кухонна екстра</v>
      </c>
      <c r="D144" s="15" t="n">
        <f aca="false">Хмільник!D144</f>
        <v>11624</v>
      </c>
      <c r="E144" s="15" t="s">
        <v>27</v>
      </c>
      <c r="F144" s="15"/>
      <c r="G144" s="29" t="n">
        <f aca="false">L144*K144</f>
        <v>0</v>
      </c>
      <c r="H144" s="17"/>
      <c r="I144" s="17"/>
      <c r="K144" s="55" t="n">
        <f aca="false">Хмільник!K144</f>
        <v>0</v>
      </c>
      <c r="L144" s="26" t="n">
        <f aca="false">L143</f>
        <v>39</v>
      </c>
    </row>
    <row r="145" customFormat="false" ht="14.25" hidden="false" customHeight="true" outlineLevel="0" collapsed="false">
      <c r="B145" s="15"/>
      <c r="C145" s="54" t="str">
        <f aca="false">Хмільник!C145</f>
        <v>Сіль кухонна</v>
      </c>
      <c r="D145" s="15" t="n">
        <f aca="false">Хмільник!D145</f>
        <v>11625</v>
      </c>
      <c r="E145" s="15" t="s">
        <v>27</v>
      </c>
      <c r="F145" s="15"/>
      <c r="G145" s="29" t="n">
        <f aca="false">L145*K145</f>
        <v>0</v>
      </c>
      <c r="H145" s="17"/>
      <c r="I145" s="17"/>
      <c r="K145" s="55" t="n">
        <f aca="false">Хмільник!K145</f>
        <v>0</v>
      </c>
      <c r="L145" s="26" t="n">
        <f aca="false">L144</f>
        <v>39</v>
      </c>
    </row>
    <row r="146" customFormat="false" ht="14.25" hidden="false" customHeight="true" outlineLevel="0" collapsed="false">
      <c r="B146" s="15"/>
      <c r="C146" s="54" t="str">
        <f aca="false">Хмільник!C146</f>
        <v>Томатна паста</v>
      </c>
      <c r="D146" s="15" t="n">
        <f aca="false">Хмільник!D146</f>
        <v>11626</v>
      </c>
      <c r="E146" s="15" t="s">
        <v>27</v>
      </c>
      <c r="F146" s="15"/>
      <c r="G146" s="29" t="n">
        <f aca="false">L146*K146</f>
        <v>0</v>
      </c>
      <c r="H146" s="17"/>
      <c r="I146" s="17"/>
      <c r="K146" s="55" t="n">
        <f aca="false">Хмільник!K146</f>
        <v>0</v>
      </c>
      <c r="L146" s="26" t="n">
        <f aca="false">L145</f>
        <v>39</v>
      </c>
    </row>
    <row r="147" customFormat="false" ht="14.25" hidden="false" customHeight="true" outlineLevel="0" collapsed="false">
      <c r="B147" s="15"/>
      <c r="C147" s="54" t="str">
        <f aca="false">Хмільник!C147</f>
        <v>Хрін</v>
      </c>
      <c r="D147" s="15" t="n">
        <f aca="false">Хмільник!D147</f>
        <v>11627</v>
      </c>
      <c r="E147" s="15" t="s">
        <v>27</v>
      </c>
      <c r="F147" s="15"/>
      <c r="G147" s="29" t="n">
        <f aca="false">L147*K147</f>
        <v>0</v>
      </c>
      <c r="H147" s="17"/>
      <c r="I147" s="17"/>
      <c r="K147" s="55" t="n">
        <f aca="false">Хмільник!K147</f>
        <v>0</v>
      </c>
      <c r="L147" s="26" t="n">
        <f aca="false">L146</f>
        <v>39</v>
      </c>
    </row>
    <row r="148" customFormat="false" ht="14.25" hidden="false" customHeight="true" outlineLevel="0" collapsed="false">
      <c r="B148" s="15"/>
      <c r="C148" s="54" t="str">
        <f aca="false">Хмільник!C148</f>
        <v>Кориця мелена</v>
      </c>
      <c r="D148" s="15" t="n">
        <f aca="false">Хмільник!D148</f>
        <v>11628</v>
      </c>
      <c r="E148" s="15" t="s">
        <v>27</v>
      </c>
      <c r="F148" s="15"/>
      <c r="G148" s="29" t="n">
        <f aca="false">L148*K148</f>
        <v>0</v>
      </c>
      <c r="H148" s="17"/>
      <c r="I148" s="17"/>
      <c r="K148" s="55" t="n">
        <f aca="false">Хмільник!K148</f>
        <v>0</v>
      </c>
      <c r="L148" s="26" t="n">
        <f aca="false">L147</f>
        <v>39</v>
      </c>
    </row>
    <row r="149" customFormat="false" ht="14.25" hidden="false" customHeight="true" outlineLevel="0" collapsed="false">
      <c r="B149" s="15"/>
      <c r="C149" s="54" t="str">
        <f aca="false">Хмільник!C149</f>
        <v>Ванілін</v>
      </c>
      <c r="D149" s="15" t="n">
        <f aca="false">Хмільник!D149</f>
        <v>11629</v>
      </c>
      <c r="E149" s="15" t="s">
        <v>27</v>
      </c>
      <c r="F149" s="15"/>
      <c r="G149" s="29" t="n">
        <f aca="false">L149*K149</f>
        <v>0</v>
      </c>
      <c r="H149" s="17"/>
      <c r="I149" s="17"/>
      <c r="K149" s="55" t="n">
        <f aca="false">Хмільник!K149</f>
        <v>0</v>
      </c>
      <c r="L149" s="26" t="n">
        <f aca="false">L148</f>
        <v>39</v>
      </c>
    </row>
    <row r="150" customFormat="false" ht="14.25" hidden="false" customHeight="true" outlineLevel="0" collapsed="false">
      <c r="B150" s="15"/>
      <c r="C150" s="54" t="str">
        <f aca="false">Хмільник!C150</f>
        <v>Ванільний цукор</v>
      </c>
      <c r="D150" s="15" t="n">
        <f aca="false">Хмільник!D150</f>
        <v>11630</v>
      </c>
      <c r="E150" s="15"/>
      <c r="F150" s="15"/>
      <c r="G150" s="29" t="n">
        <f aca="false">L150*K150</f>
        <v>0</v>
      </c>
      <c r="H150" s="17"/>
      <c r="I150" s="17"/>
      <c r="K150" s="55" t="n">
        <f aca="false">Хмільник!K150</f>
        <v>0</v>
      </c>
      <c r="L150" s="26" t="n">
        <f aca="false">L149</f>
        <v>39</v>
      </c>
    </row>
    <row r="151" customFormat="false" ht="14.25" hidden="false" customHeight="true" outlineLevel="0" collapsed="false">
      <c r="B151" s="15"/>
      <c r="C151" s="54" t="str">
        <f aca="false">Хмільник!C151</f>
        <v>Сіль йодована</v>
      </c>
      <c r="D151" s="15" t="n">
        <f aca="false">Хмільник!D151</f>
        <v>11631</v>
      </c>
      <c r="E151" s="15" t="s">
        <v>27</v>
      </c>
      <c r="F151" s="15"/>
      <c r="G151" s="29" t="n">
        <f aca="false">L151*K151</f>
        <v>0</v>
      </c>
      <c r="H151" s="17"/>
      <c r="I151" s="17"/>
      <c r="K151" s="55" t="n">
        <f aca="false">Хмільник!K151</f>
        <v>0</v>
      </c>
      <c r="L151" s="26" t="n">
        <f aca="false">L150</f>
        <v>39</v>
      </c>
    </row>
    <row r="152" customFormat="false" ht="14.25" hidden="false" customHeight="true" outlineLevel="0" collapsed="false">
      <c r="B152" s="15"/>
      <c r="C152" s="54" t="str">
        <f aca="false">Хмільник!C152</f>
        <v>Оцет яблучний 9 %</v>
      </c>
      <c r="D152" s="15" t="n">
        <f aca="false">Хмільник!D152</f>
        <v>11633</v>
      </c>
      <c r="E152" s="15" t="s">
        <v>27</v>
      </c>
      <c r="F152" s="15"/>
      <c r="G152" s="29" t="n">
        <f aca="false">L152*K152</f>
        <v>0</v>
      </c>
      <c r="H152" s="17"/>
      <c r="I152" s="17"/>
      <c r="K152" s="55" t="n">
        <f aca="false">Хмільник!K152</f>
        <v>0</v>
      </c>
      <c r="L152" s="26" t="n">
        <f aca="false">L151</f>
        <v>39</v>
      </c>
    </row>
    <row r="153" customFormat="false" ht="14.25" hidden="false" customHeight="true" outlineLevel="0" collapsed="false">
      <c r="B153" s="15"/>
      <c r="C153" s="54" t="str">
        <f aca="false">Хмільник!C153</f>
        <v>Кислота лимонна</v>
      </c>
      <c r="D153" s="15" t="n">
        <f aca="false">Хмільник!D153</f>
        <v>11634</v>
      </c>
      <c r="E153" s="15" t="s">
        <v>27</v>
      </c>
      <c r="F153" s="15"/>
      <c r="G153" s="29" t="n">
        <f aca="false">L153*K153</f>
        <v>0</v>
      </c>
      <c r="H153" s="17"/>
      <c r="I153" s="17"/>
      <c r="K153" s="55" t="n">
        <f aca="false">Хмільник!K153</f>
        <v>0</v>
      </c>
      <c r="L153" s="26" t="n">
        <f aca="false">L152</f>
        <v>39</v>
      </c>
    </row>
    <row r="154" customFormat="false" ht="14.25" hidden="false" customHeight="true" outlineLevel="0" collapsed="false">
      <c r="B154" s="15"/>
      <c r="C154" s="54" t="str">
        <f aca="false">Хмільник!C154</f>
        <v>Сода харчова</v>
      </c>
      <c r="D154" s="15" t="n">
        <f aca="false">Хмільник!D154</f>
        <v>11635</v>
      </c>
      <c r="E154" s="15" t="s">
        <v>27</v>
      </c>
      <c r="F154" s="15"/>
      <c r="G154" s="29" t="n">
        <f aca="false">L154*K154</f>
        <v>0</v>
      </c>
      <c r="H154" s="17"/>
      <c r="I154" s="17"/>
      <c r="K154" s="55" t="n">
        <f aca="false">Хмільник!K154</f>
        <v>0</v>
      </c>
      <c r="L154" s="26" t="n">
        <f aca="false">L153</f>
        <v>39</v>
      </c>
    </row>
    <row r="155" customFormat="false" ht="14.25" hidden="false" customHeight="true" outlineLevel="0" collapsed="false">
      <c r="B155" s="15"/>
      <c r="C155" s="54" t="str">
        <f aca="false">Хмільник!C155</f>
        <v>Перець духмяний горошком</v>
      </c>
      <c r="D155" s="15" t="n">
        <f aca="false">Хмільник!D155</f>
        <v>11636</v>
      </c>
      <c r="E155" s="15" t="s">
        <v>27</v>
      </c>
      <c r="F155" s="15"/>
      <c r="G155" s="29" t="n">
        <f aca="false">L155*K155</f>
        <v>0</v>
      </c>
      <c r="H155" s="17"/>
      <c r="I155" s="17"/>
      <c r="K155" s="55" t="n">
        <f aca="false">Хмільник!K155</f>
        <v>0</v>
      </c>
      <c r="L155" s="26" t="n">
        <f aca="false">L154</f>
        <v>39</v>
      </c>
    </row>
    <row r="156" customFormat="false" ht="14.25" hidden="false" customHeight="true" outlineLevel="0" collapsed="false">
      <c r="B156" s="15"/>
      <c r="C156" s="54" t="str">
        <f aca="false">Хмільник!C156</f>
        <v>Коріандр (прянощі)</v>
      </c>
      <c r="D156" s="15" t="n">
        <f aca="false">Хмільник!D156</f>
        <v>11637</v>
      </c>
      <c r="E156" s="15" t="s">
        <v>27</v>
      </c>
      <c r="F156" s="15"/>
      <c r="G156" s="29" t="n">
        <f aca="false">L156*K156</f>
        <v>0</v>
      </c>
      <c r="H156" s="17"/>
      <c r="I156" s="17"/>
      <c r="K156" s="55" t="n">
        <f aca="false">Хмільник!K156</f>
        <v>0</v>
      </c>
      <c r="L156" s="26" t="n">
        <f aca="false">L155</f>
        <v>39</v>
      </c>
    </row>
    <row r="157" customFormat="false" ht="14.25" hidden="false" customHeight="true" outlineLevel="0" collapsed="false">
      <c r="B157" s="15"/>
      <c r="C157" s="54" t="str">
        <f aca="false">Хмільник!C157</f>
        <v>Суміш спецій (без солі)</v>
      </c>
      <c r="D157" s="15" t="n">
        <f aca="false">Хмільник!D157</f>
        <v>11638</v>
      </c>
      <c r="E157" s="15" t="s">
        <v>27</v>
      </c>
      <c r="F157" s="15"/>
      <c r="G157" s="29" t="n">
        <f aca="false">L157*K157</f>
        <v>0</v>
      </c>
      <c r="H157" s="17"/>
      <c r="I157" s="17"/>
      <c r="K157" s="55" t="n">
        <f aca="false">Хмільник!K157</f>
        <v>0</v>
      </c>
      <c r="L157" s="26" t="n">
        <f aca="false">L156</f>
        <v>39</v>
      </c>
    </row>
    <row r="158" customFormat="false" ht="14.25" hidden="false" customHeight="true" outlineLevel="0" collapsed="false">
      <c r="B158" s="15"/>
      <c r="C158" s="54" t="str">
        <f aca="false">Хмільник!C158</f>
        <v>Паприка копчена мелена</v>
      </c>
      <c r="D158" s="15" t="n">
        <f aca="false">Хмільник!D158</f>
        <v>11639</v>
      </c>
      <c r="E158" s="15" t="s">
        <v>27</v>
      </c>
      <c r="F158" s="15"/>
      <c r="G158" s="29" t="n">
        <f aca="false">L158*K158</f>
        <v>0</v>
      </c>
      <c r="H158" s="17"/>
      <c r="I158" s="17"/>
      <c r="K158" s="55" t="n">
        <f aca="false">Хмільник!K158</f>
        <v>0</v>
      </c>
      <c r="L158" s="26" t="n">
        <f aca="false">L157</f>
        <v>39</v>
      </c>
    </row>
    <row r="159" customFormat="false" ht="14.25" hidden="false" customHeight="true" outlineLevel="0" collapsed="false">
      <c r="B159" s="15"/>
      <c r="C159" s="54" t="str">
        <f aca="false">Хмільник!C159</f>
        <v>Грудинка безкісткова копчена</v>
      </c>
      <c r="D159" s="15" t="n">
        <f aca="false">Хмільник!D159</f>
        <v>12001</v>
      </c>
      <c r="E159" s="15" t="s">
        <v>27</v>
      </c>
      <c r="F159" s="15"/>
      <c r="G159" s="29" t="n">
        <f aca="false">L159*K159</f>
        <v>0</v>
      </c>
      <c r="H159" s="17"/>
      <c r="I159" s="17"/>
      <c r="K159" s="55" t="n">
        <f aca="false">Хмільник!K159</f>
        <v>0</v>
      </c>
      <c r="L159" s="26" t="n">
        <f aca="false">L158</f>
        <v>39</v>
      </c>
    </row>
    <row r="160" customFormat="false" ht="14.25" hidden="false" customHeight="true" outlineLevel="0" collapsed="false">
      <c r="B160" s="15"/>
      <c r="C160" s="54" t="str">
        <f aca="false">Хмільник!C160</f>
        <v>Ковбаса варена вищого ґатунку</v>
      </c>
      <c r="D160" s="15" t="n">
        <f aca="false">Хмільник!D160</f>
        <v>12003</v>
      </c>
      <c r="E160" s="15" t="s">
        <v>27</v>
      </c>
      <c r="F160" s="15"/>
      <c r="G160" s="29" t="n">
        <f aca="false">L160*K160</f>
        <v>0</v>
      </c>
      <c r="H160" s="17"/>
      <c r="I160" s="17"/>
      <c r="K160" s="55" t="n">
        <f aca="false">Хмільник!K160</f>
        <v>0</v>
      </c>
      <c r="L160" s="26" t="n">
        <f aca="false">L159</f>
        <v>39</v>
      </c>
    </row>
    <row r="161" customFormat="false" ht="14.25" hidden="false" customHeight="true" outlineLevel="0" collapsed="false">
      <c r="B161" s="15"/>
      <c r="C161" s="54" t="str">
        <f aca="false">Хмільник!C161</f>
        <v>Ковбаса напівкопчена першого ґатунку</v>
      </c>
      <c r="D161" s="15" t="n">
        <f aca="false">Хмільник!D161</f>
        <v>12004</v>
      </c>
      <c r="E161" s="15" t="s">
        <v>27</v>
      </c>
      <c r="F161" s="15"/>
      <c r="G161" s="29" t="n">
        <f aca="false">L161*K161</f>
        <v>0</v>
      </c>
      <c r="H161" s="17"/>
      <c r="I161" s="17"/>
      <c r="K161" s="55" t="n">
        <f aca="false">Хмільник!K161</f>
        <v>0</v>
      </c>
      <c r="L161" s="26" t="n">
        <f aca="false">L160</f>
        <v>39</v>
      </c>
    </row>
    <row r="162" customFormat="false" ht="14.25" hidden="false" customHeight="true" outlineLevel="0" collapsed="false">
      <c r="B162" s="15"/>
      <c r="C162" s="54" t="str">
        <f aca="false">Хмільник!C162</f>
        <v>Ковбаса напівкопчена вищого ґатунку</v>
      </c>
      <c r="D162" s="15" t="n">
        <f aca="false">Хмільник!D162</f>
        <v>12005</v>
      </c>
      <c r="E162" s="15" t="s">
        <v>27</v>
      </c>
      <c r="F162" s="15"/>
      <c r="G162" s="29" t="n">
        <f aca="false">L162*K162</f>
        <v>0</v>
      </c>
      <c r="H162" s="17"/>
      <c r="I162" s="17"/>
      <c r="K162" s="55" t="n">
        <f aca="false">Хмільник!K162</f>
        <v>0</v>
      </c>
      <c r="L162" s="26" t="n">
        <f aca="false">L161</f>
        <v>39</v>
      </c>
    </row>
    <row r="163" customFormat="false" ht="14.25" hidden="false" customHeight="true" outlineLevel="0" collapsed="false">
      <c r="B163" s="15"/>
      <c r="C163" s="54" t="str">
        <f aca="false">Хмільник!C163</f>
        <v>Ковбаса сирокопчена вищого ґатунку</v>
      </c>
      <c r="D163" s="15" t="n">
        <f aca="false">Хмільник!D163</f>
        <v>12007</v>
      </c>
      <c r="E163" s="15" t="s">
        <v>27</v>
      </c>
      <c r="F163" s="15"/>
      <c r="G163" s="29" t="n">
        <f aca="false">L163*K163</f>
        <v>0</v>
      </c>
      <c r="H163" s="17"/>
      <c r="I163" s="17"/>
      <c r="K163" s="55" t="n">
        <f aca="false">Хмільник!K163</f>
        <v>0</v>
      </c>
      <c r="L163" s="26" t="n">
        <f aca="false">L162</f>
        <v>39</v>
      </c>
    </row>
    <row r="164" customFormat="false" ht="14.25" hidden="false" customHeight="true" outlineLevel="0" collapsed="false">
      <c r="B164" s="15"/>
      <c r="C164" s="54" t="str">
        <f aca="false">Хмільник!C164</f>
        <v>Консерви “Паштети м’ясні”</v>
      </c>
      <c r="D164" s="15" t="n">
        <f aca="false">Хмільник!D164</f>
        <v>12008</v>
      </c>
      <c r="E164" s="15" t="s">
        <v>27</v>
      </c>
      <c r="F164" s="15"/>
      <c r="G164" s="29" t="n">
        <f aca="false">L164*K164</f>
        <v>0</v>
      </c>
      <c r="H164" s="17"/>
      <c r="I164" s="17"/>
      <c r="K164" s="55" t="n">
        <f aca="false">Хмільник!K164</f>
        <v>0</v>
      </c>
      <c r="L164" s="26" t="n">
        <f aca="false">L163</f>
        <v>39</v>
      </c>
    </row>
    <row r="165" customFormat="false" ht="14.25" hidden="false" customHeight="true" outlineLevel="0" collapsed="false">
      <c r="B165" s="15"/>
      <c r="C165" s="54" t="str">
        <f aca="false">Хмільник!C165</f>
        <v>Консерви “Паштети печінкові”</v>
      </c>
      <c r="D165" s="15" t="n">
        <f aca="false">Хмільник!D165</f>
        <v>12009</v>
      </c>
      <c r="E165" s="15" t="s">
        <v>27</v>
      </c>
      <c r="F165" s="15"/>
      <c r="G165" s="29" t="n">
        <f aca="false">L165*K165</f>
        <v>0</v>
      </c>
      <c r="H165" s="17"/>
      <c r="I165" s="17"/>
      <c r="K165" s="55" t="n">
        <f aca="false">Хмільник!K165</f>
        <v>0</v>
      </c>
      <c r="L165" s="26" t="n">
        <f aca="false">L164</f>
        <v>39</v>
      </c>
    </row>
    <row r="166" customFormat="false" ht="14.25" hidden="false" customHeight="true" outlineLevel="0" collapsed="false">
      <c r="B166" s="15"/>
      <c r="C166" s="54" t="str">
        <f aca="false">Хмільник!C166</f>
        <v>Консерви м’ясорослинні в асортименті</v>
      </c>
      <c r="D166" s="15" t="n">
        <f aca="false">Хмільник!D166</f>
        <v>12010</v>
      </c>
      <c r="E166" s="15" t="s">
        <v>27</v>
      </c>
      <c r="F166" s="15"/>
      <c r="G166" s="29" t="n">
        <f aca="false">L166*K166</f>
        <v>0</v>
      </c>
      <c r="H166" s="17"/>
      <c r="I166" s="17"/>
      <c r="K166" s="55" t="n">
        <f aca="false">Хмільник!K166</f>
        <v>0</v>
      </c>
      <c r="L166" s="26" t="n">
        <f aca="false">L165</f>
        <v>39</v>
      </c>
    </row>
    <row r="167" customFormat="false" ht="14.25" hidden="false" customHeight="true" outlineLevel="0" collapsed="false">
      <c r="B167" s="15"/>
      <c r="C167" s="54" t="str">
        <f aca="false">Хмільник!C167</f>
        <v>Консерви сніданки м'ясні</v>
      </c>
      <c r="D167" s="15" t="n">
        <f aca="false">Хмільник!D167</f>
        <v>12011</v>
      </c>
      <c r="E167" s="15" t="s">
        <v>27</v>
      </c>
      <c r="F167" s="15"/>
      <c r="G167" s="29" t="n">
        <f aca="false">L167*K167</f>
        <v>0</v>
      </c>
      <c r="H167" s="17"/>
      <c r="I167" s="17"/>
      <c r="K167" s="55" t="n">
        <f aca="false">Хмільник!K167</f>
        <v>0</v>
      </c>
      <c r="L167" s="26" t="n">
        <f aca="false">L166</f>
        <v>39</v>
      </c>
    </row>
    <row r="168" customFormat="false" ht="14.25" hidden="false" customHeight="true" outlineLevel="0" collapsed="false">
      <c r="B168" s="15"/>
      <c r="C168" s="54" t="str">
        <f aca="false">Хмільник!C168</f>
        <v>Консерви “Свинина тушкована”</v>
      </c>
      <c r="D168" s="15" t="n">
        <f aca="false">Хмільник!D168</f>
        <v>12012</v>
      </c>
      <c r="E168" s="15" t="s">
        <v>27</v>
      </c>
      <c r="F168" s="15"/>
      <c r="G168" s="29" t="n">
        <f aca="false">L168*K168</f>
        <v>0</v>
      </c>
      <c r="H168" s="17"/>
      <c r="I168" s="17"/>
      <c r="K168" s="55" t="n">
        <f aca="false">Хмільник!K168</f>
        <v>0</v>
      </c>
      <c r="L168" s="26" t="n">
        <f aca="false">L167</f>
        <v>39</v>
      </c>
    </row>
    <row r="169" customFormat="false" ht="14.25" hidden="false" customHeight="true" outlineLevel="0" collapsed="false">
      <c r="B169" s="15"/>
      <c r="C169" s="54" t="str">
        <f aca="false">Хмільник!C169</f>
        <v>Консерви “Яловичина тушкована вищ ґат”</v>
      </c>
      <c r="D169" s="15" t="n">
        <f aca="false">Хмільник!D169</f>
        <v>12013</v>
      </c>
      <c r="E169" s="15" t="s">
        <v>27</v>
      </c>
      <c r="F169" s="15"/>
      <c r="G169" s="29" t="n">
        <f aca="false">L169*K169</f>
        <v>0</v>
      </c>
      <c r="H169" s="17"/>
      <c r="I169" s="17"/>
      <c r="K169" s="55" t="n">
        <f aca="false">Хмільник!K169</f>
        <v>0</v>
      </c>
      <c r="L169" s="26" t="n">
        <f aca="false">L168</f>
        <v>39</v>
      </c>
    </row>
    <row r="170" customFormat="false" ht="14.25" hidden="false" customHeight="true" outlineLevel="0" collapsed="false">
      <c r="B170" s="15"/>
      <c r="C170" s="54" t="str">
        <f aca="false">Хмільник!C170</f>
        <v>Качина тушка охолоджена</v>
      </c>
      <c r="D170" s="15" t="n">
        <f aca="false">Хмільник!D170</f>
        <v>12014</v>
      </c>
      <c r="E170" s="15" t="s">
        <v>27</v>
      </c>
      <c r="F170" s="15"/>
      <c r="G170" s="29" t="n">
        <f aca="false">L170*K170</f>
        <v>0</v>
      </c>
      <c r="H170" s="17"/>
      <c r="I170" s="17"/>
      <c r="K170" s="55" t="n">
        <f aca="false">Хмільник!K170</f>
        <v>0</v>
      </c>
      <c r="L170" s="26" t="n">
        <f aca="false">L169</f>
        <v>39</v>
      </c>
    </row>
    <row r="171" customFormat="false" ht="14.25" hidden="false" customHeight="true" outlineLevel="0" collapsed="false">
      <c r="B171" s="15"/>
      <c r="C171" s="54" t="str">
        <f aca="false">Хмільник!C171</f>
        <v>Індиче філе заморожене</v>
      </c>
      <c r="D171" s="15" t="n">
        <f aca="false">Хмільник!D171</f>
        <v>12016</v>
      </c>
      <c r="E171" s="15" t="s">
        <v>27</v>
      </c>
      <c r="F171" s="15"/>
      <c r="G171" s="29" t="n">
        <f aca="false">L171*K171</f>
        <v>0</v>
      </c>
      <c r="H171" s="17"/>
      <c r="I171" s="17"/>
      <c r="K171" s="55" t="n">
        <f aca="false">Хмільник!K171</f>
        <v>0</v>
      </c>
      <c r="L171" s="26" t="n">
        <f aca="false">L170</f>
        <v>39</v>
      </c>
    </row>
    <row r="172" customFormat="false" ht="14.25" hidden="false" customHeight="true" outlineLevel="0" collapsed="false">
      <c r="B172" s="15"/>
      <c r="C172" s="54" t="str">
        <f aca="false">Хмільник!C172</f>
        <v>Індиче стегно заморожене</v>
      </c>
      <c r="D172" s="15" t="n">
        <f aca="false">Хмільник!D172</f>
        <v>12020</v>
      </c>
      <c r="E172" s="15" t="s">
        <v>27</v>
      </c>
      <c r="F172" s="15"/>
      <c r="G172" s="29" t="n">
        <f aca="false">L172*K172</f>
        <v>0</v>
      </c>
      <c r="H172" s="17"/>
      <c r="I172" s="17"/>
      <c r="K172" s="55" t="n">
        <f aca="false">Хмільник!K172</f>
        <v>0</v>
      </c>
      <c r="L172" s="26" t="n">
        <f aca="false">L171</f>
        <v>39</v>
      </c>
    </row>
    <row r="173" customFormat="false" ht="14.25" hidden="false" customHeight="true" outlineLevel="0" collapsed="false">
      <c r="B173" s="15"/>
      <c r="C173" s="54" t="str">
        <f aca="false">Хмільник!C173</f>
        <v>Куряче філе заморожене</v>
      </c>
      <c r="D173" s="15" t="n">
        <f aca="false">Хмільник!D173</f>
        <v>12022</v>
      </c>
      <c r="E173" s="15" t="s">
        <v>27</v>
      </c>
      <c r="F173" s="15"/>
      <c r="G173" s="29" t="n">
        <f aca="false">L173*K173</f>
        <v>0</v>
      </c>
      <c r="H173" s="17"/>
      <c r="I173" s="17"/>
      <c r="K173" s="55" t="n">
        <f aca="false">Хмільник!K173</f>
        <v>0</v>
      </c>
      <c r="L173" s="26" t="n">
        <f aca="false">L172</f>
        <v>39</v>
      </c>
    </row>
    <row r="174" customFormat="false" ht="16.5" hidden="false" customHeight="false" outlineLevel="0" collapsed="false">
      <c r="B174" s="15"/>
      <c r="C174" s="54" t="str">
        <f aca="false">Хмільник!C174</f>
        <v>Куряче філе охолоджене</v>
      </c>
      <c r="D174" s="15" t="n">
        <f aca="false">Хмільник!D174</f>
        <v>12023</v>
      </c>
      <c r="E174" s="15" t="s">
        <v>27</v>
      </c>
      <c r="F174" s="15"/>
      <c r="G174" s="29" t="n">
        <f aca="false">L174*K174</f>
        <v>0</v>
      </c>
      <c r="H174" s="17"/>
      <c r="I174" s="17"/>
      <c r="K174" s="55" t="n">
        <f aca="false">Хмільник!K174</f>
        <v>0</v>
      </c>
      <c r="L174" s="26" t="n">
        <f aca="false">L173</f>
        <v>39</v>
      </c>
    </row>
    <row r="175" customFormat="false" ht="15" hidden="false" customHeight="true" outlineLevel="0" collapsed="false">
      <c r="B175" s="15"/>
      <c r="C175" s="54" t="str">
        <f aca="false">Хмільник!C175</f>
        <v>Куряча гомілка заморожена</v>
      </c>
      <c r="D175" s="15" t="n">
        <f aca="false">Хмільник!D175</f>
        <v>12024</v>
      </c>
      <c r="E175" s="15" t="s">
        <v>27</v>
      </c>
      <c r="F175" s="15"/>
      <c r="G175" s="29" t="n">
        <f aca="false">L175*K175</f>
        <v>0</v>
      </c>
      <c r="H175" s="17"/>
      <c r="I175" s="17"/>
      <c r="K175" s="55" t="n">
        <f aca="false">Хмільник!K175</f>
        <v>0</v>
      </c>
      <c r="L175" s="26" t="n">
        <f aca="false">L174</f>
        <v>39</v>
      </c>
    </row>
    <row r="176" customFormat="false" ht="14.25" hidden="false" customHeight="true" outlineLevel="0" collapsed="false">
      <c r="B176" s="15"/>
      <c r="C176" s="54" t="str">
        <f aca="false">Хмільник!C176</f>
        <v>Куряча гомілка охолоджена</v>
      </c>
      <c r="D176" s="15" t="n">
        <f aca="false">Хмільник!D176</f>
        <v>12025</v>
      </c>
      <c r="E176" s="15" t="s">
        <v>27</v>
      </c>
      <c r="F176" s="15"/>
      <c r="G176" s="29" t="n">
        <f aca="false">L176*K176</f>
        <v>0</v>
      </c>
      <c r="H176" s="17"/>
      <c r="I176" s="17"/>
      <c r="K176" s="55" t="n">
        <f aca="false">Хмільник!K176</f>
        <v>0</v>
      </c>
      <c r="L176" s="26" t="n">
        <f aca="false">L175</f>
        <v>39</v>
      </c>
    </row>
    <row r="177" customFormat="false" ht="14.25" hidden="false" customHeight="true" outlineLevel="0" collapsed="false">
      <c r="B177" s="15"/>
      <c r="C177" s="54" t="str">
        <f aca="false">Хмільник!C177</f>
        <v>Куряче крило заморожене</v>
      </c>
      <c r="D177" s="15"/>
      <c r="E177" s="15" t="s">
        <v>27</v>
      </c>
      <c r="F177" s="15"/>
      <c r="G177" s="29" t="n">
        <f aca="false">L177*K177</f>
        <v>0</v>
      </c>
      <c r="H177" s="17"/>
      <c r="I177" s="17"/>
      <c r="K177" s="55" t="n">
        <f aca="false">Хмільник!K177</f>
        <v>0</v>
      </c>
      <c r="L177" s="26" t="n">
        <f aca="false">L176</f>
        <v>39</v>
      </c>
    </row>
    <row r="178" customFormat="false" ht="18" hidden="false" customHeight="true" outlineLevel="0" collapsed="false">
      <c r="B178" s="15"/>
      <c r="C178" s="54" t="str">
        <f aca="false">Хмільник!C178</f>
        <v>Куряче стегно заморожене</v>
      </c>
      <c r="D178" s="15" t="n">
        <f aca="false">Хмільник!D178</f>
        <v>12028</v>
      </c>
      <c r="E178" s="15" t="s">
        <v>27</v>
      </c>
      <c r="F178" s="15"/>
      <c r="G178" s="29" t="n">
        <f aca="false">L178*K178</f>
        <v>0</v>
      </c>
      <c r="H178" s="17"/>
      <c r="I178" s="17"/>
      <c r="K178" s="55" t="n">
        <f aca="false">Хмільник!K178</f>
        <v>0</v>
      </c>
      <c r="L178" s="26" t="n">
        <f aca="false">L177</f>
        <v>39</v>
      </c>
    </row>
    <row r="179" s="41" customFormat="true" ht="20.25" hidden="false" customHeight="true" outlineLevel="0" collapsed="false">
      <c r="B179" s="59"/>
      <c r="C179" s="54" t="str">
        <f aca="false">Хмільник!C179</f>
        <v>Куряче стегно охолоджене</v>
      </c>
      <c r="D179" s="15" t="n">
        <f aca="false">Хмільник!D179</f>
        <v>12029</v>
      </c>
      <c r="E179" s="42"/>
      <c r="F179" s="42"/>
      <c r="G179" s="29" t="n">
        <f aca="false">L179*K179</f>
        <v>0</v>
      </c>
      <c r="H179" s="43"/>
      <c r="I179" s="43"/>
      <c r="K179" s="55" t="n">
        <f aca="false">Хмільник!K179</f>
        <v>0</v>
      </c>
      <c r="L179" s="26" t="n">
        <f aca="false">L178</f>
        <v>39</v>
      </c>
    </row>
    <row r="180" customFormat="false" ht="31.5" hidden="false" customHeight="true" outlineLevel="0" collapsed="false">
      <c r="C180" s="54" t="str">
        <f aca="false">Хмільник!C180</f>
        <v>Куряча тушка заморожена</v>
      </c>
      <c r="D180" s="15" t="n">
        <f aca="false">Хмільник!D180</f>
        <v>12030</v>
      </c>
      <c r="E180" s="33"/>
      <c r="F180" s="33"/>
      <c r="G180" s="29" t="n">
        <f aca="false">L180*K180</f>
        <v>0</v>
      </c>
      <c r="H180" s="48"/>
      <c r="I180" s="33"/>
      <c r="K180" s="55" t="n">
        <f aca="false">Хмільник!K180</f>
        <v>0</v>
      </c>
      <c r="L180" s="26" t="n">
        <f aca="false">L179</f>
        <v>39</v>
      </c>
    </row>
    <row r="181" customFormat="false" ht="14.25" hidden="false" customHeight="true" outlineLevel="0" collapsed="false">
      <c r="C181" s="54" t="str">
        <f aca="false">Хмільник!C181</f>
        <v>Куряча тушка охолоджена</v>
      </c>
      <c r="D181" s="15" t="n">
        <f aca="false">Хмільник!D181</f>
        <v>12031</v>
      </c>
      <c r="E181" s="54"/>
      <c r="F181" s="54"/>
      <c r="G181" s="29" t="n">
        <f aca="false">L181*K181</f>
        <v>0</v>
      </c>
      <c r="H181" s="54"/>
      <c r="I181" s="54"/>
      <c r="K181" s="55" t="n">
        <f aca="false">Хмільник!K181</f>
        <v>0</v>
      </c>
      <c r="L181" s="26" t="n">
        <f aca="false">L180</f>
        <v>39</v>
      </c>
    </row>
    <row r="182" customFormat="false" ht="14.25" hidden="false" customHeight="true" outlineLevel="0" collapsed="false">
      <c r="C182" s="54" t="str">
        <f aca="false">Хмільник!C182</f>
        <v>Печінка куряча заморожена</v>
      </c>
      <c r="D182" s="15" t="n">
        <f aca="false">Хмільник!D182</f>
        <v>12032</v>
      </c>
      <c r="E182" s="54"/>
      <c r="F182" s="54"/>
      <c r="G182" s="29" t="n">
        <f aca="false">L182*K182</f>
        <v>0</v>
      </c>
      <c r="H182" s="54"/>
      <c r="I182" s="54"/>
      <c r="K182" s="55" t="n">
        <f aca="false">Хмільник!K182</f>
        <v>0</v>
      </c>
      <c r="L182" s="26" t="n">
        <f aca="false">L181</f>
        <v>39</v>
      </c>
    </row>
    <row r="183" customFormat="false" ht="14.25" hidden="false" customHeight="true" outlineLevel="0" collapsed="false">
      <c r="C183" s="54" t="str">
        <f aca="false">Хмільник!C183</f>
        <v>Сало свіже</v>
      </c>
      <c r="D183" s="15" t="n">
        <f aca="false">Хмільник!D183</f>
        <v>12033</v>
      </c>
      <c r="E183" s="54"/>
      <c r="F183" s="54"/>
      <c r="G183" s="29" t="n">
        <f aca="false">L183*K183</f>
        <v>0</v>
      </c>
      <c r="H183" s="54"/>
      <c r="I183" s="54"/>
      <c r="K183" s="55" t="n">
        <f aca="false">Хмільник!K183</f>
        <v>0</v>
      </c>
      <c r="L183" s="26" t="n">
        <f aca="false">L182</f>
        <v>39</v>
      </c>
    </row>
    <row r="184" customFormat="false" ht="14.25" hidden="false" customHeight="true" outlineLevel="0" collapsed="false">
      <c r="C184" s="54" t="str">
        <f aca="false">Хмільник!C184</f>
        <v>Сало солоне</v>
      </c>
      <c r="D184" s="15" t="n">
        <f aca="false">Хмільник!D184</f>
        <v>12034</v>
      </c>
      <c r="E184" s="54"/>
      <c r="F184" s="54"/>
      <c r="G184" s="29" t="n">
        <f aca="false">L184*K184</f>
        <v>0</v>
      </c>
      <c r="H184" s="54"/>
      <c r="I184" s="54"/>
      <c r="K184" s="55" t="n">
        <f aca="false">Хмільник!K184</f>
        <v>0</v>
      </c>
      <c r="L184" s="26" t="n">
        <f aca="false">L183</f>
        <v>39</v>
      </c>
    </row>
    <row r="185" customFormat="false" ht="14.25" hidden="false" customHeight="true" outlineLevel="0" collapsed="false">
      <c r="B185" s="62"/>
      <c r="C185" s="54" t="str">
        <f aca="false">Хмільник!C185</f>
        <v>Сардельки першого ґатунку</v>
      </c>
      <c r="D185" s="15" t="n">
        <f aca="false">Хмільник!D185</f>
        <v>12035</v>
      </c>
      <c r="E185" s="16"/>
      <c r="F185" s="16"/>
      <c r="G185" s="29" t="n">
        <f aca="false">L185*K185</f>
        <v>0</v>
      </c>
      <c r="H185" s="50"/>
      <c r="I185" s="16"/>
      <c r="K185" s="55" t="n">
        <f aca="false">Хмільник!K185</f>
        <v>0</v>
      </c>
      <c r="L185" s="26" t="n">
        <f aca="false">L184</f>
        <v>39</v>
      </c>
    </row>
    <row r="186" customFormat="false" ht="14.25" hidden="false" customHeight="true" outlineLevel="0" collapsed="false">
      <c r="B186" s="62"/>
      <c r="C186" s="54" t="str">
        <f aca="false">Хмільник!C186</f>
        <v>Сардельки вищого ґатунку</v>
      </c>
      <c r="D186" s="15" t="n">
        <f aca="false">Хмільник!D186</f>
        <v>12036</v>
      </c>
      <c r="E186" s="16"/>
      <c r="F186" s="16"/>
      <c r="G186" s="29" t="n">
        <f aca="false">L186*K186</f>
        <v>0</v>
      </c>
      <c r="H186" s="50"/>
      <c r="I186" s="16"/>
      <c r="K186" s="55" t="n">
        <f aca="false">Хмільник!K186</f>
        <v>0</v>
      </c>
      <c r="L186" s="26" t="n">
        <f aca="false">L185</f>
        <v>39</v>
      </c>
    </row>
    <row r="187" customFormat="false" ht="14.25" hidden="false" customHeight="true" outlineLevel="0" collapsed="false">
      <c r="B187" s="62"/>
      <c r="C187" s="54" t="str">
        <f aca="false">Хмільник!C187</f>
        <v>Свинина, грудинка безкісткова охолоджена</v>
      </c>
      <c r="D187" s="15" t="n">
        <f aca="false">Хмільник!D187</f>
        <v>12037</v>
      </c>
      <c r="E187" s="16"/>
      <c r="F187" s="16"/>
      <c r="G187" s="29" t="n">
        <f aca="false">L187*K187</f>
        <v>0</v>
      </c>
      <c r="H187" s="50"/>
      <c r="I187" s="16"/>
      <c r="K187" s="55" t="n">
        <f aca="false">Хмільник!K187</f>
        <v>0</v>
      </c>
      <c r="L187" s="26" t="n">
        <f aca="false">L186</f>
        <v>39</v>
      </c>
    </row>
    <row r="188" customFormat="false" ht="14.25" hidden="false" customHeight="true" outlineLevel="0" collapsed="false">
      <c r="B188" s="62"/>
      <c r="C188" s="54" t="str">
        <f aca="false">Хмільник!C188</f>
        <v>Свинина, корейка без кістки заморожена</v>
      </c>
      <c r="D188" s="15" t="n">
        <f aca="false">Хмільник!D188</f>
        <v>12038</v>
      </c>
      <c r="E188" s="16"/>
      <c r="F188" s="16"/>
      <c r="G188" s="29" t="n">
        <f aca="false">L188*K188</f>
        <v>0</v>
      </c>
      <c r="H188" s="50"/>
      <c r="I188" s="16"/>
      <c r="K188" s="55" t="n">
        <f aca="false">Хмільник!K188</f>
        <v>0</v>
      </c>
      <c r="L188" s="26" t="n">
        <f aca="false">L187</f>
        <v>39</v>
      </c>
    </row>
    <row r="189" customFormat="false" ht="14.25" hidden="false" customHeight="true" outlineLevel="0" collapsed="false">
      <c r="C189" s="54" t="str">
        <f aca="false">Хмільник!C189</f>
        <v>Свинина, корейка без кістки охолоджена</v>
      </c>
      <c r="D189" s="15" t="n">
        <f aca="false">Хмільник!D189</f>
        <v>12039</v>
      </c>
      <c r="E189" s="16"/>
      <c r="F189" s="16"/>
      <c r="G189" s="29" t="n">
        <f aca="false">L189*K189</f>
        <v>0</v>
      </c>
      <c r="H189" s="50"/>
      <c r="I189" s="16"/>
      <c r="K189" s="55" t="n">
        <f aca="false">Хмільник!K189</f>
        <v>0</v>
      </c>
      <c r="L189" s="26" t="n">
        <f aca="false">L188</f>
        <v>39</v>
      </c>
    </row>
    <row r="190" customFormat="false" ht="14.25" hidden="false" customHeight="true" outlineLevel="0" collapsed="false">
      <c r="C190" s="54" t="str">
        <f aca="false">Хмільник!C190</f>
        <v>Свинина, корейка з кісткою заморожена</v>
      </c>
      <c r="D190" s="15" t="n">
        <f aca="false">Хмільник!D190</f>
        <v>12040</v>
      </c>
      <c r="E190" s="54"/>
      <c r="F190" s="54"/>
      <c r="G190" s="29" t="n">
        <f aca="false">L190*K190</f>
        <v>0</v>
      </c>
      <c r="H190" s="54"/>
      <c r="I190" s="54"/>
      <c r="K190" s="55" t="n">
        <f aca="false">Хмільник!K190</f>
        <v>0</v>
      </c>
      <c r="L190" s="26" t="n">
        <f aca="false">L189</f>
        <v>39</v>
      </c>
    </row>
    <row r="191" customFormat="false" ht="14.25" hidden="false" customHeight="true" outlineLevel="0" collapsed="false">
      <c r="C191" s="54" t="str">
        <f aca="false">Хмільник!C191</f>
        <v>Свинина, корейка з кісткою охолоджена</v>
      </c>
      <c r="D191" s="15" t="n">
        <f aca="false">Хмільник!D191</f>
        <v>12041</v>
      </c>
      <c r="E191" s="16"/>
      <c r="F191" s="16"/>
      <c r="G191" s="29" t="n">
        <f aca="false">L191*K191</f>
        <v>0</v>
      </c>
      <c r="H191" s="50"/>
      <c r="I191" s="16"/>
      <c r="K191" s="55" t="n">
        <f aca="false">Хмільник!K191</f>
        <v>0</v>
      </c>
      <c r="L191" s="26" t="n">
        <f aca="false">L190</f>
        <v>39</v>
      </c>
    </row>
    <row r="192" customFormat="false" ht="14.25" hidden="false" customHeight="true" outlineLevel="0" collapsed="false">
      <c r="C192" s="54" t="str">
        <f aca="false">Хмільник!C192</f>
        <v>Свинина, лопатка без кістки заморожена</v>
      </c>
      <c r="D192" s="15" t="n">
        <f aca="false">Хмільник!D192</f>
        <v>12042</v>
      </c>
      <c r="E192" s="54"/>
      <c r="F192" s="54"/>
      <c r="G192" s="29" t="n">
        <f aca="false">L192*K192</f>
        <v>0</v>
      </c>
      <c r="H192" s="54"/>
      <c r="I192" s="54"/>
      <c r="K192" s="55" t="n">
        <f aca="false">Хмільник!K192</f>
        <v>0</v>
      </c>
      <c r="L192" s="26" t="n">
        <f aca="false">L191</f>
        <v>39</v>
      </c>
    </row>
    <row r="193" customFormat="false" ht="16.5" hidden="false" customHeight="false" outlineLevel="0" collapsed="false">
      <c r="C193" s="54" t="str">
        <f aca="false">Хмільник!C193</f>
        <v>Свинина, лопатка без кістки охолоджена</v>
      </c>
      <c r="D193" s="15" t="n">
        <f aca="false">Хмільник!D193</f>
        <v>12043</v>
      </c>
      <c r="E193" s="33"/>
      <c r="F193" s="33"/>
      <c r="G193" s="29" t="n">
        <f aca="false">L193*K193</f>
        <v>0</v>
      </c>
      <c r="H193" s="48"/>
      <c r="I193" s="33"/>
      <c r="K193" s="55" t="n">
        <f aca="false">Хмільник!K193</f>
        <v>0</v>
      </c>
      <c r="L193" s="26" t="n">
        <f aca="false">L192</f>
        <v>39</v>
      </c>
    </row>
    <row r="194" customFormat="false" ht="16.5" hidden="false" customHeight="false" outlineLevel="0" collapsed="false">
      <c r="C194" s="54" t="str">
        <f aca="false">Хмільник!C194</f>
        <v>Свинина півтуші, заморожена</v>
      </c>
      <c r="D194" s="15" t="n">
        <f aca="false">Хмільник!D194</f>
        <v>12044</v>
      </c>
      <c r="E194" s="33"/>
      <c r="F194" s="33"/>
      <c r="G194" s="29" t="n">
        <f aca="false">L194*K194</f>
        <v>0</v>
      </c>
      <c r="H194" s="48"/>
      <c r="I194" s="33"/>
      <c r="K194" s="55" t="n">
        <f aca="false">Хмільник!K194</f>
        <v>0</v>
      </c>
      <c r="L194" s="26" t="n">
        <f aca="false">L193</f>
        <v>39</v>
      </c>
    </row>
    <row r="195" customFormat="false" ht="16.5" hidden="false" customHeight="false" outlineLevel="0" collapsed="false">
      <c r="C195" s="54" t="str">
        <f aca="false">Хмільник!C195</f>
        <v>Свинина, ошийок охолоджений</v>
      </c>
      <c r="D195" s="15" t="n">
        <f aca="false">Хмільник!D195</f>
        <v>12046</v>
      </c>
      <c r="E195" s="33"/>
      <c r="F195" s="33"/>
      <c r="G195" s="29" t="n">
        <f aca="false">L195*K195</f>
        <v>0</v>
      </c>
      <c r="H195" s="48"/>
      <c r="I195" s="33"/>
      <c r="K195" s="55" t="n">
        <f aca="false">Хмільник!K195</f>
        <v>0</v>
      </c>
      <c r="L195" s="26" t="n">
        <f aca="false">L194</f>
        <v>39</v>
      </c>
    </row>
    <row r="196" customFormat="false" ht="16.5" hidden="false" customHeight="false" outlineLevel="0" collapsed="false">
      <c r="C196" s="54" t="str">
        <f aca="false">Хмільник!C196</f>
        <v>Свинина, печінка заморожена</v>
      </c>
      <c r="D196" s="15" t="n">
        <f aca="false">Хмільник!D196</f>
        <v>12047</v>
      </c>
      <c r="E196" s="33"/>
      <c r="F196" s="33"/>
      <c r="G196" s="29" t="n">
        <f aca="false">L196*K196</f>
        <v>0</v>
      </c>
      <c r="H196" s="48"/>
      <c r="I196" s="33"/>
      <c r="K196" s="55" t="n">
        <f aca="false">Хмільник!K196</f>
        <v>0</v>
      </c>
      <c r="L196" s="26" t="n">
        <f aca="false">L195</f>
        <v>39</v>
      </c>
    </row>
    <row r="197" customFormat="false" ht="16.5" hidden="false" customHeight="false" outlineLevel="0" collapsed="false">
      <c r="C197" s="54" t="str">
        <f aca="false">Хмільник!C197</f>
        <v>Свинина, ребра заморожені</v>
      </c>
      <c r="D197" s="15" t="n">
        <f aca="false">Хмільник!D197</f>
        <v>12049</v>
      </c>
      <c r="E197" s="33"/>
      <c r="F197" s="33"/>
      <c r="G197" s="29" t="n">
        <f aca="false">L197*K197</f>
        <v>0</v>
      </c>
      <c r="H197" s="48"/>
      <c r="I197" s="33"/>
      <c r="K197" s="55" t="n">
        <f aca="false">Хмільник!K197</f>
        <v>0</v>
      </c>
      <c r="L197" s="26" t="n">
        <f aca="false">L196</f>
        <v>39</v>
      </c>
    </row>
    <row r="198" customFormat="false" ht="16.5" hidden="false" customHeight="false" outlineLevel="0" collapsed="false">
      <c r="C198" s="54" t="str">
        <f aca="false">Хмільник!C198</f>
        <v>Свинина, стегно заморожене</v>
      </c>
      <c r="D198" s="15" t="n">
        <f aca="false">Хмільник!D198</f>
        <v>12051</v>
      </c>
      <c r="E198" s="33"/>
      <c r="F198" s="33"/>
      <c r="G198" s="29" t="n">
        <f aca="false">L198*K198</f>
        <v>0</v>
      </c>
      <c r="H198" s="48"/>
      <c r="I198" s="33"/>
      <c r="K198" s="55" t="n">
        <f aca="false">Хмільник!K198</f>
        <v>0</v>
      </c>
      <c r="L198" s="26" t="n">
        <f aca="false">L197</f>
        <v>39</v>
      </c>
    </row>
    <row r="199" customFormat="false" ht="16.5" hidden="false" customHeight="false" outlineLevel="0" collapsed="false">
      <c r="C199" s="54" t="str">
        <f aca="false">Хмільник!C199</f>
        <v>Свинина, стегно охолоджене</v>
      </c>
      <c r="D199" s="15" t="n">
        <f aca="false">Хмільник!D199</f>
        <v>12052</v>
      </c>
      <c r="E199" s="33"/>
      <c r="F199" s="33"/>
      <c r="G199" s="29" t="n">
        <f aca="false">L199*K199</f>
        <v>0</v>
      </c>
      <c r="H199" s="48"/>
      <c r="I199" s="33"/>
      <c r="K199" s="55" t="n">
        <f aca="false">Хмільник!K199</f>
        <v>0</v>
      </c>
      <c r="L199" s="26" t="n">
        <f aca="false">L198</f>
        <v>39</v>
      </c>
    </row>
    <row r="200" customFormat="false" ht="16.5" hidden="false" customHeight="false" outlineLevel="0" collapsed="false">
      <c r="C200" s="54" t="str">
        <f aca="false">Хмільник!C200</f>
        <v>Сосиски вищого ґатунку</v>
      </c>
      <c r="D200" s="15" t="n">
        <f aca="false">Хмільник!D200</f>
        <v>12054</v>
      </c>
      <c r="E200" s="33"/>
      <c r="F200" s="33"/>
      <c r="G200" s="29" t="n">
        <f aca="false">L200*K200</f>
        <v>0</v>
      </c>
      <c r="H200" s="48"/>
      <c r="I200" s="33"/>
      <c r="K200" s="55" t="n">
        <f aca="false">Хмільник!K200</f>
        <v>0</v>
      </c>
      <c r="L200" s="26" t="n">
        <f aca="false">L199</f>
        <v>39</v>
      </c>
    </row>
    <row r="201" customFormat="false" ht="16.5" hidden="false" customHeight="false" outlineLevel="0" collapsed="false">
      <c r="C201" s="54" t="str">
        <f aca="false">Хмільник!C201</f>
        <v>Шинка копчена</v>
      </c>
      <c r="D201" s="15" t="n">
        <f aca="false">Хмільник!D201</f>
        <v>12055</v>
      </c>
      <c r="E201" s="33"/>
      <c r="F201" s="33"/>
      <c r="G201" s="29" t="n">
        <f aca="false">L201*K201</f>
        <v>0</v>
      </c>
      <c r="H201" s="48"/>
      <c r="I201" s="33"/>
      <c r="K201" s="55" t="n">
        <f aca="false">Хмільник!K201</f>
        <v>0</v>
      </c>
      <c r="L201" s="26" t="n">
        <f aca="false">L200</f>
        <v>39</v>
      </c>
    </row>
    <row r="202" customFormat="false" ht="16.5" hidden="false" customHeight="false" outlineLevel="0" collapsed="false">
      <c r="C202" s="54" t="str">
        <f aca="false">Хмільник!C202</f>
        <v>Яйця курячі першого ґатунку</v>
      </c>
      <c r="D202" s="15" t="n">
        <f aca="false">Хмільник!D202</f>
        <v>12056</v>
      </c>
      <c r="E202" s="33"/>
      <c r="F202" s="33"/>
      <c r="G202" s="29" t="n">
        <f aca="false">L202*K202</f>
        <v>0</v>
      </c>
      <c r="H202" s="48"/>
      <c r="I202" s="33"/>
      <c r="K202" s="55" t="n">
        <f aca="false">Хмільник!K202</f>
        <v>0</v>
      </c>
      <c r="L202" s="26" t="n">
        <f aca="false">L201</f>
        <v>39</v>
      </c>
    </row>
    <row r="203" customFormat="false" ht="16.5" hidden="false" customHeight="false" outlineLevel="0" collapsed="false">
      <c r="C203" s="54" t="str">
        <f aca="false">Хмільник!C203</f>
        <v>Яйця курячі вищого ґатунку</v>
      </c>
      <c r="D203" s="15" t="n">
        <f aca="false">Хмільник!D203</f>
        <v>12057</v>
      </c>
      <c r="E203" s="33"/>
      <c r="F203" s="33"/>
      <c r="G203" s="29" t="n">
        <f aca="false">L203*K203</f>
        <v>0</v>
      </c>
      <c r="H203" s="48"/>
      <c r="I203" s="33"/>
      <c r="K203" s="55" t="n">
        <f aca="false">Хмільник!K203</f>
        <v>0</v>
      </c>
      <c r="L203" s="26" t="n">
        <f aca="false">L202</f>
        <v>39</v>
      </c>
    </row>
    <row r="204" customFormat="false" ht="16.5" hidden="false" customHeight="false" outlineLevel="0" collapsed="false">
      <c r="C204" s="54" t="str">
        <f aca="false">Хмільник!C204</f>
        <v>Яловичина, задня частина зам. без кістки</v>
      </c>
      <c r="D204" s="15" t="n">
        <f aca="false">Хмільник!D204</f>
        <v>12058</v>
      </c>
      <c r="E204" s="33"/>
      <c r="F204" s="33"/>
      <c r="G204" s="29" t="n">
        <f aca="false">L204*K204</f>
        <v>0</v>
      </c>
      <c r="H204" s="48"/>
      <c r="I204" s="33"/>
      <c r="K204" s="55" t="n">
        <f aca="false">Хмільник!K204</f>
        <v>0</v>
      </c>
      <c r="L204" s="26" t="n">
        <f aca="false">L203</f>
        <v>39</v>
      </c>
    </row>
    <row r="205" customFormat="false" ht="16.5" hidden="false" customHeight="false" outlineLevel="0" collapsed="false">
      <c r="C205" s="54" t="str">
        <f aca="false">Хмільник!C205</f>
        <v>Яловичина, лопатка заморожена без кістки</v>
      </c>
      <c r="D205" s="15" t="n">
        <f aca="false">Хмільник!D205</f>
        <v>12060</v>
      </c>
      <c r="E205" s="33"/>
      <c r="F205" s="33"/>
      <c r="G205" s="29" t="n">
        <f aca="false">L205*K205</f>
        <v>0</v>
      </c>
      <c r="H205" s="48"/>
      <c r="I205" s="33"/>
      <c r="K205" s="55" t="n">
        <f aca="false">Хмільник!K205</f>
        <v>0</v>
      </c>
      <c r="L205" s="26" t="n">
        <f aca="false">L204</f>
        <v>39</v>
      </c>
    </row>
    <row r="206" customFormat="false" ht="16.5" hidden="false" customHeight="false" outlineLevel="0" collapsed="false">
      <c r="C206" s="54" t="str">
        <f aca="false">Хмільник!C206</f>
        <v>Яловичина, лопатка охолоджена без кістки</v>
      </c>
      <c r="D206" s="15" t="n">
        <f aca="false">Хмільник!D206</f>
        <v>12061</v>
      </c>
      <c r="E206" s="33"/>
      <c r="F206" s="33"/>
      <c r="G206" s="29" t="n">
        <f aca="false">L206*K206</f>
        <v>0</v>
      </c>
      <c r="H206" s="48"/>
      <c r="I206" s="33"/>
      <c r="K206" s="55" t="n">
        <f aca="false">Хмільник!K206</f>
        <v>0</v>
      </c>
      <c r="L206" s="26" t="n">
        <f aca="false">L205</f>
        <v>39</v>
      </c>
    </row>
    <row r="207" customFormat="false" ht="16.5" hidden="false" customHeight="false" outlineLevel="0" collapsed="false">
      <c r="C207" s="54" t="str">
        <f aca="false">Хмільник!C207</f>
        <v>Яловичина півтуші, заморожена</v>
      </c>
      <c r="D207" s="15" t="n">
        <f aca="false">Хмільник!D207</f>
        <v>12062</v>
      </c>
      <c r="E207" s="33"/>
      <c r="F207" s="33"/>
      <c r="G207" s="29" t="n">
        <f aca="false">L207*K207</f>
        <v>0</v>
      </c>
      <c r="H207" s="48"/>
      <c r="I207" s="33"/>
      <c r="K207" s="55" t="n">
        <f aca="false">Хмільник!K207</f>
        <v>0</v>
      </c>
      <c r="L207" s="26" t="n">
        <f aca="false">L206</f>
        <v>39</v>
      </c>
    </row>
    <row r="208" customFormat="false" ht="16.5" hidden="false" customHeight="false" outlineLevel="0" collapsed="false">
      <c r="C208" s="54" t="str">
        <f aca="false">Хмільник!C208</f>
        <v>Яловичина, печінка заморожена</v>
      </c>
      <c r="D208" s="15" t="n">
        <f aca="false">Хмільник!D208</f>
        <v>12064</v>
      </c>
      <c r="E208" s="33"/>
      <c r="F208" s="33"/>
      <c r="G208" s="29" t="n">
        <f aca="false">L208*K208</f>
        <v>0</v>
      </c>
      <c r="H208" s="48"/>
      <c r="I208" s="33"/>
      <c r="K208" s="55" t="n">
        <f aca="false">Хмільник!K208</f>
        <v>0</v>
      </c>
      <c r="L208" s="26" t="n">
        <f aca="false">L207</f>
        <v>39</v>
      </c>
    </row>
    <row r="209" customFormat="false" ht="16.5" hidden="false" customHeight="false" outlineLevel="0" collapsed="false">
      <c r="C209" s="54" t="str">
        <f aca="false">Хмільник!C209</f>
        <v>Яловичина, стейк (биток)</v>
      </c>
      <c r="D209" s="15" t="n">
        <f aca="false">Хмільник!D209</f>
        <v>12065</v>
      </c>
      <c r="E209" s="33"/>
      <c r="F209" s="33"/>
      <c r="G209" s="29" t="n">
        <f aca="false">L209*K209</f>
        <v>0</v>
      </c>
      <c r="H209" s="48"/>
      <c r="I209" s="33"/>
      <c r="K209" s="55" t="n">
        <f aca="false">Хмільник!K209</f>
        <v>0</v>
      </c>
      <c r="L209" s="26" t="n">
        <f aca="false">L208</f>
        <v>39</v>
      </c>
    </row>
    <row r="210" customFormat="false" ht="16.5" hidden="false" customHeight="false" outlineLevel="0" collapsed="false">
      <c r="C210" s="54" t="str">
        <f aca="false">Хмільник!C210</f>
        <v>М’ясні субпродукти другої категорії</v>
      </c>
      <c r="D210" s="15" t="n">
        <f aca="false">Хмільник!D210</f>
        <v>12066</v>
      </c>
      <c r="E210" s="33"/>
      <c r="F210" s="33"/>
      <c r="G210" s="29" t="n">
        <f aca="false">L210*K210</f>
        <v>0</v>
      </c>
      <c r="H210" s="48"/>
      <c r="I210" s="33"/>
      <c r="K210" s="55" t="n">
        <f aca="false">Хмільник!K210</f>
        <v>0</v>
      </c>
      <c r="L210" s="26" t="n">
        <f aca="false">L209</f>
        <v>39</v>
      </c>
    </row>
    <row r="211" customFormat="false" ht="16.5" hidden="false" customHeight="false" outlineLevel="0" collapsed="false">
      <c r="C211" s="54" t="str">
        <f aca="false">Хмільник!C211</f>
        <v>Телятина, лопатка заморожена без кістки</v>
      </c>
      <c r="D211" s="15" t="n">
        <f aca="false">Хмільник!D211</f>
        <v>12069</v>
      </c>
      <c r="E211" s="33"/>
      <c r="F211" s="33"/>
      <c r="G211" s="29" t="n">
        <f aca="false">L211*K211</f>
        <v>0</v>
      </c>
      <c r="H211" s="48"/>
      <c r="I211" s="33"/>
      <c r="K211" s="55" t="n">
        <f aca="false">Хмільник!K211</f>
        <v>0</v>
      </c>
      <c r="L211" s="26" t="n">
        <f aca="false">L210</f>
        <v>39</v>
      </c>
    </row>
    <row r="212" customFormat="false" ht="16.5" hidden="false" customHeight="false" outlineLevel="0" collapsed="false">
      <c r="C212" s="54" t="str">
        <f aca="false">Хмільник!C212</f>
        <v>М’ясо кролика, тушка охолоджена</v>
      </c>
      <c r="D212" s="15" t="n">
        <f aca="false">Хмільник!D212</f>
        <v>12074</v>
      </c>
      <c r="E212" s="33"/>
      <c r="F212" s="33"/>
      <c r="G212" s="29" t="n">
        <f aca="false">L212*K212</f>
        <v>0</v>
      </c>
      <c r="H212" s="48"/>
      <c r="I212" s="33"/>
      <c r="K212" s="55" t="n">
        <f aca="false">Хмільник!K212</f>
        <v>0</v>
      </c>
      <c r="L212" s="26" t="n">
        <f aca="false">L211</f>
        <v>39</v>
      </c>
    </row>
    <row r="213" customFormat="false" ht="16.5" hidden="false" customHeight="false" outlineLevel="0" collapsed="false">
      <c r="C213" s="54" t="str">
        <f aca="false">Хмільник!C213</f>
        <v>Серце яловиче заморожене</v>
      </c>
      <c r="D213" s="15" t="n">
        <f aca="false">Хмільник!D213</f>
        <v>12075</v>
      </c>
      <c r="E213" s="33"/>
      <c r="F213" s="33"/>
      <c r="G213" s="29" t="n">
        <f aca="false">L213*K213</f>
        <v>0</v>
      </c>
      <c r="H213" s="48"/>
      <c r="I213" s="33"/>
      <c r="K213" s="55" t="n">
        <f aca="false">Хмільник!K213</f>
        <v>0</v>
      </c>
      <c r="L213" s="26" t="n">
        <f aca="false">L212</f>
        <v>39</v>
      </c>
    </row>
    <row r="214" customFormat="false" ht="16.5" hidden="false" customHeight="false" outlineLevel="0" collapsed="false">
      <c r="C214" s="54" t="str">
        <f aca="false">Хмільник!C214</f>
        <v>Субпродукти курячі (серце, шлунки)</v>
      </c>
      <c r="D214" s="15" t="n">
        <f aca="false">Хмільник!D214</f>
        <v>12076</v>
      </c>
      <c r="E214" s="33"/>
      <c r="F214" s="33"/>
      <c r="G214" s="29" t="n">
        <f aca="false">L214*K214</f>
        <v>0</v>
      </c>
      <c r="H214" s="48"/>
      <c r="I214" s="33"/>
      <c r="K214" s="55" t="n">
        <f aca="false">Хмільник!K214</f>
        <v>0</v>
      </c>
      <c r="L214" s="26" t="n">
        <f aca="false">L213</f>
        <v>39</v>
      </c>
    </row>
    <row r="215" customFormat="false" ht="16.5" hidden="false" customHeight="false" outlineLevel="0" collapsed="false">
      <c r="C215" s="54" t="str">
        <f aca="false">Хмільник!C215</f>
        <v>Хек (мерлуза) філе заморожене</v>
      </c>
      <c r="D215" s="15" t="n">
        <f aca="false">Хмільник!D215</f>
        <v>12201</v>
      </c>
      <c r="E215" s="33"/>
      <c r="F215" s="33"/>
      <c r="G215" s="29" t="n">
        <f aca="false">L215*K215</f>
        <v>0</v>
      </c>
      <c r="H215" s="48"/>
      <c r="I215" s="33"/>
      <c r="K215" s="55" t="n">
        <f aca="false">Хмільник!K215</f>
        <v>0</v>
      </c>
      <c r="L215" s="26" t="n">
        <f aca="false">L214</f>
        <v>39</v>
      </c>
    </row>
    <row r="216" customFormat="false" ht="16.5" hidden="false" customHeight="false" outlineLevel="0" collapsed="false">
      <c r="C216" s="54" t="str">
        <f aca="false">Хмільник!C216</f>
        <v>Горбуша без голови заморожена</v>
      </c>
      <c r="D216" s="15" t="n">
        <f aca="false">Хмільник!D216</f>
        <v>12202</v>
      </c>
      <c r="E216" s="33"/>
      <c r="F216" s="33"/>
      <c r="G216" s="29" t="n">
        <f aca="false">L216*K216</f>
        <v>0</v>
      </c>
      <c r="H216" s="48"/>
      <c r="I216" s="33"/>
      <c r="K216" s="55" t="n">
        <f aca="false">Хмільник!K216</f>
        <v>0</v>
      </c>
      <c r="L216" s="26" t="n">
        <f aca="false">L215</f>
        <v>39</v>
      </c>
    </row>
    <row r="217" customFormat="false" ht="16.5" hidden="false" customHeight="false" outlineLevel="0" collapsed="false">
      <c r="C217" s="54" t="str">
        <f aca="false">Хмільник!C217</f>
        <v>Консерви тунець в олії</v>
      </c>
      <c r="D217" s="15" t="n">
        <f aca="false">Хмільник!D217</f>
        <v>12204</v>
      </c>
      <c r="E217" s="33"/>
      <c r="F217" s="33"/>
      <c r="G217" s="29" t="n">
        <f aca="false">L217*K217</f>
        <v>0</v>
      </c>
      <c r="H217" s="48"/>
      <c r="I217" s="33"/>
      <c r="K217" s="55" t="n">
        <f aca="false">Хмільник!K217</f>
        <v>0</v>
      </c>
      <c r="L217" s="26" t="n">
        <f aca="false">L216</f>
        <v>39</v>
      </c>
    </row>
    <row r="218" customFormat="false" ht="16.5" hidden="false" customHeight="false" outlineLevel="0" collapsed="false">
      <c r="C218" s="54" t="str">
        <f aca="false">Хмільник!C218</f>
        <v>Консерви з риби дрібної у томаті</v>
      </c>
      <c r="D218" s="15" t="n">
        <f aca="false">Хмільник!D218</f>
        <v>12205</v>
      </c>
      <c r="E218" s="33"/>
      <c r="F218" s="33"/>
      <c r="G218" s="29" t="n">
        <f aca="false">L218*K218</f>
        <v>0</v>
      </c>
      <c r="H218" s="48"/>
      <c r="I218" s="33"/>
      <c r="K218" s="55" t="n">
        <f aca="false">Хмільник!K218</f>
        <v>0</v>
      </c>
      <c r="L218" s="26" t="n">
        <f aca="false">L217</f>
        <v>39</v>
      </c>
    </row>
    <row r="219" customFormat="false" ht="16.5" hidden="false" customHeight="false" outlineLevel="0" collapsed="false">
      <c r="C219" s="54" t="str">
        <f aca="false">Хмільник!C219</f>
        <v>Консерви скумбрія в олії</v>
      </c>
      <c r="D219" s="15" t="n">
        <f aca="false">Хмільник!D219</f>
        <v>12208</v>
      </c>
      <c r="E219" s="33"/>
      <c r="F219" s="33"/>
      <c r="G219" s="29" t="n">
        <f aca="false">L219*K219</f>
        <v>0</v>
      </c>
      <c r="H219" s="48"/>
      <c r="I219" s="33"/>
      <c r="K219" s="55" t="n">
        <f aca="false">Хмільник!K219</f>
        <v>0</v>
      </c>
      <c r="L219" s="26" t="n">
        <f aca="false">L218</f>
        <v>39</v>
      </c>
    </row>
    <row r="220" customFormat="false" ht="16.5" hidden="false" customHeight="false" outlineLevel="0" collapsed="false">
      <c r="C220" s="54" t="str">
        <f aca="false">Хмільник!C220</f>
        <v>Пресерви оселедець в олії (філе)</v>
      </c>
      <c r="D220" s="15" t="n">
        <f aca="false">Хмільник!D220</f>
        <v>12209</v>
      </c>
      <c r="E220" s="33"/>
      <c r="F220" s="33"/>
      <c r="G220" s="29" t="n">
        <f aca="false">L220*K220</f>
        <v>0</v>
      </c>
      <c r="H220" s="48"/>
      <c r="I220" s="33"/>
      <c r="K220" s="55" t="n">
        <f aca="false">Хмільник!K220</f>
        <v>0</v>
      </c>
      <c r="L220" s="26" t="n">
        <f aca="false">L219</f>
        <v>39</v>
      </c>
    </row>
    <row r="221" customFormat="false" ht="16.5" hidden="false" customHeight="false" outlineLevel="0" collapsed="false">
      <c r="C221" s="54" t="str">
        <f aca="false">Хмільник!C221</f>
        <v>Консерви рибні у томаті</v>
      </c>
      <c r="D221" s="15" t="n">
        <f aca="false">Хмільник!D221</f>
        <v>12211</v>
      </c>
      <c r="E221" s="33"/>
      <c r="F221" s="33"/>
      <c r="G221" s="29" t="n">
        <f aca="false">L221*K221</f>
        <v>0</v>
      </c>
      <c r="H221" s="48"/>
      <c r="I221" s="33"/>
      <c r="K221" s="55" t="n">
        <f aca="false">Хмільник!K221</f>
        <v>0</v>
      </c>
      <c r="L221" s="26" t="n">
        <f aca="false">L220</f>
        <v>39</v>
      </c>
    </row>
    <row r="222" customFormat="false" ht="16.5" hidden="false" customHeight="false" outlineLevel="0" collapsed="false">
      <c r="C222" s="54" t="str">
        <f aca="false">Хмільник!C222</f>
        <v>Консерви сардини в олії</v>
      </c>
      <c r="D222" s="15" t="n">
        <f aca="false">Хмільник!D222</f>
        <v>12213</v>
      </c>
      <c r="E222" s="33"/>
      <c r="F222" s="33"/>
      <c r="G222" s="29" t="n">
        <f aca="false">L222*K222</f>
        <v>0</v>
      </c>
      <c r="H222" s="48"/>
      <c r="I222" s="33"/>
      <c r="K222" s="55" t="n">
        <f aca="false">Хмільник!K222</f>
        <v>0</v>
      </c>
      <c r="L222" s="26" t="n">
        <f aca="false">L221</f>
        <v>39</v>
      </c>
    </row>
    <row r="223" customFormat="false" ht="16.5" hidden="false" customHeight="false" outlineLevel="0" collapsed="false">
      <c r="C223" s="54" t="str">
        <f aca="false">Хмільник!C223</f>
        <v>Консерви шпроти в олії</v>
      </c>
      <c r="D223" s="15" t="n">
        <f aca="false">Хмільник!D223</f>
        <v>12215</v>
      </c>
      <c r="E223" s="33"/>
      <c r="F223" s="33"/>
      <c r="G223" s="29" t="n">
        <f aca="false">L223*K223</f>
        <v>0</v>
      </c>
      <c r="H223" s="48"/>
      <c r="I223" s="33"/>
      <c r="K223" s="55" t="n">
        <f aca="false">Хмільник!K223</f>
        <v>0</v>
      </c>
      <c r="L223" s="26" t="n">
        <f aca="false">L222</f>
        <v>39</v>
      </c>
    </row>
    <row r="224" customFormat="false" ht="16.5" hidden="false" customHeight="false" outlineLevel="0" collapsed="false">
      <c r="C224" s="54" t="str">
        <f aca="false">Хмільник!C224</f>
        <v>Печінка тріски (консерва)</v>
      </c>
      <c r="D224" s="15" t="n">
        <f aca="false">Хмільник!D224</f>
        <v>12216</v>
      </c>
      <c r="E224" s="33"/>
      <c r="F224" s="33"/>
      <c r="G224" s="29" t="n">
        <f aca="false">L224*K224</f>
        <v>0</v>
      </c>
      <c r="H224" s="48"/>
      <c r="I224" s="33"/>
      <c r="K224" s="55" t="n">
        <f aca="false">Хмільник!K224</f>
        <v>0</v>
      </c>
      <c r="L224" s="26" t="n">
        <f aca="false">L223</f>
        <v>39</v>
      </c>
    </row>
    <row r="225" customFormat="false" ht="16.5" hidden="false" customHeight="false" outlineLevel="0" collapsed="false">
      <c r="C225" s="54" t="str">
        <f aca="false">Хмільник!C225</f>
        <v>Короп охолоджений</v>
      </c>
      <c r="D225" s="15" t="n">
        <f aca="false">Хмільник!D225</f>
        <v>12217</v>
      </c>
      <c r="E225" s="33"/>
      <c r="F225" s="33"/>
      <c r="G225" s="29" t="n">
        <f aca="false">L225*K225</f>
        <v>0</v>
      </c>
      <c r="H225" s="48"/>
      <c r="I225" s="33"/>
      <c r="K225" s="55" t="n">
        <f aca="false">Хмільник!K225</f>
        <v>0</v>
      </c>
      <c r="L225" s="26" t="n">
        <f aca="false">L224</f>
        <v>39</v>
      </c>
    </row>
    <row r="226" customFormat="false" ht="16.5" hidden="false" customHeight="false" outlineLevel="0" collapsed="false">
      <c r="C226" s="54" t="str">
        <f aca="false">Хмільник!C226</f>
        <v>Крабові палички заморожені</v>
      </c>
      <c r="D226" s="15" t="n">
        <f aca="false">Хмільник!D226</f>
        <v>12218</v>
      </c>
      <c r="E226" s="33"/>
      <c r="F226" s="33"/>
      <c r="G226" s="29" t="n">
        <f aca="false">L226*K226</f>
        <v>0</v>
      </c>
      <c r="H226" s="48"/>
      <c r="I226" s="33"/>
      <c r="K226" s="55" t="n">
        <f aca="false">Хмільник!K226</f>
        <v>0</v>
      </c>
      <c r="L226" s="26" t="n">
        <f aca="false">L225</f>
        <v>39</v>
      </c>
    </row>
    <row r="227" customFormat="false" ht="16.5" hidden="false" customHeight="false" outlineLevel="0" collapsed="false">
      <c r="C227" s="54" t="str">
        <f aca="false">Хмільник!C227</f>
        <v>Минтай, філе заморожене</v>
      </c>
      <c r="D227" s="15" t="n">
        <f aca="false">Хмільник!D227</f>
        <v>12219</v>
      </c>
      <c r="E227" s="33"/>
      <c r="F227" s="33"/>
      <c r="G227" s="29" t="n">
        <f aca="false">L227*K227</f>
        <v>0</v>
      </c>
      <c r="H227" s="48"/>
      <c r="I227" s="33"/>
      <c r="K227" s="55" t="n">
        <f aca="false">Хмільник!K227</f>
        <v>0</v>
      </c>
      <c r="L227" s="26" t="n">
        <f aca="false">L226</f>
        <v>39</v>
      </c>
    </row>
    <row r="228" customFormat="false" ht="16.5" hidden="false" customHeight="false" outlineLevel="0" collapsed="false">
      <c r="C228" s="54" t="str">
        <f aca="false">Хмільник!C228</f>
        <v>Минтай без голови заморожений</v>
      </c>
      <c r="D228" s="15" t="n">
        <f aca="false">Хмільник!D228</f>
        <v>12221</v>
      </c>
      <c r="E228" s="33"/>
      <c r="F228" s="33"/>
      <c r="G228" s="29" t="n">
        <f aca="false">L228*K228</f>
        <v>0</v>
      </c>
      <c r="H228" s="48"/>
      <c r="I228" s="33"/>
      <c r="K228" s="55" t="n">
        <f aca="false">Хмільник!K228</f>
        <v>0</v>
      </c>
      <c r="L228" s="26" t="n">
        <f aca="false">L227</f>
        <v>39</v>
      </c>
    </row>
    <row r="229" customFormat="false" ht="16.5" hidden="false" customHeight="false" outlineLevel="0" collapsed="false">
      <c r="C229" s="54" t="str">
        <f aca="false">Хмільник!C229</f>
        <v>Сайда заморожена (без голови)</v>
      </c>
      <c r="D229" s="15" t="n">
        <f aca="false">Хмільник!D229</f>
        <v>12224</v>
      </c>
      <c r="E229" s="33"/>
      <c r="F229" s="33"/>
      <c r="G229" s="29" t="n">
        <f aca="false">L229*K229</f>
        <v>0</v>
      </c>
      <c r="H229" s="48"/>
      <c r="I229" s="33"/>
      <c r="K229" s="55" t="n">
        <f aca="false">Хмільник!K229</f>
        <v>0</v>
      </c>
      <c r="L229" s="26" t="n">
        <f aca="false">L228</f>
        <v>39</v>
      </c>
    </row>
    <row r="230" customFormat="false" ht="16.5" hidden="false" customHeight="false" outlineLevel="0" collapsed="false">
      <c r="C230" s="54" t="str">
        <f aca="false">Хмільник!C230</f>
        <v>Товстолоб без голови патраний зам.</v>
      </c>
      <c r="D230" s="15" t="n">
        <f aca="false">Хмільник!D230</f>
        <v>12225</v>
      </c>
      <c r="E230" s="33"/>
      <c r="F230" s="33"/>
      <c r="G230" s="29" t="n">
        <f aca="false">L230*K230</f>
        <v>0</v>
      </c>
      <c r="H230" s="48"/>
      <c r="I230" s="33"/>
      <c r="K230" s="55" t="n">
        <f aca="false">Хмільник!K230</f>
        <v>0</v>
      </c>
      <c r="L230" s="26" t="n">
        <f aca="false">L229</f>
        <v>39</v>
      </c>
    </row>
    <row r="231" customFormat="false" ht="16.5" hidden="false" customHeight="false" outlineLevel="0" collapsed="false">
      <c r="C231" s="54" t="str">
        <f aca="false">Хмільник!C231</f>
        <v>Тріска без голови заморожена</v>
      </c>
      <c r="D231" s="15" t="n">
        <f aca="false">Хмільник!D231</f>
        <v>12226</v>
      </c>
      <c r="E231" s="33"/>
      <c r="F231" s="33"/>
      <c r="G231" s="29" t="n">
        <f aca="false">L231*K231</f>
        <v>0</v>
      </c>
      <c r="H231" s="48"/>
      <c r="I231" s="33"/>
      <c r="K231" s="55" t="n">
        <f aca="false">Хмільник!K231</f>
        <v>0</v>
      </c>
      <c r="L231" s="26" t="n">
        <f aca="false">L230</f>
        <v>39</v>
      </c>
    </row>
    <row r="232" customFormat="false" ht="16.5" hidden="false" customHeight="false" outlineLevel="0" collapsed="false">
      <c r="C232" s="54" t="str">
        <f aca="false">Хмільник!C232</f>
        <v>Скумбрія заморожена (без голови)</v>
      </c>
      <c r="D232" s="15" t="n">
        <f aca="false">Хмільник!D232</f>
        <v>12228</v>
      </c>
      <c r="E232" s="33"/>
      <c r="F232" s="33"/>
      <c r="G232" s="29" t="n">
        <f aca="false">L232*K232</f>
        <v>0</v>
      </c>
      <c r="H232" s="48"/>
      <c r="I232" s="33"/>
      <c r="K232" s="55" t="n">
        <f aca="false">Хмільник!K232</f>
        <v>0</v>
      </c>
      <c r="L232" s="26" t="n">
        <f aca="false">L231</f>
        <v>39</v>
      </c>
    </row>
    <row r="233" customFormat="false" ht="16.5" hidden="false" customHeight="false" outlineLevel="0" collapsed="false">
      <c r="C233" s="54" t="str">
        <f aca="false">Хмільник!C233</f>
        <v>Форель охолоджена</v>
      </c>
      <c r="D233" s="15" t="n">
        <f aca="false">Хмільник!D233</f>
        <v>12229</v>
      </c>
      <c r="E233" s="33"/>
      <c r="F233" s="33"/>
      <c r="G233" s="29" t="n">
        <f aca="false">L233*K233</f>
        <v>0</v>
      </c>
      <c r="H233" s="48"/>
      <c r="I233" s="33"/>
      <c r="K233" s="55" t="n">
        <f aca="false">Хмільник!K233</f>
        <v>0</v>
      </c>
      <c r="L233" s="26" t="n">
        <f aca="false">L232</f>
        <v>39</v>
      </c>
    </row>
    <row r="234" customFormat="false" ht="16.5" hidden="false" customHeight="false" outlineLevel="0" collapsed="false">
      <c r="C234" s="54" t="str">
        <f aca="false">Хмільник!C234</f>
        <v>Хек заморожений (без голови)</v>
      </c>
      <c r="D234" s="15" t="n">
        <f aca="false">Хмільник!D234</f>
        <v>12231</v>
      </c>
      <c r="E234" s="33"/>
      <c r="F234" s="33"/>
      <c r="G234" s="29" t="n">
        <f aca="false">L234*K234</f>
        <v>0</v>
      </c>
      <c r="H234" s="48"/>
      <c r="I234" s="33"/>
      <c r="K234" s="55" t="n">
        <f aca="false">Хмільник!K234</f>
        <v>0</v>
      </c>
      <c r="L234" s="26" t="n">
        <f aca="false">L233</f>
        <v>39</v>
      </c>
    </row>
    <row r="235" customFormat="false" ht="16.5" hidden="false" customHeight="false" outlineLevel="0" collapsed="false">
      <c r="C235" s="54" t="str">
        <f aca="false">Хмільник!C235</f>
        <v>Зубатка, стейк заморожений</v>
      </c>
      <c r="D235" s="15" t="n">
        <f aca="false">Хмільник!D235</f>
        <v>12235</v>
      </c>
      <c r="E235" s="33"/>
      <c r="F235" s="33"/>
      <c r="G235" s="29" t="n">
        <f aca="false">L235*K235</f>
        <v>0</v>
      </c>
      <c r="H235" s="48"/>
      <c r="I235" s="33"/>
      <c r="K235" s="55" t="n">
        <f aca="false">Хмільник!K235</f>
        <v>0</v>
      </c>
      <c r="L235" s="26" t="n">
        <f aca="false">L234</f>
        <v>39</v>
      </c>
    </row>
    <row r="236" customFormat="false" ht="16.5" hidden="false" customHeight="false" outlineLevel="0" collapsed="false">
      <c r="C236" s="54" t="str">
        <f aca="false">Хмільник!C236</f>
        <v>Оселедець солений</v>
      </c>
      <c r="D236" s="15" t="n">
        <f aca="false">Хмільник!D236</f>
        <v>12237</v>
      </c>
      <c r="E236" s="33"/>
      <c r="F236" s="33"/>
      <c r="G236" s="29" t="n">
        <f aca="false">L236*K236</f>
        <v>0</v>
      </c>
      <c r="H236" s="48"/>
      <c r="I236" s="33"/>
      <c r="K236" s="55" t="n">
        <f aca="false">Хмільник!K236</f>
        <v>0</v>
      </c>
      <c r="L236" s="26" t="n">
        <f aca="false">L235</f>
        <v>39</v>
      </c>
    </row>
    <row r="237" customFormat="false" ht="16.5" hidden="false" customHeight="false" outlineLevel="0" collapsed="false">
      <c r="C237" s="54" t="str">
        <f aca="false">Хмільник!C237</f>
        <v>Маргарин столовий</v>
      </c>
      <c r="D237" s="15" t="n">
        <f aca="false">Хмільник!D237</f>
        <v>12301</v>
      </c>
      <c r="E237" s="33"/>
      <c r="F237" s="33"/>
      <c r="G237" s="29" t="n">
        <f aca="false">L237*K237</f>
        <v>0</v>
      </c>
      <c r="H237" s="48"/>
      <c r="I237" s="33"/>
      <c r="K237" s="55" t="n">
        <f aca="false">Хмільник!K237</f>
        <v>0</v>
      </c>
      <c r="L237" s="26" t="n">
        <f aca="false">L236</f>
        <v>39</v>
      </c>
    </row>
    <row r="238" customFormat="false" ht="16.5" hidden="false" customHeight="false" outlineLevel="0" collapsed="false">
      <c r="C238" s="54" t="str">
        <f aca="false">Хмільник!C238</f>
        <v>Масло вершкове селянське 72,5 % - 79,9 %</v>
      </c>
      <c r="D238" s="15" t="n">
        <f aca="false">Хмільник!D238</f>
        <v>12302</v>
      </c>
      <c r="E238" s="33"/>
      <c r="F238" s="33"/>
      <c r="G238" s="29" t="n">
        <f aca="false">L238*K238</f>
        <v>0</v>
      </c>
      <c r="H238" s="48"/>
      <c r="I238" s="33"/>
      <c r="K238" s="55" t="n">
        <f aca="false">Хмільник!K238</f>
        <v>0</v>
      </c>
      <c r="L238" s="26" t="n">
        <f aca="false">L237</f>
        <v>39</v>
      </c>
    </row>
    <row r="239" customFormat="false" ht="16.5" hidden="false" customHeight="false" outlineLevel="0" collapsed="false">
      <c r="C239" s="54" t="str">
        <f aca="false">Хмільник!C239</f>
        <v>Масло вер. сел. 72,5 % - 79,9 % (інд. пак.)</v>
      </c>
      <c r="D239" s="15" t="n">
        <f aca="false">Хмільник!D239</f>
        <v>12303</v>
      </c>
      <c r="E239" s="33"/>
      <c r="F239" s="33"/>
      <c r="G239" s="29" t="n">
        <f aca="false">L239*K239</f>
        <v>0</v>
      </c>
      <c r="H239" s="48"/>
      <c r="I239" s="33"/>
      <c r="K239" s="55" t="n">
        <f aca="false">Хмільник!K239</f>
        <v>0</v>
      </c>
      <c r="L239" s="26" t="n">
        <f aca="false">L238</f>
        <v>39</v>
      </c>
    </row>
    <row r="240" customFormat="false" ht="16.5" hidden="false" customHeight="false" outlineLevel="0" collapsed="false">
      <c r="C240" s="54" t="str">
        <f aca="false">Хмільник!C240</f>
        <v>Масло вершкове бутер. 61,5 % - 72,4 %</v>
      </c>
      <c r="D240" s="15" t="n">
        <f aca="false">Хмільник!D240</f>
        <v>12304</v>
      </c>
      <c r="E240" s="33"/>
      <c r="F240" s="33"/>
      <c r="G240" s="29" t="n">
        <f aca="false">L240*K240</f>
        <v>0</v>
      </c>
      <c r="H240" s="48"/>
      <c r="I240" s="33"/>
      <c r="K240" s="55" t="n">
        <f aca="false">Хмільник!K240</f>
        <v>0</v>
      </c>
      <c r="L240" s="26" t="n">
        <f aca="false">L239</f>
        <v>39</v>
      </c>
    </row>
    <row r="241" customFormat="false" ht="16.5" hidden="false" customHeight="false" outlineLevel="0" collapsed="false">
      <c r="C241" s="54" t="str">
        <f aca="false">Хмільник!C241</f>
        <v>Олія оливкова</v>
      </c>
      <c r="D241" s="15" t="n">
        <f aca="false">Хмільник!D241</f>
        <v>12305</v>
      </c>
      <c r="E241" s="33"/>
      <c r="F241" s="33"/>
      <c r="G241" s="29" t="n">
        <f aca="false">L241*K241</f>
        <v>0</v>
      </c>
      <c r="H241" s="48"/>
      <c r="I241" s="33"/>
      <c r="K241" s="55" t="n">
        <f aca="false">Хмільник!K241</f>
        <v>0</v>
      </c>
      <c r="L241" s="26" t="n">
        <f aca="false">L240</f>
        <v>39</v>
      </c>
    </row>
    <row r="242" customFormat="false" ht="16.5" hidden="false" customHeight="false" outlineLevel="0" collapsed="false">
      <c r="C242" s="54" t="str">
        <f aca="false">Хмільник!C242</f>
        <v>Олія соняшникова нерафінована</v>
      </c>
      <c r="D242" s="15" t="n">
        <f aca="false">Хмільник!D242</f>
        <v>12306</v>
      </c>
      <c r="E242" s="33"/>
      <c r="F242" s="33"/>
      <c r="G242" s="29" t="n">
        <f aca="false">L242*K242</f>
        <v>0</v>
      </c>
      <c r="H242" s="48"/>
      <c r="I242" s="33"/>
      <c r="K242" s="55" t="n">
        <f aca="false">Хмільник!K242</f>
        <v>0</v>
      </c>
      <c r="L242" s="26" t="n">
        <f aca="false">L241</f>
        <v>39</v>
      </c>
    </row>
    <row r="243" customFormat="false" ht="16.5" hidden="false" customHeight="false" outlineLevel="0" collapsed="false">
      <c r="C243" s="54" t="str">
        <f aca="false">Хмільник!C243</f>
        <v>Олія соняшникова рафінована</v>
      </c>
      <c r="D243" s="15" t="n">
        <f aca="false">Хмільник!D243</f>
        <v>12307</v>
      </c>
      <c r="E243" s="33"/>
      <c r="F243" s="33"/>
      <c r="G243" s="29" t="n">
        <f aca="false">L243*K243</f>
        <v>0</v>
      </c>
      <c r="H243" s="48"/>
      <c r="I243" s="33"/>
      <c r="K243" s="55" t="n">
        <f aca="false">Хмільник!K243</f>
        <v>0</v>
      </c>
      <c r="L243" s="26" t="n">
        <f aca="false">L242</f>
        <v>39</v>
      </c>
    </row>
    <row r="244" customFormat="false" ht="16.5" hidden="false" customHeight="false" outlineLevel="0" collapsed="false">
      <c r="C244" s="54" t="str">
        <f aca="false">Хмільник!C244</f>
        <v>Жир тваринний</v>
      </c>
      <c r="D244" s="15" t="n">
        <f aca="false">Хмільник!D244</f>
        <v>12308</v>
      </c>
      <c r="E244" s="33"/>
      <c r="F244" s="33"/>
      <c r="G244" s="29" t="n">
        <f aca="false">L244*K244</f>
        <v>0</v>
      </c>
      <c r="H244" s="48"/>
      <c r="I244" s="33"/>
      <c r="K244" s="55" t="n">
        <f aca="false">Хмільник!K244</f>
        <v>0</v>
      </c>
      <c r="L244" s="26" t="n">
        <f aca="false">L243</f>
        <v>39</v>
      </c>
    </row>
    <row r="245" customFormat="false" ht="16.5" hidden="false" customHeight="false" outlineLevel="0" collapsed="false">
      <c r="C245" s="54" t="str">
        <f aca="false">Хмільник!C245</f>
        <v>Варення з малини</v>
      </c>
      <c r="D245" s="15" t="n">
        <f aca="false">Хмільник!D245</f>
        <v>13001</v>
      </c>
      <c r="E245" s="33"/>
      <c r="F245" s="33"/>
      <c r="G245" s="29" t="n">
        <f aca="false">L245*K245</f>
        <v>0</v>
      </c>
      <c r="H245" s="48"/>
      <c r="I245" s="33"/>
      <c r="K245" s="55" t="n">
        <f aca="false">Хмільник!K245</f>
        <v>0</v>
      </c>
      <c r="L245" s="26" t="n">
        <f aca="false">L244</f>
        <v>39</v>
      </c>
    </row>
    <row r="246" customFormat="false" ht="16.5" hidden="false" customHeight="false" outlineLevel="0" collapsed="false">
      <c r="C246" s="54" t="str">
        <f aca="false">Хмільник!C246</f>
        <v>Варення з полуниці</v>
      </c>
      <c r="D246" s="15" t="n">
        <f aca="false">Хмільник!D246</f>
        <v>13002</v>
      </c>
      <c r="E246" s="33"/>
      <c r="F246" s="33"/>
      <c r="G246" s="29" t="n">
        <f aca="false">L246*K246</f>
        <v>0</v>
      </c>
      <c r="H246" s="48"/>
      <c r="I246" s="33"/>
      <c r="K246" s="55" t="n">
        <f aca="false">Хмільник!K246</f>
        <v>0</v>
      </c>
      <c r="L246" s="26" t="n">
        <f aca="false">L245</f>
        <v>39</v>
      </c>
    </row>
    <row r="247" customFormat="false" ht="16.5" hidden="false" customHeight="false" outlineLevel="0" collapsed="false">
      <c r="C247" s="54" t="str">
        <f aca="false">Хмільник!C247</f>
        <v>Варення плодово-ягідне</v>
      </c>
      <c r="D247" s="15" t="n">
        <f aca="false">Хмільник!D247</f>
        <v>13003</v>
      </c>
      <c r="E247" s="33"/>
      <c r="F247" s="33"/>
      <c r="G247" s="29" t="n">
        <f aca="false">L247*K247</f>
        <v>0</v>
      </c>
      <c r="H247" s="48"/>
      <c r="I247" s="33"/>
      <c r="K247" s="55" t="n">
        <f aca="false">Хмільник!K247</f>
        <v>0</v>
      </c>
      <c r="L247" s="26" t="n">
        <f aca="false">L246</f>
        <v>39</v>
      </c>
    </row>
    <row r="248" customFormat="false" ht="16.5" hidden="false" customHeight="false" outlineLevel="0" collapsed="false">
      <c r="C248" s="54" t="str">
        <f aca="false">Хмільник!C248</f>
        <v>Джем плодово-ягідний</v>
      </c>
      <c r="D248" s="15" t="n">
        <f aca="false">Хмільник!D248</f>
        <v>13004</v>
      </c>
      <c r="E248" s="33"/>
      <c r="F248" s="33"/>
      <c r="G248" s="29" t="n">
        <f aca="false">L248*K248</f>
        <v>0</v>
      </c>
      <c r="H248" s="48"/>
      <c r="I248" s="33"/>
      <c r="K248" s="55" t="n">
        <f aca="false">Хмільник!K248</f>
        <v>0</v>
      </c>
      <c r="L248" s="26" t="n">
        <f aca="false">L247</f>
        <v>39</v>
      </c>
    </row>
    <row r="249" customFormat="false" ht="16.5" hidden="false" customHeight="false" outlineLevel="0" collapsed="false">
      <c r="C249" s="54" t="str">
        <f aca="false">Хмільник!C249</f>
        <v>Льодяники різні</v>
      </c>
      <c r="D249" s="15" t="n">
        <f aca="false">Хмільник!D249</f>
        <v>13005</v>
      </c>
      <c r="E249" s="33"/>
      <c r="F249" s="33"/>
      <c r="G249" s="29" t="n">
        <f aca="false">L249*K249</f>
        <v>0</v>
      </c>
      <c r="H249" s="48"/>
      <c r="I249" s="33"/>
      <c r="K249" s="55" t="n">
        <f aca="false">Хмільник!K249</f>
        <v>0</v>
      </c>
      <c r="L249" s="26" t="n">
        <f aca="false">L248</f>
        <v>39</v>
      </c>
    </row>
    <row r="250" customFormat="false" ht="16.5" hidden="false" customHeight="false" outlineLevel="0" collapsed="false">
      <c r="C250" s="54" t="str">
        <f aca="false">Хмільник!C250</f>
        <v>Мед натуральний</v>
      </c>
      <c r="D250" s="15" t="n">
        <f aca="false">Хмільник!D250</f>
        <v>13006</v>
      </c>
      <c r="E250" s="33"/>
      <c r="F250" s="33"/>
      <c r="G250" s="29" t="n">
        <f aca="false">L250*K250</f>
        <v>0</v>
      </c>
      <c r="H250" s="48"/>
      <c r="I250" s="33"/>
      <c r="K250" s="55" t="n">
        <f aca="false">Хмільник!K250</f>
        <v>0</v>
      </c>
      <c r="L250" s="26" t="n">
        <f aca="false">L249</f>
        <v>39</v>
      </c>
    </row>
    <row r="251" customFormat="false" ht="16.5" hidden="false" customHeight="false" outlineLevel="0" collapsed="false">
      <c r="C251" s="54" t="str">
        <f aca="false">Хмільник!C251</f>
        <v>Повидло яблучне</v>
      </c>
      <c r="D251" s="15" t="n">
        <f aca="false">Хмільник!D251</f>
        <v>13007</v>
      </c>
      <c r="E251" s="33"/>
      <c r="F251" s="33"/>
      <c r="G251" s="29" t="n">
        <f aca="false">L251*K251</f>
        <v>0</v>
      </c>
      <c r="H251" s="48"/>
      <c r="I251" s="33"/>
      <c r="K251" s="55" t="n">
        <f aca="false">Хмільник!K251</f>
        <v>0</v>
      </c>
      <c r="L251" s="26" t="n">
        <f aca="false">L250</f>
        <v>39</v>
      </c>
    </row>
    <row r="252" customFormat="false" ht="16.5" hidden="false" customHeight="false" outlineLevel="0" collapsed="false">
      <c r="C252" s="54" t="str">
        <f aca="false">Хмільник!C252</f>
        <v>Варення з малини індивідуального пак.</v>
      </c>
      <c r="D252" s="15" t="n">
        <f aca="false">Хмільник!D252</f>
        <v>13008</v>
      </c>
      <c r="E252" s="33"/>
      <c r="F252" s="33"/>
      <c r="G252" s="29" t="n">
        <f aca="false">L252*K252</f>
        <v>0</v>
      </c>
      <c r="H252" s="48"/>
      <c r="I252" s="33"/>
      <c r="K252" s="55" t="n">
        <f aca="false">Хмільник!K252</f>
        <v>0</v>
      </c>
      <c r="L252" s="26" t="n">
        <f aca="false">L251</f>
        <v>39</v>
      </c>
    </row>
    <row r="253" customFormat="false" ht="16.5" hidden="false" customHeight="false" outlineLevel="0" collapsed="false">
      <c r="C253" s="54" t="str">
        <f aca="false">Хмільник!C253</f>
        <v>Варення з полуниці індивідуального пак.</v>
      </c>
      <c r="D253" s="15" t="n">
        <f aca="false">Хмільник!D253</f>
        <v>13009</v>
      </c>
      <c r="E253" s="33"/>
      <c r="F253" s="33"/>
      <c r="G253" s="29" t="n">
        <f aca="false">L253*K253</f>
        <v>0</v>
      </c>
      <c r="H253" s="48"/>
      <c r="I253" s="33"/>
      <c r="K253" s="55" t="n">
        <f aca="false">Хмільник!K253</f>
        <v>0</v>
      </c>
      <c r="L253" s="26" t="n">
        <f aca="false">L252</f>
        <v>39</v>
      </c>
    </row>
    <row r="254" customFormat="false" ht="16.5" hidden="false" customHeight="false" outlineLevel="0" collapsed="false">
      <c r="C254" s="54" t="str">
        <f aca="false">Хмільник!C254</f>
        <v>Варення плодово-ягідне індив. пакування</v>
      </c>
      <c r="D254" s="15" t="n">
        <f aca="false">Хмільник!D254</f>
        <v>13010</v>
      </c>
      <c r="E254" s="33"/>
      <c r="F254" s="33"/>
      <c r="G254" s="29" t="n">
        <f aca="false">L254*K254</f>
        <v>0</v>
      </c>
      <c r="H254" s="48"/>
      <c r="I254" s="33"/>
      <c r="K254" s="55" t="n">
        <f aca="false">Хмільник!K254</f>
        <v>0</v>
      </c>
      <c r="L254" s="26" t="n">
        <f aca="false">L253</f>
        <v>39</v>
      </c>
    </row>
    <row r="255" customFormat="false" ht="16.5" hidden="false" customHeight="false" outlineLevel="0" collapsed="false">
      <c r="C255" s="54" t="str">
        <f aca="false">Хмільник!C255</f>
        <v>Джем плодово-ягідний індив. пакування</v>
      </c>
      <c r="D255" s="15" t="n">
        <f aca="false">Хмільник!D255</f>
        <v>13011</v>
      </c>
      <c r="E255" s="33"/>
      <c r="F255" s="33"/>
      <c r="G255" s="29" t="n">
        <f aca="false">L255*K255</f>
        <v>0</v>
      </c>
      <c r="H255" s="48"/>
      <c r="I255" s="33"/>
      <c r="K255" s="55" t="n">
        <f aca="false">Хмільник!K255</f>
        <v>0</v>
      </c>
      <c r="L255" s="26" t="n">
        <f aca="false">L254</f>
        <v>39</v>
      </c>
    </row>
    <row r="256" customFormat="false" ht="16.5" hidden="false" customHeight="false" outlineLevel="0" collapsed="false">
      <c r="C256" s="54" t="str">
        <f aca="false">Хмільник!C256</f>
        <v>Мед натуральний індивідуального пакув.</v>
      </c>
      <c r="D256" s="15" t="n">
        <f aca="false">Хмільник!D256</f>
        <v>13013</v>
      </c>
      <c r="E256" s="33"/>
      <c r="F256" s="33"/>
      <c r="G256" s="29" t="n">
        <f aca="false">L256*K256</f>
        <v>0</v>
      </c>
      <c r="H256" s="48"/>
      <c r="I256" s="33"/>
      <c r="K256" s="55" t="n">
        <f aca="false">Хмільник!K256</f>
        <v>0</v>
      </c>
      <c r="L256" s="26" t="n">
        <f aca="false">L255</f>
        <v>39</v>
      </c>
    </row>
    <row r="257" customFormat="false" ht="16.5" hidden="false" customHeight="false" outlineLevel="0" collapsed="false">
      <c r="C257" s="54" t="str">
        <f aca="false">Хмільник!C257</f>
        <v>Горіхова паста</v>
      </c>
      <c r="D257" s="15" t="n">
        <f aca="false">Хмільник!D257</f>
        <v>13015</v>
      </c>
      <c r="E257" s="33"/>
      <c r="F257" s="33"/>
      <c r="G257" s="29" t="n">
        <f aca="false">L257*K257</f>
        <v>0</v>
      </c>
      <c r="H257" s="48"/>
      <c r="I257" s="33"/>
      <c r="K257" s="55" t="n">
        <f aca="false">Хмільник!K257</f>
        <v>0</v>
      </c>
      <c r="L257" s="26" t="n">
        <f aca="false">L256</f>
        <v>39</v>
      </c>
    </row>
    <row r="258" customFormat="false" ht="16.5" hidden="false" customHeight="false" outlineLevel="0" collapsed="false">
      <c r="C258" s="54" t="str">
        <f aca="false">Хмільник!C258</f>
        <v>Батончик енергетичний</v>
      </c>
      <c r="D258" s="15" t="n">
        <f aca="false">Хмільник!D258</f>
        <v>13016</v>
      </c>
      <c r="E258" s="33"/>
      <c r="F258" s="33"/>
      <c r="G258" s="29" t="n">
        <f aca="false">L258*K258</f>
        <v>0</v>
      </c>
      <c r="H258" s="48"/>
      <c r="I258" s="33"/>
      <c r="K258" s="55" t="n">
        <f aca="false">Хмільник!K258</f>
        <v>0</v>
      </c>
      <c r="L258" s="26" t="n">
        <f aca="false">L257</f>
        <v>39</v>
      </c>
    </row>
    <row r="259" customFormat="false" ht="16.5" hidden="false" customHeight="false" outlineLevel="0" collapsed="false">
      <c r="C259" s="54" t="str">
        <f aca="false">Хмільник!C259</f>
        <v>Шоколад молочний</v>
      </c>
      <c r="D259" s="15" t="n">
        <f aca="false">Хмільник!D259</f>
        <v>13017</v>
      </c>
      <c r="E259" s="33"/>
      <c r="F259" s="33"/>
      <c r="G259" s="29" t="n">
        <f aca="false">L259*K259</f>
        <v>0</v>
      </c>
      <c r="H259" s="48"/>
      <c r="I259" s="33"/>
      <c r="K259" s="55" t="n">
        <f aca="false">Хмільник!K259</f>
        <v>0</v>
      </c>
      <c r="L259" s="26" t="n">
        <f aca="false">L258</f>
        <v>39</v>
      </c>
    </row>
    <row r="260" customFormat="false" ht="16.5" hidden="false" customHeight="false" outlineLevel="0" collapsed="false">
      <c r="C260" s="54" t="str">
        <f aca="false">Хмільник!C260</f>
        <v>Шоколад молочний індивідуального пакув.</v>
      </c>
      <c r="D260" s="15" t="n">
        <f aca="false">Хмільник!D260</f>
        <v>13018</v>
      </c>
      <c r="E260" s="33"/>
      <c r="F260" s="33"/>
      <c r="G260" s="29" t="n">
        <f aca="false">L260*K260</f>
        <v>0</v>
      </c>
      <c r="H260" s="48"/>
      <c r="I260" s="33"/>
      <c r="K260" s="55" t="n">
        <f aca="false">Хмільник!K260</f>
        <v>0</v>
      </c>
      <c r="L260" s="26" t="n">
        <f aca="false">L259</f>
        <v>39</v>
      </c>
    </row>
    <row r="261" customFormat="false" ht="16.5" hidden="false" customHeight="false" outlineLevel="0" collapsed="false">
      <c r="C261" s="54" t="str">
        <f aca="false">Хмільник!C261</f>
        <v>Шоколад темний (чорний)</v>
      </c>
      <c r="D261" s="15" t="n">
        <f aca="false">Хмільник!D261</f>
        <v>13019</v>
      </c>
      <c r="E261" s="33"/>
      <c r="F261" s="33"/>
      <c r="G261" s="29" t="n">
        <f aca="false">L261*K261</f>
        <v>0</v>
      </c>
      <c r="H261" s="48"/>
      <c r="I261" s="33"/>
      <c r="K261" s="55" t="n">
        <f aca="false">Хмільник!K261</f>
        <v>0</v>
      </c>
      <c r="L261" s="26" t="n">
        <f aca="false">L260</f>
        <v>39</v>
      </c>
    </row>
    <row r="262" customFormat="false" ht="16.5" hidden="false" customHeight="false" outlineLevel="0" collapsed="false">
      <c r="C262" s="54" t="str">
        <f aca="false">Хмільник!C262</f>
        <v>Шоколад темний (чорний) індив. пакування</v>
      </c>
      <c r="D262" s="15" t="n">
        <f aca="false">Хмільник!D262</f>
        <v>13020</v>
      </c>
      <c r="E262" s="33"/>
      <c r="F262" s="33"/>
      <c r="G262" s="29" t="n">
        <f aca="false">L262*K262</f>
        <v>0</v>
      </c>
      <c r="H262" s="48"/>
      <c r="I262" s="33"/>
      <c r="K262" s="55" t="n">
        <f aca="false">Хмільник!K262</f>
        <v>0</v>
      </c>
      <c r="L262" s="26" t="n">
        <f aca="false">L261</f>
        <v>39</v>
      </c>
    </row>
    <row r="263" customFormat="false" ht="16.5" hidden="false" customHeight="false" outlineLevel="0" collapsed="false">
      <c r="C263" s="54" t="str">
        <f aca="false">Хмільник!C263</f>
        <v>Батончик шоколадний з арахісом</v>
      </c>
      <c r="D263" s="15" t="n">
        <f aca="false">Хмільник!D263</f>
        <v>13021</v>
      </c>
      <c r="E263" s="33"/>
      <c r="F263" s="33"/>
      <c r="G263" s="29" t="n">
        <f aca="false">L263*K263</f>
        <v>0</v>
      </c>
      <c r="H263" s="48"/>
      <c r="I263" s="33"/>
      <c r="K263" s="55" t="n">
        <f aca="false">Хмільник!K263</f>
        <v>0</v>
      </c>
      <c r="L263" s="26" t="n">
        <f aca="false">L262</f>
        <v>39</v>
      </c>
    </row>
    <row r="264" customFormat="false" ht="16.5" hidden="false" customHeight="false" outlineLevel="0" collapsed="false">
      <c r="C264" s="54" t="str">
        <f aca="false">Хмільник!C264</f>
        <v>Бринза</v>
      </c>
      <c r="D264" s="15" t="n">
        <f aca="false">Хмільник!D264</f>
        <v>13101</v>
      </c>
      <c r="E264" s="33"/>
      <c r="F264" s="33"/>
      <c r="G264" s="29" t="n">
        <f aca="false">L264*K264</f>
        <v>0</v>
      </c>
      <c r="H264" s="48"/>
      <c r="I264" s="33"/>
      <c r="K264" s="55" t="n">
        <f aca="false">Хмільник!K264</f>
        <v>0</v>
      </c>
      <c r="L264" s="26" t="n">
        <f aca="false">L263</f>
        <v>39</v>
      </c>
    </row>
    <row r="265" customFormat="false" ht="16.5" hidden="false" customHeight="false" outlineLevel="0" collapsed="false">
      <c r="C265" s="54" t="str">
        <f aca="false">Хмільник!C265</f>
        <v>Вершки питні</v>
      </c>
      <c r="D265" s="15" t="n">
        <f aca="false">Хмільник!D265</f>
        <v>13102</v>
      </c>
      <c r="E265" s="33"/>
      <c r="F265" s="33"/>
      <c r="G265" s="29" t="n">
        <f aca="false">L265*K265</f>
        <v>0</v>
      </c>
      <c r="H265" s="48"/>
      <c r="I265" s="33"/>
      <c r="K265" s="55" t="n">
        <f aca="false">Хмільник!K265</f>
        <v>0</v>
      </c>
      <c r="L265" s="26" t="n">
        <f aca="false">L264</f>
        <v>39</v>
      </c>
    </row>
    <row r="266" customFormat="false" ht="16.5" hidden="false" customHeight="false" outlineLevel="0" collapsed="false">
      <c r="C266" s="54" t="str">
        <f aca="false">Хмільник!C266</f>
        <v>Йогурт від 1,5 % (з наповнювачами)</v>
      </c>
      <c r="D266" s="15" t="n">
        <f aca="false">Хмільник!D266</f>
        <v>13104</v>
      </c>
      <c r="E266" s="33"/>
      <c r="F266" s="33"/>
      <c r="G266" s="29" t="n">
        <f aca="false">L266*K266</f>
        <v>0</v>
      </c>
      <c r="H266" s="48"/>
      <c r="I266" s="33"/>
      <c r="K266" s="55" t="n">
        <f aca="false">Хмільник!K266</f>
        <v>0</v>
      </c>
      <c r="L266" s="26" t="n">
        <f aca="false">L265</f>
        <v>39</v>
      </c>
    </row>
    <row r="267" customFormat="false" ht="16.5" hidden="false" customHeight="false" outlineLevel="0" collapsed="false">
      <c r="C267" s="54" t="str">
        <f aca="false">Хмільник!C267</f>
        <v>Йогурт від 1,5 % (без харчових добавок )</v>
      </c>
      <c r="D267" s="15" t="n">
        <f aca="false">Хмільник!D267</f>
        <v>13105</v>
      </c>
      <c r="E267" s="33"/>
      <c r="F267" s="33"/>
      <c r="G267" s="29" t="n">
        <f aca="false">L267*K267</f>
        <v>0</v>
      </c>
      <c r="H267" s="48"/>
      <c r="I267" s="33"/>
      <c r="K267" s="55" t="n">
        <f aca="false">Хмільник!K267</f>
        <v>0</v>
      </c>
      <c r="L267" s="26" t="n">
        <f aca="false">L266</f>
        <v>39</v>
      </c>
    </row>
    <row r="268" customFormat="false" ht="16.5" hidden="false" customHeight="false" outlineLevel="0" collapsed="false">
      <c r="C268" s="54" t="str">
        <f aca="false">Хмільник!C268</f>
        <v>Кефір нежирний</v>
      </c>
      <c r="D268" s="15" t="n">
        <f aca="false">Хмільник!D268</f>
        <v>13106</v>
      </c>
      <c r="E268" s="33"/>
      <c r="F268" s="33"/>
      <c r="G268" s="29" t="n">
        <f aca="false">L268*K268</f>
        <v>0</v>
      </c>
      <c r="H268" s="48"/>
      <c r="I268" s="33"/>
      <c r="K268" s="55" t="n">
        <f aca="false">Хмільник!K268</f>
        <v>0</v>
      </c>
      <c r="L268" s="26" t="n">
        <f aca="false">L267</f>
        <v>39</v>
      </c>
    </row>
    <row r="269" customFormat="false" ht="16.5" hidden="false" customHeight="false" outlineLevel="0" collapsed="false">
      <c r="C269" s="54" t="str">
        <f aca="false">Хмільник!C269</f>
        <v>Кефір від 2,5 %</v>
      </c>
      <c r="D269" s="15" t="n">
        <f aca="false">Хмільник!D269</f>
        <v>13107</v>
      </c>
      <c r="E269" s="33"/>
      <c r="F269" s="33"/>
      <c r="G269" s="29" t="n">
        <f aca="false">L269*K269</f>
        <v>0</v>
      </c>
      <c r="H269" s="48"/>
      <c r="I269" s="33"/>
      <c r="K269" s="55" t="n">
        <f aca="false">Хмільник!K269</f>
        <v>0</v>
      </c>
      <c r="L269" s="26" t="n">
        <f aca="false">L268</f>
        <v>39</v>
      </c>
    </row>
    <row r="270" customFormat="false" ht="16.5" hidden="false" customHeight="false" outlineLevel="0" collapsed="false">
      <c r="C270" s="54" t="str">
        <f aca="false">Хмільник!C270</f>
        <v>Молоко згущене від 8,5 %</v>
      </c>
      <c r="D270" s="15" t="n">
        <f aca="false">Хмільник!D270</f>
        <v>13108</v>
      </c>
      <c r="E270" s="33"/>
      <c r="F270" s="33"/>
      <c r="G270" s="29" t="n">
        <f aca="false">L270*K270</f>
        <v>0</v>
      </c>
      <c r="H270" s="48"/>
      <c r="I270" s="33"/>
      <c r="K270" s="55" t="n">
        <f aca="false">Хмільник!K270</f>
        <v>0</v>
      </c>
      <c r="L270" s="26" t="n">
        <f aca="false">L269</f>
        <v>39</v>
      </c>
    </row>
    <row r="271" customFormat="false" ht="16.5" hidden="false" customHeight="false" outlineLevel="0" collapsed="false">
      <c r="C271" s="54" t="str">
        <f aca="false">Хмільник!C271</f>
        <v>Молоко пастеризоване 1 % - 2,45 %</v>
      </c>
      <c r="D271" s="15" t="n">
        <f aca="false">Хмільник!D271</f>
        <v>13109</v>
      </c>
      <c r="E271" s="33"/>
      <c r="F271" s="33"/>
      <c r="G271" s="29" t="n">
        <f aca="false">L271*K271</f>
        <v>0</v>
      </c>
      <c r="H271" s="48"/>
      <c r="I271" s="33"/>
      <c r="K271" s="55" t="n">
        <f aca="false">Хмільник!K271</f>
        <v>0</v>
      </c>
      <c r="L271" s="26" t="n">
        <f aca="false">L270</f>
        <v>39</v>
      </c>
    </row>
    <row r="272" customFormat="false" ht="16.5" hidden="false" customHeight="false" outlineLevel="0" collapsed="false">
      <c r="C272" s="54" t="str">
        <f aca="false">Хмільник!C272</f>
        <v>Молоко ультрапастеризоване 1-1,6 %</v>
      </c>
      <c r="D272" s="15" t="n">
        <f aca="false">Хмільник!D272</f>
        <v>13110</v>
      </c>
      <c r="E272" s="33"/>
      <c r="F272" s="33"/>
      <c r="G272" s="29" t="n">
        <f aca="false">L272*K272</f>
        <v>0</v>
      </c>
      <c r="H272" s="48"/>
      <c r="I272" s="33"/>
      <c r="K272" s="55" t="n">
        <f aca="false">Хмільник!K272</f>
        <v>0</v>
      </c>
      <c r="L272" s="26" t="n">
        <f aca="false">L271</f>
        <v>39</v>
      </c>
    </row>
    <row r="273" customFormat="false" ht="16.5" hidden="false" customHeight="false" outlineLevel="0" collapsed="false">
      <c r="C273" s="54" t="str">
        <f aca="false">Хмільник!C273</f>
        <v>Молоко ультрапастеризоване 2,5 %</v>
      </c>
      <c r="D273" s="15" t="n">
        <f aca="false">Хмільник!D273</f>
        <v>13111</v>
      </c>
      <c r="E273" s="33"/>
      <c r="F273" s="33"/>
      <c r="G273" s="29" t="n">
        <f aca="false">L273*K273</f>
        <v>0</v>
      </c>
      <c r="H273" s="48"/>
      <c r="I273" s="33"/>
      <c r="K273" s="55" t="n">
        <f aca="false">Хмільник!K273</f>
        <v>0</v>
      </c>
      <c r="L273" s="26" t="n">
        <f aca="false">L272</f>
        <v>39</v>
      </c>
    </row>
    <row r="274" customFormat="false" ht="16.5" hidden="false" customHeight="false" outlineLevel="0" collapsed="false">
      <c r="C274" s="54" t="str">
        <f aca="false">Хмільник!C274</f>
        <v>Молоко ультрапастеризоване 3,2 %</v>
      </c>
      <c r="D274" s="15" t="n">
        <f aca="false">Хмільник!D274</f>
        <v>13112</v>
      </c>
      <c r="E274" s="33"/>
      <c r="F274" s="33"/>
      <c r="G274" s="29" t="n">
        <f aca="false">L274*K274</f>
        <v>0</v>
      </c>
      <c r="H274" s="48"/>
      <c r="I274" s="33"/>
      <c r="K274" s="55" t="n">
        <f aca="false">Хмільник!K274</f>
        <v>0</v>
      </c>
      <c r="L274" s="26" t="n">
        <f aca="false">L273</f>
        <v>39</v>
      </c>
    </row>
    <row r="275" customFormat="false" ht="16.5" hidden="false" customHeight="false" outlineLevel="0" collapsed="false">
      <c r="C275" s="54" t="str">
        <f aca="false">Хмільник!C275</f>
        <v>Сир кисломолочний 9-18 %</v>
      </c>
      <c r="D275" s="15" t="n">
        <f aca="false">Хмільник!D275</f>
        <v>13113</v>
      </c>
      <c r="E275" s="33"/>
      <c r="F275" s="33"/>
      <c r="G275" s="29" t="n">
        <f aca="false">L275*K275</f>
        <v>0</v>
      </c>
      <c r="H275" s="48"/>
      <c r="I275" s="33"/>
      <c r="K275" s="55" t="n">
        <f aca="false">Хмільник!K275</f>
        <v>0</v>
      </c>
      <c r="L275" s="26" t="n">
        <f aca="false">L274</f>
        <v>39</v>
      </c>
    </row>
    <row r="276" customFormat="false" ht="16.5" hidden="false" customHeight="false" outlineLevel="0" collapsed="false">
      <c r="C276" s="54" t="str">
        <f aca="false">Хмільник!C276</f>
        <v>Сир кисломолочний нежирний</v>
      </c>
      <c r="D276" s="15" t="n">
        <f aca="false">Хмільник!D276</f>
        <v>13114</v>
      </c>
      <c r="E276" s="33"/>
      <c r="F276" s="33"/>
      <c r="G276" s="29" t="n">
        <f aca="false">L276*K276</f>
        <v>0</v>
      </c>
      <c r="H276" s="48"/>
      <c r="I276" s="33"/>
      <c r="K276" s="55" t="n">
        <f aca="false">Хмільник!K276</f>
        <v>0</v>
      </c>
      <c r="L276" s="26" t="n">
        <f aca="false">L275</f>
        <v>39</v>
      </c>
    </row>
    <row r="277" customFormat="false" ht="16.5" hidden="false" customHeight="false" outlineLevel="0" collapsed="false">
      <c r="C277" s="54" t="str">
        <f aca="false">Хмільник!C277</f>
        <v>Сир плавлений</v>
      </c>
      <c r="D277" s="15" t="n">
        <f aca="false">Хмільник!D277</f>
        <v>13115</v>
      </c>
      <c r="E277" s="33"/>
      <c r="F277" s="33"/>
      <c r="G277" s="29" t="n">
        <f aca="false">L277*K277</f>
        <v>0</v>
      </c>
      <c r="H277" s="48"/>
      <c r="I277" s="33"/>
      <c r="K277" s="55" t="n">
        <f aca="false">Хмільник!K277</f>
        <v>0</v>
      </c>
      <c r="L277" s="26" t="n">
        <f aca="false">L276</f>
        <v>39</v>
      </c>
    </row>
    <row r="278" customFormat="false" ht="16.5" hidden="false" customHeight="false" outlineLevel="0" collapsed="false">
      <c r="C278" s="54" t="str">
        <f aca="false">Хмільник!C278</f>
        <v>Сир твердий (український асортимент)</v>
      </c>
      <c r="D278" s="15" t="n">
        <f aca="false">Хмільник!D278</f>
        <v>13116</v>
      </c>
      <c r="E278" s="33"/>
      <c r="F278" s="33"/>
      <c r="G278" s="29" t="n">
        <f aca="false">L278*K278</f>
        <v>0</v>
      </c>
      <c r="H278" s="48"/>
      <c r="I278" s="33"/>
      <c r="K278" s="55" t="n">
        <f aca="false">Хмільник!K278</f>
        <v>0</v>
      </c>
      <c r="L278" s="26" t="n">
        <f aca="false">L277</f>
        <v>39</v>
      </c>
    </row>
    <row r="279" customFormat="false" ht="16.5" hidden="false" customHeight="false" outlineLevel="0" collapsed="false">
      <c r="C279" s="54" t="str">
        <f aca="false">Хмільник!C279</f>
        <v>Сир напівтвердий</v>
      </c>
      <c r="D279" s="15" t="n">
        <f aca="false">Хмільник!D279</f>
        <v>13117</v>
      </c>
      <c r="E279" s="33"/>
      <c r="F279" s="33"/>
      <c r="G279" s="29" t="n">
        <f aca="false">L279*K279</f>
        <v>0</v>
      </c>
      <c r="H279" s="48"/>
      <c r="I279" s="33"/>
      <c r="K279" s="55" t="n">
        <f aca="false">Хмільник!K279</f>
        <v>0</v>
      </c>
      <c r="L279" s="26" t="n">
        <f aca="false">L278</f>
        <v>39</v>
      </c>
    </row>
    <row r="280" customFormat="false" ht="16.5" hidden="false" customHeight="false" outlineLevel="0" collapsed="false">
      <c r="C280" s="54" t="str">
        <f aca="false">Хмільник!C280</f>
        <v>Сир твердий сичужний</v>
      </c>
      <c r="D280" s="15" t="n">
        <f aca="false">Хмільник!D280</f>
        <v>13118</v>
      </c>
      <c r="E280" s="33"/>
      <c r="F280" s="33"/>
      <c r="G280" s="29" t="n">
        <f aca="false">L280*K280</f>
        <v>0</v>
      </c>
      <c r="H280" s="48"/>
      <c r="I280" s="33"/>
      <c r="K280" s="55" t="n">
        <f aca="false">Хмільник!K280</f>
        <v>0</v>
      </c>
      <c r="L280" s="26" t="n">
        <f aca="false">L279</f>
        <v>39</v>
      </c>
    </row>
    <row r="281" customFormat="false" ht="16.5" hidden="false" customHeight="false" outlineLevel="0" collapsed="false">
      <c r="C281" s="54" t="str">
        <f aca="false">Хмільник!C281</f>
        <v>Сир м’який</v>
      </c>
      <c r="D281" s="15" t="n">
        <f aca="false">Хмільник!D281</f>
        <v>13119</v>
      </c>
      <c r="E281" s="33"/>
      <c r="F281" s="33"/>
      <c r="G281" s="29" t="n">
        <f aca="false">L281*K281</f>
        <v>0</v>
      </c>
      <c r="H281" s="48"/>
      <c r="I281" s="33"/>
      <c r="K281" s="55" t="n">
        <f aca="false">Хмільник!K281</f>
        <v>0</v>
      </c>
      <c r="L281" s="26" t="n">
        <f aca="false">L280</f>
        <v>39</v>
      </c>
    </row>
    <row r="282" customFormat="false" ht="16.5" hidden="false" customHeight="false" outlineLevel="0" collapsed="false">
      <c r="C282" s="54" t="str">
        <f aca="false">Хмільник!C282</f>
        <v>Сметана 15 % - 19 %</v>
      </c>
      <c r="D282" s="15" t="n">
        <f aca="false">Хмільник!D282</f>
        <v>13120</v>
      </c>
      <c r="E282" s="33"/>
      <c r="F282" s="33"/>
      <c r="G282" s="29" t="n">
        <f aca="false">L282*K282</f>
        <v>0</v>
      </c>
      <c r="H282" s="48"/>
      <c r="I282" s="33"/>
      <c r="K282" s="55" t="n">
        <f aca="false">Хмільник!K282</f>
        <v>0</v>
      </c>
      <c r="L282" s="26" t="n">
        <f aca="false">L281</f>
        <v>39</v>
      </c>
    </row>
    <row r="283" customFormat="false" ht="16.5" hidden="false" customHeight="false" outlineLevel="0" collapsed="false">
      <c r="C283" s="54" t="str">
        <f aca="false">Хмільник!C283</f>
        <v>Сметана 20 % - 24 %</v>
      </c>
      <c r="D283" s="15" t="n">
        <f aca="false">Хмільник!D283</f>
        <v>13121</v>
      </c>
      <c r="E283" s="33"/>
      <c r="F283" s="33"/>
      <c r="G283" s="29" t="n">
        <f aca="false">L283*K283</f>
        <v>0</v>
      </c>
      <c r="H283" s="48"/>
      <c r="I283" s="33"/>
      <c r="K283" s="55" t="n">
        <f aca="false">Хмільник!K283</f>
        <v>0</v>
      </c>
      <c r="L283" s="26" t="n">
        <f aca="false">L282</f>
        <v>39</v>
      </c>
    </row>
    <row r="284" customFormat="false" ht="16.5" hidden="false" customHeight="false" outlineLevel="0" collapsed="false">
      <c r="C284" s="54" t="str">
        <f aca="false">Хмільник!C284</f>
        <v>Молоко пастеризоване від 2,5 %</v>
      </c>
      <c r="D284" s="15" t="n">
        <f aca="false">Хмільник!D284</f>
        <v>13122</v>
      </c>
      <c r="E284" s="33"/>
      <c r="F284" s="33"/>
      <c r="G284" s="29" t="n">
        <f aca="false">L284*K284</f>
        <v>0</v>
      </c>
      <c r="H284" s="48"/>
      <c r="I284" s="33"/>
      <c r="K284" s="55" t="n">
        <f aca="false">Хмільник!K284</f>
        <v>0</v>
      </c>
      <c r="L284" s="26" t="n">
        <f aca="false">L283</f>
        <v>39</v>
      </c>
    </row>
    <row r="285" customFormat="false" ht="16.5" hidden="false" customHeight="false" outlineLevel="0" collapsed="false">
      <c r="C285" s="54" t="str">
        <f aca="false">Хмільник!C285</f>
        <v>Десерт сирковий</v>
      </c>
      <c r="D285" s="15" t="n">
        <f aca="false">Хмільник!D285</f>
        <v>13123</v>
      </c>
      <c r="E285" s="33"/>
      <c r="F285" s="33"/>
      <c r="G285" s="29" t="n">
        <f aca="false">L285*K285</f>
        <v>0</v>
      </c>
      <c r="H285" s="48"/>
      <c r="I285" s="33"/>
      <c r="K285" s="55" t="n">
        <f aca="false">Хмільник!K285</f>
        <v>0</v>
      </c>
      <c r="L285" s="26" t="n">
        <f aca="false">L284</f>
        <v>39</v>
      </c>
    </row>
    <row r="286" customFormat="false" ht="16.5" hidden="false" customHeight="false" outlineLevel="0" collapsed="false">
      <c r="C286" s="54" t="str">
        <f aca="false">Хмільник!C286</f>
        <v>Сир розсільний</v>
      </c>
      <c r="D286" s="15" t="n">
        <f aca="false">Хмільник!D286</f>
        <v>13124</v>
      </c>
      <c r="E286" s="33"/>
      <c r="F286" s="33"/>
      <c r="G286" s="29" t="n">
        <f aca="false">L286*K286</f>
        <v>0</v>
      </c>
      <c r="H286" s="48"/>
      <c r="I286" s="33"/>
      <c r="K286" s="55" t="n">
        <f aca="false">Хмільник!K286</f>
        <v>0</v>
      </c>
      <c r="L286" s="26" t="n">
        <f aca="false">L285</f>
        <v>39</v>
      </c>
    </row>
    <row r="287" customFormat="false" ht="16.5" hidden="false" customHeight="false" outlineLevel="0" collapsed="false">
      <c r="C287" s="54" t="str">
        <f aca="false">Хмільник!C287</f>
        <v>Сметана 25% - 40 %</v>
      </c>
      <c r="D287" s="15" t="n">
        <f aca="false">Хмільник!D287</f>
        <v>13125</v>
      </c>
      <c r="E287" s="33"/>
      <c r="F287" s="33"/>
      <c r="G287" s="29" t="n">
        <f aca="false">L287*K287</f>
        <v>0</v>
      </c>
      <c r="H287" s="48"/>
      <c r="I287" s="33"/>
      <c r="K287" s="55" t="n">
        <f aca="false">Хмільник!K287</f>
        <v>0</v>
      </c>
      <c r="L287" s="26" t="n">
        <f aca="false">L286</f>
        <v>39</v>
      </c>
    </row>
    <row r="288" customFormat="false" ht="16.5" hidden="false" customHeight="false" outlineLevel="0" collapsed="false">
      <c r="C288" s="54" t="str">
        <f aca="false">Хмільник!C288</f>
        <v>Сир кисломолочний 5%</v>
      </c>
      <c r="D288" s="15" t="n">
        <f aca="false">Хмільник!D288</f>
        <v>13126</v>
      </c>
      <c r="E288" s="33"/>
      <c r="F288" s="33"/>
      <c r="G288" s="29" t="n">
        <f aca="false">L288*K288</f>
        <v>0</v>
      </c>
      <c r="H288" s="48"/>
      <c r="I288" s="33"/>
      <c r="K288" s="55" t="n">
        <f aca="false">Хмільник!K288</f>
        <v>0</v>
      </c>
      <c r="L288" s="26" t="n">
        <f aca="false">L287</f>
        <v>39</v>
      </c>
    </row>
    <row r="289" customFormat="false" ht="16.5" hidden="false" customHeight="false" outlineLevel="0" collapsed="false">
      <c r="C289" s="54" t="str">
        <f aca="false">Хмільник!C289</f>
        <v>Апельсиновий нектар до 0,3 л</v>
      </c>
      <c r="D289" s="15" t="n">
        <f aca="false">Хмільник!D289</f>
        <v>14001</v>
      </c>
      <c r="E289" s="33"/>
      <c r="F289" s="33"/>
      <c r="G289" s="29" t="n">
        <f aca="false">L289*K289</f>
        <v>0</v>
      </c>
      <c r="H289" s="48"/>
      <c r="I289" s="33"/>
      <c r="K289" s="55" t="n">
        <f aca="false">Хмільник!K289</f>
        <v>0</v>
      </c>
      <c r="L289" s="26" t="n">
        <f aca="false">L288</f>
        <v>39</v>
      </c>
    </row>
    <row r="290" customFormat="false" ht="16.5" hidden="false" customHeight="false" outlineLevel="0" collapsed="false">
      <c r="C290" s="54" t="str">
        <f aca="false">Хмільник!C290</f>
        <v>Апельсиновий нектар</v>
      </c>
      <c r="D290" s="15" t="n">
        <f aca="false">Хмільник!D290</f>
        <v>14002</v>
      </c>
      <c r="E290" s="33"/>
      <c r="F290" s="33"/>
      <c r="G290" s="29" t="n">
        <f aca="false">L290*K290</f>
        <v>0</v>
      </c>
      <c r="H290" s="48"/>
      <c r="I290" s="33"/>
      <c r="K290" s="55" t="n">
        <f aca="false">Хмільник!K290</f>
        <v>0</v>
      </c>
      <c r="L290" s="26" t="n">
        <f aca="false">L289</f>
        <v>39</v>
      </c>
    </row>
    <row r="291" customFormat="false" ht="16.5" hidden="false" customHeight="false" outlineLevel="0" collapsed="false">
      <c r="C291" s="54" t="str">
        <f aca="false">Хмільник!C291</f>
        <v>Яблучно-виноградний сік до 0,3 л</v>
      </c>
      <c r="D291" s="15" t="n">
        <f aca="false">Хмільник!D291</f>
        <v>14003</v>
      </c>
      <c r="E291" s="33"/>
      <c r="F291" s="33"/>
      <c r="G291" s="29" t="n">
        <f aca="false">L291*K291</f>
        <v>0</v>
      </c>
      <c r="H291" s="48"/>
      <c r="I291" s="33"/>
      <c r="K291" s="55" t="n">
        <f aca="false">Хмільник!K291</f>
        <v>0</v>
      </c>
      <c r="L291" s="26" t="n">
        <f aca="false">L290</f>
        <v>39</v>
      </c>
    </row>
    <row r="292" customFormat="false" ht="16.5" hidden="false" customHeight="false" outlineLevel="0" collapsed="false">
      <c r="C292" s="54" t="str">
        <f aca="false">Хмільник!C292</f>
        <v>Яблучно-виноградний сік</v>
      </c>
      <c r="D292" s="15" t="n">
        <f aca="false">Хмільник!D292</f>
        <v>14004</v>
      </c>
      <c r="E292" s="33"/>
      <c r="F292" s="33"/>
      <c r="G292" s="29" t="n">
        <f aca="false">L292*K292</f>
        <v>0</v>
      </c>
      <c r="H292" s="48"/>
      <c r="I292" s="33"/>
      <c r="K292" s="55" t="n">
        <f aca="false">Хмільник!K292</f>
        <v>0</v>
      </c>
      <c r="L292" s="26" t="n">
        <f aca="false">L291</f>
        <v>39</v>
      </c>
    </row>
    <row r="293" customFormat="false" ht="16.5" hidden="false" customHeight="false" outlineLevel="0" collapsed="false">
      <c r="C293" s="54" t="str">
        <f aca="false">Хмільник!C293</f>
        <v>Вишневий нектар до 0,3 л</v>
      </c>
      <c r="D293" s="15" t="n">
        <f aca="false">Хмільник!D293</f>
        <v>14005</v>
      </c>
      <c r="E293" s="33"/>
      <c r="F293" s="33"/>
      <c r="G293" s="29" t="n">
        <f aca="false">L293*K293</f>
        <v>0</v>
      </c>
      <c r="H293" s="48"/>
      <c r="I293" s="33"/>
      <c r="K293" s="55" t="n">
        <f aca="false">Хмільник!K293</f>
        <v>0</v>
      </c>
      <c r="L293" s="26" t="n">
        <f aca="false">L292</f>
        <v>39</v>
      </c>
    </row>
    <row r="294" customFormat="false" ht="16.5" hidden="false" customHeight="false" outlineLevel="0" collapsed="false">
      <c r="C294" s="54" t="str">
        <f aca="false">Хмільник!C294</f>
        <v>Вишневий нектар</v>
      </c>
      <c r="D294" s="15" t="n">
        <f aca="false">Хмільник!D294</f>
        <v>14006</v>
      </c>
      <c r="E294" s="33"/>
      <c r="F294" s="33"/>
      <c r="G294" s="29" t="n">
        <f aca="false">L294*K294</f>
        <v>0</v>
      </c>
      <c r="H294" s="48"/>
      <c r="I294" s="33"/>
      <c r="K294" s="55" t="n">
        <f aca="false">Хмільник!K294</f>
        <v>0</v>
      </c>
      <c r="L294" s="26" t="n">
        <f aca="false">L293</f>
        <v>39</v>
      </c>
    </row>
    <row r="295" customFormat="false" ht="16.5" hidden="false" customHeight="false" outlineLevel="0" collapsed="false">
      <c r="C295" s="54" t="str">
        <f aca="false">Хмільник!C295</f>
        <v>Вода газована солодка 0,5 л</v>
      </c>
      <c r="D295" s="15" t="n">
        <f aca="false">Хмільник!D295</f>
        <v>14007</v>
      </c>
      <c r="E295" s="33"/>
      <c r="F295" s="33"/>
      <c r="G295" s="29" t="n">
        <f aca="false">L295*K295</f>
        <v>0</v>
      </c>
      <c r="H295" s="48"/>
      <c r="I295" s="33"/>
      <c r="K295" s="55" t="n">
        <f aca="false">Хмільник!K295</f>
        <v>0</v>
      </c>
      <c r="L295" s="26" t="n">
        <f aca="false">L294</f>
        <v>39</v>
      </c>
    </row>
    <row r="296" customFormat="false" ht="16.5" hidden="false" customHeight="false" outlineLevel="0" collapsed="false">
      <c r="C296" s="54" t="str">
        <f aca="false">Хмільник!C296</f>
        <v>Вода мінеральна столова сильно газ. 0,5 л</v>
      </c>
      <c r="D296" s="15" t="n">
        <f aca="false">Хмільник!D296</f>
        <v>14008</v>
      </c>
      <c r="E296" s="33"/>
      <c r="F296" s="33"/>
      <c r="G296" s="29" t="n">
        <f aca="false">L296*K296</f>
        <v>0</v>
      </c>
      <c r="H296" s="48"/>
      <c r="I296" s="33"/>
      <c r="K296" s="55" t="n">
        <f aca="false">Хмільник!K296</f>
        <v>0</v>
      </c>
      <c r="L296" s="26" t="n">
        <f aca="false">L295</f>
        <v>39</v>
      </c>
    </row>
    <row r="297" customFormat="false" ht="16.5" hidden="false" customHeight="false" outlineLevel="0" collapsed="false">
      <c r="C297" s="54" t="str">
        <f aca="false">Хмільник!C297</f>
        <v>Вода мінеральна столова негазована 0,5 л</v>
      </c>
      <c r="D297" s="15" t="n">
        <f aca="false">Хмільник!D297</f>
        <v>14010</v>
      </c>
      <c r="E297" s="33"/>
      <c r="F297" s="33"/>
      <c r="G297" s="29" t="n">
        <f aca="false">L297*K297</f>
        <v>0</v>
      </c>
      <c r="H297" s="48"/>
      <c r="I297" s="33"/>
      <c r="K297" s="55" t="n">
        <f aca="false">Хмільник!K297</f>
        <v>0</v>
      </c>
      <c r="L297" s="26" t="n">
        <f aca="false">L296</f>
        <v>39</v>
      </c>
    </row>
    <row r="298" customFormat="false" ht="16.5" hidden="false" customHeight="false" outlineLevel="0" collapsed="false">
      <c r="C298" s="54" t="str">
        <f aca="false">Хмільник!C298</f>
        <v>Вода мінеральна столова негазована 1,5 л</v>
      </c>
      <c r="D298" s="15" t="n">
        <f aca="false">Хмільник!D298</f>
        <v>14011</v>
      </c>
      <c r="E298" s="33"/>
      <c r="F298" s="33"/>
      <c r="G298" s="29" t="n">
        <f aca="false">L298*K298</f>
        <v>0</v>
      </c>
      <c r="H298" s="48"/>
      <c r="I298" s="33"/>
      <c r="K298" s="55" t="n">
        <f aca="false">Хмільник!K298</f>
        <v>0</v>
      </c>
      <c r="L298" s="26" t="n">
        <f aca="false">L297</f>
        <v>39</v>
      </c>
    </row>
    <row r="299" customFormat="false" ht="16.5" hidden="false" customHeight="false" outlineLevel="0" collapsed="false">
      <c r="C299" s="54" t="str">
        <f aca="false">Хмільник!C299</f>
        <v>Вода питна бутильована до 1,5 л</v>
      </c>
      <c r="D299" s="15" t="n">
        <f aca="false">Хмільник!D299</f>
        <v>14012</v>
      </c>
      <c r="E299" s="33"/>
      <c r="F299" s="33"/>
      <c r="G299" s="29" t="n">
        <f aca="false">L299*K299</f>
        <v>0</v>
      </c>
      <c r="H299" s="48"/>
      <c r="I299" s="33"/>
      <c r="K299" s="55" t="n">
        <f aca="false">Хмільник!K299</f>
        <v>0</v>
      </c>
      <c r="L299" s="26" t="n">
        <f aca="false">L298</f>
        <v>39</v>
      </c>
    </row>
    <row r="300" customFormat="false" ht="16.5" hidden="false" customHeight="false" outlineLevel="0" collapsed="false">
      <c r="C300" s="54" t="str">
        <f aca="false">Хмільник!C300</f>
        <v>Гранатовий нектар</v>
      </c>
      <c r="D300" s="15" t="n">
        <f aca="false">Хмільник!D300</f>
        <v>14013</v>
      </c>
      <c r="E300" s="33"/>
      <c r="F300" s="33"/>
      <c r="G300" s="29" t="n">
        <f aca="false">L300*K300</f>
        <v>0</v>
      </c>
      <c r="H300" s="48"/>
      <c r="I300" s="33"/>
      <c r="K300" s="55" t="n">
        <f aca="false">Хмільник!K300</f>
        <v>0</v>
      </c>
      <c r="L300" s="26" t="n">
        <f aca="false">L299</f>
        <v>39</v>
      </c>
    </row>
    <row r="301" customFormat="false" ht="16.5" hidden="false" customHeight="false" outlineLevel="0" collapsed="false">
      <c r="C301" s="54" t="str">
        <f aca="false">Хмільник!C301</f>
        <v>Кава натуральна мелена</v>
      </c>
      <c r="D301" s="15" t="n">
        <f aca="false">Хмільник!D301</f>
        <v>14015</v>
      </c>
      <c r="E301" s="33"/>
      <c r="F301" s="33"/>
      <c r="G301" s="29" t="n">
        <f aca="false">L301*K301</f>
        <v>0</v>
      </c>
      <c r="H301" s="48"/>
      <c r="I301" s="33"/>
      <c r="K301" s="55" t="n">
        <f aca="false">Хмільник!K301</f>
        <v>0</v>
      </c>
      <c r="L301" s="26" t="n">
        <f aca="false">L300</f>
        <v>39</v>
      </c>
    </row>
    <row r="302" customFormat="false" ht="16.5" hidden="false" customHeight="false" outlineLevel="0" collapsed="false">
      <c r="C302" s="54" t="str">
        <f aca="false">Хмільник!C302</f>
        <v>Кава розчинна</v>
      </c>
      <c r="D302" s="15" t="n">
        <f aca="false">Хмільник!D302</f>
        <v>14016</v>
      </c>
      <c r="E302" s="33"/>
      <c r="F302" s="33"/>
      <c r="G302" s="29" t="n">
        <f aca="false">L302*K302</f>
        <v>0</v>
      </c>
      <c r="H302" s="48"/>
      <c r="I302" s="33"/>
      <c r="K302" s="55" t="n">
        <f aca="false">Хмільник!K302</f>
        <v>0</v>
      </c>
      <c r="L302" s="26" t="n">
        <f aca="false">L301</f>
        <v>39</v>
      </c>
    </row>
    <row r="303" customFormat="false" ht="16.5" hidden="false" customHeight="false" outlineLevel="0" collapsed="false">
      <c r="C303" s="54" t="str">
        <f aca="false">Хмільник!C303</f>
        <v>Кавовий напій</v>
      </c>
      <c r="D303" s="15" t="n">
        <f aca="false">Хмільник!D303</f>
        <v>14017</v>
      </c>
      <c r="E303" s="33"/>
      <c r="F303" s="33"/>
      <c r="G303" s="29" t="n">
        <f aca="false">L303*K303</f>
        <v>0</v>
      </c>
      <c r="H303" s="48"/>
      <c r="I303" s="33"/>
      <c r="K303" s="55" t="n">
        <f aca="false">Хмільник!K303</f>
        <v>0</v>
      </c>
      <c r="L303" s="26" t="n">
        <f aca="false">L302</f>
        <v>39</v>
      </c>
    </row>
    <row r="304" customFormat="false" ht="16.5" hidden="false" customHeight="false" outlineLevel="0" collapsed="false">
      <c r="C304" s="54" t="str">
        <f aca="false">Хмільник!C304</f>
        <v>Какао-порошок</v>
      </c>
      <c r="D304" s="15" t="n">
        <f aca="false">Хмільник!D304</f>
        <v>14018</v>
      </c>
      <c r="E304" s="33"/>
      <c r="F304" s="33"/>
      <c r="G304" s="29" t="n">
        <f aca="false">L304*K304</f>
        <v>0</v>
      </c>
      <c r="H304" s="48"/>
      <c r="I304" s="33"/>
      <c r="K304" s="55" t="n">
        <f aca="false">Хмільник!K304</f>
        <v>0</v>
      </c>
      <c r="L304" s="26" t="n">
        <f aca="false">L303</f>
        <v>39</v>
      </c>
    </row>
    <row r="305" customFormat="false" ht="16.5" hidden="false" customHeight="false" outlineLevel="0" collapsed="false">
      <c r="C305" s="54" t="str">
        <f aca="false">Хмільник!C305</f>
        <v>Мультивітамінний сік</v>
      </c>
      <c r="D305" s="15" t="n">
        <f aca="false">Хмільник!D305</f>
        <v>14020</v>
      </c>
      <c r="E305" s="33"/>
      <c r="F305" s="33"/>
      <c r="G305" s="29" t="n">
        <f aca="false">L305*K305</f>
        <v>0</v>
      </c>
      <c r="H305" s="48"/>
      <c r="I305" s="33"/>
      <c r="K305" s="55" t="n">
        <f aca="false">Хмільник!K305</f>
        <v>0</v>
      </c>
      <c r="L305" s="26" t="n">
        <f aca="false">L304</f>
        <v>39</v>
      </c>
    </row>
    <row r="306" customFormat="false" ht="16.5" hidden="false" customHeight="false" outlineLevel="0" collapsed="false">
      <c r="C306" s="54" t="str">
        <f aca="false">Хмільник!C306</f>
        <v>Томатний сік</v>
      </c>
      <c r="D306" s="15" t="n">
        <f aca="false">Хмільник!D306</f>
        <v>14022</v>
      </c>
      <c r="E306" s="33"/>
      <c r="F306" s="33"/>
      <c r="G306" s="29" t="n">
        <f aca="false">L306*K306</f>
        <v>0</v>
      </c>
      <c r="H306" s="48"/>
      <c r="I306" s="33"/>
      <c r="K306" s="55" t="n">
        <f aca="false">Хмільник!K306</f>
        <v>0</v>
      </c>
      <c r="L306" s="26" t="n">
        <f aca="false">L305</f>
        <v>39</v>
      </c>
    </row>
    <row r="307" customFormat="false" ht="16.5" hidden="false" customHeight="false" outlineLevel="0" collapsed="false">
      <c r="C307" s="54" t="str">
        <f aca="false">Хмільник!C307</f>
        <v>Цукор індивідуального пакування</v>
      </c>
      <c r="D307" s="15" t="n">
        <f aca="false">Хмільник!D307</f>
        <v>14024</v>
      </c>
      <c r="E307" s="33"/>
      <c r="F307" s="33"/>
      <c r="G307" s="29" t="n">
        <f aca="false">L307*K307</f>
        <v>0</v>
      </c>
      <c r="H307" s="48"/>
      <c r="I307" s="33"/>
      <c r="K307" s="55" t="n">
        <f aca="false">Хмільник!K307</f>
        <v>0</v>
      </c>
      <c r="L307" s="26" t="n">
        <f aca="false">L306</f>
        <v>39</v>
      </c>
    </row>
    <row r="308" customFormat="false" ht="16.5" hidden="false" customHeight="false" outlineLevel="0" collapsed="false">
      <c r="C308" s="54" t="str">
        <f aca="false">Хмільник!C308</f>
        <v>Цукор</v>
      </c>
      <c r="D308" s="15" t="n">
        <f aca="false">Хмільник!D308</f>
        <v>14025</v>
      </c>
      <c r="E308" s="33"/>
      <c r="F308" s="33"/>
      <c r="G308" s="29" t="n">
        <f aca="false">L308*K308</f>
        <v>0</v>
      </c>
      <c r="H308" s="48"/>
      <c r="I308" s="33"/>
      <c r="K308" s="55" t="n">
        <f aca="false">Хмільник!K308</f>
        <v>0</v>
      </c>
      <c r="L308" s="26" t="n">
        <f aca="false">L307</f>
        <v>39</v>
      </c>
    </row>
    <row r="309" customFormat="false" ht="16.5" hidden="false" customHeight="false" outlineLevel="0" collapsed="false">
      <c r="C309" s="54" t="str">
        <f aca="false">Хмільник!C309</f>
        <v>Чай зелений пакетований</v>
      </c>
      <c r="D309" s="15" t="n">
        <f aca="false">Хмільник!D309</f>
        <v>14026</v>
      </c>
      <c r="E309" s="33"/>
      <c r="F309" s="33"/>
      <c r="G309" s="29" t="n">
        <f aca="false">L309*K309</f>
        <v>0</v>
      </c>
      <c r="H309" s="48"/>
      <c r="I309" s="33"/>
      <c r="K309" s="55" t="n">
        <f aca="false">Хмільник!K309</f>
        <v>0</v>
      </c>
      <c r="L309" s="26" t="n">
        <f aca="false">L308</f>
        <v>39</v>
      </c>
    </row>
    <row r="310" customFormat="false" ht="16.5" hidden="false" customHeight="false" outlineLevel="0" collapsed="false">
      <c r="C310" s="54" t="str">
        <f aca="false">Хмільник!C310</f>
        <v>Чай зелений нефасований</v>
      </c>
      <c r="D310" s="15" t="n">
        <f aca="false">Хмільник!D310</f>
        <v>14027</v>
      </c>
      <c r="E310" s="33"/>
      <c r="F310" s="33"/>
      <c r="G310" s="29" t="n">
        <f aca="false">L310*K310</f>
        <v>0</v>
      </c>
      <c r="H310" s="48"/>
      <c r="I310" s="33"/>
      <c r="K310" s="55" t="n">
        <f aca="false">Хмільник!K310</f>
        <v>0</v>
      </c>
      <c r="L310" s="26" t="n">
        <f aca="false">L309</f>
        <v>39</v>
      </c>
    </row>
    <row r="311" customFormat="false" ht="16.5" hidden="false" customHeight="false" outlineLevel="0" collapsed="false">
      <c r="C311" s="54" t="str">
        <f aca="false">Хмільник!C311</f>
        <v>Чай чорний з добавками пакетований</v>
      </c>
      <c r="D311" s="15" t="n">
        <f aca="false">Хмільник!D311</f>
        <v>14028</v>
      </c>
      <c r="E311" s="33"/>
      <c r="F311" s="33"/>
      <c r="G311" s="29" t="n">
        <f aca="false">L311*K311</f>
        <v>0</v>
      </c>
      <c r="H311" s="48"/>
      <c r="I311" s="33"/>
      <c r="K311" s="55" t="n">
        <f aca="false">Хмільник!K311</f>
        <v>0</v>
      </c>
      <c r="L311" s="26" t="n">
        <f aca="false">L310</f>
        <v>39</v>
      </c>
    </row>
    <row r="312" customFormat="false" ht="16.5" hidden="false" customHeight="false" outlineLevel="0" collapsed="false">
      <c r="C312" s="54" t="str">
        <f aca="false">Хмільник!C312</f>
        <v>Чай чорний пакетований</v>
      </c>
      <c r="D312" s="15" t="n">
        <f aca="false">Хмільник!D312</f>
        <v>14029</v>
      </c>
      <c r="E312" s="33"/>
      <c r="F312" s="33"/>
      <c r="G312" s="29" t="n">
        <f aca="false">L312*K312</f>
        <v>0</v>
      </c>
      <c r="H312" s="48"/>
      <c r="I312" s="33"/>
      <c r="K312" s="55" t="n">
        <f aca="false">Хмільник!K312</f>
        <v>0</v>
      </c>
      <c r="L312" s="26" t="n">
        <f aca="false">L311</f>
        <v>39</v>
      </c>
    </row>
    <row r="313" customFormat="false" ht="16.5" hidden="false" customHeight="false" outlineLevel="0" collapsed="false">
      <c r="C313" s="54" t="str">
        <f aca="false">Хмільник!C313</f>
        <v>Чай чорний нефасований</v>
      </c>
      <c r="D313" s="15" t="n">
        <f aca="false">Хмільник!D313</f>
        <v>14030</v>
      </c>
      <c r="E313" s="33"/>
      <c r="F313" s="33"/>
      <c r="G313" s="29" t="n">
        <f aca="false">L313*K313</f>
        <v>0</v>
      </c>
      <c r="H313" s="48"/>
      <c r="I313" s="33"/>
      <c r="K313" s="55" t="n">
        <f aca="false">Хмільник!K313</f>
        <v>0</v>
      </c>
      <c r="L313" s="26" t="n">
        <f aca="false">L312</f>
        <v>39</v>
      </c>
    </row>
    <row r="314" customFormat="false" ht="16.5" hidden="false" customHeight="false" outlineLevel="0" collapsed="false">
      <c r="C314" s="54" t="str">
        <f aca="false">Хмільник!C314</f>
        <v>Яблучний сік до 0,3 л</v>
      </c>
      <c r="D314" s="15" t="n">
        <f aca="false">Хмільник!D314</f>
        <v>14031</v>
      </c>
      <c r="E314" s="33"/>
      <c r="F314" s="33"/>
      <c r="G314" s="29" t="n">
        <f aca="false">L314*K314</f>
        <v>0</v>
      </c>
      <c r="H314" s="48"/>
      <c r="I314" s="33"/>
      <c r="K314" s="55" t="n">
        <f aca="false">Хмільник!K314</f>
        <v>0</v>
      </c>
      <c r="L314" s="26" t="n">
        <f aca="false">L313</f>
        <v>39</v>
      </c>
    </row>
    <row r="315" customFormat="false" ht="16.5" hidden="false" customHeight="false" outlineLevel="0" collapsed="false">
      <c r="C315" s="54" t="str">
        <f aca="false">Хмільник!C315</f>
        <v>Яблучний сік</v>
      </c>
      <c r="D315" s="15" t="n">
        <f aca="false">Хмільник!D315</f>
        <v>14032</v>
      </c>
      <c r="E315" s="33"/>
      <c r="F315" s="33"/>
      <c r="G315" s="29" t="n">
        <f aca="false">L315*K315</f>
        <v>0</v>
      </c>
      <c r="H315" s="48"/>
      <c r="I315" s="33"/>
      <c r="K315" s="55" t="n">
        <f aca="false">Хмільник!K315</f>
        <v>0</v>
      </c>
      <c r="L315" s="26" t="n">
        <f aca="false">L314</f>
        <v>39</v>
      </c>
    </row>
    <row r="316" customFormat="false" ht="16.5" hidden="false" customHeight="false" outlineLevel="0" collapsed="false">
      <c r="C316" s="54" t="str">
        <f aca="false">Хмільник!C316</f>
        <v>Персиковий нектар</v>
      </c>
      <c r="D316" s="15" t="n">
        <f aca="false">Хмільник!D316</f>
        <v>14035</v>
      </c>
      <c r="E316" s="33"/>
      <c r="F316" s="33"/>
      <c r="G316" s="29" t="n">
        <f aca="false">L316*K316</f>
        <v>0</v>
      </c>
      <c r="H316" s="48"/>
      <c r="I316" s="33"/>
      <c r="K316" s="55" t="n">
        <f aca="false">Хмільник!K316</f>
        <v>0</v>
      </c>
      <c r="L316" s="26" t="n">
        <f aca="false">L315</f>
        <v>39</v>
      </c>
    </row>
    <row r="317" customFormat="false" ht="16.5" hidden="false" customHeight="false" outlineLevel="0" collapsed="false">
      <c r="C317" s="54" t="str">
        <f aca="false">Хмільник!C317</f>
        <v>Чай зелений з добавками пакетований</v>
      </c>
      <c r="D317" s="15" t="n">
        <f aca="false">Хмільник!D317</f>
        <v>14036</v>
      </c>
      <c r="E317" s="33"/>
      <c r="F317" s="33"/>
      <c r="G317" s="29" t="n">
        <f aca="false">L317*K317</f>
        <v>0</v>
      </c>
      <c r="H317" s="48"/>
      <c r="I317" s="33"/>
      <c r="K317" s="55" t="n">
        <f aca="false">Хмільник!K317</f>
        <v>0</v>
      </c>
      <c r="L317" s="26" t="n">
        <f aca="false">L316</f>
        <v>39</v>
      </c>
    </row>
    <row r="318" customFormat="false" ht="16.5" hidden="false" customHeight="false" outlineLevel="0" collapsed="false">
      <c r="C318" s="54" t="str">
        <f aca="false">Хмільник!C318</f>
        <v>Сік морквяний</v>
      </c>
      <c r="D318" s="15" t="n">
        <f aca="false">Хмільник!D318</f>
        <v>14037</v>
      </c>
      <c r="E318" s="33"/>
      <c r="F318" s="33"/>
      <c r="G318" s="29" t="n">
        <f aca="false">L318*K318</f>
        <v>0</v>
      </c>
      <c r="H318" s="48"/>
      <c r="I318" s="33"/>
      <c r="K318" s="55" t="n">
        <f aca="false">Хмільник!K318</f>
        <v>0</v>
      </c>
      <c r="L318" s="26" t="n">
        <f aca="false">L317</f>
        <v>39</v>
      </c>
    </row>
    <row r="319" customFormat="false" ht="16.5" hidden="false" customHeight="false" outlineLevel="0" collapsed="false">
      <c r="C319" s="54" t="str">
        <f aca="false">Хмільник!C319</f>
        <v>Ананас консервований</v>
      </c>
      <c r="D319" s="15" t="n">
        <f aca="false">Хмільник!D319</f>
        <v>14101</v>
      </c>
      <c r="E319" s="33"/>
      <c r="F319" s="33"/>
      <c r="G319" s="29" t="n">
        <f aca="false">L319*K319</f>
        <v>0</v>
      </c>
      <c r="H319" s="48"/>
      <c r="I319" s="33"/>
      <c r="K319" s="55" t="n">
        <f aca="false">Хмільник!K319</f>
        <v>0</v>
      </c>
      <c r="L319" s="26" t="n">
        <f aca="false">L318</f>
        <v>39</v>
      </c>
    </row>
    <row r="320" customFormat="false" ht="16.5" hidden="false" customHeight="false" outlineLevel="0" collapsed="false">
      <c r="C320" s="54" t="str">
        <f aca="false">Хмільник!C320</f>
        <v>Ананас свіжий</v>
      </c>
      <c r="D320" s="15" t="n">
        <f aca="false">Хмільник!D320</f>
        <v>14102</v>
      </c>
      <c r="E320" s="33"/>
      <c r="F320" s="33"/>
      <c r="G320" s="29" t="n">
        <f aca="false">L320*K320</f>
        <v>0</v>
      </c>
      <c r="H320" s="48"/>
      <c r="I320" s="33"/>
      <c r="K320" s="55" t="n">
        <f aca="false">Хмільник!K320</f>
        <v>0</v>
      </c>
      <c r="L320" s="26" t="n">
        <f aca="false">L319</f>
        <v>39</v>
      </c>
    </row>
    <row r="321" customFormat="false" ht="16.5" hidden="false" customHeight="false" outlineLevel="0" collapsed="false">
      <c r="C321" s="54" t="str">
        <f aca="false">Хмільник!C321</f>
        <v>Апельсин</v>
      </c>
      <c r="D321" s="15" t="n">
        <f aca="false">Хмільник!D321</f>
        <v>14103</v>
      </c>
      <c r="E321" s="33"/>
      <c r="F321" s="33"/>
      <c r="G321" s="29" t="n">
        <f aca="false">L321*K321</f>
        <v>0</v>
      </c>
      <c r="H321" s="48"/>
      <c r="I321" s="33"/>
      <c r="K321" s="55" t="n">
        <f aca="false">Хмільник!K321</f>
        <v>0</v>
      </c>
      <c r="L321" s="26" t="n">
        <f aca="false">L320</f>
        <v>39</v>
      </c>
    </row>
    <row r="322" customFormat="false" ht="16.5" hidden="false" customHeight="false" outlineLevel="0" collapsed="false">
      <c r="C322" s="54" t="str">
        <f aca="false">Хмільник!C322</f>
        <v>Банан</v>
      </c>
      <c r="D322" s="15" t="n">
        <f aca="false">Хмільник!D322</f>
        <v>14104</v>
      </c>
      <c r="E322" s="33"/>
      <c r="F322" s="33"/>
      <c r="G322" s="29" t="n">
        <f aca="false">L322*K322</f>
        <v>0</v>
      </c>
      <c r="H322" s="48"/>
      <c r="I322" s="33"/>
      <c r="K322" s="55" t="n">
        <f aca="false">Хмільник!K322</f>
        <v>0</v>
      </c>
      <c r="L322" s="26" t="n">
        <f aca="false">L321</f>
        <v>39</v>
      </c>
    </row>
    <row r="323" customFormat="false" ht="16.5" hidden="false" customHeight="false" outlineLevel="0" collapsed="false">
      <c r="C323" s="54" t="str">
        <f aca="false">Хмільник!C323</f>
        <v>Виноград</v>
      </c>
      <c r="D323" s="15" t="n">
        <f aca="false">Хмільник!D323</f>
        <v>14105</v>
      </c>
      <c r="E323" s="33"/>
      <c r="F323" s="33"/>
      <c r="G323" s="29" t="n">
        <f aca="false">L323*K323</f>
        <v>0</v>
      </c>
      <c r="H323" s="48"/>
      <c r="I323" s="33"/>
      <c r="K323" s="55" t="n">
        <f aca="false">Хмільник!K323</f>
        <v>0</v>
      </c>
      <c r="L323" s="26" t="n">
        <f aca="false">L322</f>
        <v>39</v>
      </c>
    </row>
    <row r="324" customFormat="false" ht="16.5" hidden="false" customHeight="false" outlineLevel="0" collapsed="false">
      <c r="C324" s="54" t="str">
        <f aca="false">Хмільник!C324</f>
        <v>Арахіс смажений</v>
      </c>
      <c r="D324" s="15" t="n">
        <f aca="false">Хмільник!D324</f>
        <v>14106</v>
      </c>
      <c r="E324" s="33"/>
      <c r="F324" s="33"/>
      <c r="G324" s="29" t="n">
        <f aca="false">L324*K324</f>
        <v>0</v>
      </c>
      <c r="H324" s="48"/>
      <c r="I324" s="33"/>
      <c r="K324" s="55" t="n">
        <f aca="false">Хмільник!K324</f>
        <v>0</v>
      </c>
      <c r="L324" s="26" t="n">
        <f aca="false">L323</f>
        <v>39</v>
      </c>
    </row>
    <row r="325" customFormat="false" ht="16.5" hidden="false" customHeight="false" outlineLevel="0" collapsed="false">
      <c r="C325" s="54" t="str">
        <f aca="false">Хмільник!C325</f>
        <v>Горіх волоський ядро</v>
      </c>
      <c r="D325" s="15" t="n">
        <f aca="false">Хмільник!D325</f>
        <v>14107</v>
      </c>
      <c r="E325" s="33"/>
      <c r="F325" s="33"/>
      <c r="G325" s="29" t="n">
        <f aca="false">L325*K325</f>
        <v>0</v>
      </c>
      <c r="H325" s="48"/>
      <c r="I325" s="33"/>
      <c r="K325" s="55" t="n">
        <f aca="false">Хмільник!K325</f>
        <v>0</v>
      </c>
      <c r="L325" s="26" t="n">
        <f aca="false">L324</f>
        <v>39</v>
      </c>
    </row>
    <row r="326" customFormat="false" ht="16.5" hidden="false" customHeight="false" outlineLevel="0" collapsed="false">
      <c r="C326" s="54" t="str">
        <f aca="false">Хмільник!C326</f>
        <v>Горіх кеш'ю</v>
      </c>
      <c r="D326" s="15" t="n">
        <f aca="false">Хмільник!D326</f>
        <v>14108</v>
      </c>
      <c r="E326" s="33"/>
      <c r="F326" s="33"/>
      <c r="G326" s="29" t="n">
        <f aca="false">L326*K326</f>
        <v>0</v>
      </c>
      <c r="H326" s="48"/>
      <c r="I326" s="33"/>
      <c r="K326" s="55" t="n">
        <f aca="false">Хмільник!K326</f>
        <v>0</v>
      </c>
      <c r="L326" s="26" t="n">
        <f aca="false">L325</f>
        <v>39</v>
      </c>
    </row>
    <row r="327" customFormat="false" ht="16.5" hidden="false" customHeight="false" outlineLevel="0" collapsed="false">
      <c r="C327" s="54" t="str">
        <f aca="false">Хмільник!C327</f>
        <v>Горіх фундук ядро сушений</v>
      </c>
      <c r="D327" s="15" t="n">
        <f aca="false">Хмільник!D327</f>
        <v>14109</v>
      </c>
      <c r="E327" s="33"/>
      <c r="F327" s="33"/>
      <c r="G327" s="29" t="n">
        <f aca="false">L327*K327</f>
        <v>0</v>
      </c>
      <c r="H327" s="48"/>
      <c r="I327" s="33"/>
      <c r="K327" s="55" t="n">
        <f aca="false">Хмільник!K327</f>
        <v>0</v>
      </c>
      <c r="L327" s="26" t="n">
        <f aca="false">L326</f>
        <v>39</v>
      </c>
    </row>
    <row r="328" customFormat="false" ht="16.5" hidden="false" customHeight="false" outlineLevel="0" collapsed="false">
      <c r="C328" s="54" t="str">
        <f aca="false">Хмільник!C328</f>
        <v>Грейпфрут</v>
      </c>
      <c r="D328" s="15" t="n">
        <f aca="false">Хмільник!D328</f>
        <v>14110</v>
      </c>
      <c r="E328" s="33"/>
      <c r="F328" s="33"/>
      <c r="G328" s="29" t="n">
        <f aca="false">L328*K328</f>
        <v>0</v>
      </c>
      <c r="H328" s="48"/>
      <c r="I328" s="33"/>
      <c r="K328" s="55" t="n">
        <f aca="false">Хмільник!K328</f>
        <v>0</v>
      </c>
      <c r="L328" s="26" t="n">
        <f aca="false">L327</f>
        <v>39</v>
      </c>
    </row>
    <row r="329" customFormat="false" ht="16.5" hidden="false" customHeight="false" outlineLevel="0" collapsed="false">
      <c r="C329" s="54" t="str">
        <f aca="false">Хмільник!C329</f>
        <v>Груша свіжа ранніх термінів достигання</v>
      </c>
      <c r="D329" s="15" t="n">
        <f aca="false">Хмільник!D329</f>
        <v>14111</v>
      </c>
      <c r="E329" s="33"/>
      <c r="F329" s="33"/>
      <c r="G329" s="29" t="n">
        <f aca="false">L329*K329</f>
        <v>0</v>
      </c>
      <c r="H329" s="48"/>
      <c r="I329" s="33"/>
      <c r="K329" s="55" t="n">
        <f aca="false">Хмільник!K329</f>
        <v>0</v>
      </c>
      <c r="L329" s="26" t="n">
        <f aca="false">L328</f>
        <v>39</v>
      </c>
    </row>
    <row r="330" customFormat="false" ht="16.5" hidden="false" customHeight="false" outlineLevel="0" collapsed="false">
      <c r="C330" s="54" t="str">
        <f aca="false">Хмільник!C330</f>
        <v>Груша свіжа сер. та пізн. терм. достигання</v>
      </c>
      <c r="D330" s="15" t="n">
        <f aca="false">Хмільник!D330</f>
        <v>14112</v>
      </c>
      <c r="E330" s="33"/>
      <c r="F330" s="33"/>
      <c r="G330" s="29" t="n">
        <f aca="false">L330*K330</f>
        <v>0</v>
      </c>
      <c r="H330" s="48"/>
      <c r="I330" s="33"/>
      <c r="K330" s="55" t="n">
        <f aca="false">Хмільник!K330</f>
        <v>0</v>
      </c>
      <c r="L330" s="26" t="n">
        <f aca="false">L329</f>
        <v>39</v>
      </c>
    </row>
    <row r="331" customFormat="false" ht="16.5" hidden="false" customHeight="false" outlineLevel="0" collapsed="false">
      <c r="C331" s="54" t="str">
        <f aca="false">Хмільник!C331</f>
        <v>Груша консервована</v>
      </c>
      <c r="D331" s="15" t="n">
        <f aca="false">Хмільник!D331</f>
        <v>14113</v>
      </c>
      <c r="E331" s="33"/>
      <c r="F331" s="33"/>
      <c r="G331" s="29" t="n">
        <f aca="false">L331*K331</f>
        <v>0</v>
      </c>
      <c r="H331" s="48"/>
      <c r="I331" s="33"/>
      <c r="K331" s="55" t="n">
        <f aca="false">Хмільник!K331</f>
        <v>0</v>
      </c>
      <c r="L331" s="26" t="n">
        <f aca="false">L330</f>
        <v>39</v>
      </c>
    </row>
    <row r="332" customFormat="false" ht="16.5" hidden="false" customHeight="false" outlineLevel="0" collapsed="false">
      <c r="C332" s="54" t="str">
        <f aca="false">Хмільник!C332</f>
        <v>Диня</v>
      </c>
      <c r="D332" s="15" t="n">
        <f aca="false">Хмільник!D332</f>
        <v>14114</v>
      </c>
      <c r="E332" s="33"/>
      <c r="F332" s="33"/>
      <c r="G332" s="29" t="n">
        <f aca="false">L332*K332</f>
        <v>0</v>
      </c>
      <c r="H332" s="48"/>
      <c r="I332" s="33"/>
      <c r="K332" s="55" t="n">
        <f aca="false">Хмільник!K332</f>
        <v>0</v>
      </c>
      <c r="L332" s="26" t="n">
        <f aca="false">L331</f>
        <v>39</v>
      </c>
    </row>
    <row r="333" customFormat="false" ht="16.5" hidden="false" customHeight="false" outlineLevel="0" collapsed="false">
      <c r="C333" s="54" t="str">
        <f aca="false">Хмільник!C333</f>
        <v>Кавун</v>
      </c>
      <c r="D333" s="15" t="n">
        <f aca="false">Хмільник!D333</f>
        <v>14115</v>
      </c>
      <c r="E333" s="33"/>
      <c r="F333" s="33"/>
      <c r="G333" s="29" t="n">
        <f aca="false">L333*K333</f>
        <v>0</v>
      </c>
      <c r="H333" s="48"/>
      <c r="I333" s="33"/>
      <c r="K333" s="55" t="n">
        <f aca="false">Хмільник!K333</f>
        <v>0</v>
      </c>
      <c r="L333" s="26" t="n">
        <f aca="false">L332</f>
        <v>39</v>
      </c>
    </row>
    <row r="334" customFormat="false" ht="16.5" hidden="false" customHeight="false" outlineLevel="0" collapsed="false">
      <c r="C334" s="54" t="str">
        <f aca="false">Хмільник!C334</f>
        <v>Ківі</v>
      </c>
      <c r="D334" s="15" t="n">
        <f aca="false">Хмільник!D334</f>
        <v>14116</v>
      </c>
      <c r="E334" s="33"/>
      <c r="F334" s="33"/>
      <c r="G334" s="29" t="n">
        <f aca="false">L334*K334</f>
        <v>0</v>
      </c>
      <c r="H334" s="48"/>
      <c r="I334" s="33"/>
      <c r="K334" s="55" t="n">
        <f aca="false">Хмільник!K334</f>
        <v>0</v>
      </c>
      <c r="L334" s="26" t="n">
        <f aca="false">L333</f>
        <v>39</v>
      </c>
    </row>
    <row r="335" customFormat="false" ht="16.5" hidden="false" customHeight="false" outlineLevel="0" collapsed="false">
      <c r="C335" s="54" t="str">
        <f aca="false">Хмільник!C335</f>
        <v>Курага</v>
      </c>
      <c r="D335" s="15" t="n">
        <f aca="false">Хмільник!D335</f>
        <v>14117</v>
      </c>
      <c r="E335" s="33"/>
      <c r="F335" s="33"/>
      <c r="G335" s="29" t="n">
        <f aca="false">L335*K335</f>
        <v>0</v>
      </c>
      <c r="H335" s="48"/>
      <c r="I335" s="33"/>
      <c r="K335" s="55" t="n">
        <f aca="false">Хмільник!K335</f>
        <v>0</v>
      </c>
      <c r="L335" s="26" t="n">
        <f aca="false">L334</f>
        <v>39</v>
      </c>
    </row>
    <row r="336" customFormat="false" ht="16.5" hidden="false" customHeight="false" outlineLevel="0" collapsed="false">
      <c r="C336" s="54" t="str">
        <f aca="false">Хмільник!C336</f>
        <v>Лимон</v>
      </c>
      <c r="D336" s="15" t="n">
        <f aca="false">Хмільник!D336</f>
        <v>14118</v>
      </c>
      <c r="E336" s="33"/>
      <c r="F336" s="33"/>
      <c r="G336" s="29" t="n">
        <f aca="false">L336*K336</f>
        <v>0</v>
      </c>
      <c r="H336" s="48"/>
      <c r="I336" s="33"/>
      <c r="K336" s="55" t="n">
        <f aca="false">Хмільник!K336</f>
        <v>0</v>
      </c>
      <c r="L336" s="26" t="n">
        <f aca="false">L335</f>
        <v>39</v>
      </c>
    </row>
    <row r="337" customFormat="false" ht="16.5" hidden="false" customHeight="false" outlineLevel="0" collapsed="false">
      <c r="C337" s="54" t="str">
        <f aca="false">Хмільник!C337</f>
        <v>Малина свіжа</v>
      </c>
      <c r="D337" s="15" t="n">
        <f aca="false">Хмільник!D337</f>
        <v>14120</v>
      </c>
      <c r="E337" s="33"/>
      <c r="F337" s="33"/>
      <c r="G337" s="29" t="n">
        <f aca="false">L337*K337</f>
        <v>0</v>
      </c>
      <c r="H337" s="48"/>
      <c r="I337" s="33"/>
      <c r="K337" s="55" t="n">
        <f aca="false">Хмільник!K337</f>
        <v>0</v>
      </c>
      <c r="L337" s="26" t="n">
        <f aca="false">L336</f>
        <v>39</v>
      </c>
    </row>
    <row r="338" customFormat="false" ht="16.5" hidden="false" customHeight="false" outlineLevel="0" collapsed="false">
      <c r="C338" s="54" t="str">
        <f aca="false">Хмільник!C338</f>
        <v>Мандарин</v>
      </c>
      <c r="D338" s="15" t="n">
        <f aca="false">Хмільник!D338</f>
        <v>14121</v>
      </c>
      <c r="E338" s="33"/>
      <c r="F338" s="33"/>
      <c r="G338" s="29" t="n">
        <f aca="false">L338*K338</f>
        <v>0</v>
      </c>
      <c r="H338" s="48"/>
      <c r="I338" s="33"/>
      <c r="K338" s="55" t="n">
        <f aca="false">Хмільник!K338</f>
        <v>0</v>
      </c>
      <c r="L338" s="26" t="n">
        <f aca="false">L337</f>
        <v>39</v>
      </c>
    </row>
    <row r="339" customFormat="false" ht="16.5" hidden="false" customHeight="false" outlineLevel="0" collapsed="false">
      <c r="C339" s="54" t="str">
        <f aca="false">Хмільник!C339</f>
        <v>Персик консервований</v>
      </c>
      <c r="D339" s="15" t="n">
        <f aca="false">Хмільник!D339</f>
        <v>14122</v>
      </c>
      <c r="E339" s="33"/>
      <c r="F339" s="33"/>
      <c r="G339" s="29" t="n">
        <f aca="false">L339*K339</f>
        <v>0</v>
      </c>
      <c r="H339" s="48"/>
      <c r="I339" s="33"/>
      <c r="K339" s="55" t="n">
        <f aca="false">Хмільник!K339</f>
        <v>0</v>
      </c>
      <c r="L339" s="26" t="n">
        <f aca="false">L338</f>
        <v>39</v>
      </c>
    </row>
    <row r="340" customFormat="false" ht="16.5" hidden="false" customHeight="false" outlineLevel="0" collapsed="false">
      <c r="C340" s="54" t="str">
        <f aca="false">Хмільник!C340</f>
        <v>Родзинки</v>
      </c>
      <c r="D340" s="15" t="n">
        <f aca="false">Хмільник!D340</f>
        <v>14123</v>
      </c>
      <c r="E340" s="33"/>
      <c r="F340" s="33"/>
      <c r="G340" s="29" t="n">
        <f aca="false">L340*K340</f>
        <v>0</v>
      </c>
      <c r="H340" s="48"/>
      <c r="I340" s="33"/>
      <c r="K340" s="55" t="n">
        <f aca="false">Хмільник!K340</f>
        <v>0</v>
      </c>
      <c r="L340" s="26" t="n">
        <f aca="false">L339</f>
        <v>39</v>
      </c>
    </row>
    <row r="341" customFormat="false" ht="16.5" hidden="false" customHeight="false" outlineLevel="0" collapsed="false">
      <c r="C341" s="54" t="str">
        <f aca="false">Хмільник!C341</f>
        <v>Суміш сухофруктів</v>
      </c>
      <c r="D341" s="15" t="n">
        <f aca="false">Хмільник!D341</f>
        <v>14124</v>
      </c>
      <c r="E341" s="33"/>
      <c r="F341" s="33"/>
      <c r="G341" s="29" t="n">
        <f aca="false">L341*K341</f>
        <v>0</v>
      </c>
      <c r="H341" s="48"/>
      <c r="I341" s="33"/>
      <c r="K341" s="55" t="n">
        <f aca="false">Хмільник!K341</f>
        <v>0</v>
      </c>
      <c r="L341" s="26" t="n">
        <f aca="false">L340</f>
        <v>39</v>
      </c>
    </row>
    <row r="342" customFormat="false" ht="16.5" hidden="false" customHeight="false" outlineLevel="0" collapsed="false">
      <c r="C342" s="54" t="str">
        <f aca="false">Хмільник!C342</f>
        <v>Суміш фруктів консервована</v>
      </c>
      <c r="D342" s="15" t="n">
        <f aca="false">Хмільник!D342</f>
        <v>14125</v>
      </c>
      <c r="E342" s="33"/>
      <c r="F342" s="33"/>
      <c r="G342" s="29" t="n">
        <f aca="false">L342*K342</f>
        <v>0</v>
      </c>
      <c r="H342" s="48"/>
      <c r="I342" s="33"/>
      <c r="K342" s="55" t="n">
        <f aca="false">Хмільник!K342</f>
        <v>0</v>
      </c>
      <c r="L342" s="26" t="n">
        <f aca="false">L341</f>
        <v>39</v>
      </c>
    </row>
    <row r="343" customFormat="false" ht="16.5" hidden="false" customHeight="false" outlineLevel="0" collapsed="false">
      <c r="C343" s="54" t="str">
        <f aca="false">Хмільник!C343</f>
        <v>Хурма</v>
      </c>
      <c r="D343" s="15" t="n">
        <f aca="false">Хмільник!D343</f>
        <v>14126</v>
      </c>
      <c r="E343" s="33"/>
      <c r="F343" s="33"/>
      <c r="G343" s="29" t="n">
        <f aca="false">L343*K343</f>
        <v>0</v>
      </c>
      <c r="H343" s="48"/>
      <c r="I343" s="33"/>
      <c r="K343" s="55" t="n">
        <f aca="false">Хмільник!K343</f>
        <v>0</v>
      </c>
      <c r="L343" s="26" t="n">
        <f aca="false">L342</f>
        <v>39</v>
      </c>
    </row>
    <row r="344" customFormat="false" ht="16.5" hidden="false" customHeight="false" outlineLevel="0" collapsed="false">
      <c r="C344" s="54" t="str">
        <f aca="false">Хмільник!C344</f>
        <v>Черешня</v>
      </c>
      <c r="D344" s="15" t="n">
        <f aca="false">Хмільник!D344</f>
        <v>14127</v>
      </c>
      <c r="E344" s="33"/>
      <c r="F344" s="33"/>
      <c r="G344" s="29" t="n">
        <f aca="false">L344*K344</f>
        <v>0</v>
      </c>
      <c r="H344" s="48"/>
      <c r="I344" s="33"/>
      <c r="K344" s="55" t="n">
        <f aca="false">Хмільник!K344</f>
        <v>0</v>
      </c>
      <c r="L344" s="26" t="n">
        <f aca="false">L343</f>
        <v>39</v>
      </c>
    </row>
    <row r="345" customFormat="false" ht="16.5" hidden="false" customHeight="false" outlineLevel="0" collapsed="false">
      <c r="C345" s="54" t="str">
        <f aca="false">Хмільник!C345</f>
        <v>Чорнослив без кісточки</v>
      </c>
      <c r="D345" s="15" t="n">
        <f aca="false">Хмільник!D345</f>
        <v>14128</v>
      </c>
      <c r="E345" s="33"/>
      <c r="F345" s="33"/>
      <c r="G345" s="29" t="n">
        <f aca="false">L345*K345</f>
        <v>0</v>
      </c>
      <c r="H345" s="48"/>
      <c r="I345" s="33"/>
      <c r="K345" s="55" t="n">
        <f aca="false">Хмільник!K345</f>
        <v>0</v>
      </c>
      <c r="L345" s="26" t="n">
        <f aca="false">L344</f>
        <v>39</v>
      </c>
    </row>
    <row r="346" customFormat="false" ht="16.5" hidden="false" customHeight="false" outlineLevel="0" collapsed="false">
      <c r="C346" s="54" t="str">
        <f aca="false">Хмільник!C346</f>
        <v>Нектарин</v>
      </c>
      <c r="D346" s="15" t="n">
        <f aca="false">Хмільник!D346</f>
        <v>14129</v>
      </c>
      <c r="E346" s="33"/>
      <c r="F346" s="33"/>
      <c r="G346" s="29" t="n">
        <f aca="false">L346*K346</f>
        <v>0</v>
      </c>
      <c r="H346" s="48"/>
      <c r="I346" s="33"/>
      <c r="K346" s="55" t="n">
        <f aca="false">Хмільник!K346</f>
        <v>0</v>
      </c>
      <c r="L346" s="26" t="n">
        <f aca="false">L345</f>
        <v>39</v>
      </c>
    </row>
    <row r="347" customFormat="false" ht="16.5" hidden="false" customHeight="false" outlineLevel="0" collapsed="false">
      <c r="C347" s="54" t="str">
        <f aca="false">Хмільник!C347</f>
        <v>Яблука свіжі ранніх термінів достигання</v>
      </c>
      <c r="D347" s="15" t="n">
        <f aca="false">Хмільник!D347</f>
        <v>14131</v>
      </c>
      <c r="E347" s="33"/>
      <c r="F347" s="33"/>
      <c r="G347" s="29" t="n">
        <f aca="false">L347*K347</f>
        <v>0</v>
      </c>
      <c r="H347" s="48"/>
      <c r="I347" s="33"/>
      <c r="K347" s="55" t="n">
        <f aca="false">Хмільник!K347</f>
        <v>0</v>
      </c>
      <c r="L347" s="26" t="n">
        <f aca="false">L346</f>
        <v>39</v>
      </c>
    </row>
    <row r="348" customFormat="false" ht="16.5" hidden="false" customHeight="false" outlineLevel="0" collapsed="false">
      <c r="C348" s="54" t="str">
        <f aca="false">Хмільник!C348</f>
        <v>Яблука свіжі пізніх (серед.) терм. достиган.</v>
      </c>
      <c r="D348" s="15" t="n">
        <f aca="false">Хмільник!D348</f>
        <v>14132</v>
      </c>
      <c r="E348" s="33"/>
      <c r="F348" s="33"/>
      <c r="G348" s="29" t="n">
        <f aca="false">L348*K348</f>
        <v>0</v>
      </c>
      <c r="H348" s="48"/>
      <c r="I348" s="33"/>
      <c r="K348" s="55" t="n">
        <f aca="false">Хмільник!K348</f>
        <v>0</v>
      </c>
      <c r="L348" s="26" t="n">
        <f aca="false">L347</f>
        <v>39</v>
      </c>
    </row>
    <row r="349" customFormat="false" ht="16.5" hidden="false" customHeight="false" outlineLevel="0" collapsed="false">
      <c r="C349" s="54" t="str">
        <f aca="false">Хмільник!C349</f>
        <v>Насіння льону</v>
      </c>
      <c r="D349" s="15" t="n">
        <f aca="false">Хмільник!D349</f>
        <v>14133</v>
      </c>
      <c r="E349" s="33"/>
      <c r="F349" s="33"/>
      <c r="G349" s="29" t="n">
        <f aca="false">L349*K349</f>
        <v>0</v>
      </c>
      <c r="H349" s="48"/>
      <c r="I349" s="33"/>
      <c r="K349" s="55" t="n">
        <f aca="false">Хмільник!K349</f>
        <v>0</v>
      </c>
      <c r="L349" s="26" t="n">
        <f aca="false">L348</f>
        <v>39</v>
      </c>
    </row>
    <row r="350" customFormat="false" ht="16.5" hidden="false" customHeight="false" outlineLevel="0" collapsed="false">
      <c r="C350" s="54" t="str">
        <f aca="false">Хмільник!C350</f>
        <v>Шипшина сушена</v>
      </c>
      <c r="D350" s="15" t="n">
        <f aca="false">Хмільник!D350</f>
        <v>14134</v>
      </c>
      <c r="E350" s="33"/>
      <c r="F350" s="33"/>
      <c r="G350" s="29" t="n">
        <f aca="false">L350*K350</f>
        <v>0</v>
      </c>
      <c r="H350" s="48"/>
      <c r="I350" s="33"/>
      <c r="K350" s="55" t="n">
        <f aca="false">Хмільник!K350</f>
        <v>0</v>
      </c>
      <c r="L350" s="26" t="n">
        <f aca="false">L349</f>
        <v>39</v>
      </c>
    </row>
    <row r="351" customFormat="false" ht="16.5" hidden="false" customHeight="false" outlineLevel="0" collapsed="false">
      <c r="C351" s="54" t="str">
        <f aca="false">Хмільник!C351</f>
        <v>Слива свіжа сезонна</v>
      </c>
      <c r="D351" s="15" t="n">
        <f aca="false">Хмільник!D351</f>
        <v>14135</v>
      </c>
      <c r="E351" s="33"/>
      <c r="F351" s="33"/>
      <c r="G351" s="29" t="n">
        <f aca="false">L351*K351</f>
        <v>0</v>
      </c>
      <c r="H351" s="48"/>
      <c r="I351" s="33"/>
      <c r="K351" s="55" t="n">
        <f aca="false">Хмільник!K351</f>
        <v>0</v>
      </c>
      <c r="L351" s="26" t="n">
        <f aca="false">L350</f>
        <v>39</v>
      </c>
    </row>
    <row r="352" customFormat="false" ht="16.5" hidden="false" customHeight="false" outlineLevel="0" collapsed="false">
      <c r="C352" s="54" t="str">
        <f aca="false">Хмільник!C352</f>
        <v>Гарбузове насіння чищене</v>
      </c>
      <c r="D352" s="15" t="n">
        <f aca="false">Хмільник!D352</f>
        <v>14136</v>
      </c>
      <c r="E352" s="33"/>
      <c r="F352" s="33"/>
      <c r="G352" s="29" t="n">
        <f aca="false">L352*K352</f>
        <v>0</v>
      </c>
      <c r="H352" s="48"/>
      <c r="I352" s="33"/>
      <c r="K352" s="55" t="n">
        <f aca="false">Хмільник!K352</f>
        <v>0</v>
      </c>
      <c r="L352" s="26" t="n">
        <f aca="false">L351</f>
        <v>39</v>
      </c>
    </row>
    <row r="353" customFormat="false" ht="16.5" hidden="false" customHeight="false" outlineLevel="0" collapsed="false">
      <c r="C353" s="54" t="str">
        <f aca="false">Хмільник!C353</f>
        <v>Інжир сушений</v>
      </c>
      <c r="D353" s="15" t="n">
        <f aca="false">Хмільник!D353</f>
        <v>14137</v>
      </c>
      <c r="E353" s="33"/>
      <c r="F353" s="33"/>
      <c r="G353" s="29" t="n">
        <f aca="false">L353*K353</f>
        <v>0</v>
      </c>
      <c r="H353" s="48"/>
      <c r="I353" s="33"/>
      <c r="K353" s="55" t="n">
        <f aca="false">Хмільник!K353</f>
        <v>0</v>
      </c>
      <c r="L353" s="26" t="n">
        <f aca="false">L352</f>
        <v>39</v>
      </c>
    </row>
    <row r="354" customFormat="false" ht="16.5" hidden="false" customHeight="false" outlineLevel="0" collapsed="false">
      <c r="C354" s="54" t="str">
        <f aca="false">Хмільник!C354</f>
        <v>Абрикос</v>
      </c>
      <c r="D354" s="15" t="n">
        <f aca="false">Хмільник!D354</f>
        <v>14138</v>
      </c>
      <c r="E354" s="33"/>
      <c r="F354" s="33"/>
      <c r="G354" s="29" t="n">
        <f aca="false">L354*K354</f>
        <v>0</v>
      </c>
      <c r="H354" s="48"/>
      <c r="I354" s="33"/>
      <c r="K354" s="55" t="n">
        <f aca="false">Хмільник!K354</f>
        <v>0</v>
      </c>
      <c r="L354" s="26" t="n">
        <f aca="false">L353</f>
        <v>39</v>
      </c>
    </row>
    <row r="355" customFormat="false" ht="16.5" hidden="false" customHeight="false" outlineLevel="0" collapsed="false">
      <c r="C355" s="54" t="str">
        <f aca="false">Хмільник!C355</f>
        <v>Персик</v>
      </c>
      <c r="D355" s="15" t="n">
        <f aca="false">Хмільник!D355</f>
        <v>14139</v>
      </c>
      <c r="E355" s="33"/>
      <c r="F355" s="33"/>
      <c r="G355" s="29" t="n">
        <f aca="false">L355*K355</f>
        <v>0</v>
      </c>
      <c r="H355" s="48"/>
      <c r="I355" s="33"/>
      <c r="K355" s="55" t="n">
        <f aca="false">Хмільник!K355</f>
        <v>0</v>
      </c>
      <c r="L355" s="26" t="n">
        <f aca="false">L354</f>
        <v>39</v>
      </c>
    </row>
    <row r="356" customFormat="false" ht="16.5" hidden="false" customHeight="false" outlineLevel="0" collapsed="false">
      <c r="C356" s="54" t="str">
        <f aca="false">Хмільник!C356</f>
        <v>Полуниця</v>
      </c>
      <c r="D356" s="15" t="n">
        <f aca="false">Хмільник!D356</f>
        <v>14141</v>
      </c>
      <c r="E356" s="33"/>
      <c r="F356" s="33"/>
      <c r="G356" s="29" t="n">
        <f aca="false">L356*K356</f>
        <v>0</v>
      </c>
      <c r="H356" s="48"/>
      <c r="I356" s="33"/>
      <c r="K356" s="55" t="n">
        <f aca="false">Хмільник!K356</f>
        <v>0</v>
      </c>
      <c r="L356" s="26" t="n">
        <f aca="false">L355</f>
        <v>39</v>
      </c>
    </row>
    <row r="357" customFormat="false" ht="16.5" hidden="false" customHeight="false" outlineLevel="0" collapsed="false">
      <c r="C357" s="54" t="str">
        <f aca="false">Хмільник!C357</f>
        <v>Смородина чорна</v>
      </c>
      <c r="D357" s="15" t="n">
        <f aca="false">Хмільник!D357</f>
        <v>14142</v>
      </c>
      <c r="E357" s="33"/>
      <c r="F357" s="33"/>
      <c r="G357" s="29" t="n">
        <f aca="false">L357*K357</f>
        <v>0</v>
      </c>
      <c r="H357" s="48"/>
      <c r="I357" s="33"/>
      <c r="K357" s="55" t="n">
        <f aca="false">Хмільник!K357</f>
        <v>0</v>
      </c>
      <c r="L357" s="26" t="n">
        <f aca="false">L356</f>
        <v>39</v>
      </c>
    </row>
    <row r="358" customFormat="false" ht="16.5" hidden="false" customHeight="false" outlineLevel="0" collapsed="false">
      <c r="C358" s="54" t="str">
        <f aca="false">Хмільник!C358</f>
        <v>Авокадо</v>
      </c>
      <c r="D358" s="15" t="n">
        <f aca="false">Хмільник!D358</f>
        <v>14143</v>
      </c>
      <c r="E358" s="33"/>
      <c r="F358" s="33"/>
      <c r="G358" s="29" t="n">
        <f aca="false">L358*K358</f>
        <v>0</v>
      </c>
      <c r="H358" s="48"/>
      <c r="I358" s="33"/>
      <c r="K358" s="55" t="n">
        <f aca="false">Хмільник!K358</f>
        <v>0</v>
      </c>
      <c r="L358" s="26" t="n">
        <f aca="false">L357</f>
        <v>39</v>
      </c>
    </row>
    <row r="359" customFormat="false" ht="16.5" hidden="false" customHeight="false" outlineLevel="0" collapsed="false">
      <c r="C359" s="54" t="str">
        <f aca="false">Хмільник!C359</f>
        <v>Батон</v>
      </c>
      <c r="D359" s="15" t="n">
        <f aca="false">Хмільник!D359</f>
        <v>15001</v>
      </c>
      <c r="E359" s="33"/>
      <c r="F359" s="33"/>
      <c r="G359" s="29" t="n">
        <f aca="false">L359*K359</f>
        <v>0</v>
      </c>
      <c r="H359" s="48"/>
      <c r="I359" s="33"/>
      <c r="K359" s="55" t="n">
        <f aca="false">Хмільник!K359</f>
        <v>0</v>
      </c>
      <c r="L359" s="26" t="n">
        <f aca="false">L358</f>
        <v>39</v>
      </c>
    </row>
    <row r="360" customFormat="false" ht="16.5" hidden="false" customHeight="false" outlineLevel="0" collapsed="false">
      <c r="C360" s="54" t="str">
        <f aca="false">Хмільник!C360</f>
        <v>Борошно пшеничне першого ґатунку</v>
      </c>
      <c r="D360" s="15" t="n">
        <f aca="false">Хмільник!D360</f>
        <v>15003</v>
      </c>
      <c r="E360" s="33"/>
      <c r="F360" s="33"/>
      <c r="G360" s="29" t="n">
        <f aca="false">L360*K360</f>
        <v>0</v>
      </c>
      <c r="H360" s="48"/>
      <c r="I360" s="33"/>
      <c r="K360" s="55" t="n">
        <f aca="false">Хмільник!K360</f>
        <v>0</v>
      </c>
      <c r="L360" s="26" t="n">
        <f aca="false">L359</f>
        <v>39</v>
      </c>
    </row>
    <row r="361" customFormat="false" ht="16.5" hidden="false" customHeight="false" outlineLevel="0" collapsed="false">
      <c r="C361" s="54" t="str">
        <f aca="false">Хмільник!C361</f>
        <v>Борошно пшеничне другого ґатунку</v>
      </c>
      <c r="D361" s="15" t="n">
        <f aca="false">Хмільник!D361</f>
        <v>15004</v>
      </c>
      <c r="E361" s="33"/>
      <c r="F361" s="33"/>
      <c r="G361" s="29" t="n">
        <f aca="false">L361*K361</f>
        <v>0</v>
      </c>
      <c r="H361" s="48"/>
      <c r="I361" s="33"/>
      <c r="K361" s="55" t="n">
        <f aca="false">Хмільник!K361</f>
        <v>0</v>
      </c>
      <c r="L361" s="26" t="n">
        <f aca="false">L360</f>
        <v>39</v>
      </c>
    </row>
    <row r="362" customFormat="false" ht="16.5" hidden="false" customHeight="false" outlineLevel="0" collapsed="false">
      <c r="C362" s="54" t="str">
        <f aca="false">Хмільник!C362</f>
        <v>Борошно пшеничне вищого ґатунку</v>
      </c>
      <c r="D362" s="15" t="n">
        <f aca="false">Хмільник!D362</f>
        <v>15005</v>
      </c>
      <c r="E362" s="33"/>
      <c r="F362" s="33"/>
      <c r="G362" s="29" t="n">
        <f aca="false">L362*K362</f>
        <v>0</v>
      </c>
      <c r="H362" s="48"/>
      <c r="I362" s="33"/>
      <c r="K362" s="55" t="n">
        <f aca="false">Хмільник!K362</f>
        <v>0</v>
      </c>
      <c r="L362" s="26" t="n">
        <f aca="false">L361</f>
        <v>39</v>
      </c>
    </row>
    <row r="363" customFormat="false" ht="16.5" hidden="false" customHeight="false" outlineLevel="0" collapsed="false">
      <c r="C363" s="54" t="str">
        <f aca="false">Хмільник!C363</f>
        <v>Сушки</v>
      </c>
      <c r="D363" s="15" t="n">
        <f aca="false">Хмільник!D363</f>
        <v>15006</v>
      </c>
      <c r="E363" s="33"/>
      <c r="F363" s="33"/>
      <c r="G363" s="29" t="n">
        <f aca="false">L363*K363</f>
        <v>0</v>
      </c>
      <c r="H363" s="48"/>
      <c r="I363" s="33"/>
      <c r="K363" s="55" t="n">
        <f aca="false">Хмільник!K363</f>
        <v>0</v>
      </c>
      <c r="L363" s="26" t="n">
        <f aca="false">L362</f>
        <v>39</v>
      </c>
    </row>
    <row r="364" customFormat="false" ht="16.5" hidden="false" customHeight="false" outlineLevel="0" collapsed="false">
      <c r="C364" s="54" t="str">
        <f aca="false">Хмільник!C364</f>
        <v>Вафлі з начинкою</v>
      </c>
      <c r="D364" s="15" t="n">
        <f aca="false">Хмільник!D364</f>
        <v>15007</v>
      </c>
      <c r="E364" s="33"/>
      <c r="F364" s="33"/>
      <c r="G364" s="29" t="n">
        <f aca="false">L364*K364</f>
        <v>0</v>
      </c>
      <c r="H364" s="48"/>
      <c r="I364" s="33"/>
      <c r="K364" s="55" t="n">
        <f aca="false">Хмільник!K364</f>
        <v>0</v>
      </c>
      <c r="L364" s="26" t="n">
        <f aca="false">L363</f>
        <v>39</v>
      </c>
    </row>
    <row r="365" customFormat="false" ht="16.5" hidden="false" customHeight="false" outlineLevel="0" collapsed="false">
      <c r="C365" s="54" t="str">
        <f aca="false">Хмільник!C365</f>
        <v>Вафлі з фруктовими начинками</v>
      </c>
      <c r="D365" s="15" t="n">
        <f aca="false">Хмільник!D365</f>
        <v>15008</v>
      </c>
      <c r="E365" s="33"/>
      <c r="F365" s="33"/>
      <c r="G365" s="29" t="n">
        <f aca="false">L365*K365</f>
        <v>0</v>
      </c>
      <c r="H365" s="48"/>
      <c r="I365" s="33"/>
      <c r="K365" s="55" t="n">
        <f aca="false">Хмільник!K365</f>
        <v>0</v>
      </c>
      <c r="L365" s="26" t="n">
        <f aca="false">L364</f>
        <v>39</v>
      </c>
    </row>
    <row r="366" customFormat="false" ht="16.5" hidden="false" customHeight="false" outlineLevel="0" collapsed="false">
      <c r="C366" s="54" t="str">
        <f aca="false">Хмільник!C366</f>
        <v>Галети</v>
      </c>
      <c r="D366" s="15" t="n">
        <f aca="false">Хмільник!D366</f>
        <v>15009</v>
      </c>
      <c r="E366" s="33"/>
      <c r="F366" s="33"/>
      <c r="G366" s="29" t="n">
        <f aca="false">L366*K366</f>
        <v>0</v>
      </c>
      <c r="H366" s="48"/>
      <c r="I366" s="33"/>
      <c r="K366" s="55" t="n">
        <f aca="false">Хмільник!K366</f>
        <v>0</v>
      </c>
      <c r="L366" s="26" t="n">
        <f aca="false">L365</f>
        <v>39</v>
      </c>
    </row>
    <row r="367" customFormat="false" ht="16.5" hidden="false" customHeight="false" outlineLevel="0" collapsed="false">
      <c r="C367" s="54" t="str">
        <f aca="false">Хмільник!C367</f>
        <v>Здобна випічка</v>
      </c>
      <c r="D367" s="15" t="n">
        <f aca="false">Хмільник!D367</f>
        <v>15010</v>
      </c>
      <c r="E367" s="33"/>
      <c r="F367" s="33"/>
      <c r="G367" s="29" t="n">
        <f aca="false">L367*K367</f>
        <v>0</v>
      </c>
      <c r="H367" s="48"/>
      <c r="I367" s="33"/>
      <c r="K367" s="55" t="n">
        <f aca="false">Хмільник!K367</f>
        <v>0</v>
      </c>
      <c r="L367" s="26" t="n">
        <f aca="false">L366</f>
        <v>39</v>
      </c>
    </row>
    <row r="368" customFormat="false" ht="16.5" hidden="false" customHeight="false" outlineLevel="0" collapsed="false">
      <c r="C368" s="54" t="str">
        <f aca="false">Хмільник!C368</f>
        <v>Печиво вівсяне</v>
      </c>
      <c r="D368" s="15" t="n">
        <f aca="false">Хмільник!D368</f>
        <v>15011</v>
      </c>
      <c r="E368" s="33"/>
      <c r="F368" s="33"/>
      <c r="G368" s="29" t="n">
        <f aca="false">L368*K368</f>
        <v>0</v>
      </c>
      <c r="H368" s="48"/>
      <c r="I368" s="33"/>
      <c r="K368" s="55" t="n">
        <f aca="false">Хмільник!K368</f>
        <v>0</v>
      </c>
      <c r="L368" s="26" t="n">
        <f aca="false">L367</f>
        <v>39</v>
      </c>
    </row>
    <row r="369" customFormat="false" ht="16.5" hidden="false" customHeight="false" outlineLevel="0" collapsed="false">
      <c r="C369" s="54" t="str">
        <f aca="false">Хмільник!C369</f>
        <v>Печиво цукрове</v>
      </c>
      <c r="D369" s="15" t="n">
        <f aca="false">Хмільник!D369</f>
        <v>15012</v>
      </c>
      <c r="E369" s="33"/>
      <c r="F369" s="33"/>
      <c r="G369" s="29" t="n">
        <f aca="false">L369*K369</f>
        <v>0</v>
      </c>
      <c r="H369" s="48"/>
      <c r="I369" s="33"/>
      <c r="K369" s="55" t="n">
        <f aca="false">Хмільник!K369</f>
        <v>0</v>
      </c>
      <c r="L369" s="26" t="n">
        <f aca="false">L368</f>
        <v>39</v>
      </c>
    </row>
    <row r="370" customFormat="false" ht="16.5" hidden="false" customHeight="false" outlineLevel="0" collapsed="false">
      <c r="C370" s="54" t="str">
        <f aca="false">Хмільник!C370</f>
        <v>Печиво листкове</v>
      </c>
      <c r="D370" s="15" t="n">
        <f aca="false">Хмільник!D370</f>
        <v>15013</v>
      </c>
      <c r="E370" s="33"/>
      <c r="F370" s="33"/>
      <c r="G370" s="29" t="n">
        <f aca="false">L370*K370</f>
        <v>0</v>
      </c>
      <c r="H370" s="48"/>
      <c r="I370" s="33"/>
      <c r="K370" s="55" t="n">
        <f aca="false">Хмільник!K370</f>
        <v>0</v>
      </c>
      <c r="L370" s="26" t="n">
        <f aca="false">L369</f>
        <v>39</v>
      </c>
    </row>
    <row r="371" customFormat="false" ht="16.5" hidden="false" customHeight="false" outlineLevel="0" collapsed="false">
      <c r="C371" s="54" t="str">
        <f aca="false">Хмільник!C371</f>
        <v>Печиво затяжне</v>
      </c>
      <c r="D371" s="15" t="n">
        <f aca="false">Хмільник!D371</f>
        <v>15014</v>
      </c>
      <c r="E371" s="33"/>
      <c r="F371" s="33"/>
      <c r="G371" s="29" t="n">
        <f aca="false">L371*K371</f>
        <v>0</v>
      </c>
      <c r="H371" s="48"/>
      <c r="I371" s="33"/>
      <c r="K371" s="55" t="n">
        <f aca="false">Хмільник!K371</f>
        <v>0</v>
      </c>
      <c r="L371" s="26" t="n">
        <f aca="false">L370</f>
        <v>39</v>
      </c>
    </row>
    <row r="372" customFormat="false" ht="16.5" hidden="false" customHeight="false" outlineLevel="0" collapsed="false">
      <c r="C372" s="54" t="str">
        <f aca="false">Хмільник!C372</f>
        <v>Сухарі</v>
      </c>
      <c r="D372" s="15" t="n">
        <f aca="false">Хмільник!D372</f>
        <v>15015</v>
      </c>
      <c r="E372" s="33"/>
      <c r="F372" s="33"/>
      <c r="G372" s="29" t="n">
        <f aca="false">L372*K372</f>
        <v>0</v>
      </c>
      <c r="H372" s="48"/>
      <c r="I372" s="33"/>
      <c r="K372" s="55" t="n">
        <f aca="false">Хмільник!K372</f>
        <v>0</v>
      </c>
      <c r="L372" s="26" t="n">
        <f aca="false">L371</f>
        <v>39</v>
      </c>
    </row>
    <row r="373" customFormat="false" ht="16.5" hidden="false" customHeight="false" outlineLevel="0" collapsed="false">
      <c r="C373" s="54" t="str">
        <f aca="false">Хмільник!C373</f>
        <v>Хліб житній (нарізний)</v>
      </c>
      <c r="D373" s="15" t="n">
        <f aca="false">Хмільник!D373</f>
        <v>15017</v>
      </c>
      <c r="E373" s="33"/>
      <c r="F373" s="33"/>
      <c r="G373" s="29" t="n">
        <f aca="false">L373*K373</f>
        <v>0</v>
      </c>
      <c r="H373" s="48"/>
      <c r="I373" s="33"/>
      <c r="K373" s="55" t="n">
        <f aca="false">Хмільник!K373</f>
        <v>0</v>
      </c>
      <c r="L373" s="26" t="n">
        <f aca="false">L372</f>
        <v>39</v>
      </c>
    </row>
    <row r="374" customFormat="false" ht="16.5" hidden="false" customHeight="false" outlineLevel="0" collapsed="false">
      <c r="C374" s="54" t="str">
        <f aca="false">Хмільник!C374</f>
        <v>Хліб із суміші жит. і пшен. борошна (наріз)</v>
      </c>
      <c r="D374" s="15" t="n">
        <f aca="false">Хмільник!D374</f>
        <v>15018</v>
      </c>
      <c r="E374" s="33"/>
      <c r="F374" s="33"/>
      <c r="G374" s="29" t="n">
        <f aca="false">L374*K374</f>
        <v>0</v>
      </c>
      <c r="H374" s="48"/>
      <c r="I374" s="33"/>
      <c r="K374" s="55" t="n">
        <f aca="false">Хмільник!K374</f>
        <v>0</v>
      </c>
      <c r="L374" s="26" t="n">
        <f aca="false">L373</f>
        <v>39</v>
      </c>
    </row>
    <row r="375" customFormat="false" ht="16.5" hidden="false" customHeight="false" outlineLevel="0" collapsed="false">
      <c r="C375" s="54" t="str">
        <f aca="false">Хмільник!C375</f>
        <v>Хліб з пшенич. бор. першого ґат (нарізний)</v>
      </c>
      <c r="D375" s="15" t="n">
        <f aca="false">Хмільник!D375</f>
        <v>15020</v>
      </c>
      <c r="E375" s="33"/>
      <c r="F375" s="33"/>
      <c r="G375" s="29" t="n">
        <f aca="false">L375*K375</f>
        <v>0</v>
      </c>
      <c r="H375" s="48"/>
      <c r="I375" s="33"/>
      <c r="K375" s="55" t="n">
        <f aca="false">Хмільник!K375</f>
        <v>0</v>
      </c>
      <c r="L375" s="26" t="n">
        <f aca="false">L374</f>
        <v>39</v>
      </c>
    </row>
    <row r="376" customFormat="false" ht="16.5" hidden="false" customHeight="false" outlineLevel="0" collapsed="false">
      <c r="C376" s="54" t="str">
        <f aca="false">Хмільник!C376</f>
        <v>Булочка для гамбургера</v>
      </c>
      <c r="D376" s="15" t="n">
        <f aca="false">Хмільник!D376</f>
        <v>15021</v>
      </c>
      <c r="E376" s="33"/>
      <c r="F376" s="33"/>
      <c r="G376" s="29" t="n">
        <f aca="false">L376*K376</f>
        <v>0</v>
      </c>
      <c r="H376" s="48"/>
      <c r="I376" s="33"/>
      <c r="K376" s="55" t="n">
        <f aca="false">Хмільник!K376</f>
        <v>0</v>
      </c>
      <c r="L376" s="26" t="n">
        <f aca="false">L375</f>
        <v>39</v>
      </c>
    </row>
    <row r="377" customFormat="false" ht="16.5" hidden="false" customHeight="false" outlineLevel="0" collapsed="false">
      <c r="C377" s="54" t="str">
        <f aca="false">Хмільник!C377</f>
        <v>Хліб цільнозерновий</v>
      </c>
      <c r="D377" s="15" t="n">
        <f aca="false">Хмільник!D377</f>
        <v>15022</v>
      </c>
      <c r="E377" s="33"/>
      <c r="F377" s="33"/>
      <c r="G377" s="29" t="n">
        <f aca="false">L377*K377</f>
        <v>0</v>
      </c>
      <c r="H377" s="48"/>
      <c r="I377" s="33"/>
      <c r="K377" s="55" t="n">
        <f aca="false">Хмільник!K377</f>
        <v>0</v>
      </c>
      <c r="L377" s="26" t="n">
        <f aca="false">L376</f>
        <v>39</v>
      </c>
    </row>
    <row r="378" customFormat="false" ht="16.5" hidden="false" customHeight="false" outlineLevel="0" collapsed="false">
      <c r="C378" s="54" t="str">
        <f aca="false">Хмільник!C378</f>
        <v>Лаваш тонкий</v>
      </c>
      <c r="D378" s="15" t="n">
        <f aca="false">Хмільник!D378</f>
        <v>15023</v>
      </c>
      <c r="E378" s="33"/>
      <c r="F378" s="33"/>
      <c r="G378" s="29" t="n">
        <f aca="false">L378*K378</f>
        <v>0</v>
      </c>
      <c r="H378" s="48"/>
      <c r="I378" s="33"/>
      <c r="K378" s="55" t="n">
        <f aca="false">Хмільник!K378</f>
        <v>0</v>
      </c>
      <c r="L378" s="26" t="n">
        <f aca="false">L377</f>
        <v>39</v>
      </c>
    </row>
    <row r="379" customFormat="false" ht="16.5" hidden="false" customHeight="false" outlineLevel="0" collapsed="false">
      <c r="C379" s="51" t="s">
        <v>388</v>
      </c>
      <c r="D379" s="33"/>
      <c r="E379" s="33"/>
      <c r="F379" s="33"/>
      <c r="G379" s="52" t="n">
        <f aca="false">SUM(G19:G378)</f>
        <v>0</v>
      </c>
      <c r="H379" s="48"/>
      <c r="I379" s="33"/>
    </row>
  </sheetData>
  <autoFilter ref="A18:K379"/>
  <mergeCells count="15">
    <mergeCell ref="B6:I6"/>
    <mergeCell ref="B8:I8"/>
    <mergeCell ref="B9:I9"/>
    <mergeCell ref="D11:E11"/>
    <mergeCell ref="F11:G11"/>
    <mergeCell ref="H11:I11"/>
    <mergeCell ref="D12:E12"/>
    <mergeCell ref="F12:G12"/>
    <mergeCell ref="H12:I12"/>
    <mergeCell ref="D14:E14"/>
    <mergeCell ref="F14:G14"/>
    <mergeCell ref="H14:I14"/>
    <mergeCell ref="D15:E15"/>
    <mergeCell ref="F15:G15"/>
    <mergeCell ref="H15:I15"/>
  </mergeCells>
  <printOptions headings="false" gridLines="false" gridLinesSet="true" horizontalCentered="false" verticalCentered="false"/>
  <pageMargins left="0.708333333333333" right="0.708333333333333" top="0.747916666666667" bottom="0.747916666666667" header="0.511811023622047" footer="0.511811023622047"/>
  <pageSetup paperSize="9" scale="100" fitToWidth="1" fitToHeight="2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J36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C4" activeCellId="0" sqref="C4"/>
    </sheetView>
  </sheetViews>
  <sheetFormatPr defaultColWidth="9" defaultRowHeight="16.5" zeroHeight="false" outlineLevelRow="0" outlineLevelCol="0"/>
  <cols>
    <col collapsed="false" customWidth="true" hidden="false" outlineLevel="0" max="1" min="1" style="1" width="9.14"/>
    <col collapsed="false" customWidth="true" hidden="false" outlineLevel="0" max="2" min="2" style="0" width="39.57"/>
    <col collapsed="false" customWidth="true" hidden="false" outlineLevel="0" max="3" min="3" style="0" width="12"/>
    <col collapsed="false" customWidth="true" hidden="false" outlineLevel="0" max="6" min="4" style="0" width="9.71"/>
    <col collapsed="false" customWidth="true" hidden="false" outlineLevel="0" max="7" min="7" style="0" width="10.43"/>
    <col collapsed="false" customWidth="true" hidden="false" outlineLevel="0" max="8" min="8" style="0" width="9.57"/>
    <col collapsed="false" customWidth="true" hidden="false" outlineLevel="0" max="9" min="9" style="0" width="7.57"/>
    <col collapsed="false" customWidth="true" hidden="false" outlineLevel="0" max="10" min="10" style="0" width="11.14"/>
  </cols>
  <sheetData>
    <row r="1" customFormat="false" ht="26.25" hidden="false" customHeight="true" outlineLevel="0" collapsed="false">
      <c r="A1" s="4"/>
      <c r="B1" s="63" t="n">
        <v>45627</v>
      </c>
      <c r="C1" s="4"/>
      <c r="D1" s="4"/>
      <c r="E1" s="4"/>
      <c r="F1" s="4"/>
      <c r="G1" s="4"/>
      <c r="H1" s="4"/>
      <c r="I1" s="4"/>
      <c r="J1" s="4"/>
    </row>
    <row r="2" customFormat="false" ht="78.75" hidden="false" customHeight="true" outlineLevel="0" collapsed="false">
      <c r="A2" s="12" t="s">
        <v>19</v>
      </c>
      <c r="B2" s="12" t="s">
        <v>20</v>
      </c>
      <c r="C2" s="12"/>
      <c r="D2" s="22" t="s">
        <v>397</v>
      </c>
      <c r="E2" s="22" t="s">
        <v>398</v>
      </c>
      <c r="F2" s="22" t="s">
        <v>399</v>
      </c>
      <c r="G2" s="22" t="s">
        <v>400</v>
      </c>
      <c r="H2" s="22" t="s">
        <v>398</v>
      </c>
      <c r="I2" s="22" t="s">
        <v>399</v>
      </c>
      <c r="J2" s="22" t="s">
        <v>400</v>
      </c>
    </row>
    <row r="3" customFormat="false" ht="20.25" hidden="false" customHeight="true" outlineLevel="0" collapsed="false">
      <c r="A3" s="64"/>
      <c r="B3" s="64"/>
      <c r="C3" s="64"/>
      <c r="D3" s="64"/>
      <c r="E3" s="64"/>
      <c r="F3" s="64"/>
      <c r="G3" s="64"/>
      <c r="H3" s="65" t="n">
        <v>49</v>
      </c>
      <c r="I3" s="65" t="n">
        <v>31</v>
      </c>
      <c r="J3" s="65" t="n">
        <v>38</v>
      </c>
    </row>
    <row r="4" customFormat="false" ht="14.25" hidden="false" customHeight="true" outlineLevel="0" collapsed="false">
      <c r="A4" s="15" t="n">
        <v>1</v>
      </c>
      <c r="B4" s="54" t="str">
        <f aca="false">Хмільник!C19</f>
        <v>Баклажани свіжі</v>
      </c>
      <c r="C4" s="54" t="n">
        <v>11001</v>
      </c>
      <c r="D4" s="15"/>
      <c r="E4" s="36" t="n">
        <f aca="false">(D4/(H4+I4+J4))*H4</f>
        <v>0</v>
      </c>
      <c r="F4" s="36" t="n">
        <f aca="false">(D4/(H4+I4+J4))*I4</f>
        <v>0</v>
      </c>
      <c r="G4" s="36" t="n">
        <f aca="false">(D4/(H4+I4+J4))*J4</f>
        <v>0</v>
      </c>
      <c r="H4" s="15" t="n">
        <f aca="false">H3</f>
        <v>49</v>
      </c>
      <c r="I4" s="15" t="n">
        <f aca="false">I3</f>
        <v>31</v>
      </c>
      <c r="J4" s="15" t="n">
        <f aca="false">J3</f>
        <v>38</v>
      </c>
    </row>
    <row r="5" customFormat="false" ht="14.25" hidden="false" customHeight="true" outlineLevel="0" collapsed="false">
      <c r="A5" s="15"/>
      <c r="B5" s="54" t="str">
        <f aca="false">Хмільник!C20</f>
        <v>Баклажани свіжі сезонні</v>
      </c>
      <c r="C5" s="54" t="n">
        <v>11002</v>
      </c>
      <c r="D5" s="15"/>
      <c r="E5" s="36" t="n">
        <f aca="false">(D5/(H5+I5+J5))*H5</f>
        <v>0</v>
      </c>
      <c r="F5" s="36" t="n">
        <f aca="false">(D5/(H5+I5+J5))*I5</f>
        <v>0</v>
      </c>
      <c r="G5" s="36" t="n">
        <f aca="false">(D5/(H5+I5+J5))*J5</f>
        <v>0</v>
      </c>
      <c r="H5" s="15" t="n">
        <f aca="false">H4</f>
        <v>49</v>
      </c>
      <c r="I5" s="15" t="n">
        <f aca="false">I4</f>
        <v>31</v>
      </c>
      <c r="J5" s="15" t="n">
        <f aca="false">J4</f>
        <v>38</v>
      </c>
    </row>
    <row r="6" customFormat="false" ht="14.25" hidden="false" customHeight="true" outlineLevel="0" collapsed="false">
      <c r="A6" s="15"/>
      <c r="B6" s="54" t="str">
        <f aca="false">Хмільник!C21</f>
        <v>Буряк столовий свіжий</v>
      </c>
      <c r="C6" s="54" t="n">
        <v>11004</v>
      </c>
      <c r="D6" s="15" t="n">
        <v>7.08</v>
      </c>
      <c r="E6" s="36" t="n">
        <f aca="false">(D6/(H6+I6+J6))*H6</f>
        <v>2.94</v>
      </c>
      <c r="F6" s="36" t="n">
        <f aca="false">(D6/(H6+I6+J6))*I6</f>
        <v>1.86</v>
      </c>
      <c r="G6" s="36" t="n">
        <f aca="false">(D6/(H6+I6+J6))*J6</f>
        <v>2.28</v>
      </c>
      <c r="H6" s="15" t="n">
        <f aca="false">H5</f>
        <v>49</v>
      </c>
      <c r="I6" s="15" t="n">
        <f aca="false">I5</f>
        <v>31</v>
      </c>
      <c r="J6" s="15" t="n">
        <f aca="false">J5</f>
        <v>38</v>
      </c>
    </row>
    <row r="7" customFormat="false" ht="14.25" hidden="false" customHeight="true" outlineLevel="0" collapsed="false">
      <c r="A7" s="15"/>
      <c r="B7" s="54" t="str">
        <f aca="false">Хмільник!C22</f>
        <v>Гарбуз продовольчий свіжий</v>
      </c>
      <c r="C7" s="54" t="n">
        <v>11005</v>
      </c>
      <c r="D7" s="15"/>
      <c r="E7" s="36" t="n">
        <f aca="false">(D7/(H7+I7+J7))*H7</f>
        <v>0</v>
      </c>
      <c r="F7" s="36" t="n">
        <f aca="false">(D7/(H7+I7+J7))*I7</f>
        <v>0</v>
      </c>
      <c r="G7" s="36" t="n">
        <f aca="false">(D7/(H7+I7+J7))*J7</f>
        <v>0</v>
      </c>
      <c r="H7" s="15" t="n">
        <f aca="false">H6</f>
        <v>49</v>
      </c>
      <c r="I7" s="15" t="n">
        <f aca="false">I6</f>
        <v>31</v>
      </c>
      <c r="J7" s="15" t="n">
        <f aca="false">J6</f>
        <v>38</v>
      </c>
    </row>
    <row r="8" customFormat="false" ht="14.25" hidden="false" customHeight="true" outlineLevel="0" collapsed="false">
      <c r="A8" s="15"/>
      <c r="B8" s="54" t="str">
        <f aca="false">Хмільник!C23</f>
        <v>Горошок зелений консервований</v>
      </c>
      <c r="C8" s="54" t="n">
        <v>11006</v>
      </c>
      <c r="D8" s="15"/>
      <c r="E8" s="36" t="n">
        <f aca="false">(D8/(H8+I8+J8))*H8</f>
        <v>0</v>
      </c>
      <c r="F8" s="36" t="n">
        <f aca="false">(D8/(H8+I8+J8))*I8</f>
        <v>0</v>
      </c>
      <c r="G8" s="36" t="n">
        <f aca="false">(D8/(H8+I8+J8))*J8</f>
        <v>0</v>
      </c>
      <c r="H8" s="15" t="n">
        <f aca="false">H7</f>
        <v>49</v>
      </c>
      <c r="I8" s="15" t="n">
        <f aca="false">I7</f>
        <v>31</v>
      </c>
      <c r="J8" s="15" t="n">
        <f aca="false">J7</f>
        <v>38</v>
      </c>
    </row>
    <row r="9" customFormat="false" ht="14.25" hidden="false" customHeight="true" outlineLevel="0" collapsed="false">
      <c r="A9" s="15"/>
      <c r="B9" s="54" t="str">
        <f aca="false">Хмільник!C24</f>
        <v>Ікра баклажанна</v>
      </c>
      <c r="C9" s="54" t="n">
        <v>11007</v>
      </c>
      <c r="D9" s="15"/>
      <c r="E9" s="36" t="n">
        <f aca="false">(D9/(H9+I9+J9))*H9</f>
        <v>0</v>
      </c>
      <c r="F9" s="36" t="n">
        <f aca="false">(D9/(H9+I9+J9))*I9</f>
        <v>0</v>
      </c>
      <c r="G9" s="36" t="n">
        <f aca="false">(D9/(H9+I9+J9))*J9</f>
        <v>0</v>
      </c>
      <c r="H9" s="15" t="n">
        <f aca="false">H8</f>
        <v>49</v>
      </c>
      <c r="I9" s="15" t="n">
        <f aca="false">I8</f>
        <v>31</v>
      </c>
      <c r="J9" s="15" t="n">
        <f aca="false">J8</f>
        <v>38</v>
      </c>
    </row>
    <row r="10" customFormat="false" ht="14.25" hidden="false" customHeight="true" outlineLevel="0" collapsed="false">
      <c r="A10" s="15"/>
      <c r="B10" s="54" t="str">
        <f aca="false">Хмільник!C25</f>
        <v>Ікра кабачкова</v>
      </c>
      <c r="C10" s="54" t="n">
        <v>11008</v>
      </c>
      <c r="D10" s="15"/>
      <c r="E10" s="36" t="n">
        <f aca="false">(D10/(H10+I10+J10))*H10</f>
        <v>0</v>
      </c>
      <c r="F10" s="36" t="n">
        <f aca="false">(D10/(H10+I10+J10))*I10</f>
        <v>0</v>
      </c>
      <c r="G10" s="36" t="n">
        <f aca="false">(D10/(H10+I10+J10))*J10</f>
        <v>0</v>
      </c>
      <c r="H10" s="15" t="n">
        <f aca="false">H9</f>
        <v>49</v>
      </c>
      <c r="I10" s="15" t="n">
        <f aca="false">I9</f>
        <v>31</v>
      </c>
      <c r="J10" s="15" t="n">
        <f aca="false">J9</f>
        <v>38</v>
      </c>
    </row>
    <row r="11" customFormat="false" ht="14.25" hidden="false" customHeight="true" outlineLevel="0" collapsed="false">
      <c r="A11" s="15"/>
      <c r="B11" s="54" t="str">
        <f aca="false">Хмільник!C26</f>
        <v>Кабачки консервовані</v>
      </c>
      <c r="C11" s="54" t="n">
        <v>11009</v>
      </c>
      <c r="D11" s="15"/>
      <c r="E11" s="36" t="n">
        <f aca="false">(D11/(H11+I11+J11))*H11</f>
        <v>0</v>
      </c>
      <c r="F11" s="36" t="n">
        <f aca="false">(D11/(H11+I11+J11))*I11</f>
        <v>0</v>
      </c>
      <c r="G11" s="36" t="n">
        <f aca="false">(D11/(H11+I11+J11))*J11</f>
        <v>0</v>
      </c>
      <c r="H11" s="15" t="n">
        <f aca="false">H10</f>
        <v>49</v>
      </c>
      <c r="I11" s="15" t="n">
        <f aca="false">I10</f>
        <v>31</v>
      </c>
      <c r="J11" s="15" t="n">
        <f aca="false">J10</f>
        <v>38</v>
      </c>
    </row>
    <row r="12" customFormat="false" ht="14.25" hidden="false" customHeight="true" outlineLevel="0" collapsed="false">
      <c r="A12" s="15" t="n">
        <v>2</v>
      </c>
      <c r="B12" s="54" t="str">
        <f aca="false">Хмільник!C27</f>
        <v>Кабачки свіжі</v>
      </c>
      <c r="C12" s="54" t="n">
        <v>11010</v>
      </c>
      <c r="D12" s="15"/>
      <c r="E12" s="36" t="n">
        <f aca="false">(D12/(H12+I12+J12))*H12</f>
        <v>0</v>
      </c>
      <c r="F12" s="36" t="n">
        <f aca="false">(D12/(H12+I12+J12))*I12</f>
        <v>0</v>
      </c>
      <c r="G12" s="36" t="n">
        <f aca="false">(D12/(H12+I12+J12))*J12</f>
        <v>0</v>
      </c>
      <c r="H12" s="15" t="n">
        <f aca="false">H11</f>
        <v>49</v>
      </c>
      <c r="I12" s="15" t="n">
        <f aca="false">I11</f>
        <v>31</v>
      </c>
      <c r="J12" s="15" t="n">
        <f aca="false">J11</f>
        <v>38</v>
      </c>
    </row>
    <row r="13" customFormat="false" ht="14.25" hidden="false" customHeight="true" outlineLevel="0" collapsed="false">
      <c r="A13" s="15"/>
      <c r="B13" s="54" t="str">
        <f aca="false">Хмільник!C28</f>
        <v>Кабачки свіжі сезонні</v>
      </c>
      <c r="C13" s="54" t="n">
        <v>11011</v>
      </c>
      <c r="D13" s="15"/>
      <c r="E13" s="36" t="n">
        <f aca="false">(D13/(H13+I13+J13))*H13</f>
        <v>0</v>
      </c>
      <c r="F13" s="36" t="n">
        <f aca="false">(D13/(H13+I13+J13))*I13</f>
        <v>0</v>
      </c>
      <c r="G13" s="36" t="n">
        <f aca="false">(D13/(H13+I13+J13))*J13</f>
        <v>0</v>
      </c>
      <c r="H13" s="15" t="n">
        <f aca="false">H12</f>
        <v>49</v>
      </c>
      <c r="I13" s="15" t="n">
        <f aca="false">I12</f>
        <v>31</v>
      </c>
      <c r="J13" s="15" t="n">
        <f aca="false">J12</f>
        <v>38</v>
      </c>
    </row>
    <row r="14" customFormat="false" ht="14.25" hidden="false" customHeight="true" outlineLevel="0" collapsed="false">
      <c r="A14" s="15"/>
      <c r="B14" s="54" t="str">
        <f aca="false">Хмільник!C29</f>
        <v>Капуста білоголова свіжа</v>
      </c>
      <c r="C14" s="54" t="n">
        <v>11012</v>
      </c>
      <c r="D14" s="15" t="n">
        <v>4.72</v>
      </c>
      <c r="E14" s="36" t="n">
        <f aca="false">(D14/(H14+I14+J14))*H14</f>
        <v>1.96</v>
      </c>
      <c r="F14" s="36" t="n">
        <f aca="false">(D14/(H14+I14+J14))*I14</f>
        <v>1.24</v>
      </c>
      <c r="G14" s="36" t="n">
        <f aca="false">(D14/(H14+I14+J14))*J14</f>
        <v>1.52</v>
      </c>
      <c r="H14" s="15" t="n">
        <f aca="false">H13</f>
        <v>49</v>
      </c>
      <c r="I14" s="15" t="n">
        <f aca="false">I13</f>
        <v>31</v>
      </c>
      <c r="J14" s="15" t="n">
        <f aca="false">J13</f>
        <v>38</v>
      </c>
    </row>
    <row r="15" customFormat="false" ht="14.25" hidden="false" customHeight="true" outlineLevel="0" collapsed="false">
      <c r="A15" s="15"/>
      <c r="B15" s="54" t="str">
        <f aca="false">Хмільник!C30</f>
        <v>Капуста броколі свіжа сезонна</v>
      </c>
      <c r="C15" s="54" t="n">
        <v>11013</v>
      </c>
      <c r="D15" s="15"/>
      <c r="E15" s="36" t="n">
        <f aca="false">(D15/(H15+I15+J15))*H15</f>
        <v>0</v>
      </c>
      <c r="F15" s="36" t="n">
        <f aca="false">(D15/(H15+I15+J15))*I15</f>
        <v>0</v>
      </c>
      <c r="G15" s="36" t="n">
        <f aca="false">(D15/(H15+I15+J15))*J15</f>
        <v>0</v>
      </c>
      <c r="H15" s="15" t="n">
        <f aca="false">H14</f>
        <v>49</v>
      </c>
      <c r="I15" s="15" t="n">
        <f aca="false">I14</f>
        <v>31</v>
      </c>
      <c r="J15" s="15" t="n">
        <f aca="false">J14</f>
        <v>38</v>
      </c>
    </row>
    <row r="16" customFormat="false" ht="18" hidden="false" customHeight="true" outlineLevel="0" collapsed="false">
      <c r="A16" s="15"/>
      <c r="B16" s="54" t="str">
        <f aca="false">Хмільник!C31</f>
        <v>Капуста квашена</v>
      </c>
      <c r="C16" s="54" t="n">
        <v>11014</v>
      </c>
      <c r="D16" s="15"/>
      <c r="E16" s="36" t="n">
        <f aca="false">(D16/(H16+I16+J16))*H16</f>
        <v>0</v>
      </c>
      <c r="F16" s="36" t="n">
        <f aca="false">(D16/(H16+I16+J16))*I16</f>
        <v>0</v>
      </c>
      <c r="G16" s="36" t="n">
        <f aca="false">(D16/(H16+I16+J16))*J16</f>
        <v>0</v>
      </c>
      <c r="H16" s="15" t="n">
        <f aca="false">H15</f>
        <v>49</v>
      </c>
      <c r="I16" s="15" t="n">
        <f aca="false">I15</f>
        <v>31</v>
      </c>
      <c r="J16" s="15" t="n">
        <f aca="false">J15</f>
        <v>38</v>
      </c>
    </row>
    <row r="17" customFormat="false" ht="14.25" hidden="false" customHeight="true" outlineLevel="0" collapsed="false">
      <c r="A17" s="15"/>
      <c r="B17" s="54" t="str">
        <f aca="false">Хмільник!C32</f>
        <v>Капуста пекінська свіжа</v>
      </c>
      <c r="C17" s="54" t="n">
        <v>11015</v>
      </c>
      <c r="D17" s="15"/>
      <c r="E17" s="36" t="n">
        <f aca="false">(D17/(H17+I17+J17))*H17</f>
        <v>0</v>
      </c>
      <c r="F17" s="36" t="n">
        <f aca="false">(D17/(H17+I17+J17))*I17</f>
        <v>0</v>
      </c>
      <c r="G17" s="36" t="n">
        <f aca="false">(D17/(H17+I17+J17))*J17</f>
        <v>0</v>
      </c>
      <c r="H17" s="15" t="n">
        <f aca="false">H16</f>
        <v>49</v>
      </c>
      <c r="I17" s="15" t="n">
        <f aca="false">I16</f>
        <v>31</v>
      </c>
      <c r="J17" s="15" t="n">
        <f aca="false">J16</f>
        <v>38</v>
      </c>
    </row>
    <row r="18" customFormat="false" ht="14.25" hidden="false" customHeight="true" outlineLevel="0" collapsed="false">
      <c r="A18" s="15"/>
      <c r="B18" s="54" t="str">
        <f aca="false">Хмільник!C33</f>
        <v>Капуста цвітна свіжа</v>
      </c>
      <c r="C18" s="54" t="n">
        <v>11016</v>
      </c>
      <c r="D18" s="15"/>
      <c r="E18" s="36" t="n">
        <f aca="false">(D18/(H18+I18+J18))*H18</f>
        <v>0</v>
      </c>
      <c r="F18" s="36" t="n">
        <f aca="false">(D18/(H18+I18+J18))*I18</f>
        <v>0</v>
      </c>
      <c r="G18" s="36" t="n">
        <f aca="false">(D18/(H18+I18+J18))*J18</f>
        <v>0</v>
      </c>
      <c r="H18" s="15" t="n">
        <f aca="false">H17</f>
        <v>49</v>
      </c>
      <c r="I18" s="15" t="n">
        <f aca="false">I17</f>
        <v>31</v>
      </c>
      <c r="J18" s="15" t="n">
        <f aca="false">J17</f>
        <v>38</v>
      </c>
    </row>
    <row r="19" customFormat="false" ht="14.25" hidden="false" customHeight="true" outlineLevel="0" collapsed="false">
      <c r="A19" s="15"/>
      <c r="B19" s="54" t="str">
        <f aca="false">Хмільник!C34</f>
        <v>Капуста цвітна свіжа сезонна</v>
      </c>
      <c r="C19" s="54" t="n">
        <v>11017</v>
      </c>
      <c r="D19" s="15"/>
      <c r="E19" s="36" t="n">
        <f aca="false">(D19/(H19+I19+J19))*H19</f>
        <v>0</v>
      </c>
      <c r="F19" s="36" t="n">
        <f aca="false">(D19/(H19+I19+J19))*I19</f>
        <v>0</v>
      </c>
      <c r="G19" s="36" t="n">
        <f aca="false">(D19/(H19+I19+J19))*J19</f>
        <v>0</v>
      </c>
      <c r="H19" s="15" t="n">
        <f aca="false">H18</f>
        <v>49</v>
      </c>
      <c r="I19" s="15" t="n">
        <f aca="false">I18</f>
        <v>31</v>
      </c>
      <c r="J19" s="15" t="n">
        <f aca="false">J18</f>
        <v>38</v>
      </c>
    </row>
    <row r="20" customFormat="false" ht="14.25" hidden="false" customHeight="true" outlineLevel="0" collapsed="false">
      <c r="A20" s="15"/>
      <c r="B20" s="54" t="str">
        <f aca="false">Хмільник!C35</f>
        <v>Картопля рання</v>
      </c>
      <c r="C20" s="54" t="n">
        <v>11019</v>
      </c>
      <c r="D20" s="15"/>
      <c r="E20" s="36" t="n">
        <f aca="false">(D20/(H20+I20+J20))*H20</f>
        <v>0</v>
      </c>
      <c r="F20" s="36" t="n">
        <f aca="false">(D20/(H20+I20+J20))*I20</f>
        <v>0</v>
      </c>
      <c r="G20" s="36" t="n">
        <f aca="false">(D20/(H20+I20+J20))*J20</f>
        <v>0</v>
      </c>
      <c r="H20" s="15" t="n">
        <f aca="false">H19</f>
        <v>49</v>
      </c>
      <c r="I20" s="15" t="n">
        <f aca="false">I19</f>
        <v>31</v>
      </c>
      <c r="J20" s="15" t="n">
        <f aca="false">J19</f>
        <v>38</v>
      </c>
    </row>
    <row r="21" customFormat="false" ht="14.25" hidden="false" customHeight="true" outlineLevel="0" collapsed="false">
      <c r="A21" s="15"/>
      <c r="B21" s="54" t="str">
        <f aca="false">Хмільник!C36</f>
        <v>Квасоля продовольча</v>
      </c>
      <c r="C21" s="54" t="n">
        <v>11020</v>
      </c>
      <c r="D21" s="15"/>
      <c r="E21" s="36" t="n">
        <f aca="false">(D21/(H21+I21+J21))*H21</f>
        <v>0</v>
      </c>
      <c r="F21" s="36" t="n">
        <f aca="false">(D21/(H21+I21+J21))*I21</f>
        <v>0</v>
      </c>
      <c r="G21" s="36" t="n">
        <f aca="false">(D21/(H21+I21+J21))*J21</f>
        <v>0</v>
      </c>
      <c r="H21" s="15" t="n">
        <f aca="false">H20</f>
        <v>49</v>
      </c>
      <c r="I21" s="15" t="n">
        <f aca="false">I20</f>
        <v>31</v>
      </c>
      <c r="J21" s="15" t="n">
        <f aca="false">J20</f>
        <v>38</v>
      </c>
    </row>
    <row r="22" customFormat="false" ht="14.25" hidden="false" customHeight="true" outlineLevel="0" collapsed="false">
      <c r="A22" s="15"/>
      <c r="B22" s="54" t="str">
        <f aca="false">Хмільник!C37</f>
        <v>Квасоля консервована</v>
      </c>
      <c r="C22" s="54" t="n">
        <v>11021</v>
      </c>
      <c r="D22" s="15"/>
      <c r="E22" s="36" t="n">
        <f aca="false">(D22/(H22+I22+J22))*H22</f>
        <v>0</v>
      </c>
      <c r="F22" s="36" t="n">
        <f aca="false">(D22/(H22+I22+J22))*I22</f>
        <v>0</v>
      </c>
      <c r="G22" s="36" t="n">
        <f aca="false">(D22/(H22+I22+J22))*J22</f>
        <v>0</v>
      </c>
      <c r="H22" s="15" t="n">
        <f aca="false">H21</f>
        <v>49</v>
      </c>
      <c r="I22" s="15" t="n">
        <f aca="false">I21</f>
        <v>31</v>
      </c>
      <c r="J22" s="15" t="n">
        <f aca="false">J21</f>
        <v>38</v>
      </c>
    </row>
    <row r="23" customFormat="false" ht="14.25" hidden="false" customHeight="true" outlineLevel="0" collapsed="false">
      <c r="A23" s="15"/>
      <c r="B23" s="54" t="str">
        <f aca="false">Хмільник!C38</f>
        <v>Квасоля консервована в томаті</v>
      </c>
      <c r="C23" s="54" t="n">
        <v>11022</v>
      </c>
      <c r="D23" s="15"/>
      <c r="E23" s="36" t="n">
        <f aca="false">(D23/(H23+I23+J23))*H23</f>
        <v>0</v>
      </c>
      <c r="F23" s="36" t="n">
        <f aca="false">(D23/(H23+I23+J23))*I23</f>
        <v>0</v>
      </c>
      <c r="G23" s="36" t="n">
        <f aca="false">(D23/(H23+I23+J23))*J23</f>
        <v>0</v>
      </c>
      <c r="H23" s="15" t="n">
        <f aca="false">H22</f>
        <v>49</v>
      </c>
      <c r="I23" s="15" t="n">
        <f aca="false">I22</f>
        <v>31</v>
      </c>
      <c r="J23" s="15" t="n">
        <f aca="false">J22</f>
        <v>38</v>
      </c>
    </row>
    <row r="24" customFormat="false" ht="14.25" hidden="false" customHeight="true" outlineLevel="0" collapsed="false">
      <c r="A24" s="34"/>
      <c r="B24" s="54" t="str">
        <f aca="false">Хмільник!C39</f>
        <v>Консерви, заправки для перших страв</v>
      </c>
      <c r="C24" s="54" t="n">
        <v>11023</v>
      </c>
      <c r="D24" s="15"/>
      <c r="E24" s="36" t="n">
        <f aca="false">(D24/(H24+I24+J24))*H24</f>
        <v>0</v>
      </c>
      <c r="F24" s="36" t="n">
        <f aca="false">(D24/(H24+I24+J24))*I24</f>
        <v>0</v>
      </c>
      <c r="G24" s="36" t="n">
        <f aca="false">(D24/(H24+I24+J24))*J24</f>
        <v>0</v>
      </c>
      <c r="H24" s="15" t="n">
        <f aca="false">H23</f>
        <v>49</v>
      </c>
      <c r="I24" s="15" t="n">
        <f aca="false">I23</f>
        <v>31</v>
      </c>
      <c r="J24" s="15" t="n">
        <f aca="false">J23</f>
        <v>38</v>
      </c>
    </row>
    <row r="25" customFormat="false" ht="16.5" hidden="false" customHeight="false" outlineLevel="0" collapsed="false">
      <c r="A25" s="15" t="n">
        <v>3</v>
      </c>
      <c r="B25" s="54" t="str">
        <f aca="false">Хмільник!C40</f>
        <v>Кукурудза консервована</v>
      </c>
      <c r="C25" s="54" t="n">
        <v>11024</v>
      </c>
      <c r="D25" s="15"/>
      <c r="E25" s="36" t="n">
        <f aca="false">(D25/(H25+I25+J25))*H25</f>
        <v>0</v>
      </c>
      <c r="F25" s="36" t="n">
        <f aca="false">(D25/(H25+I25+J25))*I25</f>
        <v>0</v>
      </c>
      <c r="G25" s="36" t="n">
        <f aca="false">(D25/(H25+I25+J25))*J25</f>
        <v>0</v>
      </c>
      <c r="H25" s="15" t="n">
        <f aca="false">H24</f>
        <v>49</v>
      </c>
      <c r="I25" s="15" t="n">
        <f aca="false">I24</f>
        <v>31</v>
      </c>
      <c r="J25" s="15" t="n">
        <f aca="false">J24</f>
        <v>38</v>
      </c>
    </row>
    <row r="26" customFormat="false" ht="16.5" hidden="false" customHeight="true" outlineLevel="0" collapsed="false">
      <c r="A26" s="15" t="n">
        <v>4</v>
      </c>
      <c r="B26" s="54" t="str">
        <f aca="false">Хмільник!C41</f>
        <v>Маслини без кісточки</v>
      </c>
      <c r="C26" s="54" t="n">
        <v>11025</v>
      </c>
      <c r="D26" s="15"/>
      <c r="E26" s="36" t="n">
        <f aca="false">(D26/(H26+I26+J26))*H26</f>
        <v>0</v>
      </c>
      <c r="F26" s="36" t="n">
        <f aca="false">(D26/(H26+I26+J26))*I26</f>
        <v>0</v>
      </c>
      <c r="G26" s="36" t="n">
        <f aca="false">(D26/(H26+I26+J26))*J26</f>
        <v>0</v>
      </c>
      <c r="H26" s="15" t="n">
        <f aca="false">H25</f>
        <v>49</v>
      </c>
      <c r="I26" s="15" t="n">
        <f aca="false">I25</f>
        <v>31</v>
      </c>
      <c r="J26" s="15" t="n">
        <f aca="false">J25</f>
        <v>38</v>
      </c>
    </row>
    <row r="27" customFormat="false" ht="16.5" hidden="false" customHeight="false" outlineLevel="0" collapsed="false">
      <c r="A27" s="15"/>
      <c r="B27" s="54" t="str">
        <f aca="false">Хмільник!C42</f>
        <v>Морква свіжа</v>
      </c>
      <c r="C27" s="54" t="n">
        <v>11026</v>
      </c>
      <c r="D27" s="15" t="n">
        <v>4.72</v>
      </c>
      <c r="E27" s="36" t="n">
        <f aca="false">(D27/(H27+I27+J27))*H27</f>
        <v>1.96</v>
      </c>
      <c r="F27" s="36" t="n">
        <f aca="false">(D27/(H27+I27+J27))*I27</f>
        <v>1.24</v>
      </c>
      <c r="G27" s="36" t="n">
        <f aca="false">(D27/(H27+I27+J27))*J27</f>
        <v>1.52</v>
      </c>
      <c r="H27" s="15" t="n">
        <f aca="false">H26</f>
        <v>49</v>
      </c>
      <c r="I27" s="15" t="n">
        <f aca="false">I26</f>
        <v>31</v>
      </c>
      <c r="J27" s="15" t="n">
        <f aca="false">J26</f>
        <v>38</v>
      </c>
    </row>
    <row r="28" customFormat="false" ht="15" hidden="false" customHeight="true" outlineLevel="0" collapsed="false">
      <c r="A28" s="15"/>
      <c r="B28" s="54" t="str">
        <f aca="false">Хмільник!C43</f>
        <v>Огірки свіжі</v>
      </c>
      <c r="C28" s="54" t="n">
        <v>11028</v>
      </c>
      <c r="D28" s="15" t="n">
        <v>1.18</v>
      </c>
      <c r="E28" s="36" t="n">
        <f aca="false">(D28/(H28+I28+J28))*H28</f>
        <v>0.49</v>
      </c>
      <c r="F28" s="36" t="n">
        <f aca="false">(D28/(H28+I28+J28))*I28</f>
        <v>0.31</v>
      </c>
      <c r="G28" s="36" t="n">
        <f aca="false">(D28/(H28+I28+J28))*J28</f>
        <v>0.38</v>
      </c>
      <c r="H28" s="15" t="n">
        <f aca="false">H27</f>
        <v>49</v>
      </c>
      <c r="I28" s="15" t="n">
        <f aca="false">I27</f>
        <v>31</v>
      </c>
      <c r="J28" s="15" t="n">
        <f aca="false">J27</f>
        <v>38</v>
      </c>
    </row>
    <row r="29" customFormat="false" ht="14.25" hidden="false" customHeight="true" outlineLevel="0" collapsed="false">
      <c r="A29" s="15"/>
      <c r="B29" s="54" t="str">
        <f aca="false">Хмільник!C44</f>
        <v>Огірки консервовані</v>
      </c>
      <c r="C29" s="54" t="n">
        <v>11029</v>
      </c>
      <c r="D29" s="15"/>
      <c r="E29" s="36" t="n">
        <f aca="false">(D29/(H29+I29+J29))*H29</f>
        <v>0</v>
      </c>
      <c r="F29" s="36" t="n">
        <f aca="false">(D29/(H29+I29+J29))*I29</f>
        <v>0</v>
      </c>
      <c r="G29" s="36" t="n">
        <f aca="false">(D29/(H29+I29+J29))*J29</f>
        <v>0</v>
      </c>
      <c r="H29" s="15" t="n">
        <f aca="false">H28</f>
        <v>49</v>
      </c>
      <c r="I29" s="15" t="n">
        <f aca="false">I28</f>
        <v>31</v>
      </c>
      <c r="J29" s="15" t="n">
        <f aca="false">J28</f>
        <v>38</v>
      </c>
    </row>
    <row r="30" customFormat="false" ht="14.25" hidden="false" customHeight="true" outlineLevel="0" collapsed="false">
      <c r="A30" s="15"/>
      <c r="B30" s="54" t="str">
        <f aca="false">Хмільник!C45</f>
        <v>Огірки солоні</v>
      </c>
      <c r="C30" s="54" t="n">
        <v>11030</v>
      </c>
      <c r="D30" s="15"/>
      <c r="E30" s="36" t="n">
        <f aca="false">(D30/(H30+I30+J30))*H30</f>
        <v>0</v>
      </c>
      <c r="F30" s="36" t="n">
        <f aca="false">(D30/(H30+I30+J30))*I30</f>
        <v>0</v>
      </c>
      <c r="G30" s="36" t="n">
        <f aca="false">(D30/(H30+I30+J30))*J30</f>
        <v>0</v>
      </c>
      <c r="H30" s="15" t="n">
        <f aca="false">H29</f>
        <v>49</v>
      </c>
      <c r="I30" s="15" t="n">
        <f aca="false">I29</f>
        <v>31</v>
      </c>
      <c r="J30" s="15" t="n">
        <f aca="false">J29</f>
        <v>38</v>
      </c>
    </row>
    <row r="31" customFormat="false" ht="14.25" hidden="false" customHeight="true" outlineLevel="0" collapsed="false">
      <c r="A31" s="34" t="n">
        <v>5</v>
      </c>
      <c r="B31" s="54" t="str">
        <f aca="false">Хмільник!C46</f>
        <v>Огірки свіжі сезонні</v>
      </c>
      <c r="C31" s="54" t="n">
        <v>11031</v>
      </c>
      <c r="D31" s="15"/>
      <c r="E31" s="36" t="n">
        <f aca="false">(D31/(H31+I31+J31))*H31</f>
        <v>0</v>
      </c>
      <c r="F31" s="36" t="n">
        <f aca="false">(D31/(H31+I31+J31))*I31</f>
        <v>0</v>
      </c>
      <c r="G31" s="36" t="n">
        <f aca="false">(D31/(H31+I31+J31))*J31</f>
        <v>0</v>
      </c>
      <c r="H31" s="15" t="n">
        <f aca="false">H30</f>
        <v>49</v>
      </c>
      <c r="I31" s="15" t="n">
        <f aca="false">I30</f>
        <v>31</v>
      </c>
      <c r="J31" s="15" t="n">
        <f aca="false">J30</f>
        <v>38</v>
      </c>
    </row>
    <row r="32" customFormat="false" ht="14.25" hidden="false" customHeight="true" outlineLevel="0" collapsed="false">
      <c r="A32" s="47"/>
      <c r="B32" s="54" t="str">
        <f aca="false">Хмільник!C47</f>
        <v>Оливки без кісточки</v>
      </c>
      <c r="C32" s="54" t="n">
        <v>11032</v>
      </c>
      <c r="D32" s="15"/>
      <c r="E32" s="36" t="n">
        <f aca="false">(D32/(H32+I32+J32))*H32</f>
        <v>0</v>
      </c>
      <c r="F32" s="36" t="n">
        <f aca="false">(D32/(H32+I32+J32))*I32</f>
        <v>0</v>
      </c>
      <c r="G32" s="36" t="n">
        <f aca="false">(D32/(H32+I32+J32))*J32</f>
        <v>0</v>
      </c>
      <c r="H32" s="15" t="n">
        <f aca="false">H31</f>
        <v>49</v>
      </c>
      <c r="I32" s="15" t="n">
        <f aca="false">I31</f>
        <v>31</v>
      </c>
      <c r="J32" s="15" t="n">
        <f aca="false">J31</f>
        <v>38</v>
      </c>
    </row>
    <row r="33" customFormat="false" ht="14.25" hidden="false" customHeight="true" outlineLevel="0" collapsed="false">
      <c r="A33" s="15"/>
      <c r="B33" s="54" t="str">
        <f aca="false">Хмільник!C48</f>
        <v>Перець солодкий свіжий</v>
      </c>
      <c r="C33" s="54" t="n">
        <v>11033</v>
      </c>
      <c r="D33" s="15" t="n">
        <v>1.77</v>
      </c>
      <c r="E33" s="36" t="n">
        <f aca="false">(D33/(H33+I33+J33))*H33</f>
        <v>0.735</v>
      </c>
      <c r="F33" s="36" t="n">
        <f aca="false">(D33/(H33+I33+J33))*I33</f>
        <v>0.465</v>
      </c>
      <c r="G33" s="36" t="n">
        <f aca="false">(D33/(H33+I33+J33))*J33</f>
        <v>0.57</v>
      </c>
      <c r="H33" s="15" t="n">
        <f aca="false">H32</f>
        <v>49</v>
      </c>
      <c r="I33" s="15" t="n">
        <f aca="false">I32</f>
        <v>31</v>
      </c>
      <c r="J33" s="15" t="n">
        <f aca="false">J32</f>
        <v>38</v>
      </c>
    </row>
    <row r="34" customFormat="false" ht="14.25" hidden="false" customHeight="true" outlineLevel="0" collapsed="false">
      <c r="A34" s="15"/>
      <c r="B34" s="54" t="str">
        <f aca="false">Хмільник!C49</f>
        <v>Перець солодкий свіжий сезонний</v>
      </c>
      <c r="C34" s="54" t="n">
        <v>11034</v>
      </c>
      <c r="D34" s="15"/>
      <c r="E34" s="36" t="n">
        <f aca="false">(D34/(H34+I34+J34))*H34</f>
        <v>0</v>
      </c>
      <c r="F34" s="36" t="n">
        <f aca="false">(D34/(H34+I34+J34))*I34</f>
        <v>0</v>
      </c>
      <c r="G34" s="36" t="n">
        <f aca="false">(D34/(H34+I34+J34))*J34</f>
        <v>0</v>
      </c>
      <c r="H34" s="15" t="n">
        <f aca="false">H33</f>
        <v>49</v>
      </c>
      <c r="I34" s="15" t="n">
        <f aca="false">I33</f>
        <v>31</v>
      </c>
      <c r="J34" s="15" t="n">
        <f aca="false">J33</f>
        <v>38</v>
      </c>
    </row>
    <row r="35" customFormat="false" ht="14.25" hidden="false" customHeight="true" outlineLevel="0" collapsed="false">
      <c r="A35" s="15"/>
      <c r="B35" s="54" t="str">
        <f aca="false">Хмільник!C50</f>
        <v>Перець стручковий свіжий червоний</v>
      </c>
      <c r="C35" s="54" t="n">
        <v>11039</v>
      </c>
      <c r="D35" s="15"/>
      <c r="E35" s="36" t="n">
        <f aca="false">(D35/(H35+I35+J35))*H35</f>
        <v>0</v>
      </c>
      <c r="F35" s="36" t="n">
        <f aca="false">(D35/(H35+I35+J35))*I35</f>
        <v>0</v>
      </c>
      <c r="G35" s="36" t="n">
        <f aca="false">(D35/(H35+I35+J35))*J35</f>
        <v>0</v>
      </c>
      <c r="H35" s="15" t="n">
        <f aca="false">H34</f>
        <v>49</v>
      </c>
      <c r="I35" s="15" t="n">
        <f aca="false">I34</f>
        <v>31</v>
      </c>
      <c r="J35" s="15" t="n">
        <f aca="false">J34</f>
        <v>38</v>
      </c>
    </row>
    <row r="36" customFormat="false" ht="14.25" hidden="false" customHeight="true" outlineLevel="0" collapsed="false">
      <c r="A36" s="47"/>
      <c r="B36" s="54" t="str">
        <f aca="false">Хмільник!C51</f>
        <v>Перець консервований солодкий</v>
      </c>
      <c r="C36" s="54" t="n">
        <v>11040</v>
      </c>
      <c r="D36" s="15"/>
      <c r="E36" s="36" t="n">
        <f aca="false">(D36/(H36+I36+J36))*H36</f>
        <v>0</v>
      </c>
      <c r="F36" s="36" t="n">
        <f aca="false">(D36/(H36+I36+J36))*I36</f>
        <v>0</v>
      </c>
      <c r="G36" s="36" t="n">
        <f aca="false">(D36/(H36+I36+J36))*J36</f>
        <v>0</v>
      </c>
      <c r="H36" s="15" t="n">
        <f aca="false">H35</f>
        <v>49</v>
      </c>
      <c r="I36" s="15" t="n">
        <f aca="false">I35</f>
        <v>31</v>
      </c>
      <c r="J36" s="15" t="n">
        <f aca="false">J35</f>
        <v>38</v>
      </c>
    </row>
    <row r="37" customFormat="false" ht="14.25" hidden="false" customHeight="true" outlineLevel="0" collapsed="false">
      <c r="A37" s="15" t="n">
        <v>6</v>
      </c>
      <c r="B37" s="54" t="str">
        <f aca="false">Хмільник!C52</f>
        <v>Салат свіжий</v>
      </c>
      <c r="C37" s="54" t="n">
        <v>11041</v>
      </c>
      <c r="D37" s="15"/>
      <c r="E37" s="36" t="n">
        <f aca="false">(D37/(H37+I37+J37))*H37</f>
        <v>0</v>
      </c>
      <c r="F37" s="36" t="n">
        <f aca="false">(D37/(H37+I37+J37))*I37</f>
        <v>0</v>
      </c>
      <c r="G37" s="36" t="n">
        <f aca="false">(D37/(H37+I37+J37))*J37</f>
        <v>0</v>
      </c>
      <c r="H37" s="15" t="n">
        <f aca="false">H36</f>
        <v>49</v>
      </c>
      <c r="I37" s="15" t="n">
        <f aca="false">I36</f>
        <v>31</v>
      </c>
      <c r="J37" s="15" t="n">
        <f aca="false">J36</f>
        <v>38</v>
      </c>
    </row>
    <row r="38" customFormat="false" ht="14.25" hidden="false" customHeight="true" outlineLevel="0" collapsed="false">
      <c r="A38" s="15"/>
      <c r="B38" s="54" t="str">
        <f aca="false">Хмільник!C53</f>
        <v>Салат свіжий сезонний</v>
      </c>
      <c r="C38" s="54" t="n">
        <v>11042</v>
      </c>
      <c r="D38" s="15"/>
      <c r="E38" s="36" t="n">
        <f aca="false">(D38/(H38+I38+J38))*H38</f>
        <v>0</v>
      </c>
      <c r="F38" s="36" t="n">
        <f aca="false">(D38/(H38+I38+J38))*I38</f>
        <v>0</v>
      </c>
      <c r="G38" s="36" t="n">
        <f aca="false">(D38/(H38+I38+J38))*J38</f>
        <v>0</v>
      </c>
      <c r="H38" s="15" t="n">
        <f aca="false">H37</f>
        <v>49</v>
      </c>
      <c r="I38" s="15" t="n">
        <f aca="false">I37</f>
        <v>31</v>
      </c>
      <c r="J38" s="15" t="n">
        <f aca="false">J37</f>
        <v>38</v>
      </c>
    </row>
    <row r="39" customFormat="false" ht="14.25" hidden="false" customHeight="true" outlineLevel="0" collapsed="false">
      <c r="A39" s="15"/>
      <c r="B39" s="54" t="str">
        <f aca="false">Хмільник!C54</f>
        <v>Томат свіжий</v>
      </c>
      <c r="C39" s="54" t="n">
        <v>11043</v>
      </c>
      <c r="D39" s="15" t="n">
        <v>1.77</v>
      </c>
      <c r="E39" s="36" t="n">
        <f aca="false">(D39/(H39+I39+J39))*H39</f>
        <v>0.735</v>
      </c>
      <c r="F39" s="36" t="n">
        <f aca="false">(D39/(H39+I39+J39))*I39</f>
        <v>0.465</v>
      </c>
      <c r="G39" s="36" t="n">
        <f aca="false">(D39/(H39+I39+J39))*J39</f>
        <v>0.57</v>
      </c>
      <c r="H39" s="15" t="n">
        <f aca="false">H38</f>
        <v>49</v>
      </c>
      <c r="I39" s="15" t="n">
        <f aca="false">I38</f>
        <v>31</v>
      </c>
      <c r="J39" s="15" t="n">
        <f aca="false">J38</f>
        <v>38</v>
      </c>
    </row>
    <row r="40" customFormat="false" ht="14.25" hidden="false" customHeight="true" outlineLevel="0" collapsed="false">
      <c r="A40" s="15"/>
      <c r="B40" s="54" t="str">
        <f aca="false">Хмільник!C55</f>
        <v>Томат свіжий сезонний</v>
      </c>
      <c r="C40" s="54" t="n">
        <v>11044</v>
      </c>
      <c r="D40" s="15"/>
      <c r="E40" s="36" t="n">
        <f aca="false">(D40/(H40+I40+J40))*H40</f>
        <v>0</v>
      </c>
      <c r="F40" s="36" t="n">
        <f aca="false">(D40/(H40+I40+J40))*I40</f>
        <v>0</v>
      </c>
      <c r="G40" s="36" t="n">
        <f aca="false">(D40/(H40+I40+J40))*J40</f>
        <v>0</v>
      </c>
      <c r="H40" s="15" t="n">
        <f aca="false">H39</f>
        <v>49</v>
      </c>
      <c r="I40" s="15" t="n">
        <f aca="false">I39</f>
        <v>31</v>
      </c>
      <c r="J40" s="15" t="n">
        <f aca="false">J39</f>
        <v>38</v>
      </c>
    </row>
    <row r="41" customFormat="false" ht="14.25" hidden="false" customHeight="true" outlineLevel="0" collapsed="false">
      <c r="A41" s="15"/>
      <c r="B41" s="54" t="str">
        <f aca="false">Хмільник!C56</f>
        <v>Томат консервований</v>
      </c>
      <c r="C41" s="54" t="n">
        <v>11045</v>
      </c>
      <c r="D41" s="15"/>
      <c r="E41" s="36" t="n">
        <f aca="false">(D41/(H41+I41+J41))*H41</f>
        <v>0</v>
      </c>
      <c r="F41" s="36" t="n">
        <f aca="false">(D41/(H41+I41+J41))*I41</f>
        <v>0</v>
      </c>
      <c r="G41" s="36" t="n">
        <f aca="false">(D41/(H41+I41+J41))*J41</f>
        <v>0</v>
      </c>
      <c r="H41" s="15" t="n">
        <f aca="false">H40</f>
        <v>49</v>
      </c>
      <c r="I41" s="15" t="n">
        <f aca="false">I40</f>
        <v>31</v>
      </c>
      <c r="J41" s="15" t="n">
        <f aca="false">J40</f>
        <v>38</v>
      </c>
    </row>
    <row r="42" customFormat="false" ht="14.25" hidden="false" customHeight="true" outlineLevel="0" collapsed="false">
      <c r="A42" s="15"/>
      <c r="B42" s="54" t="str">
        <f aca="false">Хмільник!C57</f>
        <v>Томат солоний</v>
      </c>
      <c r="C42" s="54" t="n">
        <v>11046</v>
      </c>
      <c r="D42" s="15"/>
      <c r="E42" s="36" t="n">
        <f aca="false">(D42/(H42+I42+J42))*H42</f>
        <v>0</v>
      </c>
      <c r="F42" s="36" t="n">
        <f aca="false">(D42/(H42+I42+J42))*I42</f>
        <v>0</v>
      </c>
      <c r="G42" s="36" t="n">
        <f aca="false">(D42/(H42+I42+J42))*J42</f>
        <v>0</v>
      </c>
      <c r="H42" s="15" t="n">
        <f aca="false">H41</f>
        <v>49</v>
      </c>
      <c r="I42" s="15" t="n">
        <f aca="false">I41</f>
        <v>31</v>
      </c>
      <c r="J42" s="15" t="n">
        <f aca="false">J41</f>
        <v>38</v>
      </c>
    </row>
    <row r="43" customFormat="false" ht="14.25" hidden="false" customHeight="true" outlineLevel="0" collapsed="false">
      <c r="A43" s="15" t="n">
        <v>7</v>
      </c>
      <c r="B43" s="54" t="str">
        <f aca="false">Хмільник!C58</f>
        <v>Цибуля зелена свіжа</v>
      </c>
      <c r="C43" s="54" t="n">
        <v>11047</v>
      </c>
      <c r="D43" s="15"/>
      <c r="E43" s="36" t="n">
        <f aca="false">(D43/(H43+I43+J43))*H43</f>
        <v>0</v>
      </c>
      <c r="F43" s="36" t="n">
        <f aca="false">(D43/(H43+I43+J43))*I43</f>
        <v>0</v>
      </c>
      <c r="G43" s="36" t="n">
        <f aca="false">(D43/(H43+I43+J43))*J43</f>
        <v>0</v>
      </c>
      <c r="H43" s="15" t="n">
        <f aca="false">H42</f>
        <v>49</v>
      </c>
      <c r="I43" s="15" t="n">
        <f aca="false">I42</f>
        <v>31</v>
      </c>
      <c r="J43" s="15" t="n">
        <f aca="false">J42</f>
        <v>38</v>
      </c>
    </row>
    <row r="44" customFormat="false" ht="14.25" hidden="false" customHeight="true" outlineLevel="0" collapsed="false">
      <c r="A44" s="15"/>
      <c r="B44" s="54" t="str">
        <f aca="false">Хмільник!C59</f>
        <v>Цибуля порей свіжа</v>
      </c>
      <c r="C44" s="54" t="n">
        <v>11048</v>
      </c>
      <c r="D44" s="15"/>
      <c r="E44" s="36" t="n">
        <f aca="false">(D44/(H44+I44+J44))*H44</f>
        <v>0</v>
      </c>
      <c r="F44" s="36" t="n">
        <f aca="false">(D44/(H44+I44+J44))*I44</f>
        <v>0</v>
      </c>
      <c r="G44" s="36" t="n">
        <f aca="false">(D44/(H44+I44+J44))*J44</f>
        <v>0</v>
      </c>
      <c r="H44" s="15" t="n">
        <f aca="false">H43</f>
        <v>49</v>
      </c>
      <c r="I44" s="15" t="n">
        <f aca="false">I43</f>
        <v>31</v>
      </c>
      <c r="J44" s="15" t="n">
        <f aca="false">J43</f>
        <v>38</v>
      </c>
    </row>
    <row r="45" customFormat="false" ht="14.25" hidden="false" customHeight="true" outlineLevel="0" collapsed="false">
      <c r="A45" s="15"/>
      <c r="B45" s="54" t="str">
        <f aca="false">Хмільник!C60</f>
        <v>Цибуля ріпчаста свіжа</v>
      </c>
      <c r="C45" s="54" t="n">
        <v>11049</v>
      </c>
      <c r="D45" s="15" t="n">
        <v>6.49</v>
      </c>
      <c r="E45" s="36" t="n">
        <f aca="false">(D45/(H45+I45+J45))*H45</f>
        <v>2.695</v>
      </c>
      <c r="F45" s="36" t="n">
        <f aca="false">(D45/(H45+I45+J45))*I45</f>
        <v>1.705</v>
      </c>
      <c r="G45" s="36" t="n">
        <f aca="false">(D45/(H45+I45+J45))*J45</f>
        <v>2.09</v>
      </c>
      <c r="H45" s="15" t="n">
        <f aca="false">H44</f>
        <v>49</v>
      </c>
      <c r="I45" s="15" t="n">
        <f aca="false">I44</f>
        <v>31</v>
      </c>
      <c r="J45" s="15" t="n">
        <f aca="false">J44</f>
        <v>38</v>
      </c>
    </row>
    <row r="46" customFormat="false" ht="14.25" hidden="false" customHeight="true" outlineLevel="0" collapsed="false">
      <c r="A46" s="15"/>
      <c r="B46" s="54" t="str">
        <f aca="false">Хмільник!C61</f>
        <v>Часник свіжий</v>
      </c>
      <c r="C46" s="54" t="n">
        <v>11050</v>
      </c>
      <c r="D46" s="15"/>
      <c r="E46" s="36" t="n">
        <f aca="false">(D46/(H46+I46+J46))*H46</f>
        <v>0</v>
      </c>
      <c r="F46" s="36" t="n">
        <f aca="false">(D46/(H46+I46+J46))*I46</f>
        <v>0</v>
      </c>
      <c r="G46" s="36" t="n">
        <f aca="false">(D46/(H46+I46+J46))*J46</f>
        <v>0</v>
      </c>
      <c r="H46" s="15" t="n">
        <f aca="false">H45</f>
        <v>49</v>
      </c>
      <c r="I46" s="15" t="n">
        <f aca="false">I45</f>
        <v>31</v>
      </c>
      <c r="J46" s="15" t="n">
        <f aca="false">J45</f>
        <v>38</v>
      </c>
    </row>
    <row r="47" customFormat="false" ht="14.25" hidden="false" customHeight="true" outlineLevel="0" collapsed="false">
      <c r="A47" s="15"/>
      <c r="B47" s="54" t="str">
        <f aca="false">Хмільник!C62</f>
        <v>Печериці свіжі</v>
      </c>
      <c r="C47" s="54" t="n">
        <v>11051</v>
      </c>
      <c r="D47" s="15"/>
      <c r="E47" s="36" t="n">
        <f aca="false">(D47/(H47+I47+J47))*H47</f>
        <v>0</v>
      </c>
      <c r="F47" s="36" t="n">
        <f aca="false">(D47/(H47+I47+J47))*I47</f>
        <v>0</v>
      </c>
      <c r="G47" s="36" t="n">
        <f aca="false">(D47/(H47+I47+J47))*J47</f>
        <v>0</v>
      </c>
      <c r="H47" s="15" t="n">
        <f aca="false">H46</f>
        <v>49</v>
      </c>
      <c r="I47" s="15" t="n">
        <f aca="false">I46</f>
        <v>31</v>
      </c>
      <c r="J47" s="15" t="n">
        <f aca="false">J46</f>
        <v>38</v>
      </c>
    </row>
    <row r="48" customFormat="false" ht="14.25" hidden="false" customHeight="true" outlineLevel="0" collapsed="false">
      <c r="A48" s="15"/>
      <c r="B48" s="54" t="str">
        <f aca="false">Хмільник!C63</f>
        <v>Печериці консервовані</v>
      </c>
      <c r="C48" s="54" t="n">
        <v>11052</v>
      </c>
      <c r="D48" s="15"/>
      <c r="E48" s="36" t="n">
        <f aca="false">(D48/(H48+I48+J48))*H48</f>
        <v>0</v>
      </c>
      <c r="F48" s="36" t="n">
        <f aca="false">(D48/(H48+I48+J48))*I48</f>
        <v>0</v>
      </c>
      <c r="G48" s="36" t="n">
        <f aca="false">(D48/(H48+I48+J48))*J48</f>
        <v>0</v>
      </c>
      <c r="H48" s="15" t="n">
        <f aca="false">H47</f>
        <v>49</v>
      </c>
      <c r="I48" s="15" t="n">
        <f aca="false">I47</f>
        <v>31</v>
      </c>
      <c r="J48" s="15" t="n">
        <f aca="false">J47</f>
        <v>38</v>
      </c>
    </row>
    <row r="49" customFormat="false" ht="14.25" hidden="false" customHeight="true" outlineLevel="0" collapsed="false">
      <c r="A49" s="15"/>
      <c r="B49" s="54" t="str">
        <f aca="false">Хмільник!C64</f>
        <v>Щавель свіжий</v>
      </c>
      <c r="C49" s="54" t="n">
        <v>11053</v>
      </c>
      <c r="D49" s="15"/>
      <c r="E49" s="36" t="n">
        <f aca="false">(D49/(H49+I49+J49))*H49</f>
        <v>0</v>
      </c>
      <c r="F49" s="36" t="n">
        <f aca="false">(D49/(H49+I49+J49))*I49</f>
        <v>0</v>
      </c>
      <c r="G49" s="36" t="n">
        <f aca="false">(D49/(H49+I49+J49))*J49</f>
        <v>0</v>
      </c>
      <c r="H49" s="15" t="n">
        <f aca="false">H48</f>
        <v>49</v>
      </c>
      <c r="I49" s="15" t="n">
        <f aca="false">I48</f>
        <v>31</v>
      </c>
      <c r="J49" s="15" t="n">
        <f aca="false">J48</f>
        <v>38</v>
      </c>
    </row>
    <row r="50" customFormat="false" ht="14.25" hidden="false" customHeight="true" outlineLevel="0" collapsed="false">
      <c r="A50" s="15"/>
      <c r="B50" s="54" t="str">
        <f aca="false">Хмільник!C65</f>
        <v>Щавель консервований</v>
      </c>
      <c r="C50" s="54" t="n">
        <v>11054</v>
      </c>
      <c r="D50" s="15"/>
      <c r="E50" s="36" t="n">
        <f aca="false">(D50/(H50+I50+J50))*H50</f>
        <v>0</v>
      </c>
      <c r="F50" s="36" t="n">
        <f aca="false">(D50/(H50+I50+J50))*I50</f>
        <v>0</v>
      </c>
      <c r="G50" s="36" t="n">
        <f aca="false">(D50/(H50+I50+J50))*J50</f>
        <v>0</v>
      </c>
      <c r="H50" s="15" t="n">
        <f aca="false">H49</f>
        <v>49</v>
      </c>
      <c r="I50" s="15" t="n">
        <f aca="false">I49</f>
        <v>31</v>
      </c>
      <c r="J50" s="15" t="n">
        <f aca="false">J49</f>
        <v>38</v>
      </c>
    </row>
    <row r="51" customFormat="false" ht="14.25" hidden="false" customHeight="true" outlineLevel="0" collapsed="false">
      <c r="A51" s="15"/>
      <c r="B51" s="54" t="str">
        <f aca="false">Хмільник!C66</f>
        <v>Салат овочевий закусочний</v>
      </c>
      <c r="C51" s="54" t="n">
        <v>11055</v>
      </c>
      <c r="D51" s="15"/>
      <c r="E51" s="36" t="n">
        <f aca="false">(D51/(H51+I51+J51))*H51</f>
        <v>0</v>
      </c>
      <c r="F51" s="36" t="n">
        <f aca="false">(D51/(H51+I51+J51))*I51</f>
        <v>0</v>
      </c>
      <c r="G51" s="36" t="n">
        <f aca="false">(D51/(H51+I51+J51))*J51</f>
        <v>0</v>
      </c>
      <c r="H51" s="15" t="n">
        <f aca="false">H50</f>
        <v>49</v>
      </c>
      <c r="I51" s="15" t="n">
        <f aca="false">I50</f>
        <v>31</v>
      </c>
      <c r="J51" s="15" t="n">
        <f aca="false">J50</f>
        <v>38</v>
      </c>
    </row>
    <row r="52" customFormat="false" ht="14.25" hidden="false" customHeight="true" outlineLevel="0" collapsed="false">
      <c r="A52" s="15"/>
      <c r="B52" s="54" t="str">
        <f aca="false">Хмільник!C67</f>
        <v>Редис свіжий</v>
      </c>
      <c r="C52" s="54" t="n">
        <v>11057</v>
      </c>
      <c r="D52" s="15"/>
      <c r="E52" s="36" t="n">
        <f aca="false">(D52/(H52+I52+J52))*H52</f>
        <v>0</v>
      </c>
      <c r="F52" s="36" t="n">
        <f aca="false">(D52/(H52+I52+J52))*I52</f>
        <v>0</v>
      </c>
      <c r="G52" s="36" t="n">
        <f aca="false">(D52/(H52+I52+J52))*J52</f>
        <v>0</v>
      </c>
      <c r="H52" s="15" t="n">
        <f aca="false">H51</f>
        <v>49</v>
      </c>
      <c r="I52" s="15" t="n">
        <f aca="false">I51</f>
        <v>31</v>
      </c>
      <c r="J52" s="15" t="n">
        <f aca="false">J51</f>
        <v>38</v>
      </c>
    </row>
    <row r="53" customFormat="false" ht="14.25" hidden="false" customHeight="true" outlineLevel="0" collapsed="false">
      <c r="A53" s="15"/>
      <c r="B53" s="54" t="str">
        <f aca="false">Хмільник!C68</f>
        <v>Редька свіжа</v>
      </c>
      <c r="C53" s="54" t="n">
        <v>11058</v>
      </c>
      <c r="D53" s="15"/>
      <c r="E53" s="36" t="n">
        <f aca="false">(D53/(H53+I53+J53))*H53</f>
        <v>0</v>
      </c>
      <c r="F53" s="36" t="n">
        <f aca="false">(D53/(H53+I53+J53))*I53</f>
        <v>0</v>
      </c>
      <c r="G53" s="36" t="n">
        <f aca="false">(D53/(H53+I53+J53))*J53</f>
        <v>0</v>
      </c>
      <c r="H53" s="15" t="n">
        <f aca="false">H52</f>
        <v>49</v>
      </c>
      <c r="I53" s="15" t="n">
        <f aca="false">I52</f>
        <v>31</v>
      </c>
      <c r="J53" s="15" t="n">
        <f aca="false">J52</f>
        <v>38</v>
      </c>
    </row>
    <row r="54" customFormat="false" ht="14.25" hidden="false" customHeight="true" outlineLevel="0" collapsed="false">
      <c r="A54" s="15"/>
      <c r="B54" s="54" t="str">
        <f aca="false">Хмільник!C69</f>
        <v>Капуста морська (салати капусти морської)</v>
      </c>
      <c r="C54" s="54" t="n">
        <v>11059</v>
      </c>
      <c r="D54" s="15"/>
      <c r="E54" s="36" t="n">
        <f aca="false">(D54/(H54+I54+J54))*H54</f>
        <v>0</v>
      </c>
      <c r="F54" s="36" t="n">
        <f aca="false">(D54/(H54+I54+J54))*I54</f>
        <v>0</v>
      </c>
      <c r="G54" s="36" t="n">
        <f aca="false">(D54/(H54+I54+J54))*J54</f>
        <v>0</v>
      </c>
      <c r="H54" s="15" t="n">
        <f aca="false">H53</f>
        <v>49</v>
      </c>
      <c r="I54" s="15" t="n">
        <f aca="false">I53</f>
        <v>31</v>
      </c>
      <c r="J54" s="15" t="n">
        <f aca="false">J53</f>
        <v>38</v>
      </c>
    </row>
    <row r="55" customFormat="false" ht="14.25" hidden="false" customHeight="true" outlineLevel="0" collapsed="false">
      <c r="A55" s="15"/>
      <c r="B55" s="54" t="str">
        <f aca="false">Хмільник!C70</f>
        <v>М’ята свіжа</v>
      </c>
      <c r="C55" s="54" t="n">
        <v>11060</v>
      </c>
      <c r="D55" s="15"/>
      <c r="E55" s="36" t="n">
        <f aca="false">(D55/(H55+I55+J55))*H55</f>
        <v>0</v>
      </c>
      <c r="F55" s="36" t="n">
        <f aca="false">(D55/(H55+I55+J55))*I55</f>
        <v>0</v>
      </c>
      <c r="G55" s="36" t="n">
        <f aca="false">(D55/(H55+I55+J55))*J55</f>
        <v>0</v>
      </c>
      <c r="H55" s="15" t="n">
        <f aca="false">H54</f>
        <v>49</v>
      </c>
      <c r="I55" s="15" t="n">
        <f aca="false">I54</f>
        <v>31</v>
      </c>
      <c r="J55" s="15" t="n">
        <f aca="false">J54</f>
        <v>38</v>
      </c>
    </row>
    <row r="56" customFormat="false" ht="14.25" hidden="false" customHeight="true" outlineLevel="0" collapsed="false">
      <c r="A56" s="15" t="n">
        <v>8</v>
      </c>
      <c r="B56" s="54" t="str">
        <f aca="false">Хмільник!C71</f>
        <v>Цибуля напівгострих сортів</v>
      </c>
      <c r="C56" s="54" t="n">
        <v>11061</v>
      </c>
      <c r="D56" s="15"/>
      <c r="E56" s="36" t="n">
        <f aca="false">(D56/(H56+I56+J56))*H56</f>
        <v>0</v>
      </c>
      <c r="F56" s="36" t="n">
        <f aca="false">(D56/(H56+I56+J56))*I56</f>
        <v>0</v>
      </c>
      <c r="G56" s="36" t="n">
        <f aca="false">(D56/(H56+I56+J56))*J56</f>
        <v>0</v>
      </c>
      <c r="H56" s="15" t="n">
        <f aca="false">H55</f>
        <v>49</v>
      </c>
      <c r="I56" s="15" t="n">
        <f aca="false">I55</f>
        <v>31</v>
      </c>
      <c r="J56" s="15" t="n">
        <f aca="false">J55</f>
        <v>38</v>
      </c>
    </row>
    <row r="57" customFormat="false" ht="14.25" hidden="false" customHeight="true" outlineLevel="0" collapsed="false">
      <c r="A57" s="15"/>
      <c r="B57" s="54" t="str">
        <f aca="false">Хмільник!C72</f>
        <v>Цибуля солодких сортів</v>
      </c>
      <c r="C57" s="54" t="n">
        <v>11062</v>
      </c>
      <c r="D57" s="15"/>
      <c r="E57" s="36" t="n">
        <f aca="false">(D57/(H57+I57+J57))*H57</f>
        <v>0</v>
      </c>
      <c r="F57" s="36" t="n">
        <f aca="false">(D57/(H57+I57+J57))*I57</f>
        <v>0</v>
      </c>
      <c r="G57" s="36" t="n">
        <f aca="false">(D57/(H57+I57+J57))*J57</f>
        <v>0</v>
      </c>
      <c r="H57" s="15" t="n">
        <f aca="false">H56</f>
        <v>49</v>
      </c>
      <c r="I57" s="15" t="n">
        <f aca="false">I56</f>
        <v>31</v>
      </c>
      <c r="J57" s="15" t="n">
        <f aca="false">J56</f>
        <v>38</v>
      </c>
    </row>
    <row r="58" customFormat="false" ht="14.25" hidden="false" customHeight="true" outlineLevel="0" collapsed="false">
      <c r="A58" s="15"/>
      <c r="B58" s="54" t="str">
        <f aca="false">Хмільник!C73</f>
        <v>Картопля пізня</v>
      </c>
      <c r="C58" s="54" t="n">
        <v>11063</v>
      </c>
      <c r="D58" s="15" t="n">
        <v>17.7</v>
      </c>
      <c r="E58" s="36" t="n">
        <f aca="false">(D58/(H58+I58+J58))*H58</f>
        <v>7.35</v>
      </c>
      <c r="F58" s="36" t="n">
        <f aca="false">(D58/(H58+I58+J58))*I58</f>
        <v>4.65</v>
      </c>
      <c r="G58" s="36" t="n">
        <f aca="false">(D58/(H58+I58+J58))*J58</f>
        <v>5.7</v>
      </c>
      <c r="H58" s="15" t="n">
        <f aca="false">H57</f>
        <v>49</v>
      </c>
      <c r="I58" s="15" t="n">
        <f aca="false">I57</f>
        <v>31</v>
      </c>
      <c r="J58" s="15" t="n">
        <f aca="false">J57</f>
        <v>38</v>
      </c>
    </row>
    <row r="59" customFormat="false" ht="14.25" hidden="false" customHeight="true" outlineLevel="0" collapsed="false">
      <c r="A59" s="15"/>
      <c r="B59" s="54" t="str">
        <f aca="false">Хмільник!C74</f>
        <v>Капуста червоноголова свіжа</v>
      </c>
      <c r="C59" s="54" t="n">
        <v>11064</v>
      </c>
      <c r="D59" s="15"/>
      <c r="E59" s="36" t="n">
        <f aca="false">(D59/(H59+I59+J59))*H59</f>
        <v>0</v>
      </c>
      <c r="F59" s="36" t="n">
        <f aca="false">(D59/(H59+I59+J59))*I59</f>
        <v>0</v>
      </c>
      <c r="G59" s="36" t="n">
        <f aca="false">(D59/(H59+I59+J59))*J59</f>
        <v>0</v>
      </c>
      <c r="H59" s="15" t="n">
        <f aca="false">H58</f>
        <v>49</v>
      </c>
      <c r="I59" s="15" t="n">
        <f aca="false">I58</f>
        <v>31</v>
      </c>
      <c r="J59" s="15" t="n">
        <f aca="false">J58</f>
        <v>38</v>
      </c>
    </row>
    <row r="60" customFormat="false" ht="14.25" hidden="false" customHeight="true" outlineLevel="0" collapsed="false">
      <c r="A60" s="15"/>
      <c r="B60" s="54" t="str">
        <f aca="false">Хмільник!C75</f>
        <v>Рукола свіжа</v>
      </c>
      <c r="C60" s="54" t="n">
        <v>11065</v>
      </c>
      <c r="D60" s="15"/>
      <c r="E60" s="36" t="n">
        <f aca="false">(D60/(H60+I60+J60))*H60</f>
        <v>0</v>
      </c>
      <c r="F60" s="36" t="n">
        <f aca="false">(D60/(H60+I60+J60))*I60</f>
        <v>0</v>
      </c>
      <c r="G60" s="36" t="n">
        <f aca="false">(D60/(H60+I60+J60))*J60</f>
        <v>0</v>
      </c>
      <c r="H60" s="15" t="n">
        <f aca="false">H59</f>
        <v>49</v>
      </c>
      <c r="I60" s="15" t="n">
        <f aca="false">I59</f>
        <v>31</v>
      </c>
      <c r="J60" s="15" t="n">
        <f aca="false">J59</f>
        <v>38</v>
      </c>
    </row>
    <row r="61" customFormat="false" ht="14.25" hidden="false" customHeight="true" outlineLevel="0" collapsed="false">
      <c r="A61" s="15"/>
      <c r="B61" s="54" t="str">
        <f aca="false">Хмільник!C76</f>
        <v>Капуста броколі заморожена</v>
      </c>
      <c r="C61" s="54" t="n">
        <v>11201</v>
      </c>
      <c r="D61" s="15"/>
      <c r="E61" s="36" t="n">
        <f aca="false">(D61/(H61+I61+J61))*H61</f>
        <v>0</v>
      </c>
      <c r="F61" s="36" t="n">
        <f aca="false">(D61/(H61+I61+J61))*I61</f>
        <v>0</v>
      </c>
      <c r="G61" s="36" t="n">
        <f aca="false">(D61/(H61+I61+J61))*J61</f>
        <v>0</v>
      </c>
      <c r="H61" s="15" t="n">
        <f aca="false">H60</f>
        <v>49</v>
      </c>
      <c r="I61" s="15" t="n">
        <f aca="false">I60</f>
        <v>31</v>
      </c>
      <c r="J61" s="15" t="n">
        <f aca="false">J60</f>
        <v>38</v>
      </c>
    </row>
    <row r="62" customFormat="false" ht="14.25" hidden="false" customHeight="true" outlineLevel="0" collapsed="false">
      <c r="A62" s="15"/>
      <c r="B62" s="54" t="str">
        <f aca="false">Хмільник!C77</f>
        <v>Вишня заморожена</v>
      </c>
      <c r="C62" s="54" t="n">
        <v>11202</v>
      </c>
      <c r="D62" s="15"/>
      <c r="E62" s="36" t="n">
        <f aca="false">(D62/(H62+I62+J62))*H62</f>
        <v>0</v>
      </c>
      <c r="F62" s="36" t="n">
        <f aca="false">(D62/(H62+I62+J62))*I62</f>
        <v>0</v>
      </c>
      <c r="G62" s="36" t="n">
        <f aca="false">(D62/(H62+I62+J62))*J62</f>
        <v>0</v>
      </c>
      <c r="H62" s="15" t="n">
        <f aca="false">H61</f>
        <v>49</v>
      </c>
      <c r="I62" s="15" t="n">
        <f aca="false">I61</f>
        <v>31</v>
      </c>
      <c r="J62" s="15" t="n">
        <f aca="false">J61</f>
        <v>38</v>
      </c>
    </row>
    <row r="63" customFormat="false" ht="14.25" hidden="false" customHeight="true" outlineLevel="0" collapsed="false">
      <c r="A63" s="15"/>
      <c r="B63" s="54" t="str">
        <f aca="false">Хмільник!C78</f>
        <v>Горошок зелений заморожений</v>
      </c>
      <c r="C63" s="54" t="n">
        <v>11203</v>
      </c>
      <c r="D63" s="15"/>
      <c r="E63" s="36" t="n">
        <f aca="false">(D63/(H63+I63+J63))*H63</f>
        <v>0</v>
      </c>
      <c r="F63" s="36" t="n">
        <f aca="false">(D63/(H63+I63+J63))*I63</f>
        <v>0</v>
      </c>
      <c r="G63" s="36" t="n">
        <f aca="false">(D63/(H63+I63+J63))*J63</f>
        <v>0</v>
      </c>
      <c r="H63" s="15" t="n">
        <f aca="false">H62</f>
        <v>49</v>
      </c>
      <c r="I63" s="15" t="n">
        <f aca="false">I62</f>
        <v>31</v>
      </c>
      <c r="J63" s="15" t="n">
        <f aca="false">J62</f>
        <v>38</v>
      </c>
    </row>
    <row r="64" customFormat="false" ht="14.25" hidden="false" customHeight="true" outlineLevel="0" collapsed="false">
      <c r="A64" s="15"/>
      <c r="B64" s="54" t="str">
        <f aca="false">Хмільник!C79</f>
        <v>Капуста цвітна заморожена</v>
      </c>
      <c r="C64" s="54" t="n">
        <v>11204</v>
      </c>
      <c r="D64" s="15"/>
      <c r="E64" s="36" t="n">
        <f aca="false">(D64/(H64+I64+J64))*H64</f>
        <v>0</v>
      </c>
      <c r="F64" s="36" t="n">
        <f aca="false">(D64/(H64+I64+J64))*I64</f>
        <v>0</v>
      </c>
      <c r="G64" s="36" t="n">
        <f aca="false">(D64/(H64+I64+J64))*J64</f>
        <v>0</v>
      </c>
      <c r="H64" s="15" t="n">
        <f aca="false">H63</f>
        <v>49</v>
      </c>
      <c r="I64" s="15" t="n">
        <f aca="false">I63</f>
        <v>31</v>
      </c>
      <c r="J64" s="15" t="n">
        <f aca="false">J63</f>
        <v>38</v>
      </c>
    </row>
    <row r="65" customFormat="false" ht="14.25" hidden="false" customHeight="true" outlineLevel="0" collapsed="false">
      <c r="A65" s="15"/>
      <c r="B65" s="54" t="str">
        <f aca="false">Хмільник!C80</f>
        <v>Картопля фрі заморожена</v>
      </c>
      <c r="C65" s="54" t="n">
        <v>11205</v>
      </c>
      <c r="D65" s="15"/>
      <c r="E65" s="36" t="n">
        <f aca="false">(D65/(H65+I65+J65))*H65</f>
        <v>0</v>
      </c>
      <c r="F65" s="36" t="n">
        <f aca="false">(D65/(H65+I65+J65))*I65</f>
        <v>0</v>
      </c>
      <c r="G65" s="36" t="n">
        <f aca="false">(D65/(H65+I65+J65))*J65</f>
        <v>0</v>
      </c>
      <c r="H65" s="15" t="n">
        <f aca="false">H64</f>
        <v>49</v>
      </c>
      <c r="I65" s="15" t="n">
        <f aca="false">I64</f>
        <v>31</v>
      </c>
      <c r="J65" s="15" t="n">
        <f aca="false">J64</f>
        <v>38</v>
      </c>
    </row>
    <row r="66" customFormat="false" ht="14.25" hidden="false" customHeight="true" outlineLevel="0" collapsed="false">
      <c r="A66" s="15"/>
      <c r="B66" s="54" t="str">
        <f aca="false">Хмільник!C81</f>
        <v>Кукурудза заморожена</v>
      </c>
      <c r="C66" s="54" t="n">
        <v>11206</v>
      </c>
      <c r="D66" s="15"/>
      <c r="E66" s="36" t="n">
        <f aca="false">(D66/(H66+I66+J66))*H66</f>
        <v>0</v>
      </c>
      <c r="F66" s="36" t="n">
        <f aca="false">(D66/(H66+I66+J66))*I66</f>
        <v>0</v>
      </c>
      <c r="G66" s="36" t="n">
        <f aca="false">(D66/(H66+I66+J66))*J66</f>
        <v>0</v>
      </c>
      <c r="H66" s="15" t="n">
        <f aca="false">H65</f>
        <v>49</v>
      </c>
      <c r="I66" s="15" t="n">
        <f aca="false">I65</f>
        <v>31</v>
      </c>
      <c r="J66" s="15" t="n">
        <f aca="false">J65</f>
        <v>38</v>
      </c>
    </row>
    <row r="67" customFormat="false" ht="14.25" hidden="false" customHeight="true" outlineLevel="0" collapsed="false">
      <c r="A67" s="15"/>
      <c r="B67" s="54" t="str">
        <f aca="false">Хмільник!C82</f>
        <v>Перець солодкий заморожений</v>
      </c>
      <c r="C67" s="54" t="n">
        <v>11208</v>
      </c>
      <c r="D67" s="15"/>
      <c r="E67" s="36" t="n">
        <f aca="false">(D67/(H67+I67+J67))*H67</f>
        <v>0</v>
      </c>
      <c r="F67" s="36" t="n">
        <f aca="false">(D67/(H67+I67+J67))*I67</f>
        <v>0</v>
      </c>
      <c r="G67" s="36" t="n">
        <f aca="false">(D67/(H67+I67+J67))*J67</f>
        <v>0</v>
      </c>
      <c r="H67" s="15" t="n">
        <f aca="false">H66</f>
        <v>49</v>
      </c>
      <c r="I67" s="15" t="n">
        <f aca="false">I66</f>
        <v>31</v>
      </c>
      <c r="J67" s="15" t="n">
        <f aca="false">J66</f>
        <v>38</v>
      </c>
    </row>
    <row r="68" customFormat="false" ht="14.25" hidden="false" customHeight="true" outlineLevel="0" collapsed="false">
      <c r="A68" s="15"/>
      <c r="B68" s="54" t="str">
        <f aca="false">Хмільник!C83</f>
        <v>Полуниця заморожена</v>
      </c>
      <c r="C68" s="54" t="n">
        <v>11209</v>
      </c>
      <c r="D68" s="15"/>
      <c r="E68" s="36" t="n">
        <f aca="false">(D68/(H68+I68+J68))*H68</f>
        <v>0</v>
      </c>
      <c r="F68" s="36" t="n">
        <f aca="false">(D68/(H68+I68+J68))*I68</f>
        <v>0</v>
      </c>
      <c r="G68" s="36" t="n">
        <f aca="false">(D68/(H68+I68+J68))*J68</f>
        <v>0</v>
      </c>
      <c r="H68" s="15" t="n">
        <f aca="false">H67</f>
        <v>49</v>
      </c>
      <c r="I68" s="15" t="n">
        <f aca="false">I67</f>
        <v>31</v>
      </c>
      <c r="J68" s="15" t="n">
        <f aca="false">J67</f>
        <v>38</v>
      </c>
    </row>
    <row r="69" customFormat="false" ht="14.25" hidden="false" customHeight="true" outlineLevel="0" collapsed="false">
      <c r="A69" s="15"/>
      <c r="B69" s="54" t="str">
        <f aca="false">Хмільник!C84</f>
        <v>Слива заморожена</v>
      </c>
      <c r="C69" s="54" t="n">
        <v>11210</v>
      </c>
      <c r="D69" s="15"/>
      <c r="E69" s="36" t="n">
        <f aca="false">(D69/(H69+I69+J69))*H69</f>
        <v>0</v>
      </c>
      <c r="F69" s="36" t="n">
        <f aca="false">(D69/(H69+I69+J69))*I69</f>
        <v>0</v>
      </c>
      <c r="G69" s="36" t="n">
        <f aca="false">(D69/(H69+I69+J69))*J69</f>
        <v>0</v>
      </c>
      <c r="H69" s="15" t="n">
        <f aca="false">H68</f>
        <v>49</v>
      </c>
      <c r="I69" s="15" t="n">
        <f aca="false">I68</f>
        <v>31</v>
      </c>
      <c r="J69" s="15" t="n">
        <f aca="false">J68</f>
        <v>38</v>
      </c>
    </row>
    <row r="70" customFormat="false" ht="14.25" hidden="false" customHeight="true" outlineLevel="0" collapsed="false">
      <c r="A70" s="15"/>
      <c r="B70" s="54" t="str">
        <f aca="false">Хмільник!C85</f>
        <v>Смородина чорна заморожена</v>
      </c>
      <c r="C70" s="54" t="n">
        <v>11211</v>
      </c>
      <c r="D70" s="15"/>
      <c r="E70" s="36" t="n">
        <f aca="false">(D70/(H70+I70+J70))*H70</f>
        <v>0</v>
      </c>
      <c r="F70" s="36" t="n">
        <f aca="false">(D70/(H70+I70+J70))*I70</f>
        <v>0</v>
      </c>
      <c r="G70" s="36" t="n">
        <f aca="false">(D70/(H70+I70+J70))*J70</f>
        <v>0</v>
      </c>
      <c r="H70" s="15" t="n">
        <f aca="false">H69</f>
        <v>49</v>
      </c>
      <c r="I70" s="15" t="n">
        <f aca="false">I69</f>
        <v>31</v>
      </c>
      <c r="J70" s="15" t="n">
        <f aca="false">J69</f>
        <v>38</v>
      </c>
    </row>
    <row r="71" customFormat="false" ht="14.25" hidden="false" customHeight="true" outlineLevel="0" collapsed="false">
      <c r="A71" s="15"/>
      <c r="B71" s="54" t="str">
        <f aca="false">Хмільник!C86</f>
        <v>Квасоля стручкова заморожена</v>
      </c>
      <c r="C71" s="54" t="n">
        <v>11212</v>
      </c>
      <c r="D71" s="15"/>
      <c r="E71" s="36" t="n">
        <f aca="false">(D71/(H71+I71+J71))*H71</f>
        <v>0</v>
      </c>
      <c r="F71" s="36" t="n">
        <f aca="false">(D71/(H71+I71+J71))*I71</f>
        <v>0</v>
      </c>
      <c r="G71" s="36" t="n">
        <f aca="false">(D71/(H71+I71+J71))*J71</f>
        <v>0</v>
      </c>
      <c r="H71" s="15" t="n">
        <f aca="false">H70</f>
        <v>49</v>
      </c>
      <c r="I71" s="15" t="n">
        <f aca="false">I70</f>
        <v>31</v>
      </c>
      <c r="J71" s="15" t="n">
        <f aca="false">J70</f>
        <v>38</v>
      </c>
    </row>
    <row r="72" customFormat="false" ht="14.25" hidden="false" customHeight="true" outlineLevel="0" collapsed="false">
      <c r="A72" s="15"/>
      <c r="B72" s="54" t="str">
        <f aca="false">Хмільник!C87</f>
        <v>Чорниця заморожена</v>
      </c>
      <c r="C72" s="54" t="n">
        <v>11213</v>
      </c>
      <c r="D72" s="15"/>
      <c r="E72" s="36" t="n">
        <f aca="false">(D72/(H72+I72+J72))*H72</f>
        <v>0</v>
      </c>
      <c r="F72" s="36" t="n">
        <f aca="false">(D72/(H72+I72+J72))*I72</f>
        <v>0</v>
      </c>
      <c r="G72" s="36" t="n">
        <f aca="false">(D72/(H72+I72+J72))*J72</f>
        <v>0</v>
      </c>
      <c r="H72" s="15" t="n">
        <f aca="false">H71</f>
        <v>49</v>
      </c>
      <c r="I72" s="15" t="n">
        <f aca="false">I71</f>
        <v>31</v>
      </c>
      <c r="J72" s="15" t="n">
        <f aca="false">J71</f>
        <v>38</v>
      </c>
    </row>
    <row r="73" customFormat="false" ht="14.25" hidden="false" customHeight="true" outlineLevel="0" collapsed="false">
      <c r="A73" s="15"/>
      <c r="B73" s="54" t="str">
        <f aca="false">Хмільник!C88</f>
        <v>Обліпиха заморожена</v>
      </c>
      <c r="C73" s="54" t="n">
        <v>11214</v>
      </c>
      <c r="D73" s="15"/>
      <c r="E73" s="36" t="n">
        <f aca="false">(D73/(H73+I73+J73))*H73</f>
        <v>0</v>
      </c>
      <c r="F73" s="36" t="n">
        <f aca="false">(D73/(H73+I73+J73))*I73</f>
        <v>0</v>
      </c>
      <c r="G73" s="36" t="n">
        <f aca="false">(D73/(H73+I73+J73))*J73</f>
        <v>0</v>
      </c>
      <c r="H73" s="15" t="n">
        <f aca="false">H72</f>
        <v>49</v>
      </c>
      <c r="I73" s="15" t="n">
        <f aca="false">I72</f>
        <v>31</v>
      </c>
      <c r="J73" s="15" t="n">
        <f aca="false">J72</f>
        <v>38</v>
      </c>
    </row>
    <row r="74" customFormat="false" ht="14.25" hidden="false" customHeight="true" outlineLevel="0" collapsed="false">
      <c r="A74" s="15"/>
      <c r="B74" s="54" t="str">
        <f aca="false">Хмільник!C89</f>
        <v>Журавлина заморожена</v>
      </c>
      <c r="C74" s="54" t="n">
        <v>11215</v>
      </c>
      <c r="D74" s="15"/>
      <c r="E74" s="36" t="n">
        <f aca="false">(D74/(H74+I74+J74))*H74</f>
        <v>0</v>
      </c>
      <c r="F74" s="36" t="n">
        <f aca="false">(D74/(H74+I74+J74))*I74</f>
        <v>0</v>
      </c>
      <c r="G74" s="36" t="n">
        <f aca="false">(D74/(H74+I74+J74))*J74</f>
        <v>0</v>
      </c>
      <c r="H74" s="15" t="n">
        <f aca="false">H73</f>
        <v>49</v>
      </c>
      <c r="I74" s="15" t="n">
        <f aca="false">I73</f>
        <v>31</v>
      </c>
      <c r="J74" s="15" t="n">
        <f aca="false">J73</f>
        <v>38</v>
      </c>
    </row>
    <row r="75" customFormat="false" ht="14.25" hidden="false" customHeight="true" outlineLevel="0" collapsed="false">
      <c r="A75" s="15"/>
      <c r="B75" s="54" t="str">
        <f aca="false">Хмільник!C90</f>
        <v>Крупа горохова швидкого приготування</v>
      </c>
      <c r="C75" s="54" t="n">
        <v>11301</v>
      </c>
      <c r="D75" s="15"/>
      <c r="E75" s="36" t="n">
        <f aca="false">(D75/(H75+I75+J75))*H75</f>
        <v>0</v>
      </c>
      <c r="F75" s="36" t="n">
        <f aca="false">(D75/(H75+I75+J75))*I75</f>
        <v>0</v>
      </c>
      <c r="G75" s="36" t="n">
        <f aca="false">(D75/(H75+I75+J75))*J75</f>
        <v>0</v>
      </c>
      <c r="H75" s="15" t="n">
        <f aca="false">H74</f>
        <v>49</v>
      </c>
      <c r="I75" s="15" t="n">
        <f aca="false">I74</f>
        <v>31</v>
      </c>
      <c r="J75" s="15" t="n">
        <f aca="false">J74</f>
        <v>38</v>
      </c>
    </row>
    <row r="76" customFormat="false" ht="14.25" hidden="false" customHeight="true" outlineLevel="0" collapsed="false">
      <c r="A76" s="15"/>
      <c r="B76" s="54" t="str">
        <f aca="false">Хмільник!C91</f>
        <v>Крупа гречана швидкого приготування</v>
      </c>
      <c r="C76" s="54" t="n">
        <v>11302</v>
      </c>
      <c r="D76" s="15"/>
      <c r="E76" s="36" t="n">
        <f aca="false">(D76/(H76+I76+J76))*H76</f>
        <v>0</v>
      </c>
      <c r="F76" s="36" t="n">
        <f aca="false">(D76/(H76+I76+J76))*I76</f>
        <v>0</v>
      </c>
      <c r="G76" s="36" t="n">
        <f aca="false">(D76/(H76+I76+J76))*J76</f>
        <v>0</v>
      </c>
      <c r="H76" s="15" t="n">
        <f aca="false">H75</f>
        <v>49</v>
      </c>
      <c r="I76" s="15" t="n">
        <f aca="false">I75</f>
        <v>31</v>
      </c>
      <c r="J76" s="15" t="n">
        <f aca="false">J75</f>
        <v>38</v>
      </c>
    </row>
    <row r="77" customFormat="false" ht="14.25" hidden="false" customHeight="true" outlineLevel="0" collapsed="false">
      <c r="A77" s="15"/>
      <c r="B77" s="54" t="str">
        <f aca="false">Хмільник!C92</f>
        <v>Макаронні вироби швидкого приготування</v>
      </c>
      <c r="C77" s="54" t="n">
        <v>11303</v>
      </c>
      <c r="D77" s="15"/>
      <c r="E77" s="36" t="n">
        <f aca="false">(D77/(H77+I77+J77))*H77</f>
        <v>0</v>
      </c>
      <c r="F77" s="36" t="n">
        <f aca="false">(D77/(H77+I77+J77))*I77</f>
        <v>0</v>
      </c>
      <c r="G77" s="36" t="n">
        <f aca="false">(D77/(H77+I77+J77))*J77</f>
        <v>0</v>
      </c>
      <c r="H77" s="15" t="n">
        <f aca="false">H76</f>
        <v>49</v>
      </c>
      <c r="I77" s="15" t="n">
        <f aca="false">I76</f>
        <v>31</v>
      </c>
      <c r="J77" s="15" t="n">
        <f aca="false">J76</f>
        <v>38</v>
      </c>
    </row>
    <row r="78" customFormat="false" ht="14.25" hidden="false" customHeight="true" outlineLevel="0" collapsed="false">
      <c r="A78" s="15"/>
      <c r="B78" s="54" t="str">
        <f aca="false">Хмільник!C93</f>
        <v>Концентрати харчові (перші страви)</v>
      </c>
      <c r="C78" s="54" t="n">
        <v>11309</v>
      </c>
      <c r="D78" s="15"/>
      <c r="E78" s="36" t="n">
        <f aca="false">(D78/(H78+I78+J78))*H78</f>
        <v>0</v>
      </c>
      <c r="F78" s="36" t="n">
        <f aca="false">(D78/(H78+I78+J78))*I78</f>
        <v>0</v>
      </c>
      <c r="G78" s="36" t="n">
        <f aca="false">(D78/(H78+I78+J78))*J78</f>
        <v>0</v>
      </c>
      <c r="H78" s="15" t="n">
        <f aca="false">H77</f>
        <v>49</v>
      </c>
      <c r="I78" s="15" t="n">
        <f aca="false">I77</f>
        <v>31</v>
      </c>
      <c r="J78" s="15" t="n">
        <f aca="false">J77</f>
        <v>38</v>
      </c>
    </row>
    <row r="79" customFormat="false" ht="14.25" hidden="false" customHeight="true" outlineLevel="0" collapsed="false">
      <c r="A79" s="15"/>
      <c r="B79" s="54" t="str">
        <f aca="false">Хмільник!C94</f>
        <v>Концентрати харчові (другі страви)</v>
      </c>
      <c r="C79" s="54" t="n">
        <v>11310</v>
      </c>
      <c r="D79" s="15"/>
      <c r="E79" s="36" t="n">
        <f aca="false">(D79/(H79+I79+J79))*H79</f>
        <v>0</v>
      </c>
      <c r="F79" s="36" t="n">
        <f aca="false">(D79/(H79+I79+J79))*I79</f>
        <v>0</v>
      </c>
      <c r="G79" s="36" t="n">
        <f aca="false">(D79/(H79+I79+J79))*J79</f>
        <v>0</v>
      </c>
      <c r="H79" s="15" t="n">
        <f aca="false">H78</f>
        <v>49</v>
      </c>
      <c r="I79" s="15" t="n">
        <f aca="false">I78</f>
        <v>31</v>
      </c>
      <c r="J79" s="15" t="n">
        <f aca="false">J78</f>
        <v>38</v>
      </c>
    </row>
    <row r="80" customFormat="false" ht="14.25" hidden="false" customHeight="true" outlineLevel="0" collapsed="false">
      <c r="A80" s="15"/>
      <c r="B80" s="54" t="str">
        <f aca="false">Хмільник!C95</f>
        <v>Пластівці вівсяні “Екстра”</v>
      </c>
      <c r="C80" s="54" t="n">
        <v>11401</v>
      </c>
      <c r="D80" s="15"/>
      <c r="E80" s="36" t="n">
        <f aca="false">(D80/(H80+I80+J80))*H80</f>
        <v>0</v>
      </c>
      <c r="F80" s="36" t="n">
        <f aca="false">(D80/(H80+I80+J80))*I80</f>
        <v>0</v>
      </c>
      <c r="G80" s="36" t="n">
        <f aca="false">(D80/(H80+I80+J80))*J80</f>
        <v>0</v>
      </c>
      <c r="H80" s="15" t="n">
        <f aca="false">H79</f>
        <v>49</v>
      </c>
      <c r="I80" s="15" t="n">
        <f aca="false">I79</f>
        <v>31</v>
      </c>
      <c r="J80" s="15" t="n">
        <f aca="false">J79</f>
        <v>38</v>
      </c>
    </row>
    <row r="81" customFormat="false" ht="14.25" hidden="false" customHeight="true" outlineLevel="0" collapsed="false">
      <c r="A81" s="15" t="n">
        <v>9</v>
      </c>
      <c r="B81" s="54" t="str">
        <f aca="false">Хмільник!C96</f>
        <v>Крупа вівсяна неподрібнена</v>
      </c>
      <c r="C81" s="54" t="n">
        <v>11402</v>
      </c>
      <c r="D81" s="15"/>
      <c r="E81" s="36" t="n">
        <f aca="false">(D81/(H81+I81+J81))*H81</f>
        <v>0</v>
      </c>
      <c r="F81" s="36" t="n">
        <f aca="false">(D81/(H81+I81+J81))*I81</f>
        <v>0</v>
      </c>
      <c r="G81" s="36" t="n">
        <f aca="false">(D81/(H81+I81+J81))*J81</f>
        <v>0</v>
      </c>
      <c r="H81" s="15" t="n">
        <f aca="false">H80</f>
        <v>49</v>
      </c>
      <c r="I81" s="15" t="n">
        <f aca="false">I80</f>
        <v>31</v>
      </c>
      <c r="J81" s="15" t="n">
        <f aca="false">J80</f>
        <v>38</v>
      </c>
    </row>
    <row r="82" customFormat="false" ht="14.25" hidden="false" customHeight="true" outlineLevel="0" collapsed="false">
      <c r="A82" s="15" t="n">
        <v>10</v>
      </c>
      <c r="B82" s="54" t="str">
        <f aca="false">Хмільник!C97</f>
        <v>Крупа вівсяна плющена</v>
      </c>
      <c r="C82" s="54" t="n">
        <v>11403</v>
      </c>
      <c r="D82" s="15"/>
      <c r="E82" s="36" t="n">
        <f aca="false">(D82/(H82+I82+J82))*H82</f>
        <v>0</v>
      </c>
      <c r="F82" s="36" t="n">
        <f aca="false">(D82/(H82+I82+J82))*I82</f>
        <v>0</v>
      </c>
      <c r="G82" s="36" t="n">
        <f aca="false">(D82/(H82+I82+J82))*J82</f>
        <v>0</v>
      </c>
      <c r="H82" s="15" t="n">
        <f aca="false">H81</f>
        <v>49</v>
      </c>
      <c r="I82" s="15" t="n">
        <f aca="false">I81</f>
        <v>31</v>
      </c>
      <c r="J82" s="15" t="n">
        <f aca="false">J81</f>
        <v>38</v>
      </c>
    </row>
    <row r="83" customFormat="false" ht="14.25" hidden="false" customHeight="true" outlineLevel="0" collapsed="false">
      <c r="A83" s="15"/>
      <c r="B83" s="54" t="str">
        <f aca="false">Хмільник!C98</f>
        <v>Крупа горохова колота</v>
      </c>
      <c r="C83" s="54" t="n">
        <v>11404</v>
      </c>
      <c r="D83" s="15" t="n">
        <v>7.08</v>
      </c>
      <c r="E83" s="36" t="n">
        <f aca="false">(D83/(H83+I83+J83))*H83</f>
        <v>2.94</v>
      </c>
      <c r="F83" s="36" t="n">
        <f aca="false">(D83/(H83+I83+J83))*I83</f>
        <v>1.86</v>
      </c>
      <c r="G83" s="36" t="n">
        <f aca="false">(D83/(H83+I83+J83))*J83</f>
        <v>2.28</v>
      </c>
      <c r="H83" s="15" t="n">
        <f aca="false">H82</f>
        <v>49</v>
      </c>
      <c r="I83" s="15" t="n">
        <f aca="false">I82</f>
        <v>31</v>
      </c>
      <c r="J83" s="15" t="n">
        <f aca="false">J82</f>
        <v>38</v>
      </c>
    </row>
    <row r="84" customFormat="false" ht="14.25" hidden="false" customHeight="true" outlineLevel="0" collapsed="false">
      <c r="A84" s="15"/>
      <c r="B84" s="54" t="str">
        <f aca="false">Хмільник!C99</f>
        <v>Крупа гречана ядриця</v>
      </c>
      <c r="C84" s="54" t="n">
        <v>11405</v>
      </c>
      <c r="D84" s="15" t="n">
        <v>7.08</v>
      </c>
      <c r="E84" s="36" t="n">
        <f aca="false">(D84/(H84+I84+J84))*H84</f>
        <v>2.94</v>
      </c>
      <c r="F84" s="36" t="n">
        <f aca="false">(D84/(H84+I84+J84))*I84</f>
        <v>1.86</v>
      </c>
      <c r="G84" s="36" t="n">
        <f aca="false">(D84/(H84+I84+J84))*J84</f>
        <v>2.28</v>
      </c>
      <c r="H84" s="15" t="n">
        <f aca="false">H83</f>
        <v>49</v>
      </c>
      <c r="I84" s="15" t="n">
        <f aca="false">I83</f>
        <v>31</v>
      </c>
      <c r="J84" s="15" t="n">
        <f aca="false">J83</f>
        <v>38</v>
      </c>
    </row>
    <row r="85" customFormat="false" ht="14.25" hidden="false" customHeight="true" outlineLevel="0" collapsed="false">
      <c r="A85" s="15"/>
      <c r="B85" s="54" t="str">
        <f aca="false">Хмільник!C100</f>
        <v>Крупа кукурудзяна шліфована</v>
      </c>
      <c r="C85" s="54" t="n">
        <v>11406</v>
      </c>
      <c r="D85" s="15"/>
      <c r="E85" s="36" t="n">
        <f aca="false">(D85/(H85+I85+J85))*H85</f>
        <v>0</v>
      </c>
      <c r="F85" s="36" t="n">
        <f aca="false">(D85/(H85+I85+J85))*I85</f>
        <v>0</v>
      </c>
      <c r="G85" s="36" t="n">
        <f aca="false">(D85/(H85+I85+J85))*J85</f>
        <v>0</v>
      </c>
      <c r="H85" s="15" t="n">
        <f aca="false">H84</f>
        <v>49</v>
      </c>
      <c r="I85" s="15" t="n">
        <f aca="false">I84</f>
        <v>31</v>
      </c>
      <c r="J85" s="15" t="n">
        <f aca="false">J84</f>
        <v>38</v>
      </c>
    </row>
    <row r="86" customFormat="false" ht="14.25" hidden="false" customHeight="true" outlineLevel="0" collapsed="false">
      <c r="A86" s="15" t="n">
        <v>11</v>
      </c>
      <c r="B86" s="54" t="str">
        <f aca="false">Хмільник!C101</f>
        <v>Крупа манна</v>
      </c>
      <c r="C86" s="54" t="n">
        <v>11407</v>
      </c>
      <c r="D86" s="15"/>
      <c r="E86" s="36" t="n">
        <f aca="false">(D86/(H86+I86+J86))*H86</f>
        <v>0</v>
      </c>
      <c r="F86" s="36" t="n">
        <f aca="false">(D86/(H86+I86+J86))*I86</f>
        <v>0</v>
      </c>
      <c r="G86" s="36" t="n">
        <f aca="false">(D86/(H86+I86+J86))*J86</f>
        <v>0</v>
      </c>
      <c r="H86" s="15" t="n">
        <f aca="false">H85</f>
        <v>49</v>
      </c>
      <c r="I86" s="15" t="n">
        <f aca="false">I85</f>
        <v>31</v>
      </c>
      <c r="J86" s="15" t="n">
        <f aca="false">J85</f>
        <v>38</v>
      </c>
    </row>
    <row r="87" customFormat="false" ht="14.25" hidden="false" customHeight="true" outlineLevel="0" collapsed="false">
      <c r="A87" s="15"/>
      <c r="B87" s="54" t="str">
        <f aca="false">Хмільник!C102</f>
        <v>Крупа перлова</v>
      </c>
      <c r="C87" s="54" t="n">
        <v>11408</v>
      </c>
      <c r="D87" s="15"/>
      <c r="E87" s="36" t="n">
        <f aca="false">(D87/(H87+I87+J87))*H87</f>
        <v>0</v>
      </c>
      <c r="F87" s="36" t="n">
        <f aca="false">(D87/(H87+I87+J87))*I87</f>
        <v>0</v>
      </c>
      <c r="G87" s="36" t="n">
        <f aca="false">(D87/(H87+I87+J87))*J87</f>
        <v>0</v>
      </c>
      <c r="H87" s="15" t="n">
        <f aca="false">H86</f>
        <v>49</v>
      </c>
      <c r="I87" s="15" t="n">
        <f aca="false">I86</f>
        <v>31</v>
      </c>
      <c r="J87" s="15" t="n">
        <f aca="false">J86</f>
        <v>38</v>
      </c>
    </row>
    <row r="88" customFormat="false" ht="14.25" hidden="false" customHeight="true" outlineLevel="0" collapsed="false">
      <c r="A88" s="15"/>
      <c r="B88" s="54" t="str">
        <f aca="false">Хмільник!C103</f>
        <v>Крупа пшенична</v>
      </c>
      <c r="C88" s="54" t="n">
        <v>11409</v>
      </c>
      <c r="D88" s="15" t="n">
        <v>7.08</v>
      </c>
      <c r="E88" s="36" t="n">
        <f aca="false">(D88/(H88+I88+J88))*H88</f>
        <v>2.94</v>
      </c>
      <c r="F88" s="36" t="n">
        <f aca="false">(D88/(H88+I88+J88))*I88</f>
        <v>1.86</v>
      </c>
      <c r="G88" s="36" t="n">
        <f aca="false">(D88/(H88+I88+J88))*J88</f>
        <v>2.28</v>
      </c>
      <c r="H88" s="15" t="n">
        <f aca="false">H87</f>
        <v>49</v>
      </c>
      <c r="I88" s="15" t="n">
        <f aca="false">I87</f>
        <v>31</v>
      </c>
      <c r="J88" s="15" t="n">
        <f aca="false">J87</f>
        <v>38</v>
      </c>
    </row>
    <row r="89" customFormat="false" ht="14.25" hidden="false" customHeight="true" outlineLevel="0" collapsed="false">
      <c r="A89" s="15"/>
      <c r="B89" s="54" t="str">
        <f aca="false">Хмільник!C104</f>
        <v>Крупа пшоняна</v>
      </c>
      <c r="C89" s="54" t="n">
        <v>11410</v>
      </c>
      <c r="D89" s="15"/>
      <c r="E89" s="36" t="n">
        <f aca="false">(D89/(H89+I89+J89))*H89</f>
        <v>0</v>
      </c>
      <c r="F89" s="36" t="n">
        <f aca="false">(D89/(H89+I89+J89))*I89</f>
        <v>0</v>
      </c>
      <c r="G89" s="36" t="n">
        <f aca="false">(D89/(H89+I89+J89))*J89</f>
        <v>0</v>
      </c>
      <c r="H89" s="15" t="n">
        <f aca="false">H88</f>
        <v>49</v>
      </c>
      <c r="I89" s="15" t="n">
        <f aca="false">I88</f>
        <v>31</v>
      </c>
      <c r="J89" s="15" t="n">
        <f aca="false">J88</f>
        <v>38</v>
      </c>
    </row>
    <row r="90" customFormat="false" ht="14.25" hidden="false" customHeight="true" outlineLevel="0" collapsed="false">
      <c r="A90" s="15"/>
      <c r="B90" s="54" t="str">
        <f aca="false">Хмільник!C105</f>
        <v>Крупа ячна</v>
      </c>
      <c r="C90" s="54" t="n">
        <v>11411</v>
      </c>
      <c r="D90" s="15"/>
      <c r="E90" s="36" t="n">
        <f aca="false">(D90/(H90+I90+J90))*H90</f>
        <v>0</v>
      </c>
      <c r="F90" s="36" t="n">
        <f aca="false">(D90/(H90+I90+J90))*I90</f>
        <v>0</v>
      </c>
      <c r="G90" s="36" t="n">
        <f aca="false">(D90/(H90+I90+J90))*J90</f>
        <v>0</v>
      </c>
      <c r="H90" s="15" t="n">
        <f aca="false">H89</f>
        <v>49</v>
      </c>
      <c r="I90" s="15" t="n">
        <f aca="false">I89</f>
        <v>31</v>
      </c>
      <c r="J90" s="15" t="n">
        <f aca="false">J89</f>
        <v>38</v>
      </c>
    </row>
    <row r="91" customFormat="false" ht="14.25" hidden="false" customHeight="true" outlineLevel="0" collapsed="false">
      <c r="A91" s="15"/>
      <c r="B91" s="54" t="str">
        <f aca="false">Хмільник!C106</f>
        <v>Пластівці кукурудзяні</v>
      </c>
      <c r="C91" s="54" t="n">
        <v>11412</v>
      </c>
      <c r="D91" s="15"/>
      <c r="E91" s="36" t="n">
        <f aca="false">(D91/(H91+I91+J91))*H91</f>
        <v>0</v>
      </c>
      <c r="F91" s="36" t="n">
        <f aca="false">(D91/(H91+I91+J91))*I91</f>
        <v>0</v>
      </c>
      <c r="G91" s="36" t="n">
        <f aca="false">(D91/(H91+I91+J91))*J91</f>
        <v>0</v>
      </c>
      <c r="H91" s="15" t="n">
        <f aca="false">H90</f>
        <v>49</v>
      </c>
      <c r="I91" s="15" t="n">
        <f aca="false">I90</f>
        <v>31</v>
      </c>
      <c r="J91" s="15" t="n">
        <f aca="false">J90</f>
        <v>38</v>
      </c>
    </row>
    <row r="92" customFormat="false" ht="14.25" hidden="false" customHeight="true" outlineLevel="0" collapsed="false">
      <c r="A92" s="15"/>
      <c r="B92" s="54" t="str">
        <f aca="false">Хмільник!C107</f>
        <v>Пластівці круп’яні зі смаковими добавками</v>
      </c>
      <c r="C92" s="54" t="n">
        <v>11413</v>
      </c>
      <c r="D92" s="15"/>
      <c r="E92" s="36" t="n">
        <f aca="false">(D92/(H92+I92+J92))*H92</f>
        <v>0</v>
      </c>
      <c r="F92" s="36" t="n">
        <f aca="false">(D92/(H92+I92+J92))*I92</f>
        <v>0</v>
      </c>
      <c r="G92" s="36" t="n">
        <f aca="false">(D92/(H92+I92+J92))*J92</f>
        <v>0</v>
      </c>
      <c r="H92" s="15" t="n">
        <f aca="false">H91</f>
        <v>49</v>
      </c>
      <c r="I92" s="15" t="n">
        <f aca="false">I91</f>
        <v>31</v>
      </c>
      <c r="J92" s="15" t="n">
        <f aca="false">J91</f>
        <v>38</v>
      </c>
    </row>
    <row r="93" customFormat="false" ht="14.25" hidden="false" customHeight="true" outlineLevel="0" collapsed="false">
      <c r="A93" s="15"/>
      <c r="B93" s="54" t="str">
        <f aca="false">Хмільник!C108</f>
        <v>Плаcтівці круп’яні</v>
      </c>
      <c r="C93" s="54" t="n">
        <v>11414</v>
      </c>
      <c r="D93" s="15"/>
      <c r="E93" s="36" t="n">
        <f aca="false">(D93/(H93+I93+J93))*H93</f>
        <v>0</v>
      </c>
      <c r="F93" s="36" t="n">
        <f aca="false">(D93/(H93+I93+J93))*I93</f>
        <v>0</v>
      </c>
      <c r="G93" s="36" t="n">
        <f aca="false">(D93/(H93+I93+J93))*J93</f>
        <v>0</v>
      </c>
      <c r="H93" s="15" t="n">
        <f aca="false">H92</f>
        <v>49</v>
      </c>
      <c r="I93" s="15" t="n">
        <f aca="false">I92</f>
        <v>31</v>
      </c>
      <c r="J93" s="15" t="n">
        <f aca="false">J92</f>
        <v>38</v>
      </c>
    </row>
    <row r="94" customFormat="false" ht="14.25" hidden="false" customHeight="true" outlineLevel="0" collapsed="false">
      <c r="A94" s="15"/>
      <c r="B94" s="54" t="str">
        <f aca="false">Хмільник!C109</f>
        <v>Нут</v>
      </c>
      <c r="C94" s="54" t="n">
        <v>11415</v>
      </c>
      <c r="D94" s="15"/>
      <c r="E94" s="36" t="n">
        <f aca="false">(D94/(H94+I94+J94))*H94</f>
        <v>0</v>
      </c>
      <c r="F94" s="36" t="n">
        <f aca="false">(D94/(H94+I94+J94))*I94</f>
        <v>0</v>
      </c>
      <c r="G94" s="36" t="n">
        <f aca="false">(D94/(H94+I94+J94))*J94</f>
        <v>0</v>
      </c>
      <c r="H94" s="15" t="n">
        <f aca="false">H93</f>
        <v>49</v>
      </c>
      <c r="I94" s="15" t="n">
        <f aca="false">I93</f>
        <v>31</v>
      </c>
      <c r="J94" s="15" t="n">
        <f aca="false">J93</f>
        <v>38</v>
      </c>
    </row>
    <row r="95" customFormat="false" ht="14.25" hidden="false" customHeight="true" outlineLevel="0" collapsed="false">
      <c r="A95" s="15"/>
      <c r="B95" s="54" t="str">
        <f aca="false">Хмільник!C110</f>
        <v>Рис довгозернистий шліфований</v>
      </c>
      <c r="C95" s="54" t="n">
        <v>11416</v>
      </c>
      <c r="D95" s="15"/>
      <c r="E95" s="36" t="n">
        <f aca="false">(D95/(H95+I95+J95))*H95</f>
        <v>0</v>
      </c>
      <c r="F95" s="36" t="n">
        <f aca="false">(D95/(H95+I95+J95))*I95</f>
        <v>0</v>
      </c>
      <c r="G95" s="36" t="n">
        <f aca="false">(D95/(H95+I95+J95))*J95</f>
        <v>0</v>
      </c>
      <c r="H95" s="15" t="n">
        <f aca="false">H94</f>
        <v>49</v>
      </c>
      <c r="I95" s="15" t="n">
        <f aca="false">I94</f>
        <v>31</v>
      </c>
      <c r="J95" s="15" t="n">
        <f aca="false">J94</f>
        <v>38</v>
      </c>
    </row>
    <row r="96" customFormat="false" ht="14.25" hidden="false" customHeight="true" outlineLevel="0" collapsed="false">
      <c r="A96" s="15"/>
      <c r="B96" s="54" t="str">
        <f aca="false">Хмільник!C111</f>
        <v>Рис круглозернистий (середньозернистий)</v>
      </c>
      <c r="C96" s="54" t="n">
        <v>11417</v>
      </c>
      <c r="D96" s="15"/>
      <c r="E96" s="36" t="n">
        <f aca="false">(D96/(H96+I96+J96))*H96</f>
        <v>0</v>
      </c>
      <c r="F96" s="36" t="n">
        <f aca="false">(D96/(H96+I96+J96))*I96</f>
        <v>0</v>
      </c>
      <c r="G96" s="36" t="n">
        <f aca="false">(D96/(H96+I96+J96))*J96</f>
        <v>0</v>
      </c>
      <c r="H96" s="15" t="n">
        <f aca="false">H95</f>
        <v>49</v>
      </c>
      <c r="I96" s="15" t="n">
        <f aca="false">I95</f>
        <v>31</v>
      </c>
      <c r="J96" s="15" t="n">
        <f aca="false">J95</f>
        <v>38</v>
      </c>
    </row>
    <row r="97" customFormat="false" ht="14.25" hidden="false" customHeight="true" outlineLevel="0" collapsed="false">
      <c r="A97" s="15"/>
      <c r="B97" s="54" t="str">
        <f aca="false">Хмільник!C112</f>
        <v>Рис нешліфований</v>
      </c>
      <c r="C97" s="54" t="n">
        <v>11419</v>
      </c>
      <c r="D97" s="15"/>
      <c r="E97" s="36" t="n">
        <f aca="false">(D97/(H97+I97+J97))*H97</f>
        <v>0</v>
      </c>
      <c r="F97" s="36" t="n">
        <f aca="false">(D97/(H97+I97+J97))*I97</f>
        <v>0</v>
      </c>
      <c r="G97" s="36" t="n">
        <f aca="false">(D97/(H97+I97+J97))*J97</f>
        <v>0</v>
      </c>
      <c r="H97" s="15" t="n">
        <f aca="false">H96</f>
        <v>49</v>
      </c>
      <c r="I97" s="15" t="n">
        <f aca="false">I96</f>
        <v>31</v>
      </c>
      <c r="J97" s="15" t="n">
        <f aca="false">J96</f>
        <v>38</v>
      </c>
    </row>
    <row r="98" customFormat="false" ht="14.25" hidden="false" customHeight="true" outlineLevel="0" collapsed="false">
      <c r="A98" s="15"/>
      <c r="B98" s="54" t="str">
        <f aca="false">Хмільник!C113</f>
        <v>Сніданки сухі</v>
      </c>
      <c r="C98" s="54" t="n">
        <v>11420</v>
      </c>
      <c r="D98" s="15"/>
      <c r="E98" s="36" t="n">
        <f aca="false">(D98/(H98+I98+J98))*H98</f>
        <v>0</v>
      </c>
      <c r="F98" s="36" t="n">
        <f aca="false">(D98/(H98+I98+J98))*I98</f>
        <v>0</v>
      </c>
      <c r="G98" s="36" t="n">
        <f aca="false">(D98/(H98+I98+J98))*J98</f>
        <v>0</v>
      </c>
      <c r="H98" s="15" t="n">
        <f aca="false">H97</f>
        <v>49</v>
      </c>
      <c r="I98" s="15" t="n">
        <f aca="false">I97</f>
        <v>31</v>
      </c>
      <c r="J98" s="15" t="n">
        <f aca="false">J97</f>
        <v>38</v>
      </c>
    </row>
    <row r="99" customFormat="false" ht="14.25" hidden="false" customHeight="true" outlineLevel="0" collapsed="false">
      <c r="A99" s="15"/>
      <c r="B99" s="54" t="str">
        <f aca="false">Хмільник!C114</f>
        <v>Крупа кускус</v>
      </c>
      <c r="C99" s="54" t="n">
        <v>11422</v>
      </c>
      <c r="D99" s="15"/>
      <c r="E99" s="36" t="n">
        <f aca="false">(D99/(H99+I99+J99))*H99</f>
        <v>0</v>
      </c>
      <c r="F99" s="36" t="n">
        <f aca="false">(D99/(H99+I99+J99))*I99</f>
        <v>0</v>
      </c>
      <c r="G99" s="36" t="n">
        <f aca="false">(D99/(H99+I99+J99))*J99</f>
        <v>0</v>
      </c>
      <c r="H99" s="15" t="n">
        <f aca="false">H98</f>
        <v>49</v>
      </c>
      <c r="I99" s="15" t="n">
        <f aca="false">I98</f>
        <v>31</v>
      </c>
      <c r="J99" s="15" t="n">
        <f aca="false">J98</f>
        <v>38</v>
      </c>
    </row>
    <row r="100" customFormat="false" ht="14.25" hidden="false" customHeight="true" outlineLevel="0" collapsed="false">
      <c r="A100" s="15"/>
      <c r="B100" s="54" t="str">
        <f aca="false">Хмільник!C115</f>
        <v>Крупа булгур</v>
      </c>
      <c r="C100" s="54" t="n">
        <v>11423</v>
      </c>
      <c r="D100" s="15"/>
      <c r="E100" s="36" t="n">
        <f aca="false">(D100/(H100+I100+J100))*H100</f>
        <v>0</v>
      </c>
      <c r="F100" s="36" t="n">
        <f aca="false">(D100/(H100+I100+J100))*I100</f>
        <v>0</v>
      </c>
      <c r="G100" s="36" t="n">
        <f aca="false">(D100/(H100+I100+J100))*J100</f>
        <v>0</v>
      </c>
      <c r="H100" s="15" t="n">
        <f aca="false">H99</f>
        <v>49</v>
      </c>
      <c r="I100" s="15" t="n">
        <f aca="false">I99</f>
        <v>31</v>
      </c>
      <c r="J100" s="15" t="n">
        <f aca="false">J99</f>
        <v>38</v>
      </c>
    </row>
    <row r="101" customFormat="false" ht="14.25" hidden="false" customHeight="true" outlineLevel="0" collapsed="false">
      <c r="A101" s="15"/>
      <c r="B101" s="54" t="str">
        <f aca="false">Хмільник!C116</f>
        <v>Крупа сочевиця</v>
      </c>
      <c r="C101" s="54" t="n">
        <v>11424</v>
      </c>
      <c r="D101" s="15"/>
      <c r="E101" s="36" t="n">
        <f aca="false">(D101/(H101+I101+J101))*H101</f>
        <v>0</v>
      </c>
      <c r="F101" s="36" t="n">
        <f aca="false">(D101/(H101+I101+J101))*I101</f>
        <v>0</v>
      </c>
      <c r="G101" s="36" t="n">
        <f aca="false">(D101/(H101+I101+J101))*J101</f>
        <v>0</v>
      </c>
      <c r="H101" s="15" t="n">
        <f aca="false">H100</f>
        <v>49</v>
      </c>
      <c r="I101" s="15" t="n">
        <f aca="false">I100</f>
        <v>31</v>
      </c>
      <c r="J101" s="15" t="n">
        <f aca="false">J100</f>
        <v>38</v>
      </c>
    </row>
    <row r="102" customFormat="false" ht="14.25" hidden="false" customHeight="true" outlineLevel="0" collapsed="false">
      <c r="A102" s="15"/>
      <c r="B102" s="54" t="str">
        <f aca="false">Хмільник!C117</f>
        <v>Вермішель довга (твердих сортів)</v>
      </c>
      <c r="C102" s="54" t="n">
        <v>11501</v>
      </c>
      <c r="D102" s="15"/>
      <c r="E102" s="36" t="n">
        <f aca="false">(D102/(H102+I102+J102))*H102</f>
        <v>0</v>
      </c>
      <c r="F102" s="36" t="n">
        <f aca="false">(D102/(H102+I102+J102))*I102</f>
        <v>0</v>
      </c>
      <c r="G102" s="36" t="n">
        <f aca="false">(D102/(H102+I102+J102))*J102</f>
        <v>0</v>
      </c>
      <c r="H102" s="15" t="n">
        <f aca="false">H101</f>
        <v>49</v>
      </c>
      <c r="I102" s="15" t="n">
        <f aca="false">I101</f>
        <v>31</v>
      </c>
      <c r="J102" s="15" t="n">
        <f aca="false">J101</f>
        <v>38</v>
      </c>
    </row>
    <row r="103" customFormat="false" ht="14.25" hidden="false" customHeight="true" outlineLevel="0" collapsed="false">
      <c r="A103" s="15"/>
      <c r="B103" s="54" t="str">
        <f aca="false">Хмільник!C118</f>
        <v>Макарони</v>
      </c>
      <c r="C103" s="54" t="n">
        <v>11502</v>
      </c>
      <c r="D103" s="15"/>
      <c r="E103" s="36" t="n">
        <f aca="false">(D103/(H103+I103+J103))*H103</f>
        <v>0</v>
      </c>
      <c r="F103" s="36" t="n">
        <f aca="false">(D103/(H103+I103+J103))*I103</f>
        <v>0</v>
      </c>
      <c r="G103" s="36" t="n">
        <f aca="false">(D103/(H103+I103+J103))*J103</f>
        <v>0</v>
      </c>
      <c r="H103" s="15" t="n">
        <f aca="false">H102</f>
        <v>49</v>
      </c>
      <c r="I103" s="15" t="n">
        <f aca="false">I102</f>
        <v>31</v>
      </c>
      <c r="J103" s="15" t="n">
        <f aca="false">J102</f>
        <v>38</v>
      </c>
    </row>
    <row r="104" customFormat="false" ht="14.25" hidden="false" customHeight="true" outlineLevel="0" collapsed="false">
      <c r="A104" s="15"/>
      <c r="B104" s="54" t="str">
        <f aca="false">Хмільник!C119</f>
        <v>Трубчасті макаронні вироби (ріжки, перо)</v>
      </c>
      <c r="C104" s="54" t="n">
        <v>11503</v>
      </c>
      <c r="D104" s="15"/>
      <c r="E104" s="36" t="n">
        <f aca="false">(D104/(H104+I104+J104))*H104</f>
        <v>0</v>
      </c>
      <c r="F104" s="36" t="n">
        <f aca="false">(D104/(H104+I104+J104))*I104</f>
        <v>0</v>
      </c>
      <c r="G104" s="36" t="n">
        <f aca="false">(D104/(H104+I104+J104))*J104</f>
        <v>0</v>
      </c>
      <c r="H104" s="15" t="n">
        <f aca="false">H103</f>
        <v>49</v>
      </c>
      <c r="I104" s="15" t="n">
        <f aca="false">I103</f>
        <v>31</v>
      </c>
      <c r="J104" s="15" t="n">
        <f aca="false">J103</f>
        <v>38</v>
      </c>
    </row>
    <row r="105" customFormat="false" ht="16.5" hidden="false" customHeight="false" outlineLevel="0" collapsed="false">
      <c r="A105" s="15"/>
      <c r="B105" s="54" t="str">
        <f aca="false">Хмільник!C120</f>
        <v>Локшина</v>
      </c>
      <c r="C105" s="54" t="n">
        <v>11504</v>
      </c>
      <c r="D105" s="15"/>
      <c r="E105" s="36" t="n">
        <f aca="false">(D105/(H105+I105+J105))*H105</f>
        <v>0</v>
      </c>
      <c r="F105" s="36" t="n">
        <f aca="false">(D105/(H105+I105+J105))*I105</f>
        <v>0</v>
      </c>
      <c r="G105" s="36" t="n">
        <f aca="false">(D105/(H105+I105+J105))*J105</f>
        <v>0</v>
      </c>
      <c r="H105" s="15" t="n">
        <f aca="false">H104</f>
        <v>49</v>
      </c>
      <c r="I105" s="15" t="n">
        <f aca="false">I104</f>
        <v>31</v>
      </c>
      <c r="J105" s="15" t="n">
        <f aca="false">J104</f>
        <v>38</v>
      </c>
    </row>
    <row r="106" customFormat="false" ht="14.25" hidden="false" customHeight="true" outlineLevel="0" collapsed="false">
      <c r="A106" s="15" t="n">
        <v>12</v>
      </c>
      <c r="B106" s="54" t="str">
        <f aca="false">Хмільник!C121</f>
        <v>Фігурні макаронні вироби</v>
      </c>
      <c r="C106" s="54" t="n">
        <v>11505</v>
      </c>
      <c r="D106" s="15"/>
      <c r="E106" s="36" t="n">
        <f aca="false">(D106/(H106+I106+J106))*H106</f>
        <v>0</v>
      </c>
      <c r="F106" s="36" t="n">
        <f aca="false">(D106/(H106+I106+J106))*I106</f>
        <v>0</v>
      </c>
      <c r="G106" s="36" t="n">
        <f aca="false">(D106/(H106+I106+J106))*J106</f>
        <v>0</v>
      </c>
      <c r="H106" s="15" t="n">
        <f aca="false">H105</f>
        <v>49</v>
      </c>
      <c r="I106" s="15" t="n">
        <f aca="false">I105</f>
        <v>31</v>
      </c>
      <c r="J106" s="15" t="n">
        <f aca="false">J105</f>
        <v>38</v>
      </c>
    </row>
    <row r="107" customFormat="false" ht="14.25" hidden="false" customHeight="true" outlineLevel="0" collapsed="false">
      <c r="A107" s="15"/>
      <c r="B107" s="54" t="str">
        <f aca="false">Хмільник!C122</f>
        <v>Базилік (спеції)</v>
      </c>
      <c r="C107" s="54" t="n">
        <v>11602</v>
      </c>
      <c r="D107" s="15"/>
      <c r="E107" s="36" t="n">
        <f aca="false">(D107/(H107+I107+J107))*H107</f>
        <v>0</v>
      </c>
      <c r="F107" s="36" t="n">
        <f aca="false">(D107/(H107+I107+J107))*I107</f>
        <v>0</v>
      </c>
      <c r="G107" s="36" t="n">
        <f aca="false">(D107/(H107+I107+J107))*J107</f>
        <v>0</v>
      </c>
      <c r="H107" s="15" t="n">
        <f aca="false">H106</f>
        <v>49</v>
      </c>
      <c r="I107" s="15" t="n">
        <f aca="false">I106</f>
        <v>31</v>
      </c>
      <c r="J107" s="15" t="n">
        <f aca="false">J106</f>
        <v>38</v>
      </c>
    </row>
    <row r="108" customFormat="false" ht="14.25" hidden="false" customHeight="true" outlineLevel="0" collapsed="false">
      <c r="A108" s="15"/>
      <c r="B108" s="54" t="str">
        <f aca="false">Хмільник!C123</f>
        <v>Гірчиця харчова</v>
      </c>
      <c r="C108" s="54" t="n">
        <v>11603</v>
      </c>
      <c r="D108" s="15" t="n">
        <v>1.18</v>
      </c>
      <c r="E108" s="36" t="n">
        <f aca="false">(D108/(H108+I108+J108))*H108</f>
        <v>0.49</v>
      </c>
      <c r="F108" s="36" t="n">
        <f aca="false">(D108/(H108+I108+J108))*I108</f>
        <v>0.31</v>
      </c>
      <c r="G108" s="36" t="n">
        <f aca="false">(D108/(H108+I108+J108))*J108</f>
        <v>0.38</v>
      </c>
      <c r="H108" s="15" t="n">
        <f aca="false">H107</f>
        <v>49</v>
      </c>
      <c r="I108" s="15" t="n">
        <f aca="false">I107</f>
        <v>31</v>
      </c>
      <c r="J108" s="15" t="n">
        <f aca="false">J107</f>
        <v>38</v>
      </c>
    </row>
    <row r="109" customFormat="false" ht="14.25" hidden="false" customHeight="true" outlineLevel="0" collapsed="false">
      <c r="A109" s="15"/>
      <c r="B109" s="54" t="str">
        <f aca="false">Хмільник!C124</f>
        <v>Дріжджі хлібопекарські пресовані</v>
      </c>
      <c r="C109" s="54" t="n">
        <v>11604</v>
      </c>
      <c r="D109" s="15"/>
      <c r="E109" s="36" t="n">
        <f aca="false">(D109/(H109+I109+J109))*H109</f>
        <v>0</v>
      </c>
      <c r="F109" s="36" t="n">
        <f aca="false">(D109/(H109+I109+J109))*I109</f>
        <v>0</v>
      </c>
      <c r="G109" s="36" t="n">
        <f aca="false">(D109/(H109+I109+J109))*J109</f>
        <v>0</v>
      </c>
      <c r="H109" s="15" t="n">
        <f aca="false">H108</f>
        <v>49</v>
      </c>
      <c r="I109" s="15" t="n">
        <f aca="false">I108</f>
        <v>31</v>
      </c>
      <c r="J109" s="15" t="n">
        <f aca="false">J108</f>
        <v>38</v>
      </c>
    </row>
    <row r="110" customFormat="false" ht="14.25" hidden="false" customHeight="true" outlineLevel="0" collapsed="false">
      <c r="A110" s="15" t="n">
        <v>13</v>
      </c>
      <c r="B110" s="54" t="str">
        <f aca="false">Хмільник!C125</f>
        <v>Дріжджі хлібопекарські сухі</v>
      </c>
      <c r="C110" s="54" t="n">
        <v>11605</v>
      </c>
      <c r="D110" s="15"/>
      <c r="E110" s="36" t="n">
        <f aca="false">(D110/(H110+I110+J110))*H110</f>
        <v>0</v>
      </c>
      <c r="F110" s="36" t="n">
        <f aca="false">(D110/(H110+I110+J110))*I110</f>
        <v>0</v>
      </c>
      <c r="G110" s="36" t="n">
        <f aca="false">(D110/(H110+I110+J110))*J110</f>
        <v>0</v>
      </c>
      <c r="H110" s="15" t="n">
        <f aca="false">H109</f>
        <v>49</v>
      </c>
      <c r="I110" s="15" t="n">
        <f aca="false">I109</f>
        <v>31</v>
      </c>
      <c r="J110" s="15" t="n">
        <f aca="false">J109</f>
        <v>38</v>
      </c>
    </row>
    <row r="111" customFormat="false" ht="14.25" hidden="false" customHeight="true" outlineLevel="0" collapsed="false">
      <c r="A111" s="15"/>
      <c r="B111" s="54" t="str">
        <f aca="false">Хмільник!C126</f>
        <v>Желатин харчовий</v>
      </c>
      <c r="C111" s="54" t="n">
        <v>11606</v>
      </c>
      <c r="D111" s="15"/>
      <c r="E111" s="36" t="n">
        <f aca="false">(D111/(H111+I111+J111))*H111</f>
        <v>0</v>
      </c>
      <c r="F111" s="36" t="n">
        <f aca="false">(D111/(H111+I111+J111))*I111</f>
        <v>0</v>
      </c>
      <c r="G111" s="36" t="n">
        <f aca="false">(D111/(H111+I111+J111))*J111</f>
        <v>0</v>
      </c>
      <c r="H111" s="15" t="n">
        <f aca="false">H110</f>
        <v>49</v>
      </c>
      <c r="I111" s="15" t="n">
        <f aca="false">I110</f>
        <v>31</v>
      </c>
      <c r="J111" s="15" t="n">
        <f aca="false">J110</f>
        <v>38</v>
      </c>
    </row>
    <row r="112" customFormat="false" ht="14.25" hidden="false" customHeight="true" outlineLevel="0" collapsed="false">
      <c r="A112" s="15"/>
      <c r="B112" s="54" t="str">
        <f aca="false">Хмільник!C127</f>
        <v>Кетчуп</v>
      </c>
      <c r="C112" s="54" t="n">
        <v>11607</v>
      </c>
      <c r="D112" s="15" t="n">
        <v>1.18</v>
      </c>
      <c r="E112" s="36" t="n">
        <f aca="false">(D112/(H112+I112+J112))*H112</f>
        <v>0.49</v>
      </c>
      <c r="F112" s="36" t="n">
        <f aca="false">(D112/(H112+I112+J112))*I112</f>
        <v>0.31</v>
      </c>
      <c r="G112" s="36" t="n">
        <f aca="false">(D112/(H112+I112+J112))*J112</f>
        <v>0.38</v>
      </c>
      <c r="H112" s="15" t="n">
        <f aca="false">H111</f>
        <v>49</v>
      </c>
      <c r="I112" s="15" t="n">
        <f aca="false">I111</f>
        <v>31</v>
      </c>
      <c r="J112" s="15" t="n">
        <f aca="false">J111</f>
        <v>38</v>
      </c>
    </row>
    <row r="113" customFormat="false" ht="14.25" hidden="false" customHeight="true" outlineLevel="0" collapsed="false">
      <c r="A113" s="15"/>
      <c r="B113" s="54" t="str">
        <f aca="false">Хмільник!C128</f>
        <v>Корінь селери</v>
      </c>
      <c r="C113" s="54" t="n">
        <v>11608</v>
      </c>
      <c r="D113" s="15"/>
      <c r="E113" s="36" t="n">
        <f aca="false">(D113/(H113+I113+J113))*H113</f>
        <v>0</v>
      </c>
      <c r="F113" s="36" t="n">
        <f aca="false">(D113/(H113+I113+J113))*I113</f>
        <v>0</v>
      </c>
      <c r="G113" s="36" t="n">
        <f aca="false">(D113/(H113+I113+J113))*J113</f>
        <v>0</v>
      </c>
      <c r="H113" s="15" t="n">
        <f aca="false">H112</f>
        <v>49</v>
      </c>
      <c r="I113" s="15" t="n">
        <f aca="false">I112</f>
        <v>31</v>
      </c>
      <c r="J113" s="15" t="n">
        <f aca="false">J112</f>
        <v>38</v>
      </c>
    </row>
    <row r="114" customFormat="false" ht="14.25" hidden="false" customHeight="true" outlineLevel="0" collapsed="false">
      <c r="A114" s="15"/>
      <c r="B114" s="54" t="str">
        <f aca="false">Хмільник!C129</f>
        <v>Кріп свіжий</v>
      </c>
      <c r="C114" s="54" t="n">
        <v>11609</v>
      </c>
      <c r="D114" s="15"/>
      <c r="E114" s="36" t="n">
        <f aca="false">(D114/(H114+I114+J114))*H114</f>
        <v>0</v>
      </c>
      <c r="F114" s="36" t="n">
        <f aca="false">(D114/(H114+I114+J114))*I114</f>
        <v>0</v>
      </c>
      <c r="G114" s="36" t="n">
        <f aca="false">(D114/(H114+I114+J114))*J114</f>
        <v>0</v>
      </c>
      <c r="H114" s="15" t="n">
        <f aca="false">H113</f>
        <v>49</v>
      </c>
      <c r="I114" s="15" t="n">
        <f aca="false">I113</f>
        <v>31</v>
      </c>
      <c r="J114" s="15" t="n">
        <f aca="false">J113</f>
        <v>38</v>
      </c>
    </row>
    <row r="115" customFormat="false" ht="14.25" hidden="false" customHeight="true" outlineLevel="0" collapsed="false">
      <c r="A115" s="15"/>
      <c r="B115" s="54" t="str">
        <f aca="false">Хмільник!C130</f>
        <v>Кріп сушений</v>
      </c>
      <c r="C115" s="54" t="n">
        <v>11610</v>
      </c>
      <c r="D115" s="15"/>
      <c r="E115" s="36" t="n">
        <f aca="false">(D115/(H115+I115+J115))*H115</f>
        <v>0</v>
      </c>
      <c r="F115" s="36" t="n">
        <f aca="false">(D115/(H115+I115+J115))*I115</f>
        <v>0</v>
      </c>
      <c r="G115" s="36" t="n">
        <f aca="false">(D115/(H115+I115+J115))*J115</f>
        <v>0</v>
      </c>
      <c r="H115" s="15" t="n">
        <f aca="false">H114</f>
        <v>49</v>
      </c>
      <c r="I115" s="15" t="n">
        <f aca="false">I114</f>
        <v>31</v>
      </c>
      <c r="J115" s="15" t="n">
        <f aca="false">J114</f>
        <v>38</v>
      </c>
    </row>
    <row r="116" customFormat="false" ht="14.25" hidden="false" customHeight="true" outlineLevel="0" collapsed="false">
      <c r="A116" s="15"/>
      <c r="B116" s="54" t="str">
        <f aca="false">Хмільник!C131</f>
        <v>Крохмаль картопляний</v>
      </c>
      <c r="C116" s="54" t="n">
        <v>11611</v>
      </c>
      <c r="D116" s="15"/>
      <c r="E116" s="36" t="n">
        <f aca="false">(D116/(H116+I116+J116))*H116</f>
        <v>0</v>
      </c>
      <c r="F116" s="36" t="n">
        <f aca="false">(D116/(H116+I116+J116))*I116</f>
        <v>0</v>
      </c>
      <c r="G116" s="36" t="n">
        <f aca="false">(D116/(H116+I116+J116))*J116</f>
        <v>0</v>
      </c>
      <c r="H116" s="15" t="n">
        <f aca="false">H115</f>
        <v>49</v>
      </c>
      <c r="I116" s="15" t="n">
        <f aca="false">I115</f>
        <v>31</v>
      </c>
      <c r="J116" s="15" t="n">
        <f aca="false">J115</f>
        <v>38</v>
      </c>
    </row>
    <row r="117" customFormat="false" ht="14.25" hidden="false" customHeight="true" outlineLevel="0" collapsed="false">
      <c r="A117" s="15" t="n">
        <v>14</v>
      </c>
      <c r="B117" s="54" t="str">
        <f aca="false">Хмільник!C132</f>
        <v>Лист лавровий сухий</v>
      </c>
      <c r="C117" s="54" t="n">
        <v>11612</v>
      </c>
      <c r="D117" s="15"/>
      <c r="E117" s="36" t="n">
        <f aca="false">(D117/(H117+I117+J117))*H117</f>
        <v>0</v>
      </c>
      <c r="F117" s="36" t="n">
        <f aca="false">(D117/(H117+I117+J117))*I117</f>
        <v>0</v>
      </c>
      <c r="G117" s="36" t="n">
        <f aca="false">(D117/(H117+I117+J117))*J117</f>
        <v>0</v>
      </c>
      <c r="H117" s="15" t="n">
        <f aca="false">H116</f>
        <v>49</v>
      </c>
      <c r="I117" s="15" t="n">
        <f aca="false">I116</f>
        <v>31</v>
      </c>
      <c r="J117" s="15" t="n">
        <f aca="false">J116</f>
        <v>38</v>
      </c>
    </row>
    <row r="118" customFormat="false" ht="14.25" hidden="false" customHeight="true" outlineLevel="0" collapsed="false">
      <c r="A118" s="15"/>
      <c r="B118" s="54" t="str">
        <f aca="false">Хмільник!C133</f>
        <v>Майонезний соус</v>
      </c>
      <c r="C118" s="54" t="n">
        <v>11613</v>
      </c>
      <c r="D118" s="15"/>
      <c r="E118" s="36" t="n">
        <f aca="false">(D118/(H118+I118+J118))*H118</f>
        <v>0</v>
      </c>
      <c r="F118" s="36" t="n">
        <f aca="false">(D118/(H118+I118+J118))*I118</f>
        <v>0</v>
      </c>
      <c r="G118" s="36" t="n">
        <f aca="false">(D118/(H118+I118+J118))*J118</f>
        <v>0</v>
      </c>
      <c r="H118" s="15" t="n">
        <f aca="false">H117</f>
        <v>49</v>
      </c>
      <c r="I118" s="15" t="n">
        <f aca="false">I117</f>
        <v>31</v>
      </c>
      <c r="J118" s="15" t="n">
        <f aca="false">J117</f>
        <v>38</v>
      </c>
    </row>
    <row r="119" customFormat="false" ht="14.25" hidden="false" customHeight="true" outlineLevel="0" collapsed="false">
      <c r="A119" s="15"/>
      <c r="B119" s="54" t="str">
        <f aca="false">Хмільник!C134</f>
        <v>Майонез (понад 55 %)</v>
      </c>
      <c r="C119" s="54" t="n">
        <v>11614</v>
      </c>
      <c r="D119" s="15" t="n">
        <v>2.95</v>
      </c>
      <c r="E119" s="36" t="n">
        <f aca="false">(D119/(H119+I119+J119))*H119</f>
        <v>1.225</v>
      </c>
      <c r="F119" s="36" t="n">
        <f aca="false">(D119/(H119+I119+J119))*I119</f>
        <v>0.775</v>
      </c>
      <c r="G119" s="36" t="n">
        <f aca="false">(D119/(H119+I119+J119))*J119</f>
        <v>0.95</v>
      </c>
      <c r="H119" s="15" t="n">
        <f aca="false">H118</f>
        <v>49</v>
      </c>
      <c r="I119" s="15" t="n">
        <f aca="false">I118</f>
        <v>31</v>
      </c>
      <c r="J119" s="15" t="n">
        <f aca="false">J118</f>
        <v>38</v>
      </c>
    </row>
    <row r="120" customFormat="false" ht="14.25" hidden="false" customHeight="true" outlineLevel="0" collapsed="false">
      <c r="A120" s="15"/>
      <c r="B120" s="54" t="str">
        <f aca="false">Хмільник!C135</f>
        <v>Орегано (спеції)</v>
      </c>
      <c r="C120" s="54" t="n">
        <v>11615</v>
      </c>
      <c r="D120" s="15"/>
      <c r="E120" s="36" t="n">
        <f aca="false">(D120/(H120+I120+J120))*H120</f>
        <v>0</v>
      </c>
      <c r="F120" s="36" t="n">
        <f aca="false">(D120/(H120+I120+J120))*I120</f>
        <v>0</v>
      </c>
      <c r="G120" s="36" t="n">
        <f aca="false">(D120/(H120+I120+J120))*J120</f>
        <v>0</v>
      </c>
      <c r="H120" s="15" t="n">
        <f aca="false">H119</f>
        <v>49</v>
      </c>
      <c r="I120" s="15" t="n">
        <f aca="false">I119</f>
        <v>31</v>
      </c>
      <c r="J120" s="15" t="n">
        <f aca="false">J119</f>
        <v>38</v>
      </c>
    </row>
    <row r="121" customFormat="false" ht="14.25" hidden="false" customHeight="true" outlineLevel="0" collapsed="false">
      <c r="A121" s="15"/>
      <c r="B121" s="54" t="str">
        <f aca="false">Хмільник!C136</f>
        <v>Оцет 9 %</v>
      </c>
      <c r="C121" s="54" t="n">
        <v>11616</v>
      </c>
      <c r="D121" s="15" t="n">
        <v>0.118</v>
      </c>
      <c r="E121" s="36" t="n">
        <f aca="false">(D121/(H121+I121+J121))*H121</f>
        <v>0.049</v>
      </c>
      <c r="F121" s="36" t="n">
        <f aca="false">(D121/(H121+I121+J121))*I121</f>
        <v>0.031</v>
      </c>
      <c r="G121" s="36" t="n">
        <f aca="false">(D121/(H121+I121+J121))*J121</f>
        <v>0.038</v>
      </c>
      <c r="H121" s="15" t="n">
        <f aca="false">H120</f>
        <v>49</v>
      </c>
      <c r="I121" s="15" t="n">
        <f aca="false">I120</f>
        <v>31</v>
      </c>
      <c r="J121" s="15" t="n">
        <f aca="false">J120</f>
        <v>38</v>
      </c>
    </row>
    <row r="122" customFormat="false" ht="14.25" hidden="false" customHeight="true" outlineLevel="0" collapsed="false">
      <c r="A122" s="15"/>
      <c r="B122" s="54" t="str">
        <f aca="false">Хмільник!C137</f>
        <v>Перець червоний мелений</v>
      </c>
      <c r="C122" s="54" t="n">
        <v>11617</v>
      </c>
      <c r="D122" s="15"/>
      <c r="E122" s="36" t="n">
        <f aca="false">(D122/(H122+I122+J122))*H122</f>
        <v>0</v>
      </c>
      <c r="F122" s="36" t="n">
        <f aca="false">(D122/(H122+I122+J122))*I122</f>
        <v>0</v>
      </c>
      <c r="G122" s="36" t="n">
        <f aca="false">(D122/(H122+I122+J122))*J122</f>
        <v>0</v>
      </c>
      <c r="H122" s="15" t="n">
        <f aca="false">H121</f>
        <v>49</v>
      </c>
      <c r="I122" s="15" t="n">
        <f aca="false">I121</f>
        <v>31</v>
      </c>
      <c r="J122" s="15" t="n">
        <f aca="false">J121</f>
        <v>38</v>
      </c>
    </row>
    <row r="123" customFormat="false" ht="14.25" hidden="false" customHeight="true" outlineLevel="0" collapsed="false">
      <c r="A123" s="15"/>
      <c r="B123" s="54" t="str">
        <f aca="false">Хмільник!C138</f>
        <v>Петрушка свіжа</v>
      </c>
      <c r="C123" s="54" t="n">
        <v>11618</v>
      </c>
      <c r="D123" s="15"/>
      <c r="E123" s="36" t="n">
        <f aca="false">(D123/(H123+I123+J123))*H123</f>
        <v>0</v>
      </c>
      <c r="F123" s="36" t="n">
        <f aca="false">(D123/(H123+I123+J123))*I123</f>
        <v>0</v>
      </c>
      <c r="G123" s="36" t="n">
        <f aca="false">(D123/(H123+I123+J123))*J123</f>
        <v>0</v>
      </c>
      <c r="H123" s="15" t="n">
        <f aca="false">H122</f>
        <v>49</v>
      </c>
      <c r="I123" s="15" t="n">
        <f aca="false">I122</f>
        <v>31</v>
      </c>
      <c r="J123" s="15" t="n">
        <f aca="false">J122</f>
        <v>38</v>
      </c>
    </row>
    <row r="124" customFormat="false" ht="14.25" hidden="false" customHeight="true" outlineLevel="0" collapsed="false">
      <c r="A124" s="15"/>
      <c r="B124" s="54" t="str">
        <f aca="false">Хмільник!C139</f>
        <v>Петрушка сушена</v>
      </c>
      <c r="C124" s="54" t="n">
        <v>11619</v>
      </c>
      <c r="D124" s="15"/>
      <c r="E124" s="36" t="n">
        <f aca="false">(D124/(H124+I124+J124))*H124</f>
        <v>0</v>
      </c>
      <c r="F124" s="36" t="n">
        <f aca="false">(D124/(H124+I124+J124))*I124</f>
        <v>0</v>
      </c>
      <c r="G124" s="36" t="n">
        <f aca="false">(D124/(H124+I124+J124))*J124</f>
        <v>0</v>
      </c>
      <c r="H124" s="15" t="n">
        <f aca="false">H123</f>
        <v>49</v>
      </c>
      <c r="I124" s="15" t="n">
        <f aca="false">I123</f>
        <v>31</v>
      </c>
      <c r="J124" s="15" t="n">
        <f aca="false">J123</f>
        <v>38</v>
      </c>
    </row>
    <row r="125" customFormat="false" ht="14.25" hidden="false" customHeight="true" outlineLevel="0" collapsed="false">
      <c r="A125" s="15"/>
      <c r="B125" s="54" t="str">
        <f aca="false">Хмільник!C140</f>
        <v>Порошок гірчичний</v>
      </c>
      <c r="C125" s="54" t="n">
        <v>11620</v>
      </c>
      <c r="D125" s="15"/>
      <c r="E125" s="36" t="n">
        <f aca="false">(D125/(H125+I125+J125))*H125</f>
        <v>0</v>
      </c>
      <c r="F125" s="36" t="n">
        <f aca="false">(D125/(H125+I125+J125))*I125</f>
        <v>0</v>
      </c>
      <c r="G125" s="36" t="n">
        <f aca="false">(D125/(H125+I125+J125))*J125</f>
        <v>0</v>
      </c>
      <c r="H125" s="15" t="n">
        <f aca="false">H124</f>
        <v>49</v>
      </c>
      <c r="I125" s="15" t="n">
        <f aca="false">I124</f>
        <v>31</v>
      </c>
      <c r="J125" s="15" t="n">
        <f aca="false">J124</f>
        <v>38</v>
      </c>
    </row>
    <row r="126" customFormat="false" ht="14.25" hidden="false" customHeight="true" outlineLevel="0" collapsed="false">
      <c r="A126" s="15"/>
      <c r="B126" s="54" t="str">
        <f aca="false">Хмільник!C141</f>
        <v>Приправи для моркви по-корейськи</v>
      </c>
      <c r="C126" s="54" t="n">
        <v>11621</v>
      </c>
      <c r="D126" s="15"/>
      <c r="E126" s="36" t="n">
        <f aca="false">(D126/(H126+I126+J126))*H126</f>
        <v>0</v>
      </c>
      <c r="F126" s="36" t="n">
        <f aca="false">(D126/(H126+I126+J126))*I126</f>
        <v>0</v>
      </c>
      <c r="G126" s="36" t="n">
        <f aca="false">(D126/(H126+I126+J126))*J126</f>
        <v>0</v>
      </c>
      <c r="H126" s="15" t="n">
        <f aca="false">H125</f>
        <v>49</v>
      </c>
      <c r="I126" s="15" t="n">
        <f aca="false">I125</f>
        <v>31</v>
      </c>
      <c r="J126" s="15" t="n">
        <f aca="false">J125</f>
        <v>38</v>
      </c>
    </row>
    <row r="127" customFormat="false" ht="14.25" hidden="false" customHeight="true" outlineLevel="0" collapsed="false">
      <c r="A127" s="15"/>
      <c r="B127" s="54" t="str">
        <f aca="false">Хмільник!C142</f>
        <v>Перець чорний горошком</v>
      </c>
      <c r="C127" s="54" t="n">
        <v>11622</v>
      </c>
      <c r="D127" s="15"/>
      <c r="E127" s="36" t="n">
        <f aca="false">(D127/(H127+I127+J127))*H127</f>
        <v>0</v>
      </c>
      <c r="F127" s="36" t="n">
        <f aca="false">(D127/(H127+I127+J127))*I127</f>
        <v>0</v>
      </c>
      <c r="G127" s="36" t="n">
        <f aca="false">(D127/(H127+I127+J127))*J127</f>
        <v>0</v>
      </c>
      <c r="H127" s="15" t="n">
        <f aca="false">H126</f>
        <v>49</v>
      </c>
      <c r="I127" s="15" t="n">
        <f aca="false">I126</f>
        <v>31</v>
      </c>
      <c r="J127" s="15" t="n">
        <f aca="false">J126</f>
        <v>38</v>
      </c>
    </row>
    <row r="128" customFormat="false" ht="14.25" hidden="false" customHeight="true" outlineLevel="0" collapsed="false">
      <c r="A128" s="15"/>
      <c r="B128" s="54" t="str">
        <f aca="false">Хмільник!C143</f>
        <v>Перець чорний мелений</v>
      </c>
      <c r="C128" s="54" t="n">
        <v>11623</v>
      </c>
      <c r="D128" s="15"/>
      <c r="E128" s="36" t="n">
        <f aca="false">(D128/(H128+I128+J128))*H128</f>
        <v>0</v>
      </c>
      <c r="F128" s="36" t="n">
        <f aca="false">(D128/(H128+I128+J128))*I128</f>
        <v>0</v>
      </c>
      <c r="G128" s="36" t="n">
        <f aca="false">(D128/(H128+I128+J128))*J128</f>
        <v>0</v>
      </c>
      <c r="H128" s="15" t="n">
        <f aca="false">H127</f>
        <v>49</v>
      </c>
      <c r="I128" s="15" t="n">
        <f aca="false">I127</f>
        <v>31</v>
      </c>
      <c r="J128" s="15" t="n">
        <f aca="false">J127</f>
        <v>38</v>
      </c>
    </row>
    <row r="129" customFormat="false" ht="14.25" hidden="false" customHeight="true" outlineLevel="0" collapsed="false">
      <c r="A129" s="15"/>
      <c r="B129" s="54" t="str">
        <f aca="false">Хмільник!C144</f>
        <v>Сіль кухонна екстра</v>
      </c>
      <c r="C129" s="54" t="n">
        <v>11624</v>
      </c>
      <c r="D129" s="15"/>
      <c r="E129" s="36" t="n">
        <f aca="false">(D129/(H129+I129+J129))*H129</f>
        <v>0</v>
      </c>
      <c r="F129" s="36" t="n">
        <f aca="false">(D129/(H129+I129+J129))*I129</f>
        <v>0</v>
      </c>
      <c r="G129" s="36" t="n">
        <f aca="false">(D129/(H129+I129+J129))*J129</f>
        <v>0</v>
      </c>
      <c r="H129" s="15" t="n">
        <f aca="false">H128</f>
        <v>49</v>
      </c>
      <c r="I129" s="15" t="n">
        <f aca="false">I128</f>
        <v>31</v>
      </c>
      <c r="J129" s="15" t="n">
        <f aca="false">J128</f>
        <v>38</v>
      </c>
    </row>
    <row r="130" customFormat="false" ht="14.25" hidden="false" customHeight="true" outlineLevel="0" collapsed="false">
      <c r="A130" s="15"/>
      <c r="B130" s="54" t="str">
        <f aca="false">Хмільник!C145</f>
        <v>Сіль кухонна</v>
      </c>
      <c r="C130" s="54" t="n">
        <v>11625</v>
      </c>
      <c r="D130" s="15"/>
      <c r="E130" s="36" t="n">
        <f aca="false">(D130/(H130+I130+J130))*H130</f>
        <v>0</v>
      </c>
      <c r="F130" s="36" t="n">
        <f aca="false">(D130/(H130+I130+J130))*I130</f>
        <v>0</v>
      </c>
      <c r="G130" s="36" t="n">
        <f aca="false">(D130/(H130+I130+J130))*J130</f>
        <v>0</v>
      </c>
      <c r="H130" s="15" t="n">
        <f aca="false">H129</f>
        <v>49</v>
      </c>
      <c r="I130" s="15" t="n">
        <f aca="false">I129</f>
        <v>31</v>
      </c>
      <c r="J130" s="15" t="n">
        <f aca="false">J129</f>
        <v>38</v>
      </c>
    </row>
    <row r="131" customFormat="false" ht="14.25" hidden="false" customHeight="true" outlineLevel="0" collapsed="false">
      <c r="A131" s="15"/>
      <c r="B131" s="54" t="str">
        <f aca="false">Хмільник!C146</f>
        <v>Томатна паста</v>
      </c>
      <c r="C131" s="54" t="n">
        <v>11626</v>
      </c>
      <c r="D131" s="15"/>
      <c r="E131" s="36" t="n">
        <f aca="false">(D131/(H131+I131+J131))*H131</f>
        <v>0</v>
      </c>
      <c r="F131" s="36" t="n">
        <f aca="false">(D131/(H131+I131+J131))*I131</f>
        <v>0</v>
      </c>
      <c r="G131" s="36" t="n">
        <f aca="false">(D131/(H131+I131+J131))*J131</f>
        <v>0</v>
      </c>
      <c r="H131" s="15" t="n">
        <f aca="false">H130</f>
        <v>49</v>
      </c>
      <c r="I131" s="15" t="n">
        <f aca="false">I130</f>
        <v>31</v>
      </c>
      <c r="J131" s="15" t="n">
        <f aca="false">J130</f>
        <v>38</v>
      </c>
    </row>
    <row r="132" customFormat="false" ht="14.25" hidden="false" customHeight="true" outlineLevel="0" collapsed="false">
      <c r="A132" s="15"/>
      <c r="B132" s="54" t="str">
        <f aca="false">Хмільник!C147</f>
        <v>Хрін</v>
      </c>
      <c r="C132" s="54" t="n">
        <v>11627</v>
      </c>
      <c r="D132" s="15"/>
      <c r="E132" s="36" t="n">
        <f aca="false">(D132/(H132+I132+J132))*H132</f>
        <v>0</v>
      </c>
      <c r="F132" s="36" t="n">
        <f aca="false">(D132/(H132+I132+J132))*I132</f>
        <v>0</v>
      </c>
      <c r="G132" s="36" t="n">
        <f aca="false">(D132/(H132+I132+J132))*J132</f>
        <v>0</v>
      </c>
      <c r="H132" s="15" t="n">
        <f aca="false">H131</f>
        <v>49</v>
      </c>
      <c r="I132" s="15" t="n">
        <f aca="false">I131</f>
        <v>31</v>
      </c>
      <c r="J132" s="15" t="n">
        <f aca="false">J131</f>
        <v>38</v>
      </c>
    </row>
    <row r="133" customFormat="false" ht="14.25" hidden="false" customHeight="true" outlineLevel="0" collapsed="false">
      <c r="A133" s="15"/>
      <c r="B133" s="54" t="str">
        <f aca="false">Хмільник!C148</f>
        <v>Кориця мелена</v>
      </c>
      <c r="C133" s="54" t="n">
        <v>11628</v>
      </c>
      <c r="D133" s="15"/>
      <c r="E133" s="36" t="n">
        <f aca="false">(D133/(H133+I133+J133))*H133</f>
        <v>0</v>
      </c>
      <c r="F133" s="36" t="n">
        <f aca="false">(D133/(H133+I133+J133))*I133</f>
        <v>0</v>
      </c>
      <c r="G133" s="36" t="n">
        <f aca="false">(D133/(H133+I133+J133))*J133</f>
        <v>0</v>
      </c>
      <c r="H133" s="15" t="n">
        <f aca="false">H132</f>
        <v>49</v>
      </c>
      <c r="I133" s="15" t="n">
        <f aca="false">I132</f>
        <v>31</v>
      </c>
      <c r="J133" s="15" t="n">
        <f aca="false">J132</f>
        <v>38</v>
      </c>
    </row>
    <row r="134" customFormat="false" ht="14.25" hidden="false" customHeight="true" outlineLevel="0" collapsed="false">
      <c r="A134" s="15"/>
      <c r="B134" s="54" t="str">
        <f aca="false">Хмільник!C149</f>
        <v>Ванілін</v>
      </c>
      <c r="C134" s="54" t="n">
        <v>11629</v>
      </c>
      <c r="D134" s="15"/>
      <c r="E134" s="36" t="n">
        <f aca="false">(D134/(H134+I134+J134))*H134</f>
        <v>0</v>
      </c>
      <c r="F134" s="36" t="n">
        <f aca="false">(D134/(H134+I134+J134))*I134</f>
        <v>0</v>
      </c>
      <c r="G134" s="36" t="n">
        <f aca="false">(D134/(H134+I134+J134))*J134</f>
        <v>0</v>
      </c>
      <c r="H134" s="15" t="n">
        <f aca="false">H133</f>
        <v>49</v>
      </c>
      <c r="I134" s="15" t="n">
        <f aca="false">I133</f>
        <v>31</v>
      </c>
      <c r="J134" s="15" t="n">
        <f aca="false">J133</f>
        <v>38</v>
      </c>
    </row>
    <row r="135" customFormat="false" ht="14.25" hidden="false" customHeight="true" outlineLevel="0" collapsed="false">
      <c r="A135" s="15"/>
      <c r="B135" s="54" t="str">
        <f aca="false">Хмільник!C150</f>
        <v>Ванільний цукор</v>
      </c>
      <c r="C135" s="54" t="n">
        <v>11630</v>
      </c>
      <c r="D135" s="15"/>
      <c r="E135" s="36" t="n">
        <f aca="false">(D135/(H135+I135+J135))*H135</f>
        <v>0</v>
      </c>
      <c r="F135" s="36" t="n">
        <f aca="false">(D135/(H135+I135+J135))*I135</f>
        <v>0</v>
      </c>
      <c r="G135" s="36" t="n">
        <f aca="false">(D135/(H135+I135+J135))*J135</f>
        <v>0</v>
      </c>
      <c r="H135" s="15" t="n">
        <f aca="false">H134</f>
        <v>49</v>
      </c>
      <c r="I135" s="15" t="n">
        <f aca="false">I134</f>
        <v>31</v>
      </c>
      <c r="J135" s="15" t="n">
        <f aca="false">J134</f>
        <v>38</v>
      </c>
    </row>
    <row r="136" customFormat="false" ht="14.25" hidden="false" customHeight="true" outlineLevel="0" collapsed="false">
      <c r="A136" s="15"/>
      <c r="B136" s="54" t="str">
        <f aca="false">Хмільник!C151</f>
        <v>Сіль йодована</v>
      </c>
      <c r="C136" s="54" t="n">
        <v>11631</v>
      </c>
      <c r="D136" s="15"/>
      <c r="E136" s="36" t="n">
        <f aca="false">(D136/(H136+I136+J136))*H136</f>
        <v>0</v>
      </c>
      <c r="F136" s="36" t="n">
        <f aca="false">(D136/(H136+I136+J136))*I136</f>
        <v>0</v>
      </c>
      <c r="G136" s="36" t="n">
        <f aca="false">(D136/(H136+I136+J136))*J136</f>
        <v>0</v>
      </c>
      <c r="H136" s="15" t="n">
        <f aca="false">H135</f>
        <v>49</v>
      </c>
      <c r="I136" s="15" t="n">
        <f aca="false">I135</f>
        <v>31</v>
      </c>
      <c r="J136" s="15" t="n">
        <f aca="false">J135</f>
        <v>38</v>
      </c>
    </row>
    <row r="137" customFormat="false" ht="14.25" hidden="false" customHeight="true" outlineLevel="0" collapsed="false">
      <c r="A137" s="15"/>
      <c r="B137" s="54" t="str">
        <f aca="false">Хмільник!C152</f>
        <v>Оцет яблучний 9 %</v>
      </c>
      <c r="C137" s="54" t="n">
        <v>11633</v>
      </c>
      <c r="D137" s="15"/>
      <c r="E137" s="36" t="n">
        <f aca="false">(D137/(H137+I137+J137))*H137</f>
        <v>0</v>
      </c>
      <c r="F137" s="36" t="n">
        <f aca="false">(D137/(H137+I137+J137))*I137</f>
        <v>0</v>
      </c>
      <c r="G137" s="36" t="n">
        <f aca="false">(D137/(H137+I137+J137))*J137</f>
        <v>0</v>
      </c>
      <c r="H137" s="15" t="n">
        <f aca="false">H136</f>
        <v>49</v>
      </c>
      <c r="I137" s="15" t="n">
        <f aca="false">I136</f>
        <v>31</v>
      </c>
      <c r="J137" s="15" t="n">
        <f aca="false">J136</f>
        <v>38</v>
      </c>
    </row>
    <row r="138" customFormat="false" ht="14.25" hidden="false" customHeight="true" outlineLevel="0" collapsed="false">
      <c r="A138" s="15"/>
      <c r="B138" s="54" t="str">
        <f aca="false">Хмільник!C153</f>
        <v>Кислота лимонна</v>
      </c>
      <c r="C138" s="54" t="n">
        <v>11634</v>
      </c>
      <c r="D138" s="15"/>
      <c r="E138" s="36" t="n">
        <f aca="false">(D138/(H138+I138+J138))*H138</f>
        <v>0</v>
      </c>
      <c r="F138" s="36" t="n">
        <f aca="false">(D138/(H138+I138+J138))*I138</f>
        <v>0</v>
      </c>
      <c r="G138" s="36" t="n">
        <f aca="false">(D138/(H138+I138+J138))*J138</f>
        <v>0</v>
      </c>
      <c r="H138" s="15" t="n">
        <f aca="false">H137</f>
        <v>49</v>
      </c>
      <c r="I138" s="15" t="n">
        <f aca="false">I137</f>
        <v>31</v>
      </c>
      <c r="J138" s="15" t="n">
        <f aca="false">J137</f>
        <v>38</v>
      </c>
    </row>
    <row r="139" customFormat="false" ht="14.25" hidden="false" customHeight="true" outlineLevel="0" collapsed="false">
      <c r="A139" s="15"/>
      <c r="B139" s="54" t="str">
        <f aca="false">Хмільник!C154</f>
        <v>Сода харчова</v>
      </c>
      <c r="C139" s="54" t="n">
        <v>11635</v>
      </c>
      <c r="D139" s="15"/>
      <c r="E139" s="36" t="n">
        <f aca="false">(D139/(H139+I139+J139))*H139</f>
        <v>0</v>
      </c>
      <c r="F139" s="36" t="n">
        <f aca="false">(D139/(H139+I139+J139))*I139</f>
        <v>0</v>
      </c>
      <c r="G139" s="36" t="n">
        <f aca="false">(D139/(H139+I139+J139))*J139</f>
        <v>0</v>
      </c>
      <c r="H139" s="15" t="n">
        <f aca="false">H138</f>
        <v>49</v>
      </c>
      <c r="I139" s="15" t="n">
        <f aca="false">I138</f>
        <v>31</v>
      </c>
      <c r="J139" s="15" t="n">
        <f aca="false">J138</f>
        <v>38</v>
      </c>
    </row>
    <row r="140" customFormat="false" ht="14.25" hidden="false" customHeight="true" outlineLevel="0" collapsed="false">
      <c r="A140" s="15" t="n">
        <v>16</v>
      </c>
      <c r="B140" s="54" t="str">
        <f aca="false">Хмільник!C155</f>
        <v>Перець духмяний горошком</v>
      </c>
      <c r="C140" s="54" t="n">
        <v>11636</v>
      </c>
      <c r="D140" s="15"/>
      <c r="E140" s="36" t="n">
        <f aca="false">(D140/(H140+I140+J140))*H140</f>
        <v>0</v>
      </c>
      <c r="F140" s="36" t="n">
        <f aca="false">(D140/(H140+I140+J140))*I140</f>
        <v>0</v>
      </c>
      <c r="G140" s="36" t="n">
        <f aca="false">(D140/(H140+I140+J140))*J140</f>
        <v>0</v>
      </c>
      <c r="H140" s="15" t="n">
        <f aca="false">H139</f>
        <v>49</v>
      </c>
      <c r="I140" s="15" t="n">
        <f aca="false">I139</f>
        <v>31</v>
      </c>
      <c r="J140" s="15" t="n">
        <f aca="false">J139</f>
        <v>38</v>
      </c>
    </row>
    <row r="141" customFormat="false" ht="14.25" hidden="false" customHeight="true" outlineLevel="0" collapsed="false">
      <c r="A141" s="15"/>
      <c r="B141" s="54" t="str">
        <f aca="false">Хмільник!C156</f>
        <v>Коріандр (прянощі)</v>
      </c>
      <c r="C141" s="54" t="n">
        <v>11637</v>
      </c>
      <c r="D141" s="15"/>
      <c r="E141" s="36" t="n">
        <f aca="false">(D141/(H141+I141+J141))*H141</f>
        <v>0</v>
      </c>
      <c r="F141" s="36" t="n">
        <f aca="false">(D141/(H141+I141+J141))*I141</f>
        <v>0</v>
      </c>
      <c r="G141" s="36" t="n">
        <f aca="false">(D141/(H141+I141+J141))*J141</f>
        <v>0</v>
      </c>
      <c r="H141" s="15" t="n">
        <f aca="false">H140</f>
        <v>49</v>
      </c>
      <c r="I141" s="15" t="n">
        <f aca="false">I140</f>
        <v>31</v>
      </c>
      <c r="J141" s="15" t="n">
        <f aca="false">J140</f>
        <v>38</v>
      </c>
    </row>
    <row r="142" customFormat="false" ht="14.25" hidden="false" customHeight="true" outlineLevel="0" collapsed="false">
      <c r="A142" s="15"/>
      <c r="B142" s="54" t="str">
        <f aca="false">Хмільник!C157</f>
        <v>Суміш спецій (без солі)</v>
      </c>
      <c r="C142" s="54" t="n">
        <v>11638</v>
      </c>
      <c r="D142" s="15" t="n">
        <v>0.118</v>
      </c>
      <c r="E142" s="36" t="n">
        <f aca="false">(D142/(H142+I142+J142))*H142</f>
        <v>0.049</v>
      </c>
      <c r="F142" s="36" t="n">
        <f aca="false">(D142/(H142+I142+J142))*I142</f>
        <v>0.031</v>
      </c>
      <c r="G142" s="36" t="n">
        <f aca="false">(D142/(H142+I142+J142))*J142</f>
        <v>0.038</v>
      </c>
      <c r="H142" s="15" t="n">
        <f aca="false">H141</f>
        <v>49</v>
      </c>
      <c r="I142" s="15" t="n">
        <f aca="false">I141</f>
        <v>31</v>
      </c>
      <c r="J142" s="15" t="n">
        <f aca="false">J141</f>
        <v>38</v>
      </c>
    </row>
    <row r="143" customFormat="false" ht="14.25" hidden="false" customHeight="true" outlineLevel="0" collapsed="false">
      <c r="A143" s="15"/>
      <c r="B143" s="54" t="str">
        <f aca="false">Хмільник!C158</f>
        <v>Паприка копчена мелена</v>
      </c>
      <c r="C143" s="54" t="n">
        <v>11639</v>
      </c>
      <c r="D143" s="15"/>
      <c r="E143" s="36" t="n">
        <f aca="false">(D143/(H143+I143+J143))*H143</f>
        <v>0</v>
      </c>
      <c r="F143" s="36" t="n">
        <f aca="false">(D143/(H143+I143+J143))*I143</f>
        <v>0</v>
      </c>
      <c r="G143" s="36" t="n">
        <f aca="false">(D143/(H143+I143+J143))*J143</f>
        <v>0</v>
      </c>
      <c r="H143" s="15" t="n">
        <f aca="false">H142</f>
        <v>49</v>
      </c>
      <c r="I143" s="15" t="n">
        <f aca="false">I142</f>
        <v>31</v>
      </c>
      <c r="J143" s="15" t="n">
        <f aca="false">J142</f>
        <v>38</v>
      </c>
    </row>
    <row r="144" customFormat="false" ht="14.25" hidden="false" customHeight="true" outlineLevel="0" collapsed="false">
      <c r="A144" s="15"/>
      <c r="B144" s="54" t="str">
        <f aca="false">Хмільник!C159</f>
        <v>Грудинка безкісткова копчена</v>
      </c>
      <c r="C144" s="54" t="n">
        <v>12001</v>
      </c>
      <c r="D144" s="15"/>
      <c r="E144" s="36" t="n">
        <f aca="false">(D144/(H144+I144+J144))*H144</f>
        <v>0</v>
      </c>
      <c r="F144" s="36" t="n">
        <f aca="false">(D144/(H144+I144+J144))*I144</f>
        <v>0</v>
      </c>
      <c r="G144" s="36" t="n">
        <f aca="false">(D144/(H144+I144+J144))*J144</f>
        <v>0</v>
      </c>
      <c r="H144" s="15" t="n">
        <f aca="false">H143</f>
        <v>49</v>
      </c>
      <c r="I144" s="15" t="n">
        <f aca="false">I143</f>
        <v>31</v>
      </c>
      <c r="J144" s="15" t="n">
        <f aca="false">J143</f>
        <v>38</v>
      </c>
    </row>
    <row r="145" customFormat="false" ht="14.25" hidden="false" customHeight="true" outlineLevel="0" collapsed="false">
      <c r="A145" s="15"/>
      <c r="B145" s="54" t="str">
        <f aca="false">Хмільник!C160</f>
        <v>Ковбаса варена вищого ґатунку</v>
      </c>
      <c r="C145" s="54" t="n">
        <v>12003</v>
      </c>
      <c r="D145" s="15"/>
      <c r="E145" s="36" t="n">
        <f aca="false">(D145/(H145+I145+J145))*H145</f>
        <v>0</v>
      </c>
      <c r="F145" s="36" t="n">
        <f aca="false">(D145/(H145+I145+J145))*I145</f>
        <v>0</v>
      </c>
      <c r="G145" s="36" t="n">
        <f aca="false">(D145/(H145+I145+J145))*J145</f>
        <v>0</v>
      </c>
      <c r="H145" s="15" t="n">
        <f aca="false">H144</f>
        <v>49</v>
      </c>
      <c r="I145" s="15" t="n">
        <f aca="false">I144</f>
        <v>31</v>
      </c>
      <c r="J145" s="15" t="n">
        <f aca="false">J144</f>
        <v>38</v>
      </c>
    </row>
    <row r="146" customFormat="false" ht="14.25" hidden="false" customHeight="true" outlineLevel="0" collapsed="false">
      <c r="A146" s="15"/>
      <c r="B146" s="54" t="str">
        <f aca="false">Хмільник!C161</f>
        <v>Ковбаса напівкопчена першого ґатунку</v>
      </c>
      <c r="C146" s="54" t="n">
        <v>12004</v>
      </c>
      <c r="D146" s="15"/>
      <c r="E146" s="36" t="n">
        <f aca="false">(D146/(H146+I146+J146))*H146</f>
        <v>0</v>
      </c>
      <c r="F146" s="36" t="n">
        <f aca="false">(D146/(H146+I146+J146))*I146</f>
        <v>0</v>
      </c>
      <c r="G146" s="36" t="n">
        <f aca="false">(D146/(H146+I146+J146))*J146</f>
        <v>0</v>
      </c>
      <c r="H146" s="15" t="n">
        <f aca="false">H145</f>
        <v>49</v>
      </c>
      <c r="I146" s="15" t="n">
        <f aca="false">I145</f>
        <v>31</v>
      </c>
      <c r="J146" s="15" t="n">
        <f aca="false">J145</f>
        <v>38</v>
      </c>
    </row>
    <row r="147" customFormat="false" ht="14.25" hidden="false" customHeight="true" outlineLevel="0" collapsed="false">
      <c r="A147" s="15"/>
      <c r="B147" s="54" t="str">
        <f aca="false">Хмільник!C162</f>
        <v>Ковбаса напівкопчена вищого ґатунку</v>
      </c>
      <c r="C147" s="54" t="n">
        <v>12005</v>
      </c>
      <c r="D147" s="15"/>
      <c r="E147" s="36" t="n">
        <f aca="false">(D147/(H147+I147+J147))*H147</f>
        <v>0</v>
      </c>
      <c r="F147" s="36" t="n">
        <f aca="false">(D147/(H147+I147+J147))*I147</f>
        <v>0</v>
      </c>
      <c r="G147" s="36" t="n">
        <f aca="false">(D147/(H147+I147+J147))*J147</f>
        <v>0</v>
      </c>
      <c r="H147" s="15" t="n">
        <f aca="false">H146</f>
        <v>49</v>
      </c>
      <c r="I147" s="15" t="n">
        <f aca="false">I146</f>
        <v>31</v>
      </c>
      <c r="J147" s="15" t="n">
        <f aca="false">J146</f>
        <v>38</v>
      </c>
    </row>
    <row r="148" customFormat="false" ht="14.25" hidden="false" customHeight="true" outlineLevel="0" collapsed="false">
      <c r="A148" s="15"/>
      <c r="B148" s="54" t="str">
        <f aca="false">Хмільник!C163</f>
        <v>Ковбаса сирокопчена вищого ґатунку</v>
      </c>
      <c r="C148" s="54" t="n">
        <v>12007</v>
      </c>
      <c r="D148" s="15"/>
      <c r="E148" s="36" t="n">
        <f aca="false">(D148/(H148+I148+J148))*H148</f>
        <v>0</v>
      </c>
      <c r="F148" s="36" t="n">
        <f aca="false">(D148/(H148+I148+J148))*I148</f>
        <v>0</v>
      </c>
      <c r="G148" s="36" t="n">
        <f aca="false">(D148/(H148+I148+J148))*J148</f>
        <v>0</v>
      </c>
      <c r="H148" s="15" t="n">
        <f aca="false">H147</f>
        <v>49</v>
      </c>
      <c r="I148" s="15" t="n">
        <f aca="false">I147</f>
        <v>31</v>
      </c>
      <c r="J148" s="15" t="n">
        <f aca="false">J147</f>
        <v>38</v>
      </c>
    </row>
    <row r="149" customFormat="false" ht="14.25" hidden="false" customHeight="true" outlineLevel="0" collapsed="false">
      <c r="A149" s="15"/>
      <c r="B149" s="54" t="str">
        <f aca="false">Хмільник!C164</f>
        <v>Консерви “Паштети м’ясні”</v>
      </c>
      <c r="C149" s="54" t="n">
        <v>12008</v>
      </c>
      <c r="D149" s="15"/>
      <c r="E149" s="36" t="n">
        <f aca="false">(D149/(H149+I149+J149))*H149</f>
        <v>0</v>
      </c>
      <c r="F149" s="36" t="n">
        <f aca="false">(D149/(H149+I149+J149))*I149</f>
        <v>0</v>
      </c>
      <c r="G149" s="36" t="n">
        <f aca="false">(D149/(H149+I149+J149))*J149</f>
        <v>0</v>
      </c>
      <c r="H149" s="15" t="n">
        <f aca="false">H148</f>
        <v>49</v>
      </c>
      <c r="I149" s="15" t="n">
        <f aca="false">I148</f>
        <v>31</v>
      </c>
      <c r="J149" s="15" t="n">
        <f aca="false">J148</f>
        <v>38</v>
      </c>
    </row>
    <row r="150" customFormat="false" ht="14.25" hidden="false" customHeight="true" outlineLevel="0" collapsed="false">
      <c r="A150" s="15"/>
      <c r="B150" s="54" t="str">
        <f aca="false">Хмільник!C165</f>
        <v>Консерви “Паштети печінкові”</v>
      </c>
      <c r="C150" s="54" t="n">
        <v>12009</v>
      </c>
      <c r="D150" s="15"/>
      <c r="E150" s="36" t="n">
        <f aca="false">(D150/(H150+I150+J150))*H150</f>
        <v>0</v>
      </c>
      <c r="F150" s="36" t="n">
        <f aca="false">(D150/(H150+I150+J150))*I150</f>
        <v>0</v>
      </c>
      <c r="G150" s="36" t="n">
        <f aca="false">(D150/(H150+I150+J150))*J150</f>
        <v>0</v>
      </c>
      <c r="H150" s="15" t="n">
        <f aca="false">H149</f>
        <v>49</v>
      </c>
      <c r="I150" s="15" t="n">
        <f aca="false">I149</f>
        <v>31</v>
      </c>
      <c r="J150" s="15" t="n">
        <f aca="false">J149</f>
        <v>38</v>
      </c>
    </row>
    <row r="151" customFormat="false" ht="14.25" hidden="false" customHeight="true" outlineLevel="0" collapsed="false">
      <c r="A151" s="15"/>
      <c r="B151" s="54" t="str">
        <f aca="false">Хмільник!C166</f>
        <v>Консерви м’ясорослинні в асортименті</v>
      </c>
      <c r="C151" s="54" t="n">
        <v>12010</v>
      </c>
      <c r="D151" s="15"/>
      <c r="E151" s="36" t="n">
        <f aca="false">(D151/(H151+I151+J151))*H151</f>
        <v>0</v>
      </c>
      <c r="F151" s="36" t="n">
        <f aca="false">(D151/(H151+I151+J151))*I151</f>
        <v>0</v>
      </c>
      <c r="G151" s="36" t="n">
        <f aca="false">(D151/(H151+I151+J151))*J151</f>
        <v>0</v>
      </c>
      <c r="H151" s="15" t="n">
        <f aca="false">H150</f>
        <v>49</v>
      </c>
      <c r="I151" s="15" t="n">
        <f aca="false">I150</f>
        <v>31</v>
      </c>
      <c r="J151" s="15" t="n">
        <f aca="false">J150</f>
        <v>38</v>
      </c>
    </row>
    <row r="152" customFormat="false" ht="14.25" hidden="false" customHeight="true" outlineLevel="0" collapsed="false">
      <c r="A152" s="15"/>
      <c r="B152" s="54" t="str">
        <f aca="false">Хмільник!C167</f>
        <v>Консерви сніданки м'ясні</v>
      </c>
      <c r="C152" s="54" t="n">
        <v>12011</v>
      </c>
      <c r="D152" s="15"/>
      <c r="E152" s="36" t="n">
        <f aca="false">(D152/(H152+I152+J152))*H152</f>
        <v>0</v>
      </c>
      <c r="F152" s="36" t="n">
        <f aca="false">(D152/(H152+I152+J152))*I152</f>
        <v>0</v>
      </c>
      <c r="G152" s="36" t="n">
        <f aca="false">(D152/(H152+I152+J152))*J152</f>
        <v>0</v>
      </c>
      <c r="H152" s="15" t="n">
        <f aca="false">H151</f>
        <v>49</v>
      </c>
      <c r="I152" s="15" t="n">
        <f aca="false">I151</f>
        <v>31</v>
      </c>
      <c r="J152" s="15" t="n">
        <f aca="false">J151</f>
        <v>38</v>
      </c>
    </row>
    <row r="153" customFormat="false" ht="14.25" hidden="false" customHeight="true" outlineLevel="0" collapsed="false">
      <c r="A153" s="15"/>
      <c r="B153" s="54" t="str">
        <f aca="false">Хмільник!C168</f>
        <v>Консерви “Свинина тушкована”</v>
      </c>
      <c r="C153" s="54" t="n">
        <v>12012</v>
      </c>
      <c r="D153" s="15"/>
      <c r="E153" s="36" t="n">
        <f aca="false">(D153/(H153+I153+J153))*H153</f>
        <v>0</v>
      </c>
      <c r="F153" s="36" t="n">
        <f aca="false">(D153/(H153+I153+J153))*I153</f>
        <v>0</v>
      </c>
      <c r="G153" s="36" t="n">
        <f aca="false">(D153/(H153+I153+J153))*J153</f>
        <v>0</v>
      </c>
      <c r="H153" s="15" t="n">
        <f aca="false">H152</f>
        <v>49</v>
      </c>
      <c r="I153" s="15" t="n">
        <f aca="false">I152</f>
        <v>31</v>
      </c>
      <c r="J153" s="15" t="n">
        <f aca="false">J152</f>
        <v>38</v>
      </c>
    </row>
    <row r="154" customFormat="false" ht="14.25" hidden="false" customHeight="true" outlineLevel="0" collapsed="false">
      <c r="A154" s="15"/>
      <c r="B154" s="54" t="str">
        <f aca="false">Хмільник!C169</f>
        <v>Консерви “Яловичина тушкована вищ ґат”</v>
      </c>
      <c r="C154" s="54" t="n">
        <v>12013</v>
      </c>
      <c r="D154" s="15"/>
      <c r="E154" s="36" t="n">
        <f aca="false">(D154/(H154+I154+J154))*H154</f>
        <v>0</v>
      </c>
      <c r="F154" s="36" t="n">
        <f aca="false">(D154/(H154+I154+J154))*I154</f>
        <v>0</v>
      </c>
      <c r="G154" s="36" t="n">
        <f aca="false">(D154/(H154+I154+J154))*J154</f>
        <v>0</v>
      </c>
      <c r="H154" s="15" t="n">
        <f aca="false">H153</f>
        <v>49</v>
      </c>
      <c r="I154" s="15" t="n">
        <f aca="false">I153</f>
        <v>31</v>
      </c>
      <c r="J154" s="15" t="n">
        <f aca="false">J153</f>
        <v>38</v>
      </c>
    </row>
    <row r="155" customFormat="false" ht="14.25" hidden="false" customHeight="true" outlineLevel="0" collapsed="false">
      <c r="A155" s="15"/>
      <c r="B155" s="54" t="str">
        <f aca="false">Хмільник!C170</f>
        <v>Качина тушка охолоджена</v>
      </c>
      <c r="C155" s="54" t="n">
        <v>12014</v>
      </c>
      <c r="D155" s="15"/>
      <c r="E155" s="36" t="n">
        <f aca="false">(D155/(H155+I155+J155))*H155</f>
        <v>0</v>
      </c>
      <c r="F155" s="36" t="n">
        <f aca="false">(D155/(H155+I155+J155))*I155</f>
        <v>0</v>
      </c>
      <c r="G155" s="36" t="n">
        <f aca="false">(D155/(H155+I155+J155))*J155</f>
        <v>0</v>
      </c>
      <c r="H155" s="15" t="n">
        <f aca="false">H154</f>
        <v>49</v>
      </c>
      <c r="I155" s="15" t="n">
        <f aca="false">I154</f>
        <v>31</v>
      </c>
      <c r="J155" s="15" t="n">
        <f aca="false">J154</f>
        <v>38</v>
      </c>
    </row>
    <row r="156" customFormat="false" ht="14.25" hidden="false" customHeight="true" outlineLevel="0" collapsed="false">
      <c r="A156" s="15"/>
      <c r="B156" s="54" t="str">
        <f aca="false">Хмільник!C171</f>
        <v>Індиче філе заморожене</v>
      </c>
      <c r="C156" s="54" t="n">
        <v>12016</v>
      </c>
      <c r="D156" s="15"/>
      <c r="E156" s="36" t="n">
        <f aca="false">(D156/(H156+I156+J156))*H156</f>
        <v>0</v>
      </c>
      <c r="F156" s="36" t="n">
        <f aca="false">(D156/(H156+I156+J156))*I156</f>
        <v>0</v>
      </c>
      <c r="G156" s="36" t="n">
        <f aca="false">(D156/(H156+I156+J156))*J156</f>
        <v>0</v>
      </c>
      <c r="H156" s="15" t="n">
        <f aca="false">H155</f>
        <v>49</v>
      </c>
      <c r="I156" s="15" t="n">
        <f aca="false">I155</f>
        <v>31</v>
      </c>
      <c r="J156" s="15" t="n">
        <f aca="false">J155</f>
        <v>38</v>
      </c>
    </row>
    <row r="157" customFormat="false" ht="14.25" hidden="false" customHeight="true" outlineLevel="0" collapsed="false">
      <c r="A157" s="15"/>
      <c r="B157" s="54" t="str">
        <f aca="false">Хмільник!C172</f>
        <v>Індиче стегно заморожене</v>
      </c>
      <c r="C157" s="54" t="n">
        <v>12020</v>
      </c>
      <c r="D157" s="15"/>
      <c r="E157" s="36" t="n">
        <f aca="false">(D157/(H157+I157+J157))*H157</f>
        <v>0</v>
      </c>
      <c r="F157" s="36" t="n">
        <f aca="false">(D157/(H157+I157+J157))*I157</f>
        <v>0</v>
      </c>
      <c r="G157" s="36" t="n">
        <f aca="false">(D157/(H157+I157+J157))*J157</f>
        <v>0</v>
      </c>
      <c r="H157" s="15" t="n">
        <f aca="false">H156</f>
        <v>49</v>
      </c>
      <c r="I157" s="15" t="n">
        <f aca="false">I156</f>
        <v>31</v>
      </c>
      <c r="J157" s="15" t="n">
        <f aca="false">J156</f>
        <v>38</v>
      </c>
    </row>
    <row r="158" customFormat="false" ht="14.25" hidden="false" customHeight="true" outlineLevel="0" collapsed="false">
      <c r="A158" s="15"/>
      <c r="B158" s="54" t="str">
        <f aca="false">Хмільник!C173</f>
        <v>Куряче філе заморожене</v>
      </c>
      <c r="C158" s="54" t="n">
        <v>12022</v>
      </c>
      <c r="D158" s="15"/>
      <c r="E158" s="36" t="n">
        <f aca="false">(D158/(H158+I158+J158))*H158</f>
        <v>0</v>
      </c>
      <c r="F158" s="36" t="n">
        <f aca="false">(D158/(H158+I158+J158))*I158</f>
        <v>0</v>
      </c>
      <c r="G158" s="36" t="n">
        <f aca="false">(D158/(H158+I158+J158))*J158</f>
        <v>0</v>
      </c>
      <c r="H158" s="15" t="n">
        <f aca="false">H157</f>
        <v>49</v>
      </c>
      <c r="I158" s="15" t="n">
        <f aca="false">I157</f>
        <v>31</v>
      </c>
      <c r="J158" s="15" t="n">
        <f aca="false">J157</f>
        <v>38</v>
      </c>
    </row>
    <row r="159" customFormat="false" ht="16.5" hidden="false" customHeight="false" outlineLevel="0" collapsed="false">
      <c r="A159" s="15"/>
      <c r="B159" s="54" t="str">
        <f aca="false">Хмільник!C174</f>
        <v>Куряче філе охолоджене</v>
      </c>
      <c r="C159" s="54" t="n">
        <v>12023</v>
      </c>
      <c r="D159" s="15"/>
      <c r="E159" s="36" t="n">
        <f aca="false">(D159/(H159+I159+J159))*H159</f>
        <v>0</v>
      </c>
      <c r="F159" s="36" t="n">
        <f aca="false">(D159/(H159+I159+J159))*I159</f>
        <v>0</v>
      </c>
      <c r="G159" s="36" t="n">
        <f aca="false">(D159/(H159+I159+J159))*J159</f>
        <v>0</v>
      </c>
      <c r="H159" s="15" t="n">
        <f aca="false">H158</f>
        <v>49</v>
      </c>
      <c r="I159" s="15" t="n">
        <f aca="false">I158</f>
        <v>31</v>
      </c>
      <c r="J159" s="15" t="n">
        <f aca="false">J158</f>
        <v>38</v>
      </c>
    </row>
    <row r="160" customFormat="false" ht="15" hidden="false" customHeight="true" outlineLevel="0" collapsed="false">
      <c r="A160" s="15"/>
      <c r="B160" s="54" t="str">
        <f aca="false">Хмільник!C175</f>
        <v>Куряча гомілка заморожена</v>
      </c>
      <c r="C160" s="54" t="n">
        <v>12024</v>
      </c>
      <c r="D160" s="15"/>
      <c r="E160" s="36" t="n">
        <f aca="false">(D160/(H160+I160+J160))*H160</f>
        <v>0</v>
      </c>
      <c r="F160" s="36" t="n">
        <f aca="false">(D160/(H160+I160+J160))*I160</f>
        <v>0</v>
      </c>
      <c r="G160" s="36" t="n">
        <f aca="false">(D160/(H160+I160+J160))*J160</f>
        <v>0</v>
      </c>
      <c r="H160" s="15" t="n">
        <f aca="false">H159</f>
        <v>49</v>
      </c>
      <c r="I160" s="15" t="n">
        <f aca="false">I159</f>
        <v>31</v>
      </c>
      <c r="J160" s="15" t="n">
        <f aca="false">J159</f>
        <v>38</v>
      </c>
    </row>
    <row r="161" customFormat="false" ht="14.25" hidden="false" customHeight="true" outlineLevel="0" collapsed="false">
      <c r="A161" s="15" t="n">
        <v>17</v>
      </c>
      <c r="B161" s="54" t="str">
        <f aca="false">Хмільник!C176</f>
        <v>Куряча гомілка охолоджена</v>
      </c>
      <c r="C161" s="54" t="n">
        <v>12025</v>
      </c>
      <c r="D161" s="15"/>
      <c r="E161" s="36" t="n">
        <f aca="false">(D161/(H161+I161+J161))*H161</f>
        <v>0</v>
      </c>
      <c r="F161" s="36" t="n">
        <f aca="false">(D161/(H161+I161+J161))*I161</f>
        <v>0</v>
      </c>
      <c r="G161" s="36" t="n">
        <f aca="false">(D161/(H161+I161+J161))*J161</f>
        <v>0</v>
      </c>
      <c r="H161" s="15" t="n">
        <f aca="false">H160</f>
        <v>49</v>
      </c>
      <c r="I161" s="15" t="n">
        <f aca="false">I160</f>
        <v>31</v>
      </c>
      <c r="J161" s="15" t="n">
        <f aca="false">J160</f>
        <v>38</v>
      </c>
    </row>
    <row r="162" customFormat="false" ht="14.25" hidden="false" customHeight="true" outlineLevel="0" collapsed="false">
      <c r="A162" s="15"/>
      <c r="B162" s="54" t="str">
        <f aca="false">Хмільник!C177</f>
        <v>Куряче крило заморожене</v>
      </c>
      <c r="C162" s="54" t="n">
        <v>12026</v>
      </c>
      <c r="D162" s="15"/>
      <c r="E162" s="36" t="n">
        <f aca="false">(D162/(H162+I162+J162))*H162</f>
        <v>0</v>
      </c>
      <c r="F162" s="36" t="n">
        <f aca="false">(D162/(H162+I162+J162))*I162</f>
        <v>0</v>
      </c>
      <c r="G162" s="36" t="n">
        <f aca="false">(D162/(H162+I162+J162))*J162</f>
        <v>0</v>
      </c>
      <c r="H162" s="15" t="n">
        <f aca="false">H161</f>
        <v>49</v>
      </c>
      <c r="I162" s="15" t="n">
        <f aca="false">I161</f>
        <v>31</v>
      </c>
      <c r="J162" s="15" t="n">
        <f aca="false">J161</f>
        <v>38</v>
      </c>
    </row>
    <row r="163" customFormat="false" ht="15.75" hidden="false" customHeight="true" outlineLevel="0" collapsed="false">
      <c r="A163" s="15"/>
      <c r="B163" s="54" t="str">
        <f aca="false">Хмільник!C178</f>
        <v>Куряче стегно заморожене</v>
      </c>
      <c r="C163" s="54" t="n">
        <v>12028</v>
      </c>
      <c r="D163" s="15" t="n">
        <v>23.6</v>
      </c>
      <c r="E163" s="36" t="n">
        <f aca="false">(D163/(H163+I163+J163))*H163</f>
        <v>9.8</v>
      </c>
      <c r="F163" s="36" t="n">
        <f aca="false">(D163/(H163+I163+J163))*I163</f>
        <v>6.2</v>
      </c>
      <c r="G163" s="36" t="n">
        <f aca="false">(D163/(H163+I163+J163))*J163</f>
        <v>7.6</v>
      </c>
      <c r="H163" s="15" t="n">
        <f aca="false">H162</f>
        <v>49</v>
      </c>
      <c r="I163" s="15" t="n">
        <f aca="false">I162</f>
        <v>31</v>
      </c>
      <c r="J163" s="15" t="n">
        <f aca="false">J162</f>
        <v>38</v>
      </c>
    </row>
    <row r="164" s="41" customFormat="true" ht="15.75" hidden="false" customHeight="true" outlineLevel="0" collapsed="false">
      <c r="A164" s="42"/>
      <c r="B164" s="54" t="str">
        <f aca="false">Хмільник!C179</f>
        <v>Куряче стегно охолоджене</v>
      </c>
      <c r="C164" s="54" t="n">
        <v>12029</v>
      </c>
      <c r="D164" s="15"/>
      <c r="E164" s="36" t="n">
        <f aca="false">(D164/(H164+I164+J164))*H164</f>
        <v>0</v>
      </c>
      <c r="F164" s="36" t="n">
        <f aca="false">(D164/(H164+I164+J164))*I164</f>
        <v>0</v>
      </c>
      <c r="G164" s="36" t="n">
        <f aca="false">(D164/(H164+I164+J164))*J164</f>
        <v>0</v>
      </c>
      <c r="H164" s="15" t="n">
        <f aca="false">H163</f>
        <v>49</v>
      </c>
      <c r="I164" s="15" t="n">
        <f aca="false">I163</f>
        <v>31</v>
      </c>
      <c r="J164" s="15" t="n">
        <f aca="false">J163</f>
        <v>38</v>
      </c>
    </row>
    <row r="165" customFormat="false" ht="16.5" hidden="false" customHeight="true" outlineLevel="0" collapsed="false">
      <c r="A165" s="47"/>
      <c r="B165" s="54" t="str">
        <f aca="false">Хмільник!C180</f>
        <v>Куряча тушка заморожена</v>
      </c>
      <c r="C165" s="54" t="n">
        <v>12030</v>
      </c>
      <c r="D165" s="15"/>
      <c r="E165" s="36" t="n">
        <f aca="false">(D165/(H165+I165+J165))*H165</f>
        <v>0</v>
      </c>
      <c r="F165" s="36" t="n">
        <f aca="false">(D165/(H165+I165+J165))*I165</f>
        <v>0</v>
      </c>
      <c r="G165" s="36" t="n">
        <f aca="false">(D165/(H165+I165+J165))*J165</f>
        <v>0</v>
      </c>
      <c r="H165" s="15" t="n">
        <f aca="false">H164</f>
        <v>49</v>
      </c>
      <c r="I165" s="15" t="n">
        <f aca="false">I164</f>
        <v>31</v>
      </c>
      <c r="J165" s="15" t="n">
        <f aca="false">J164</f>
        <v>38</v>
      </c>
    </row>
    <row r="166" customFormat="false" ht="14.25" hidden="false" customHeight="true" outlineLevel="0" collapsed="false">
      <c r="A166" s="47"/>
      <c r="B166" s="54" t="str">
        <f aca="false">Хмільник!C181</f>
        <v>Куряча тушка охолоджена</v>
      </c>
      <c r="C166" s="54" t="n">
        <v>12031</v>
      </c>
      <c r="D166" s="15"/>
      <c r="E166" s="36" t="n">
        <f aca="false">(D166/(H166+I166+J166))*H166</f>
        <v>0</v>
      </c>
      <c r="F166" s="36" t="n">
        <f aca="false">(D166/(H166+I166+J166))*I166</f>
        <v>0</v>
      </c>
      <c r="G166" s="36" t="n">
        <f aca="false">(D166/(H166+I166+J166))*J166</f>
        <v>0</v>
      </c>
      <c r="H166" s="15" t="n">
        <f aca="false">H165</f>
        <v>49</v>
      </c>
      <c r="I166" s="15" t="n">
        <f aca="false">I165</f>
        <v>31</v>
      </c>
      <c r="J166" s="15" t="n">
        <f aca="false">J165</f>
        <v>38</v>
      </c>
    </row>
    <row r="167" customFormat="false" ht="14.25" hidden="false" customHeight="true" outlineLevel="0" collapsed="false">
      <c r="A167" s="47"/>
      <c r="B167" s="54" t="str">
        <f aca="false">Хмільник!C182</f>
        <v>Печінка куряча заморожена</v>
      </c>
      <c r="C167" s="54" t="n">
        <v>12032</v>
      </c>
      <c r="D167" s="15"/>
      <c r="E167" s="36" t="n">
        <f aca="false">(D167/(H167+I167+J167))*H167</f>
        <v>0</v>
      </c>
      <c r="F167" s="36" t="n">
        <f aca="false">(D167/(H167+I167+J167))*I167</f>
        <v>0</v>
      </c>
      <c r="G167" s="36" t="n">
        <f aca="false">(D167/(H167+I167+J167))*J167</f>
        <v>0</v>
      </c>
      <c r="H167" s="15" t="n">
        <f aca="false">H166</f>
        <v>49</v>
      </c>
      <c r="I167" s="15" t="n">
        <f aca="false">I166</f>
        <v>31</v>
      </c>
      <c r="J167" s="15" t="n">
        <f aca="false">J166</f>
        <v>38</v>
      </c>
    </row>
    <row r="168" customFormat="false" ht="14.25" hidden="false" customHeight="true" outlineLevel="0" collapsed="false">
      <c r="A168" s="47"/>
      <c r="B168" s="54" t="str">
        <f aca="false">Хмільник!C183</f>
        <v>Сало свіже</v>
      </c>
      <c r="C168" s="54" t="n">
        <v>12033</v>
      </c>
      <c r="D168" s="15"/>
      <c r="E168" s="36" t="n">
        <f aca="false">(D168/(H168+I168+J168))*H168</f>
        <v>0</v>
      </c>
      <c r="F168" s="36" t="n">
        <f aca="false">(D168/(H168+I168+J168))*I168</f>
        <v>0</v>
      </c>
      <c r="G168" s="36" t="n">
        <f aca="false">(D168/(H168+I168+J168))*J168</f>
        <v>0</v>
      </c>
      <c r="H168" s="15" t="n">
        <f aca="false">H167</f>
        <v>49</v>
      </c>
      <c r="I168" s="15" t="n">
        <f aca="false">I167</f>
        <v>31</v>
      </c>
      <c r="J168" s="15" t="n">
        <f aca="false">J167</f>
        <v>38</v>
      </c>
    </row>
    <row r="169" customFormat="false" ht="14.25" hidden="false" customHeight="true" outlineLevel="0" collapsed="false">
      <c r="A169" s="47" t="n">
        <v>18</v>
      </c>
      <c r="B169" s="54" t="str">
        <f aca="false">Хмільник!C184</f>
        <v>Сало солоне</v>
      </c>
      <c r="C169" s="54" t="n">
        <v>12034</v>
      </c>
      <c r="D169" s="15"/>
      <c r="E169" s="36" t="n">
        <f aca="false">(D169/(H169+I169+J169))*H169</f>
        <v>0</v>
      </c>
      <c r="F169" s="36" t="n">
        <f aca="false">(D169/(H169+I169+J169))*I169</f>
        <v>0</v>
      </c>
      <c r="G169" s="36" t="n">
        <f aca="false">(D169/(H169+I169+J169))*J169</f>
        <v>0</v>
      </c>
      <c r="H169" s="15" t="n">
        <f aca="false">H168</f>
        <v>49</v>
      </c>
      <c r="I169" s="15" t="n">
        <f aca="false">I168</f>
        <v>31</v>
      </c>
      <c r="J169" s="15" t="n">
        <f aca="false">J168</f>
        <v>38</v>
      </c>
    </row>
    <row r="170" customFormat="false" ht="14.25" hidden="false" customHeight="true" outlineLevel="0" collapsed="false">
      <c r="A170" s="54"/>
      <c r="B170" s="54" t="str">
        <f aca="false">Хмільник!C185</f>
        <v>Сардельки першого ґатунку</v>
      </c>
      <c r="C170" s="54" t="n">
        <v>12035</v>
      </c>
      <c r="D170" s="15"/>
      <c r="E170" s="36" t="n">
        <f aca="false">(D170/(H170+I170+J170))*H170</f>
        <v>0</v>
      </c>
      <c r="F170" s="36" t="n">
        <f aca="false">(D170/(H170+I170+J170))*I170</f>
        <v>0</v>
      </c>
      <c r="G170" s="36" t="n">
        <f aca="false">(D170/(H170+I170+J170))*J170</f>
        <v>0</v>
      </c>
      <c r="H170" s="15" t="n">
        <f aca="false">H169</f>
        <v>49</v>
      </c>
      <c r="I170" s="15" t="n">
        <f aca="false">I169</f>
        <v>31</v>
      </c>
      <c r="J170" s="15" t="n">
        <f aca="false">J169</f>
        <v>38</v>
      </c>
    </row>
    <row r="171" customFormat="false" ht="14.25" hidden="false" customHeight="true" outlineLevel="0" collapsed="false">
      <c r="A171" s="15"/>
      <c r="B171" s="54" t="str">
        <f aca="false">Хмільник!C186</f>
        <v>Сардельки вищого ґатунку</v>
      </c>
      <c r="C171" s="54" t="n">
        <v>12036</v>
      </c>
      <c r="D171" s="15" t="n">
        <v>11.8</v>
      </c>
      <c r="E171" s="36" t="n">
        <f aca="false">(D171/(H171+I171+J171))*H171</f>
        <v>4.9</v>
      </c>
      <c r="F171" s="36" t="n">
        <f aca="false">(D171/(H171+I171+J171))*I171</f>
        <v>3.1</v>
      </c>
      <c r="G171" s="36" t="n">
        <f aca="false">(D171/(H171+I171+J171))*J171</f>
        <v>3.8</v>
      </c>
      <c r="H171" s="15" t="n">
        <f aca="false">H170</f>
        <v>49</v>
      </c>
      <c r="I171" s="15" t="n">
        <f aca="false">I170</f>
        <v>31</v>
      </c>
      <c r="J171" s="15" t="n">
        <f aca="false">J170</f>
        <v>38</v>
      </c>
    </row>
    <row r="172" customFormat="false" ht="14.25" hidden="false" customHeight="true" outlineLevel="0" collapsed="false">
      <c r="A172" s="54"/>
      <c r="B172" s="54" t="str">
        <f aca="false">Хмільник!C187</f>
        <v>Свинина, грудинка безкісткова охолоджена</v>
      </c>
      <c r="C172" s="54" t="n">
        <v>12037</v>
      </c>
      <c r="D172" s="15"/>
      <c r="E172" s="36" t="n">
        <f aca="false">(D172/(H172+I172+J172))*H172</f>
        <v>0</v>
      </c>
      <c r="F172" s="36" t="n">
        <f aca="false">(D172/(H172+I172+J172))*I172</f>
        <v>0</v>
      </c>
      <c r="G172" s="36" t="n">
        <f aca="false">(D172/(H172+I172+J172))*J172</f>
        <v>0</v>
      </c>
      <c r="H172" s="15" t="n">
        <f aca="false">H171</f>
        <v>49</v>
      </c>
      <c r="I172" s="15" t="n">
        <f aca="false">I171</f>
        <v>31</v>
      </c>
      <c r="J172" s="15" t="n">
        <f aca="false">J171</f>
        <v>38</v>
      </c>
    </row>
    <row r="173" customFormat="false" ht="14.25" hidden="false" customHeight="true" outlineLevel="0" collapsed="false">
      <c r="A173" s="54"/>
      <c r="B173" s="54" t="str">
        <f aca="false">Хмільник!C188</f>
        <v>Свинина, корейка без кістки заморожена</v>
      </c>
      <c r="C173" s="54" t="n">
        <v>12038</v>
      </c>
      <c r="D173" s="15"/>
      <c r="E173" s="36" t="n">
        <f aca="false">(D173/(H173+I173+J173))*H173</f>
        <v>0</v>
      </c>
      <c r="F173" s="36" t="n">
        <f aca="false">(D173/(H173+I173+J173))*I173</f>
        <v>0</v>
      </c>
      <c r="G173" s="36" t="n">
        <f aca="false">(D173/(H173+I173+J173))*J173</f>
        <v>0</v>
      </c>
      <c r="H173" s="15" t="n">
        <f aca="false">H172</f>
        <v>49</v>
      </c>
      <c r="I173" s="15" t="n">
        <f aca="false">I172</f>
        <v>31</v>
      </c>
      <c r="J173" s="15" t="n">
        <f aca="false">J172</f>
        <v>38</v>
      </c>
    </row>
    <row r="174" customFormat="false" ht="14.25" hidden="false" customHeight="true" outlineLevel="0" collapsed="false">
      <c r="A174" s="47"/>
      <c r="B174" s="54" t="str">
        <f aca="false">Хмільник!C189</f>
        <v>Свинина, корейка без кістки охолоджена</v>
      </c>
      <c r="C174" s="54" t="n">
        <v>12039</v>
      </c>
      <c r="D174" s="15"/>
      <c r="E174" s="36" t="n">
        <f aca="false">(D174/(H174+I174+J174))*H174</f>
        <v>0</v>
      </c>
      <c r="F174" s="36" t="n">
        <f aca="false">(D174/(H174+I174+J174))*I174</f>
        <v>0</v>
      </c>
      <c r="G174" s="36" t="n">
        <f aca="false">(D174/(H174+I174+J174))*J174</f>
        <v>0</v>
      </c>
      <c r="H174" s="15" t="n">
        <f aca="false">H173</f>
        <v>49</v>
      </c>
      <c r="I174" s="15" t="n">
        <f aca="false">I173</f>
        <v>31</v>
      </c>
      <c r="J174" s="15" t="n">
        <f aca="false">J173</f>
        <v>38</v>
      </c>
    </row>
    <row r="175" customFormat="false" ht="14.25" hidden="false" customHeight="true" outlineLevel="0" collapsed="false">
      <c r="A175" s="47"/>
      <c r="B175" s="54" t="str">
        <f aca="false">Хмільник!C190</f>
        <v>Свинина, корейка з кісткою заморожена</v>
      </c>
      <c r="C175" s="54" t="n">
        <v>12040</v>
      </c>
      <c r="D175" s="15"/>
      <c r="E175" s="36" t="n">
        <f aca="false">(D175/(H175+I175+J175))*H175</f>
        <v>0</v>
      </c>
      <c r="F175" s="36" t="n">
        <f aca="false">(D175/(H175+I175+J175))*I175</f>
        <v>0</v>
      </c>
      <c r="G175" s="36" t="n">
        <f aca="false">(D175/(H175+I175+J175))*J175</f>
        <v>0</v>
      </c>
      <c r="H175" s="15" t="n">
        <f aca="false">H174</f>
        <v>49</v>
      </c>
      <c r="I175" s="15" t="n">
        <f aca="false">I174</f>
        <v>31</v>
      </c>
      <c r="J175" s="15" t="n">
        <f aca="false">J174</f>
        <v>38</v>
      </c>
    </row>
    <row r="176" customFormat="false" ht="14.25" hidden="false" customHeight="true" outlineLevel="0" collapsed="false">
      <c r="A176" s="47"/>
      <c r="B176" s="54" t="str">
        <f aca="false">Хмільник!C191</f>
        <v>Свинина, корейка з кісткою охолоджена</v>
      </c>
      <c r="C176" s="54" t="n">
        <v>12041</v>
      </c>
      <c r="D176" s="15"/>
      <c r="E176" s="36" t="n">
        <f aca="false">(D176/(H176+I176+J176))*H176</f>
        <v>0</v>
      </c>
      <c r="F176" s="36" t="n">
        <f aca="false">(D176/(H176+I176+J176))*I176</f>
        <v>0</v>
      </c>
      <c r="G176" s="36" t="n">
        <f aca="false">(D176/(H176+I176+J176))*J176</f>
        <v>0</v>
      </c>
      <c r="H176" s="15" t="n">
        <f aca="false">H175</f>
        <v>49</v>
      </c>
      <c r="I176" s="15" t="n">
        <f aca="false">I175</f>
        <v>31</v>
      </c>
      <c r="J176" s="15" t="n">
        <f aca="false">J175</f>
        <v>38</v>
      </c>
    </row>
    <row r="177" customFormat="false" ht="14.25" hidden="false" customHeight="true" outlineLevel="0" collapsed="false">
      <c r="A177" s="47"/>
      <c r="B177" s="54" t="str">
        <f aca="false">Хмільник!C192</f>
        <v>Свинина, лопатка без кістки заморожена</v>
      </c>
      <c r="C177" s="54" t="n">
        <v>12042</v>
      </c>
      <c r="D177" s="15"/>
      <c r="E177" s="36" t="n">
        <f aca="false">(D177/(H177+I177+J177))*H177</f>
        <v>0</v>
      </c>
      <c r="F177" s="36" t="n">
        <f aca="false">(D177/(H177+I177+J177))*I177</f>
        <v>0</v>
      </c>
      <c r="G177" s="36" t="n">
        <f aca="false">(D177/(H177+I177+J177))*J177</f>
        <v>0</v>
      </c>
      <c r="H177" s="15" t="n">
        <f aca="false">H176</f>
        <v>49</v>
      </c>
      <c r="I177" s="15" t="n">
        <f aca="false">I176</f>
        <v>31</v>
      </c>
      <c r="J177" s="15" t="n">
        <f aca="false">J176</f>
        <v>38</v>
      </c>
    </row>
    <row r="178" customFormat="false" ht="16.5" hidden="false" customHeight="false" outlineLevel="0" collapsed="false">
      <c r="A178" s="47"/>
      <c r="B178" s="54" t="str">
        <f aca="false">Хмільник!C193</f>
        <v>Свинина, лопатка без кістки охолоджена</v>
      </c>
      <c r="C178" s="54" t="n">
        <v>12043</v>
      </c>
      <c r="D178" s="15"/>
      <c r="E178" s="36" t="n">
        <f aca="false">(D178/(H178+I178+J178))*H178</f>
        <v>0</v>
      </c>
      <c r="F178" s="36" t="n">
        <f aca="false">(D178/(H178+I178+J178))*I178</f>
        <v>0</v>
      </c>
      <c r="G178" s="36" t="n">
        <f aca="false">(D178/(H178+I178+J178))*J178</f>
        <v>0</v>
      </c>
      <c r="H178" s="15" t="n">
        <f aca="false">H177</f>
        <v>49</v>
      </c>
      <c r="I178" s="15" t="n">
        <f aca="false">I177</f>
        <v>31</v>
      </c>
      <c r="J178" s="15" t="n">
        <f aca="false">J177</f>
        <v>38</v>
      </c>
    </row>
    <row r="179" customFormat="false" ht="16.5" hidden="false" customHeight="false" outlineLevel="0" collapsed="false">
      <c r="A179" s="47"/>
      <c r="B179" s="54" t="str">
        <f aca="false">Хмільник!C194</f>
        <v>Свинина півтуші, заморожена</v>
      </c>
      <c r="C179" s="54" t="n">
        <v>12044</v>
      </c>
      <c r="D179" s="15"/>
      <c r="E179" s="36" t="n">
        <f aca="false">(D179/(H179+I179+J179))*H179</f>
        <v>0</v>
      </c>
      <c r="F179" s="36" t="n">
        <f aca="false">(D179/(H179+I179+J179))*I179</f>
        <v>0</v>
      </c>
      <c r="G179" s="36" t="n">
        <f aca="false">(D179/(H179+I179+J179))*J179</f>
        <v>0</v>
      </c>
      <c r="H179" s="15" t="n">
        <f aca="false">H178</f>
        <v>49</v>
      </c>
      <c r="I179" s="15" t="n">
        <f aca="false">I178</f>
        <v>31</v>
      </c>
      <c r="J179" s="15" t="n">
        <f aca="false">J178</f>
        <v>38</v>
      </c>
    </row>
    <row r="180" customFormat="false" ht="16.5" hidden="false" customHeight="false" outlineLevel="0" collapsed="false">
      <c r="A180" s="47"/>
      <c r="B180" s="54" t="str">
        <f aca="false">Хмільник!C195</f>
        <v>Свинина, ошийок охолоджений</v>
      </c>
      <c r="C180" s="54" t="n">
        <v>12046</v>
      </c>
      <c r="D180" s="15"/>
      <c r="E180" s="36" t="n">
        <f aca="false">(D180/(H180+I180+J180))*H180</f>
        <v>0</v>
      </c>
      <c r="F180" s="36" t="n">
        <f aca="false">(D180/(H180+I180+J180))*I180</f>
        <v>0</v>
      </c>
      <c r="G180" s="36" t="n">
        <f aca="false">(D180/(H180+I180+J180))*J180</f>
        <v>0</v>
      </c>
      <c r="H180" s="15" t="n">
        <f aca="false">H179</f>
        <v>49</v>
      </c>
      <c r="I180" s="15" t="n">
        <f aca="false">I179</f>
        <v>31</v>
      </c>
      <c r="J180" s="15" t="n">
        <f aca="false">J179</f>
        <v>38</v>
      </c>
    </row>
    <row r="181" customFormat="false" ht="16.5" hidden="false" customHeight="false" outlineLevel="0" collapsed="false">
      <c r="A181" s="47" t="n">
        <v>19</v>
      </c>
      <c r="B181" s="54" t="str">
        <f aca="false">Хмільник!C196</f>
        <v>Свинина, печінка заморожена</v>
      </c>
      <c r="C181" s="54" t="n">
        <v>12047</v>
      </c>
      <c r="D181" s="15"/>
      <c r="E181" s="36" t="n">
        <f aca="false">(D181/(H181+I181+J181))*H181</f>
        <v>0</v>
      </c>
      <c r="F181" s="36" t="n">
        <f aca="false">(D181/(H181+I181+J181))*I181</f>
        <v>0</v>
      </c>
      <c r="G181" s="36" t="n">
        <f aca="false">(D181/(H181+I181+J181))*J181</f>
        <v>0</v>
      </c>
      <c r="H181" s="15" t="n">
        <f aca="false">H180</f>
        <v>49</v>
      </c>
      <c r="I181" s="15" t="n">
        <f aca="false">I180</f>
        <v>31</v>
      </c>
      <c r="J181" s="15" t="n">
        <f aca="false">J180</f>
        <v>38</v>
      </c>
    </row>
    <row r="182" customFormat="false" ht="16.5" hidden="false" customHeight="false" outlineLevel="0" collapsed="false">
      <c r="A182" s="47"/>
      <c r="B182" s="54" t="str">
        <f aca="false">Хмільник!C197</f>
        <v>Свинина, ребра заморожені</v>
      </c>
      <c r="C182" s="54" t="n">
        <v>12049</v>
      </c>
      <c r="D182" s="15"/>
      <c r="E182" s="36" t="n">
        <f aca="false">(D182/(H182+I182+J182))*H182</f>
        <v>0</v>
      </c>
      <c r="F182" s="36" t="n">
        <f aca="false">(D182/(H182+I182+J182))*I182</f>
        <v>0</v>
      </c>
      <c r="G182" s="36" t="n">
        <f aca="false">(D182/(H182+I182+J182))*J182</f>
        <v>0</v>
      </c>
      <c r="H182" s="15" t="n">
        <f aca="false">H181</f>
        <v>49</v>
      </c>
      <c r="I182" s="15" t="n">
        <f aca="false">I181</f>
        <v>31</v>
      </c>
      <c r="J182" s="15" t="n">
        <f aca="false">J181</f>
        <v>38</v>
      </c>
    </row>
    <row r="183" customFormat="false" ht="16.5" hidden="false" customHeight="false" outlineLevel="0" collapsed="false">
      <c r="A183" s="47"/>
      <c r="B183" s="54" t="str">
        <f aca="false">Хмільник!C198</f>
        <v>Свинина, стегно заморожене</v>
      </c>
      <c r="C183" s="54" t="n">
        <v>12051</v>
      </c>
      <c r="D183" s="15" t="n">
        <v>3.54</v>
      </c>
      <c r="E183" s="36" t="n">
        <f aca="false">(D183/(H183+I183+J183))*H183</f>
        <v>1.47</v>
      </c>
      <c r="F183" s="36" t="n">
        <f aca="false">(D183/(H183+I183+J183))*I183</f>
        <v>0.93</v>
      </c>
      <c r="G183" s="36" t="n">
        <f aca="false">(D183/(H183+I183+J183))*J183</f>
        <v>1.14</v>
      </c>
      <c r="H183" s="15" t="n">
        <f aca="false">H182</f>
        <v>49</v>
      </c>
      <c r="I183" s="15" t="n">
        <f aca="false">I182</f>
        <v>31</v>
      </c>
      <c r="J183" s="15" t="n">
        <f aca="false">J182</f>
        <v>38</v>
      </c>
    </row>
    <row r="184" customFormat="false" ht="16.5" hidden="false" customHeight="false" outlineLevel="0" collapsed="false">
      <c r="A184" s="47"/>
      <c r="B184" s="54" t="str">
        <f aca="false">Хмільник!C199</f>
        <v>Свинина, стегно охолоджене</v>
      </c>
      <c r="C184" s="54" t="n">
        <v>12052</v>
      </c>
      <c r="D184" s="15"/>
      <c r="E184" s="36" t="n">
        <f aca="false">(D184/(H184+I184+J184))*H184</f>
        <v>0</v>
      </c>
      <c r="F184" s="36" t="n">
        <f aca="false">(D184/(H184+I184+J184))*I184</f>
        <v>0</v>
      </c>
      <c r="G184" s="36" t="n">
        <f aca="false">(D184/(H184+I184+J184))*J184</f>
        <v>0</v>
      </c>
      <c r="H184" s="15" t="n">
        <f aca="false">H183</f>
        <v>49</v>
      </c>
      <c r="I184" s="15" t="n">
        <f aca="false">I183</f>
        <v>31</v>
      </c>
      <c r="J184" s="15" t="n">
        <f aca="false">J183</f>
        <v>38</v>
      </c>
    </row>
    <row r="185" customFormat="false" ht="16.5" hidden="false" customHeight="false" outlineLevel="0" collapsed="false">
      <c r="A185" s="47"/>
      <c r="B185" s="54" t="str">
        <f aca="false">Хмільник!C200</f>
        <v>Сосиски вищого ґатунку</v>
      </c>
      <c r="C185" s="54" t="n">
        <v>12054</v>
      </c>
      <c r="D185" s="15"/>
      <c r="E185" s="36" t="n">
        <f aca="false">(D185/(H185+I185+J185))*H185</f>
        <v>0</v>
      </c>
      <c r="F185" s="36" t="n">
        <f aca="false">(D185/(H185+I185+J185))*I185</f>
        <v>0</v>
      </c>
      <c r="G185" s="36" t="n">
        <f aca="false">(D185/(H185+I185+J185))*J185</f>
        <v>0</v>
      </c>
      <c r="H185" s="15" t="n">
        <f aca="false">H184</f>
        <v>49</v>
      </c>
      <c r="I185" s="15" t="n">
        <f aca="false">I184</f>
        <v>31</v>
      </c>
      <c r="J185" s="15" t="n">
        <f aca="false">J184</f>
        <v>38</v>
      </c>
    </row>
    <row r="186" customFormat="false" ht="16.5" hidden="false" customHeight="false" outlineLevel="0" collapsed="false">
      <c r="A186" s="47" t="n">
        <v>20</v>
      </c>
      <c r="B186" s="54" t="str">
        <f aca="false">Хмільник!C201</f>
        <v>Шинка копчена</v>
      </c>
      <c r="C186" s="54" t="n">
        <v>12055</v>
      </c>
      <c r="D186" s="15"/>
      <c r="E186" s="36" t="n">
        <f aca="false">(D186/(H186+I186+J186))*H186</f>
        <v>0</v>
      </c>
      <c r="F186" s="36" t="n">
        <f aca="false">(D186/(H186+I186+J186))*I186</f>
        <v>0</v>
      </c>
      <c r="G186" s="36" t="n">
        <f aca="false">(D186/(H186+I186+J186))*J186</f>
        <v>0</v>
      </c>
      <c r="H186" s="15" t="n">
        <f aca="false">H185</f>
        <v>49</v>
      </c>
      <c r="I186" s="15" t="n">
        <f aca="false">I185</f>
        <v>31</v>
      </c>
      <c r="J186" s="15" t="n">
        <f aca="false">J185</f>
        <v>38</v>
      </c>
    </row>
    <row r="187" customFormat="false" ht="16.5" hidden="false" customHeight="false" outlineLevel="0" collapsed="false">
      <c r="A187" s="47"/>
      <c r="B187" s="54" t="str">
        <f aca="false">Хмільник!C202</f>
        <v>Яйця курячі першого ґатунку</v>
      </c>
      <c r="C187" s="54" t="n">
        <v>12056</v>
      </c>
      <c r="D187" s="15"/>
      <c r="E187" s="36" t="n">
        <f aca="false">(D187/(H187+I187+J187))*H187</f>
        <v>0</v>
      </c>
      <c r="F187" s="36" t="n">
        <f aca="false">(D187/(H187+I187+J187))*I187</f>
        <v>0</v>
      </c>
      <c r="G187" s="36" t="n">
        <f aca="false">(D187/(H187+I187+J187))*J187</f>
        <v>0</v>
      </c>
      <c r="H187" s="15" t="n">
        <f aca="false">H186</f>
        <v>49</v>
      </c>
      <c r="I187" s="15" t="n">
        <f aca="false">I186</f>
        <v>31</v>
      </c>
      <c r="J187" s="15" t="n">
        <f aca="false">J186</f>
        <v>38</v>
      </c>
    </row>
    <row r="188" customFormat="false" ht="16.5" hidden="false" customHeight="false" outlineLevel="0" collapsed="false">
      <c r="A188" s="15"/>
      <c r="B188" s="54" t="str">
        <f aca="false">Хмільник!C203</f>
        <v>Яйця курячі вищого ґатунку</v>
      </c>
      <c r="C188" s="54" t="n">
        <v>12057</v>
      </c>
      <c r="D188" s="15" t="n">
        <v>266</v>
      </c>
      <c r="E188" s="36" t="n">
        <f aca="false">(D188/(H188+I188+J188))*H188</f>
        <v>110.457627118644</v>
      </c>
      <c r="F188" s="36" t="n">
        <f aca="false">(D188/(H188+I188+J188))*I188</f>
        <v>69.8813559322034</v>
      </c>
      <c r="G188" s="36" t="n">
        <f aca="false">(D188/(H188+I188+J188))*J188</f>
        <v>85.6610169491526</v>
      </c>
      <c r="H188" s="15" t="n">
        <f aca="false">H187</f>
        <v>49</v>
      </c>
      <c r="I188" s="15" t="n">
        <f aca="false">I187</f>
        <v>31</v>
      </c>
      <c r="J188" s="15" t="n">
        <f aca="false">J187</f>
        <v>38</v>
      </c>
    </row>
    <row r="189" customFormat="false" ht="16.5" hidden="false" customHeight="false" outlineLevel="0" collapsed="false">
      <c r="A189" s="47"/>
      <c r="B189" s="54" t="str">
        <f aca="false">Хмільник!C204</f>
        <v>Яловичина, задня частина зам. без кістки</v>
      </c>
      <c r="C189" s="54" t="n">
        <v>12058</v>
      </c>
      <c r="D189" s="15"/>
      <c r="E189" s="36" t="n">
        <f aca="false">(D189/(H189+I189+J189))*H189</f>
        <v>0</v>
      </c>
      <c r="F189" s="36" t="n">
        <f aca="false">(D189/(H189+I189+J189))*I189</f>
        <v>0</v>
      </c>
      <c r="G189" s="36" t="n">
        <f aca="false">(D189/(H189+I189+J189))*J189</f>
        <v>0</v>
      </c>
      <c r="H189" s="15" t="n">
        <f aca="false">H188</f>
        <v>49</v>
      </c>
      <c r="I189" s="15" t="n">
        <f aca="false">I188</f>
        <v>31</v>
      </c>
      <c r="J189" s="15" t="n">
        <f aca="false">J188</f>
        <v>38</v>
      </c>
    </row>
    <row r="190" customFormat="false" ht="16.5" hidden="false" customHeight="false" outlineLevel="0" collapsed="false">
      <c r="A190" s="47"/>
      <c r="B190" s="54" t="str">
        <f aca="false">Хмільник!C205</f>
        <v>Яловичина, лопатка заморожена без кістки</v>
      </c>
      <c r="C190" s="54" t="n">
        <v>12060</v>
      </c>
      <c r="D190" s="15"/>
      <c r="E190" s="36" t="n">
        <f aca="false">(D190/(H190+I190+J190))*H190</f>
        <v>0</v>
      </c>
      <c r="F190" s="36" t="n">
        <f aca="false">(D190/(H190+I190+J190))*I190</f>
        <v>0</v>
      </c>
      <c r="G190" s="36" t="n">
        <f aca="false">(D190/(H190+I190+J190))*J190</f>
        <v>0</v>
      </c>
      <c r="H190" s="15" t="n">
        <f aca="false">H189</f>
        <v>49</v>
      </c>
      <c r="I190" s="15" t="n">
        <f aca="false">I189</f>
        <v>31</v>
      </c>
      <c r="J190" s="15" t="n">
        <f aca="false">J189</f>
        <v>38</v>
      </c>
    </row>
    <row r="191" customFormat="false" ht="16.5" hidden="false" customHeight="false" outlineLevel="0" collapsed="false">
      <c r="A191" s="47"/>
      <c r="B191" s="54" t="str">
        <f aca="false">Хмільник!C206</f>
        <v>Яловичина, лопатка охолоджена без кістки</v>
      </c>
      <c r="C191" s="54" t="n">
        <v>12061</v>
      </c>
      <c r="D191" s="15"/>
      <c r="E191" s="36" t="n">
        <f aca="false">(D191/(H191+I191+J191))*H191</f>
        <v>0</v>
      </c>
      <c r="F191" s="36" t="n">
        <f aca="false">(D191/(H191+I191+J191))*I191</f>
        <v>0</v>
      </c>
      <c r="G191" s="36" t="n">
        <f aca="false">(D191/(H191+I191+J191))*J191</f>
        <v>0</v>
      </c>
      <c r="H191" s="15" t="n">
        <f aca="false">H190</f>
        <v>49</v>
      </c>
      <c r="I191" s="15" t="n">
        <f aca="false">I190</f>
        <v>31</v>
      </c>
      <c r="J191" s="15" t="n">
        <f aca="false">J190</f>
        <v>38</v>
      </c>
    </row>
    <row r="192" customFormat="false" ht="16.5" hidden="false" customHeight="false" outlineLevel="0" collapsed="false">
      <c r="A192" s="47"/>
      <c r="B192" s="54" t="str">
        <f aca="false">Хмільник!C207</f>
        <v>Яловичина півтуші, заморожена</v>
      </c>
      <c r="C192" s="54" t="n">
        <v>12062</v>
      </c>
      <c r="D192" s="15"/>
      <c r="E192" s="36" t="n">
        <f aca="false">(D192/(H192+I192+J192))*H192</f>
        <v>0</v>
      </c>
      <c r="F192" s="36" t="n">
        <f aca="false">(D192/(H192+I192+J192))*I192</f>
        <v>0</v>
      </c>
      <c r="G192" s="36" t="n">
        <f aca="false">(D192/(H192+I192+J192))*J192</f>
        <v>0</v>
      </c>
      <c r="H192" s="15" t="n">
        <f aca="false">H191</f>
        <v>49</v>
      </c>
      <c r="I192" s="15" t="n">
        <f aca="false">I191</f>
        <v>31</v>
      </c>
      <c r="J192" s="15" t="n">
        <f aca="false">J191</f>
        <v>38</v>
      </c>
    </row>
    <row r="193" customFormat="false" ht="16.5" hidden="false" customHeight="false" outlineLevel="0" collapsed="false">
      <c r="A193" s="47"/>
      <c r="B193" s="54" t="str">
        <f aca="false">Хмільник!C208</f>
        <v>Яловичина, печінка заморожена</v>
      </c>
      <c r="C193" s="54" t="n">
        <v>12064</v>
      </c>
      <c r="D193" s="15"/>
      <c r="E193" s="36" t="n">
        <f aca="false">(D193/(H193+I193+J193))*H193</f>
        <v>0</v>
      </c>
      <c r="F193" s="36" t="n">
        <f aca="false">(D193/(H193+I193+J193))*I193</f>
        <v>0</v>
      </c>
      <c r="G193" s="36" t="n">
        <f aca="false">(D193/(H193+I193+J193))*J193</f>
        <v>0</v>
      </c>
      <c r="H193" s="15" t="n">
        <f aca="false">H192</f>
        <v>49</v>
      </c>
      <c r="I193" s="15" t="n">
        <f aca="false">I192</f>
        <v>31</v>
      </c>
      <c r="J193" s="15" t="n">
        <f aca="false">J192</f>
        <v>38</v>
      </c>
    </row>
    <row r="194" customFormat="false" ht="16.5" hidden="false" customHeight="false" outlineLevel="0" collapsed="false">
      <c r="A194" s="47"/>
      <c r="B194" s="54" t="str">
        <f aca="false">Хмільник!C209</f>
        <v>Яловичина, стейк (биток)</v>
      </c>
      <c r="C194" s="54" t="n">
        <v>12065</v>
      </c>
      <c r="D194" s="15"/>
      <c r="E194" s="36" t="n">
        <f aca="false">(D194/(H194+I194+J194))*H194</f>
        <v>0</v>
      </c>
      <c r="F194" s="36" t="n">
        <f aca="false">(D194/(H194+I194+J194))*I194</f>
        <v>0</v>
      </c>
      <c r="G194" s="36" t="n">
        <f aca="false">(D194/(H194+I194+J194))*J194</f>
        <v>0</v>
      </c>
      <c r="H194" s="15" t="n">
        <f aca="false">H193</f>
        <v>49</v>
      </c>
      <c r="I194" s="15" t="n">
        <f aca="false">I193</f>
        <v>31</v>
      </c>
      <c r="J194" s="15" t="n">
        <f aca="false">J193</f>
        <v>38</v>
      </c>
    </row>
    <row r="195" customFormat="false" ht="16.5" hidden="false" customHeight="false" outlineLevel="0" collapsed="false">
      <c r="A195" s="47"/>
      <c r="B195" s="54" t="str">
        <f aca="false">Хмільник!C210</f>
        <v>М’ясні субпродукти другої категорії</v>
      </c>
      <c r="C195" s="54" t="n">
        <v>12066</v>
      </c>
      <c r="D195" s="15"/>
      <c r="E195" s="36" t="n">
        <f aca="false">(D195/(H195+I195+J195))*H195</f>
        <v>0</v>
      </c>
      <c r="F195" s="36" t="n">
        <f aca="false">(D195/(H195+I195+J195))*I195</f>
        <v>0</v>
      </c>
      <c r="G195" s="36" t="n">
        <f aca="false">(D195/(H195+I195+J195))*J195</f>
        <v>0</v>
      </c>
      <c r="H195" s="15" t="n">
        <f aca="false">H194</f>
        <v>49</v>
      </c>
      <c r="I195" s="15" t="n">
        <f aca="false">I194</f>
        <v>31</v>
      </c>
      <c r="J195" s="15" t="n">
        <f aca="false">J194</f>
        <v>38</v>
      </c>
    </row>
    <row r="196" customFormat="false" ht="16.5" hidden="false" customHeight="false" outlineLevel="0" collapsed="false">
      <c r="A196" s="47"/>
      <c r="B196" s="54" t="str">
        <f aca="false">Хмільник!C211</f>
        <v>Телятина, лопатка заморожена без кістки</v>
      </c>
      <c r="C196" s="54" t="n">
        <v>12069</v>
      </c>
      <c r="D196" s="15"/>
      <c r="E196" s="36" t="n">
        <f aca="false">(D196/(H196+I196+J196))*H196</f>
        <v>0</v>
      </c>
      <c r="F196" s="36" t="n">
        <f aca="false">(D196/(H196+I196+J196))*I196</f>
        <v>0</v>
      </c>
      <c r="G196" s="36" t="n">
        <f aca="false">(D196/(H196+I196+J196))*J196</f>
        <v>0</v>
      </c>
      <c r="H196" s="15" t="n">
        <f aca="false">H195</f>
        <v>49</v>
      </c>
      <c r="I196" s="15" t="n">
        <f aca="false">I195</f>
        <v>31</v>
      </c>
      <c r="J196" s="15" t="n">
        <f aca="false">J195</f>
        <v>38</v>
      </c>
    </row>
    <row r="197" customFormat="false" ht="16.5" hidden="false" customHeight="false" outlineLevel="0" collapsed="false">
      <c r="A197" s="47"/>
      <c r="B197" s="54" t="str">
        <f aca="false">Хмільник!C212</f>
        <v>М’ясо кролика, тушка охолоджена</v>
      </c>
      <c r="C197" s="54" t="n">
        <v>12074</v>
      </c>
      <c r="D197" s="15"/>
      <c r="E197" s="36" t="n">
        <f aca="false">(D197/(H197+I197+J197))*H197</f>
        <v>0</v>
      </c>
      <c r="F197" s="36" t="n">
        <f aca="false">(D197/(H197+I197+J197))*I197</f>
        <v>0</v>
      </c>
      <c r="G197" s="36" t="n">
        <f aca="false">(D197/(H197+I197+J197))*J197</f>
        <v>0</v>
      </c>
      <c r="H197" s="15" t="n">
        <f aca="false">H196</f>
        <v>49</v>
      </c>
      <c r="I197" s="15" t="n">
        <f aca="false">I196</f>
        <v>31</v>
      </c>
      <c r="J197" s="15" t="n">
        <f aca="false">J196</f>
        <v>38</v>
      </c>
    </row>
    <row r="198" customFormat="false" ht="16.5" hidden="false" customHeight="false" outlineLevel="0" collapsed="false">
      <c r="A198" s="47"/>
      <c r="B198" s="54" t="str">
        <f aca="false">Хмільник!C213</f>
        <v>Серце яловиче заморожене</v>
      </c>
      <c r="C198" s="54" t="n">
        <v>12075</v>
      </c>
      <c r="D198" s="15"/>
      <c r="E198" s="36" t="n">
        <f aca="false">(D198/(H198+I198+J198))*H198</f>
        <v>0</v>
      </c>
      <c r="F198" s="36" t="n">
        <f aca="false">(D198/(H198+I198+J198))*I198</f>
        <v>0</v>
      </c>
      <c r="G198" s="36" t="n">
        <f aca="false">(D198/(H198+I198+J198))*J198</f>
        <v>0</v>
      </c>
      <c r="H198" s="15" t="n">
        <f aca="false">H197</f>
        <v>49</v>
      </c>
      <c r="I198" s="15" t="n">
        <f aca="false">I197</f>
        <v>31</v>
      </c>
      <c r="J198" s="15" t="n">
        <f aca="false">J197</f>
        <v>38</v>
      </c>
    </row>
    <row r="199" customFormat="false" ht="16.5" hidden="false" customHeight="false" outlineLevel="0" collapsed="false">
      <c r="A199" s="47"/>
      <c r="B199" s="54" t="str">
        <f aca="false">Хмільник!C214</f>
        <v>Субпродукти курячі (серце, шлунки)</v>
      </c>
      <c r="C199" s="54" t="n">
        <v>12076</v>
      </c>
      <c r="D199" s="15"/>
      <c r="E199" s="36" t="n">
        <f aca="false">(D199/(H199+I199+J199))*H199</f>
        <v>0</v>
      </c>
      <c r="F199" s="36" t="n">
        <f aca="false">(D199/(H199+I199+J199))*I199</f>
        <v>0</v>
      </c>
      <c r="G199" s="36" t="n">
        <f aca="false">(D199/(H199+I199+J199))*J199</f>
        <v>0</v>
      </c>
      <c r="H199" s="15" t="n">
        <f aca="false">H198</f>
        <v>49</v>
      </c>
      <c r="I199" s="15" t="n">
        <f aca="false">I198</f>
        <v>31</v>
      </c>
      <c r="J199" s="15" t="n">
        <f aca="false">J198</f>
        <v>38</v>
      </c>
    </row>
    <row r="200" customFormat="false" ht="16.5" hidden="false" customHeight="false" outlineLevel="0" collapsed="false">
      <c r="A200" s="47"/>
      <c r="B200" s="54" t="str">
        <f aca="false">Хмільник!C215</f>
        <v>Хек (мерлуза) філе заморожене</v>
      </c>
      <c r="C200" s="54" t="n">
        <v>12201</v>
      </c>
      <c r="D200" s="15"/>
      <c r="E200" s="36" t="n">
        <f aca="false">(D200/(H200+I200+J200))*H200</f>
        <v>0</v>
      </c>
      <c r="F200" s="36" t="n">
        <f aca="false">(D200/(H200+I200+J200))*I200</f>
        <v>0</v>
      </c>
      <c r="G200" s="36" t="n">
        <f aca="false">(D200/(H200+I200+J200))*J200</f>
        <v>0</v>
      </c>
      <c r="H200" s="15" t="n">
        <f aca="false">H199</f>
        <v>49</v>
      </c>
      <c r="I200" s="15" t="n">
        <f aca="false">I199</f>
        <v>31</v>
      </c>
      <c r="J200" s="15" t="n">
        <f aca="false">J199</f>
        <v>38</v>
      </c>
    </row>
    <row r="201" customFormat="false" ht="16.5" hidden="false" customHeight="false" outlineLevel="0" collapsed="false">
      <c r="A201" s="47"/>
      <c r="B201" s="54" t="str">
        <f aca="false">Хмільник!C216</f>
        <v>Горбуша без голови заморожена</v>
      </c>
      <c r="C201" s="54" t="n">
        <v>12202</v>
      </c>
      <c r="D201" s="15"/>
      <c r="E201" s="36" t="n">
        <f aca="false">(D201/(H201+I201+J201))*H201</f>
        <v>0</v>
      </c>
      <c r="F201" s="36" t="n">
        <f aca="false">(D201/(H201+I201+J201))*I201</f>
        <v>0</v>
      </c>
      <c r="G201" s="36" t="n">
        <f aca="false">(D201/(H201+I201+J201))*J201</f>
        <v>0</v>
      </c>
      <c r="H201" s="15" t="n">
        <f aca="false">H200</f>
        <v>49</v>
      </c>
      <c r="I201" s="15" t="n">
        <f aca="false">I200</f>
        <v>31</v>
      </c>
      <c r="J201" s="15" t="n">
        <f aca="false">J200</f>
        <v>38</v>
      </c>
    </row>
    <row r="202" customFormat="false" ht="16.5" hidden="false" customHeight="false" outlineLevel="0" collapsed="false">
      <c r="A202" s="47"/>
      <c r="B202" s="54" t="str">
        <f aca="false">Хмільник!C217</f>
        <v>Консерви тунець в олії</v>
      </c>
      <c r="C202" s="54" t="n">
        <v>12204</v>
      </c>
      <c r="D202" s="15"/>
      <c r="E202" s="36" t="n">
        <f aca="false">(D202/(H202+I202+J202))*H202</f>
        <v>0</v>
      </c>
      <c r="F202" s="36" t="n">
        <f aca="false">(D202/(H202+I202+J202))*I202</f>
        <v>0</v>
      </c>
      <c r="G202" s="36" t="n">
        <f aca="false">(D202/(H202+I202+J202))*J202</f>
        <v>0</v>
      </c>
      <c r="H202" s="15" t="n">
        <f aca="false">H201</f>
        <v>49</v>
      </c>
      <c r="I202" s="15" t="n">
        <f aca="false">I201</f>
        <v>31</v>
      </c>
      <c r="J202" s="15" t="n">
        <f aca="false">J201</f>
        <v>38</v>
      </c>
    </row>
    <row r="203" customFormat="false" ht="16.5" hidden="false" customHeight="false" outlineLevel="0" collapsed="false">
      <c r="A203" s="47"/>
      <c r="B203" s="54" t="str">
        <f aca="false">Хмільник!C218</f>
        <v>Консерви з риби дрібної у томаті</v>
      </c>
      <c r="C203" s="54" t="n">
        <v>12205</v>
      </c>
      <c r="D203" s="15"/>
      <c r="E203" s="36" t="n">
        <f aca="false">(D203/(H203+I203+J203))*H203</f>
        <v>0</v>
      </c>
      <c r="F203" s="36" t="n">
        <f aca="false">(D203/(H203+I203+J203))*I203</f>
        <v>0</v>
      </c>
      <c r="G203" s="36" t="n">
        <f aca="false">(D203/(H203+I203+J203))*J203</f>
        <v>0</v>
      </c>
      <c r="H203" s="15" t="n">
        <f aca="false">H202</f>
        <v>49</v>
      </c>
      <c r="I203" s="15" t="n">
        <f aca="false">I202</f>
        <v>31</v>
      </c>
      <c r="J203" s="15" t="n">
        <f aca="false">J202</f>
        <v>38</v>
      </c>
    </row>
    <row r="204" customFormat="false" ht="16.5" hidden="false" customHeight="false" outlineLevel="0" collapsed="false">
      <c r="A204" s="47"/>
      <c r="B204" s="54" t="str">
        <f aca="false">Хмільник!C219</f>
        <v>Консерви скумбрія в олії</v>
      </c>
      <c r="C204" s="54" t="n">
        <v>12208</v>
      </c>
      <c r="D204" s="15"/>
      <c r="E204" s="36" t="n">
        <f aca="false">(D204/(H204+I204+J204))*H204</f>
        <v>0</v>
      </c>
      <c r="F204" s="36" t="n">
        <f aca="false">(D204/(H204+I204+J204))*I204</f>
        <v>0</v>
      </c>
      <c r="G204" s="36" t="n">
        <f aca="false">(D204/(H204+I204+J204))*J204</f>
        <v>0</v>
      </c>
      <c r="H204" s="15" t="n">
        <f aca="false">H203</f>
        <v>49</v>
      </c>
      <c r="I204" s="15" t="n">
        <f aca="false">I203</f>
        <v>31</v>
      </c>
      <c r="J204" s="15" t="n">
        <f aca="false">J203</f>
        <v>38</v>
      </c>
    </row>
    <row r="205" customFormat="false" ht="16.5" hidden="false" customHeight="false" outlineLevel="0" collapsed="false">
      <c r="A205" s="47"/>
      <c r="B205" s="54" t="str">
        <f aca="false">Хмільник!C220</f>
        <v>Пресерви оселедець в олії (філе)</v>
      </c>
      <c r="C205" s="54" t="n">
        <v>12209</v>
      </c>
      <c r="D205" s="15"/>
      <c r="E205" s="36" t="n">
        <f aca="false">(D205/(H205+I205+J205))*H205</f>
        <v>0</v>
      </c>
      <c r="F205" s="36" t="n">
        <f aca="false">(D205/(H205+I205+J205))*I205</f>
        <v>0</v>
      </c>
      <c r="G205" s="36" t="n">
        <f aca="false">(D205/(H205+I205+J205))*J205</f>
        <v>0</v>
      </c>
      <c r="H205" s="15" t="n">
        <f aca="false">H204</f>
        <v>49</v>
      </c>
      <c r="I205" s="15" t="n">
        <f aca="false">I204</f>
        <v>31</v>
      </c>
      <c r="J205" s="15" t="n">
        <f aca="false">J204</f>
        <v>38</v>
      </c>
    </row>
    <row r="206" customFormat="false" ht="16.5" hidden="false" customHeight="false" outlineLevel="0" collapsed="false">
      <c r="A206" s="47"/>
      <c r="B206" s="54" t="str">
        <f aca="false">Хмільник!C221</f>
        <v>Консерви рибні у томаті</v>
      </c>
      <c r="C206" s="54" t="n">
        <v>12211</v>
      </c>
      <c r="D206" s="15"/>
      <c r="E206" s="36" t="n">
        <f aca="false">(D206/(H206+I206+J206))*H206</f>
        <v>0</v>
      </c>
      <c r="F206" s="36" t="n">
        <f aca="false">(D206/(H206+I206+J206))*I206</f>
        <v>0</v>
      </c>
      <c r="G206" s="36" t="n">
        <f aca="false">(D206/(H206+I206+J206))*J206</f>
        <v>0</v>
      </c>
      <c r="H206" s="15" t="n">
        <f aca="false">H205</f>
        <v>49</v>
      </c>
      <c r="I206" s="15" t="n">
        <f aca="false">I205</f>
        <v>31</v>
      </c>
      <c r="J206" s="15" t="n">
        <f aca="false">J205</f>
        <v>38</v>
      </c>
    </row>
    <row r="207" customFormat="false" ht="16.5" hidden="false" customHeight="false" outlineLevel="0" collapsed="false">
      <c r="A207" s="47"/>
      <c r="B207" s="54" t="str">
        <f aca="false">Хмільник!C222</f>
        <v>Консерви сардини в олії</v>
      </c>
      <c r="C207" s="54" t="n">
        <v>12213</v>
      </c>
      <c r="D207" s="15"/>
      <c r="E207" s="36" t="n">
        <f aca="false">(D207/(H207+I207+J207))*H207</f>
        <v>0</v>
      </c>
      <c r="F207" s="36" t="n">
        <f aca="false">(D207/(H207+I207+J207))*I207</f>
        <v>0</v>
      </c>
      <c r="G207" s="36" t="n">
        <f aca="false">(D207/(H207+I207+J207))*J207</f>
        <v>0</v>
      </c>
      <c r="H207" s="15" t="n">
        <f aca="false">H206</f>
        <v>49</v>
      </c>
      <c r="I207" s="15" t="n">
        <f aca="false">I206</f>
        <v>31</v>
      </c>
      <c r="J207" s="15" t="n">
        <f aca="false">J206</f>
        <v>38</v>
      </c>
    </row>
    <row r="208" customFormat="false" ht="16.5" hidden="false" customHeight="false" outlineLevel="0" collapsed="false">
      <c r="A208" s="47"/>
      <c r="B208" s="54" t="str">
        <f aca="false">Хмільник!C223</f>
        <v>Консерви шпроти в олії</v>
      </c>
      <c r="C208" s="54" t="n">
        <v>12215</v>
      </c>
      <c r="D208" s="15"/>
      <c r="E208" s="36" t="n">
        <f aca="false">(D208/(H208+I208+J208))*H208</f>
        <v>0</v>
      </c>
      <c r="F208" s="36" t="n">
        <f aca="false">(D208/(H208+I208+J208))*I208</f>
        <v>0</v>
      </c>
      <c r="G208" s="36" t="n">
        <f aca="false">(D208/(H208+I208+J208))*J208</f>
        <v>0</v>
      </c>
      <c r="H208" s="15" t="n">
        <f aca="false">H207</f>
        <v>49</v>
      </c>
      <c r="I208" s="15" t="n">
        <f aca="false">I207</f>
        <v>31</v>
      </c>
      <c r="J208" s="15" t="n">
        <f aca="false">J207</f>
        <v>38</v>
      </c>
    </row>
    <row r="209" customFormat="false" ht="16.5" hidden="false" customHeight="false" outlineLevel="0" collapsed="false">
      <c r="A209" s="47"/>
      <c r="B209" s="54" t="str">
        <f aca="false">Хмільник!C224</f>
        <v>Печінка тріски (консерва)</v>
      </c>
      <c r="C209" s="54" t="n">
        <v>12216</v>
      </c>
      <c r="D209" s="15"/>
      <c r="E209" s="36" t="n">
        <f aca="false">(D209/(H209+I209+J209))*H209</f>
        <v>0</v>
      </c>
      <c r="F209" s="36" t="n">
        <f aca="false">(D209/(H209+I209+J209))*I209</f>
        <v>0</v>
      </c>
      <c r="G209" s="36" t="n">
        <f aca="false">(D209/(H209+I209+J209))*J209</f>
        <v>0</v>
      </c>
      <c r="H209" s="15" t="n">
        <f aca="false">H208</f>
        <v>49</v>
      </c>
      <c r="I209" s="15" t="n">
        <f aca="false">I208</f>
        <v>31</v>
      </c>
      <c r="J209" s="15" t="n">
        <f aca="false">J208</f>
        <v>38</v>
      </c>
    </row>
    <row r="210" customFormat="false" ht="16.5" hidden="false" customHeight="false" outlineLevel="0" collapsed="false">
      <c r="A210" s="47"/>
      <c r="B210" s="54" t="str">
        <f aca="false">Хмільник!C225</f>
        <v>Короп охолоджений</v>
      </c>
      <c r="C210" s="54" t="n">
        <v>12217</v>
      </c>
      <c r="D210" s="15"/>
      <c r="E210" s="36" t="n">
        <f aca="false">(D210/(H210+I210+J210))*H210</f>
        <v>0</v>
      </c>
      <c r="F210" s="36" t="n">
        <f aca="false">(D210/(H210+I210+J210))*I210</f>
        <v>0</v>
      </c>
      <c r="G210" s="36" t="n">
        <f aca="false">(D210/(H210+I210+J210))*J210</f>
        <v>0</v>
      </c>
      <c r="H210" s="15" t="n">
        <f aca="false">H209</f>
        <v>49</v>
      </c>
      <c r="I210" s="15" t="n">
        <f aca="false">I209</f>
        <v>31</v>
      </c>
      <c r="J210" s="15" t="n">
        <f aca="false">J209</f>
        <v>38</v>
      </c>
    </row>
    <row r="211" customFormat="false" ht="16.5" hidden="false" customHeight="false" outlineLevel="0" collapsed="false">
      <c r="A211" s="47"/>
      <c r="B211" s="54" t="str">
        <f aca="false">Хмільник!C226</f>
        <v>Крабові палички заморожені</v>
      </c>
      <c r="C211" s="54" t="n">
        <v>12218</v>
      </c>
      <c r="D211" s="15"/>
      <c r="E211" s="36" t="n">
        <f aca="false">(D211/(H211+I211+J211))*H211</f>
        <v>0</v>
      </c>
      <c r="F211" s="36" t="n">
        <f aca="false">(D211/(H211+I211+J211))*I211</f>
        <v>0</v>
      </c>
      <c r="G211" s="36" t="n">
        <f aca="false">(D211/(H211+I211+J211))*J211</f>
        <v>0</v>
      </c>
      <c r="H211" s="15" t="n">
        <f aca="false">H210</f>
        <v>49</v>
      </c>
      <c r="I211" s="15" t="n">
        <f aca="false">I210</f>
        <v>31</v>
      </c>
      <c r="J211" s="15" t="n">
        <f aca="false">J210</f>
        <v>38</v>
      </c>
    </row>
    <row r="212" customFormat="false" ht="16.5" hidden="false" customHeight="false" outlineLevel="0" collapsed="false">
      <c r="A212" s="47"/>
      <c r="B212" s="54" t="str">
        <f aca="false">Хмільник!C227</f>
        <v>Минтай, філе заморожене</v>
      </c>
      <c r="C212" s="54" t="n">
        <v>12219</v>
      </c>
      <c r="D212" s="15"/>
      <c r="E212" s="36" t="n">
        <f aca="false">(D212/(H212+I212+J212))*H212</f>
        <v>0</v>
      </c>
      <c r="F212" s="36" t="n">
        <f aca="false">(D212/(H212+I212+J212))*I212</f>
        <v>0</v>
      </c>
      <c r="G212" s="36" t="n">
        <f aca="false">(D212/(H212+I212+J212))*J212</f>
        <v>0</v>
      </c>
      <c r="H212" s="15" t="n">
        <f aca="false">H211</f>
        <v>49</v>
      </c>
      <c r="I212" s="15" t="n">
        <f aca="false">I211</f>
        <v>31</v>
      </c>
      <c r="J212" s="15" t="n">
        <f aca="false">J211</f>
        <v>38</v>
      </c>
    </row>
    <row r="213" customFormat="false" ht="16.5" hidden="false" customHeight="false" outlineLevel="0" collapsed="false">
      <c r="A213" s="47"/>
      <c r="B213" s="54" t="str">
        <f aca="false">Хмільник!C228</f>
        <v>Минтай без голови заморожений</v>
      </c>
      <c r="C213" s="54" t="n">
        <v>12221</v>
      </c>
      <c r="D213" s="15"/>
      <c r="E213" s="36" t="n">
        <f aca="false">(D213/(H213+I213+J213))*H213</f>
        <v>0</v>
      </c>
      <c r="F213" s="36" t="n">
        <f aca="false">(D213/(H213+I213+J213))*I213</f>
        <v>0</v>
      </c>
      <c r="G213" s="36" t="n">
        <f aca="false">(D213/(H213+I213+J213))*J213</f>
        <v>0</v>
      </c>
      <c r="H213" s="15" t="n">
        <f aca="false">H212</f>
        <v>49</v>
      </c>
      <c r="I213" s="15" t="n">
        <f aca="false">I212</f>
        <v>31</v>
      </c>
      <c r="J213" s="15" t="n">
        <f aca="false">J212</f>
        <v>38</v>
      </c>
    </row>
    <row r="214" customFormat="false" ht="16.5" hidden="false" customHeight="false" outlineLevel="0" collapsed="false">
      <c r="A214" s="47"/>
      <c r="B214" s="54" t="str">
        <f aca="false">Хмільник!C229</f>
        <v>Сайда заморожена (без голови)</v>
      </c>
      <c r="C214" s="54" t="n">
        <v>12224</v>
      </c>
      <c r="D214" s="15"/>
      <c r="E214" s="36" t="n">
        <f aca="false">(D214/(H214+I214+J214))*H214</f>
        <v>0</v>
      </c>
      <c r="F214" s="36" t="n">
        <f aca="false">(D214/(H214+I214+J214))*I214</f>
        <v>0</v>
      </c>
      <c r="G214" s="36" t="n">
        <f aca="false">(D214/(H214+I214+J214))*J214</f>
        <v>0</v>
      </c>
      <c r="H214" s="15" t="n">
        <f aca="false">H213</f>
        <v>49</v>
      </c>
      <c r="I214" s="15" t="n">
        <f aca="false">I213</f>
        <v>31</v>
      </c>
      <c r="J214" s="15" t="n">
        <f aca="false">J213</f>
        <v>38</v>
      </c>
    </row>
    <row r="215" customFormat="false" ht="16.5" hidden="false" customHeight="false" outlineLevel="0" collapsed="false">
      <c r="A215" s="47"/>
      <c r="B215" s="54" t="str">
        <f aca="false">Хмільник!C230</f>
        <v>Товстолоб без голови патраний зам.</v>
      </c>
      <c r="C215" s="54" t="n">
        <v>12225</v>
      </c>
      <c r="D215" s="15"/>
      <c r="E215" s="36" t="n">
        <f aca="false">(D215/(H215+I215+J215))*H215</f>
        <v>0</v>
      </c>
      <c r="F215" s="36" t="n">
        <f aca="false">(D215/(H215+I215+J215))*I215</f>
        <v>0</v>
      </c>
      <c r="G215" s="36" t="n">
        <f aca="false">(D215/(H215+I215+J215))*J215</f>
        <v>0</v>
      </c>
      <c r="H215" s="15" t="n">
        <f aca="false">H214</f>
        <v>49</v>
      </c>
      <c r="I215" s="15" t="n">
        <f aca="false">I214</f>
        <v>31</v>
      </c>
      <c r="J215" s="15" t="n">
        <f aca="false">J214</f>
        <v>38</v>
      </c>
    </row>
    <row r="216" customFormat="false" ht="16.5" hidden="false" customHeight="false" outlineLevel="0" collapsed="false">
      <c r="A216" s="47"/>
      <c r="B216" s="54" t="str">
        <f aca="false">Хмільник!C231</f>
        <v>Тріска без голови заморожена</v>
      </c>
      <c r="C216" s="54" t="n">
        <v>12226</v>
      </c>
      <c r="D216" s="15"/>
      <c r="E216" s="36" t="n">
        <f aca="false">(D216/(H216+I216+J216))*H216</f>
        <v>0</v>
      </c>
      <c r="F216" s="36" t="n">
        <f aca="false">(D216/(H216+I216+J216))*I216</f>
        <v>0</v>
      </c>
      <c r="G216" s="36" t="n">
        <f aca="false">(D216/(H216+I216+J216))*J216</f>
        <v>0</v>
      </c>
      <c r="H216" s="15" t="n">
        <f aca="false">H215</f>
        <v>49</v>
      </c>
      <c r="I216" s="15" t="n">
        <f aca="false">I215</f>
        <v>31</v>
      </c>
      <c r="J216" s="15" t="n">
        <f aca="false">J215</f>
        <v>38</v>
      </c>
    </row>
    <row r="217" customFormat="false" ht="16.5" hidden="false" customHeight="false" outlineLevel="0" collapsed="false">
      <c r="A217" s="47"/>
      <c r="B217" s="54" t="str">
        <f aca="false">Хмільник!C232</f>
        <v>Скумбрія заморожена (без голови)</v>
      </c>
      <c r="C217" s="54" t="n">
        <v>12228</v>
      </c>
      <c r="D217" s="15"/>
      <c r="E217" s="36" t="n">
        <f aca="false">(D217/(H217+I217+J217))*H217</f>
        <v>0</v>
      </c>
      <c r="F217" s="36" t="n">
        <f aca="false">(D217/(H217+I217+J217))*I217</f>
        <v>0</v>
      </c>
      <c r="G217" s="36" t="n">
        <f aca="false">(D217/(H217+I217+J217))*J217</f>
        <v>0</v>
      </c>
      <c r="H217" s="15" t="n">
        <f aca="false">H216</f>
        <v>49</v>
      </c>
      <c r="I217" s="15" t="n">
        <f aca="false">I216</f>
        <v>31</v>
      </c>
      <c r="J217" s="15" t="n">
        <f aca="false">J216</f>
        <v>38</v>
      </c>
    </row>
    <row r="218" customFormat="false" ht="16.5" hidden="false" customHeight="false" outlineLevel="0" collapsed="false">
      <c r="A218" s="47"/>
      <c r="B218" s="54" t="str">
        <f aca="false">Хмільник!C233</f>
        <v>Форель охолоджена</v>
      </c>
      <c r="C218" s="54" t="n">
        <v>12229</v>
      </c>
      <c r="D218" s="15"/>
      <c r="E218" s="36" t="n">
        <f aca="false">(D218/(H218+I218+J218))*H218</f>
        <v>0</v>
      </c>
      <c r="F218" s="36" t="n">
        <f aca="false">(D218/(H218+I218+J218))*I218</f>
        <v>0</v>
      </c>
      <c r="G218" s="36" t="n">
        <f aca="false">(D218/(H218+I218+J218))*J218</f>
        <v>0</v>
      </c>
      <c r="H218" s="15" t="n">
        <f aca="false">H217</f>
        <v>49</v>
      </c>
      <c r="I218" s="15" t="n">
        <f aca="false">I217</f>
        <v>31</v>
      </c>
      <c r="J218" s="15" t="n">
        <f aca="false">J217</f>
        <v>38</v>
      </c>
    </row>
    <row r="219" customFormat="false" ht="16.5" hidden="false" customHeight="false" outlineLevel="0" collapsed="false">
      <c r="A219" s="47"/>
      <c r="B219" s="54" t="str">
        <f aca="false">Хмільник!C234</f>
        <v>Хек заморожений (без голови)</v>
      </c>
      <c r="C219" s="54" t="n">
        <v>12231</v>
      </c>
      <c r="D219" s="15"/>
      <c r="E219" s="36" t="n">
        <f aca="false">(D219/(H219+I219+J219))*H219</f>
        <v>0</v>
      </c>
      <c r="F219" s="36" t="n">
        <f aca="false">(D219/(H219+I219+J219))*I219</f>
        <v>0</v>
      </c>
      <c r="G219" s="36" t="n">
        <f aca="false">(D219/(H219+I219+J219))*J219</f>
        <v>0</v>
      </c>
      <c r="H219" s="15" t="n">
        <f aca="false">H218</f>
        <v>49</v>
      </c>
      <c r="I219" s="15" t="n">
        <f aca="false">I218</f>
        <v>31</v>
      </c>
      <c r="J219" s="15" t="n">
        <f aca="false">J218</f>
        <v>38</v>
      </c>
    </row>
    <row r="220" customFormat="false" ht="16.5" hidden="false" customHeight="false" outlineLevel="0" collapsed="false">
      <c r="A220" s="47"/>
      <c r="B220" s="54" t="str">
        <f aca="false">Хмільник!C235</f>
        <v>Зубатка, стейк заморожений</v>
      </c>
      <c r="C220" s="54" t="n">
        <v>12235</v>
      </c>
      <c r="D220" s="15"/>
      <c r="E220" s="36" t="n">
        <f aca="false">(D220/(H220+I220+J220))*H220</f>
        <v>0</v>
      </c>
      <c r="F220" s="36" t="n">
        <f aca="false">(D220/(H220+I220+J220))*I220</f>
        <v>0</v>
      </c>
      <c r="G220" s="36" t="n">
        <f aca="false">(D220/(H220+I220+J220))*J220</f>
        <v>0</v>
      </c>
      <c r="H220" s="15" t="n">
        <f aca="false">H219</f>
        <v>49</v>
      </c>
      <c r="I220" s="15" t="n">
        <f aca="false">I219</f>
        <v>31</v>
      </c>
      <c r="J220" s="15" t="n">
        <f aca="false">J219</f>
        <v>38</v>
      </c>
    </row>
    <row r="221" customFormat="false" ht="16.5" hidden="false" customHeight="false" outlineLevel="0" collapsed="false">
      <c r="A221" s="47" t="n">
        <v>21</v>
      </c>
      <c r="B221" s="54" t="str">
        <f aca="false">Хмільник!C236</f>
        <v>Оселедець солений</v>
      </c>
      <c r="C221" s="54" t="n">
        <v>12237</v>
      </c>
      <c r="D221" s="15"/>
      <c r="E221" s="36" t="n">
        <f aca="false">(D221/(H221+I221+J221))*H221</f>
        <v>0</v>
      </c>
      <c r="F221" s="36" t="n">
        <f aca="false">(D221/(H221+I221+J221))*I221</f>
        <v>0</v>
      </c>
      <c r="G221" s="36" t="n">
        <f aca="false">(D221/(H221+I221+J221))*J221</f>
        <v>0</v>
      </c>
      <c r="H221" s="15" t="n">
        <f aca="false">H220</f>
        <v>49</v>
      </c>
      <c r="I221" s="15" t="n">
        <f aca="false">I220</f>
        <v>31</v>
      </c>
      <c r="J221" s="15" t="n">
        <f aca="false">J220</f>
        <v>38</v>
      </c>
    </row>
    <row r="222" customFormat="false" ht="16.5" hidden="false" customHeight="false" outlineLevel="0" collapsed="false">
      <c r="A222" s="47"/>
      <c r="B222" s="54" t="str">
        <f aca="false">Хмільник!C237</f>
        <v>Маргарин столовий</v>
      </c>
      <c r="C222" s="54" t="n">
        <v>12301</v>
      </c>
      <c r="D222" s="15"/>
      <c r="E222" s="36" t="n">
        <f aca="false">(D222/(H222+I222+J222))*H222</f>
        <v>0</v>
      </c>
      <c r="F222" s="36" t="n">
        <f aca="false">(D222/(H222+I222+J222))*I222</f>
        <v>0</v>
      </c>
      <c r="G222" s="36" t="n">
        <f aca="false">(D222/(H222+I222+J222))*J222</f>
        <v>0</v>
      </c>
      <c r="H222" s="15" t="n">
        <f aca="false">H221</f>
        <v>49</v>
      </c>
      <c r="I222" s="15" t="n">
        <f aca="false">I221</f>
        <v>31</v>
      </c>
      <c r="J222" s="15" t="n">
        <f aca="false">J221</f>
        <v>38</v>
      </c>
    </row>
    <row r="223" customFormat="false" ht="16.5" hidden="false" customHeight="false" outlineLevel="0" collapsed="false">
      <c r="A223" s="15"/>
      <c r="B223" s="54" t="str">
        <f aca="false">Хмільник!C238</f>
        <v>Масло вершкове селянське 72,5 % - 79,9 %</v>
      </c>
      <c r="C223" s="54" t="n">
        <v>12302</v>
      </c>
      <c r="D223" s="15" t="n">
        <v>1.18</v>
      </c>
      <c r="E223" s="36" t="n">
        <f aca="false">(D223/(H223+I223+J223))*H223</f>
        <v>0.49</v>
      </c>
      <c r="F223" s="36" t="n">
        <f aca="false">(D223/(H223+I223+J223))*I223</f>
        <v>0.31</v>
      </c>
      <c r="G223" s="36" t="n">
        <f aca="false">(D223/(H223+I223+J223))*J223</f>
        <v>0.38</v>
      </c>
      <c r="H223" s="15" t="n">
        <f aca="false">H222</f>
        <v>49</v>
      </c>
      <c r="I223" s="15" t="n">
        <f aca="false">I222</f>
        <v>31</v>
      </c>
      <c r="J223" s="15" t="n">
        <f aca="false">J222</f>
        <v>38</v>
      </c>
    </row>
    <row r="224" customFormat="false" ht="16.5" hidden="false" customHeight="false" outlineLevel="0" collapsed="false">
      <c r="A224" s="47"/>
      <c r="B224" s="54" t="str">
        <f aca="false">Хмільник!C239</f>
        <v>Масло вер. сел. 72,5 % - 79,9 % (інд. пак.)</v>
      </c>
      <c r="C224" s="54" t="n">
        <v>12303</v>
      </c>
      <c r="D224" s="15"/>
      <c r="E224" s="36" t="n">
        <f aca="false">(D224/(H224+I224+J224))*H224</f>
        <v>0</v>
      </c>
      <c r="F224" s="36" t="n">
        <f aca="false">(D224/(H224+I224+J224))*I224</f>
        <v>0</v>
      </c>
      <c r="G224" s="36" t="n">
        <f aca="false">(D224/(H224+I224+J224))*J224</f>
        <v>0</v>
      </c>
      <c r="H224" s="15" t="n">
        <f aca="false">H223</f>
        <v>49</v>
      </c>
      <c r="I224" s="15" t="n">
        <f aca="false">I223</f>
        <v>31</v>
      </c>
      <c r="J224" s="15" t="n">
        <f aca="false">J223</f>
        <v>38</v>
      </c>
    </row>
    <row r="225" customFormat="false" ht="16.5" hidden="false" customHeight="false" outlineLevel="0" collapsed="false">
      <c r="A225" s="47"/>
      <c r="B225" s="54" t="str">
        <f aca="false">Хмільник!C240</f>
        <v>Масло вершкове бутер. 61,5 % - 72,4 %</v>
      </c>
      <c r="C225" s="54" t="n">
        <v>12304</v>
      </c>
      <c r="D225" s="15"/>
      <c r="E225" s="36" t="n">
        <f aca="false">(D225/(H225+I225+J225))*H225</f>
        <v>0</v>
      </c>
      <c r="F225" s="36" t="n">
        <f aca="false">(D225/(H225+I225+J225))*I225</f>
        <v>0</v>
      </c>
      <c r="G225" s="36" t="n">
        <f aca="false">(D225/(H225+I225+J225))*J225</f>
        <v>0</v>
      </c>
      <c r="H225" s="15" t="n">
        <f aca="false">H224</f>
        <v>49</v>
      </c>
      <c r="I225" s="15" t="n">
        <f aca="false">I224</f>
        <v>31</v>
      </c>
      <c r="J225" s="15" t="n">
        <f aca="false">J224</f>
        <v>38</v>
      </c>
    </row>
    <row r="226" customFormat="false" ht="16.5" hidden="false" customHeight="false" outlineLevel="0" collapsed="false">
      <c r="A226" s="47" t="n">
        <v>22</v>
      </c>
      <c r="B226" s="54" t="str">
        <f aca="false">Хмільник!C241</f>
        <v>Олія оливкова</v>
      </c>
      <c r="C226" s="54" t="n">
        <v>12305</v>
      </c>
      <c r="D226" s="15"/>
      <c r="E226" s="36" t="n">
        <f aca="false">(D226/(H226+I226+J226))*H226</f>
        <v>0</v>
      </c>
      <c r="F226" s="36" t="n">
        <f aca="false">(D226/(H226+I226+J226))*I226</f>
        <v>0</v>
      </c>
      <c r="G226" s="36" t="n">
        <f aca="false">(D226/(H226+I226+J226))*J226</f>
        <v>0</v>
      </c>
      <c r="H226" s="15" t="n">
        <f aca="false">H225</f>
        <v>49</v>
      </c>
      <c r="I226" s="15" t="n">
        <f aca="false">I225</f>
        <v>31</v>
      </c>
      <c r="J226" s="15" t="n">
        <f aca="false">J225</f>
        <v>38</v>
      </c>
    </row>
    <row r="227" customFormat="false" ht="16.5" hidden="false" customHeight="false" outlineLevel="0" collapsed="false">
      <c r="A227" s="47"/>
      <c r="B227" s="54" t="str">
        <f aca="false">Хмільник!C242</f>
        <v>Олія соняшникова нерафінована</v>
      </c>
      <c r="C227" s="54" t="n">
        <v>12306</v>
      </c>
      <c r="D227" s="15"/>
      <c r="E227" s="36" t="n">
        <f aca="false">(D227/(H227+I227+J227))*H227</f>
        <v>0</v>
      </c>
      <c r="F227" s="36" t="n">
        <f aca="false">(D227/(H227+I227+J227))*I227</f>
        <v>0</v>
      </c>
      <c r="G227" s="36" t="n">
        <f aca="false">(D227/(H227+I227+J227))*J227</f>
        <v>0</v>
      </c>
      <c r="H227" s="15" t="n">
        <f aca="false">H226</f>
        <v>49</v>
      </c>
      <c r="I227" s="15" t="n">
        <f aca="false">I226</f>
        <v>31</v>
      </c>
      <c r="J227" s="15" t="n">
        <f aca="false">J226</f>
        <v>38</v>
      </c>
    </row>
    <row r="228" customFormat="false" ht="16.5" hidden="false" customHeight="false" outlineLevel="0" collapsed="false">
      <c r="A228" s="15"/>
      <c r="B228" s="54" t="str">
        <f aca="false">Хмільник!C243</f>
        <v>Олія соняшникова рафінована</v>
      </c>
      <c r="C228" s="54" t="n">
        <v>12307</v>
      </c>
      <c r="D228" s="15" t="n">
        <v>2.36</v>
      </c>
      <c r="E228" s="36" t="n">
        <f aca="false">(D228/(H228+I228+J228))*H228</f>
        <v>0.98</v>
      </c>
      <c r="F228" s="36" t="n">
        <f aca="false">(D228/(H228+I228+J228))*I228</f>
        <v>0.62</v>
      </c>
      <c r="G228" s="36" t="n">
        <f aca="false">(D228/(H228+I228+J228))*J228</f>
        <v>0.76</v>
      </c>
      <c r="H228" s="15" t="n">
        <f aca="false">H227</f>
        <v>49</v>
      </c>
      <c r="I228" s="15" t="n">
        <f aca="false">I227</f>
        <v>31</v>
      </c>
      <c r="J228" s="15" t="n">
        <f aca="false">J227</f>
        <v>38</v>
      </c>
    </row>
    <row r="229" customFormat="false" ht="16.5" hidden="false" customHeight="false" outlineLevel="0" collapsed="false">
      <c r="A229" s="47"/>
      <c r="B229" s="54" t="str">
        <f aca="false">Хмільник!C244</f>
        <v>Жир тваринний</v>
      </c>
      <c r="C229" s="54" t="n">
        <v>12308</v>
      </c>
      <c r="D229" s="15"/>
      <c r="E229" s="36" t="n">
        <f aca="false">(D229/(H229+I229+J229))*H229</f>
        <v>0</v>
      </c>
      <c r="F229" s="36" t="n">
        <f aca="false">(D229/(H229+I229+J229))*I229</f>
        <v>0</v>
      </c>
      <c r="G229" s="36" t="n">
        <f aca="false">(D229/(H229+I229+J229))*J229</f>
        <v>0</v>
      </c>
      <c r="H229" s="15" t="n">
        <f aca="false">H228</f>
        <v>49</v>
      </c>
      <c r="I229" s="15" t="n">
        <f aca="false">I228</f>
        <v>31</v>
      </c>
      <c r="J229" s="15" t="n">
        <f aca="false">J228</f>
        <v>38</v>
      </c>
    </row>
    <row r="230" customFormat="false" ht="16.5" hidden="false" customHeight="false" outlineLevel="0" collapsed="false">
      <c r="A230" s="47"/>
      <c r="B230" s="54" t="str">
        <f aca="false">Хмільник!C245</f>
        <v>Варення з малини</v>
      </c>
      <c r="C230" s="54" t="n">
        <v>13001</v>
      </c>
      <c r="D230" s="15"/>
      <c r="E230" s="36" t="n">
        <f aca="false">(D230/(H230+I230+J230))*H230</f>
        <v>0</v>
      </c>
      <c r="F230" s="36" t="n">
        <f aca="false">(D230/(H230+I230+J230))*I230</f>
        <v>0</v>
      </c>
      <c r="G230" s="36" t="n">
        <f aca="false">(D230/(H230+I230+J230))*J230</f>
        <v>0</v>
      </c>
      <c r="H230" s="15" t="n">
        <f aca="false">H229</f>
        <v>49</v>
      </c>
      <c r="I230" s="15" t="n">
        <f aca="false">I229</f>
        <v>31</v>
      </c>
      <c r="J230" s="15" t="n">
        <f aca="false">J229</f>
        <v>38</v>
      </c>
    </row>
    <row r="231" customFormat="false" ht="16.5" hidden="false" customHeight="false" outlineLevel="0" collapsed="false">
      <c r="A231" s="47"/>
      <c r="B231" s="54" t="str">
        <f aca="false">Хмільник!C246</f>
        <v>Варення з полуниці</v>
      </c>
      <c r="C231" s="54" t="n">
        <v>13002</v>
      </c>
      <c r="D231" s="15"/>
      <c r="E231" s="36" t="n">
        <f aca="false">(D231/(H231+I231+J231))*H231</f>
        <v>0</v>
      </c>
      <c r="F231" s="36" t="n">
        <f aca="false">(D231/(H231+I231+J231))*I231</f>
        <v>0</v>
      </c>
      <c r="G231" s="36" t="n">
        <f aca="false">(D231/(H231+I231+J231))*J231</f>
        <v>0</v>
      </c>
      <c r="H231" s="15" t="n">
        <f aca="false">H230</f>
        <v>49</v>
      </c>
      <c r="I231" s="15" t="n">
        <f aca="false">I230</f>
        <v>31</v>
      </c>
      <c r="J231" s="15" t="n">
        <f aca="false">J230</f>
        <v>38</v>
      </c>
    </row>
    <row r="232" customFormat="false" ht="16.5" hidden="false" customHeight="false" outlineLevel="0" collapsed="false">
      <c r="A232" s="47"/>
      <c r="B232" s="54" t="str">
        <f aca="false">Хмільник!C247</f>
        <v>Варення плодово-ягідне</v>
      </c>
      <c r="C232" s="54" t="n">
        <v>13003</v>
      </c>
      <c r="D232" s="15"/>
      <c r="E232" s="36" t="n">
        <f aca="false">(D232/(H232+I232+J232))*H232</f>
        <v>0</v>
      </c>
      <c r="F232" s="36" t="n">
        <f aca="false">(D232/(H232+I232+J232))*I232</f>
        <v>0</v>
      </c>
      <c r="G232" s="36" t="n">
        <f aca="false">(D232/(H232+I232+J232))*J232</f>
        <v>0</v>
      </c>
      <c r="H232" s="15" t="n">
        <f aca="false">H231</f>
        <v>49</v>
      </c>
      <c r="I232" s="15" t="n">
        <f aca="false">I231</f>
        <v>31</v>
      </c>
      <c r="J232" s="15" t="n">
        <f aca="false">J231</f>
        <v>38</v>
      </c>
    </row>
    <row r="233" customFormat="false" ht="16.5" hidden="false" customHeight="false" outlineLevel="0" collapsed="false">
      <c r="A233" s="47"/>
      <c r="B233" s="54" t="str">
        <f aca="false">Хмільник!C248</f>
        <v>Джем плодово-ягідний</v>
      </c>
      <c r="C233" s="54" t="n">
        <v>13004</v>
      </c>
      <c r="D233" s="15"/>
      <c r="E233" s="36" t="n">
        <f aca="false">(D233/(H233+I233+J233))*H233</f>
        <v>0</v>
      </c>
      <c r="F233" s="36" t="n">
        <f aca="false">(D233/(H233+I233+J233))*I233</f>
        <v>0</v>
      </c>
      <c r="G233" s="36" t="n">
        <f aca="false">(D233/(H233+I233+J233))*J233</f>
        <v>0</v>
      </c>
      <c r="H233" s="15" t="n">
        <f aca="false">H232</f>
        <v>49</v>
      </c>
      <c r="I233" s="15" t="n">
        <f aca="false">I232</f>
        <v>31</v>
      </c>
      <c r="J233" s="15" t="n">
        <f aca="false">J232</f>
        <v>38</v>
      </c>
    </row>
    <row r="234" customFormat="false" ht="16.5" hidden="false" customHeight="false" outlineLevel="0" collapsed="false">
      <c r="A234" s="47"/>
      <c r="B234" s="54" t="str">
        <f aca="false">Хмільник!C249</f>
        <v>Льодяники різні</v>
      </c>
      <c r="C234" s="54" t="n">
        <v>13005</v>
      </c>
      <c r="D234" s="15"/>
      <c r="E234" s="36" t="n">
        <f aca="false">(D234/(H234+I234+J234))*H234</f>
        <v>0</v>
      </c>
      <c r="F234" s="36" t="n">
        <f aca="false">(D234/(H234+I234+J234))*I234</f>
        <v>0</v>
      </c>
      <c r="G234" s="36" t="n">
        <f aca="false">(D234/(H234+I234+J234))*J234</f>
        <v>0</v>
      </c>
      <c r="H234" s="15" t="n">
        <f aca="false">H233</f>
        <v>49</v>
      </c>
      <c r="I234" s="15" t="n">
        <f aca="false">I233</f>
        <v>31</v>
      </c>
      <c r="J234" s="15" t="n">
        <f aca="false">J233</f>
        <v>38</v>
      </c>
    </row>
    <row r="235" customFormat="false" ht="16.5" hidden="false" customHeight="false" outlineLevel="0" collapsed="false">
      <c r="A235" s="47"/>
      <c r="B235" s="54" t="str">
        <f aca="false">Хмільник!C250</f>
        <v>Мед натуральний</v>
      </c>
      <c r="C235" s="54" t="n">
        <v>13006</v>
      </c>
      <c r="D235" s="15"/>
      <c r="E235" s="36" t="n">
        <f aca="false">(D235/(H235+I235+J235))*H235</f>
        <v>0</v>
      </c>
      <c r="F235" s="36" t="n">
        <f aca="false">(D235/(H235+I235+J235))*I235</f>
        <v>0</v>
      </c>
      <c r="G235" s="36" t="n">
        <f aca="false">(D235/(H235+I235+J235))*J235</f>
        <v>0</v>
      </c>
      <c r="H235" s="15" t="n">
        <f aca="false">H234</f>
        <v>49</v>
      </c>
      <c r="I235" s="15" t="n">
        <f aca="false">I234</f>
        <v>31</v>
      </c>
      <c r="J235" s="15" t="n">
        <f aca="false">J234</f>
        <v>38</v>
      </c>
    </row>
    <row r="236" customFormat="false" ht="16.5" hidden="false" customHeight="false" outlineLevel="0" collapsed="false">
      <c r="A236" s="47"/>
      <c r="B236" s="54" t="str">
        <f aca="false">Хмільник!C251</f>
        <v>Повидло яблучне</v>
      </c>
      <c r="C236" s="54" t="n">
        <v>13007</v>
      </c>
      <c r="D236" s="15"/>
      <c r="E236" s="36" t="n">
        <f aca="false">(D236/(H236+I236+J236))*H236</f>
        <v>0</v>
      </c>
      <c r="F236" s="36" t="n">
        <f aca="false">(D236/(H236+I236+J236))*I236</f>
        <v>0</v>
      </c>
      <c r="G236" s="36" t="n">
        <f aca="false">(D236/(H236+I236+J236))*J236</f>
        <v>0</v>
      </c>
      <c r="H236" s="15" t="n">
        <f aca="false">H235</f>
        <v>49</v>
      </c>
      <c r="I236" s="15" t="n">
        <f aca="false">I235</f>
        <v>31</v>
      </c>
      <c r="J236" s="15" t="n">
        <f aca="false">J235</f>
        <v>38</v>
      </c>
    </row>
    <row r="237" customFormat="false" ht="16.5" hidden="false" customHeight="false" outlineLevel="0" collapsed="false">
      <c r="A237" s="15"/>
      <c r="B237" s="54" t="str">
        <f aca="false">Хмільник!C252</f>
        <v>Варення з малини індивідуального пак.</v>
      </c>
      <c r="C237" s="54" t="n">
        <v>13008</v>
      </c>
      <c r="D237" s="15"/>
      <c r="E237" s="36" t="n">
        <f aca="false">(D237/(H237+I237+J237))*H237</f>
        <v>0</v>
      </c>
      <c r="F237" s="36" t="n">
        <f aca="false">(D237/(H237+I237+J237))*I237</f>
        <v>0</v>
      </c>
      <c r="G237" s="36" t="n">
        <f aca="false">(D237/(H237+I237+J237))*J237</f>
        <v>0</v>
      </c>
      <c r="H237" s="15" t="n">
        <f aca="false">H236</f>
        <v>49</v>
      </c>
      <c r="I237" s="15" t="n">
        <f aca="false">I236</f>
        <v>31</v>
      </c>
      <c r="J237" s="15" t="n">
        <f aca="false">J236</f>
        <v>38</v>
      </c>
    </row>
    <row r="238" customFormat="false" ht="16.5" hidden="false" customHeight="false" outlineLevel="0" collapsed="false">
      <c r="A238" s="47"/>
      <c r="B238" s="54" t="str">
        <f aca="false">Хмільник!C253</f>
        <v>Варення з полуниці індивідуального пак.</v>
      </c>
      <c r="C238" s="54" t="n">
        <v>13009</v>
      </c>
      <c r="D238" s="15"/>
      <c r="E238" s="36" t="n">
        <f aca="false">(D238/(H238+I238+J238))*H238</f>
        <v>0</v>
      </c>
      <c r="F238" s="36" t="n">
        <f aca="false">(D238/(H238+I238+J238))*I238</f>
        <v>0</v>
      </c>
      <c r="G238" s="36" t="n">
        <f aca="false">(D238/(H238+I238+J238))*J238</f>
        <v>0</v>
      </c>
      <c r="H238" s="15" t="n">
        <f aca="false">H237</f>
        <v>49</v>
      </c>
      <c r="I238" s="15" t="n">
        <f aca="false">I237</f>
        <v>31</v>
      </c>
      <c r="J238" s="15" t="n">
        <f aca="false">J237</f>
        <v>38</v>
      </c>
    </row>
    <row r="239" customFormat="false" ht="16.5" hidden="false" customHeight="false" outlineLevel="0" collapsed="false">
      <c r="A239" s="47"/>
      <c r="B239" s="54" t="str">
        <f aca="false">Хмільник!C254</f>
        <v>Варення плодово-ягідне індив. пакування</v>
      </c>
      <c r="C239" s="54" t="n">
        <v>13010</v>
      </c>
      <c r="D239" s="15"/>
      <c r="E239" s="36" t="n">
        <f aca="false">(D239/(H239+I239+J239))*H239</f>
        <v>0</v>
      </c>
      <c r="F239" s="36" t="n">
        <f aca="false">(D239/(H239+I239+J239))*I239</f>
        <v>0</v>
      </c>
      <c r="G239" s="36" t="n">
        <f aca="false">(D239/(H239+I239+J239))*J239</f>
        <v>0</v>
      </c>
      <c r="H239" s="15" t="n">
        <f aca="false">H238</f>
        <v>49</v>
      </c>
      <c r="I239" s="15" t="n">
        <f aca="false">I238</f>
        <v>31</v>
      </c>
      <c r="J239" s="15" t="n">
        <f aca="false">J238</f>
        <v>38</v>
      </c>
    </row>
    <row r="240" customFormat="false" ht="16.5" hidden="false" customHeight="false" outlineLevel="0" collapsed="false">
      <c r="A240" s="47"/>
      <c r="B240" s="54" t="str">
        <f aca="false">Хмільник!C255</f>
        <v>Джем плодово-ягідний індив. пакування</v>
      </c>
      <c r="C240" s="54" t="n">
        <v>13011</v>
      </c>
      <c r="D240" s="15"/>
      <c r="E240" s="36" t="n">
        <f aca="false">(D240/(H240+I240+J240))*H240</f>
        <v>0</v>
      </c>
      <c r="F240" s="36" t="n">
        <f aca="false">(D240/(H240+I240+J240))*I240</f>
        <v>0</v>
      </c>
      <c r="G240" s="36" t="n">
        <f aca="false">(D240/(H240+I240+J240))*J240</f>
        <v>0</v>
      </c>
      <c r="H240" s="15" t="n">
        <f aca="false">H239</f>
        <v>49</v>
      </c>
      <c r="I240" s="15" t="n">
        <f aca="false">I239</f>
        <v>31</v>
      </c>
      <c r="J240" s="15" t="n">
        <f aca="false">J239</f>
        <v>38</v>
      </c>
    </row>
    <row r="241" customFormat="false" ht="16.5" hidden="false" customHeight="false" outlineLevel="0" collapsed="false">
      <c r="A241" s="47"/>
      <c r="B241" s="54" t="str">
        <f aca="false">Хмільник!C256</f>
        <v>Мед натуральний індивідуального пакув.</v>
      </c>
      <c r="C241" s="54" t="n">
        <v>13013</v>
      </c>
      <c r="D241" s="15"/>
      <c r="E241" s="36" t="n">
        <f aca="false">(D241/(H241+I241+J241))*H241</f>
        <v>0</v>
      </c>
      <c r="F241" s="36" t="n">
        <f aca="false">(D241/(H241+I241+J241))*I241</f>
        <v>0</v>
      </c>
      <c r="G241" s="36" t="n">
        <f aca="false">(D241/(H241+I241+J241))*J241</f>
        <v>0</v>
      </c>
      <c r="H241" s="15" t="n">
        <f aca="false">H240</f>
        <v>49</v>
      </c>
      <c r="I241" s="15" t="n">
        <f aca="false">I240</f>
        <v>31</v>
      </c>
      <c r="J241" s="15" t="n">
        <f aca="false">J240</f>
        <v>38</v>
      </c>
    </row>
    <row r="242" customFormat="false" ht="16.5" hidden="false" customHeight="false" outlineLevel="0" collapsed="false">
      <c r="A242" s="47"/>
      <c r="B242" s="54" t="str">
        <f aca="false">Хмільник!C257</f>
        <v>Горіхова паста</v>
      </c>
      <c r="C242" s="54" t="n">
        <v>13015</v>
      </c>
      <c r="D242" s="15"/>
      <c r="E242" s="36" t="n">
        <f aca="false">(D242/(H242+I242+J242))*H242</f>
        <v>0</v>
      </c>
      <c r="F242" s="36" t="n">
        <f aca="false">(D242/(H242+I242+J242))*I242</f>
        <v>0</v>
      </c>
      <c r="G242" s="36" t="n">
        <f aca="false">(D242/(H242+I242+J242))*J242</f>
        <v>0</v>
      </c>
      <c r="H242" s="15" t="n">
        <f aca="false">H241</f>
        <v>49</v>
      </c>
      <c r="I242" s="15" t="n">
        <f aca="false">I241</f>
        <v>31</v>
      </c>
      <c r="J242" s="15" t="n">
        <f aca="false">J241</f>
        <v>38</v>
      </c>
    </row>
    <row r="243" customFormat="false" ht="16.5" hidden="false" customHeight="false" outlineLevel="0" collapsed="false">
      <c r="A243" s="47"/>
      <c r="B243" s="54" t="str">
        <f aca="false">Хмільник!C258</f>
        <v>Батончик енергетичний</v>
      </c>
      <c r="C243" s="54" t="n">
        <v>13016</v>
      </c>
      <c r="D243" s="15"/>
      <c r="E243" s="36" t="n">
        <f aca="false">(D243/(H243+I243+J243))*H243</f>
        <v>0</v>
      </c>
      <c r="F243" s="36" t="n">
        <f aca="false">(D243/(H243+I243+J243))*I243</f>
        <v>0</v>
      </c>
      <c r="G243" s="36" t="n">
        <f aca="false">(D243/(H243+I243+J243))*J243</f>
        <v>0</v>
      </c>
      <c r="H243" s="15" t="n">
        <f aca="false">H242</f>
        <v>49</v>
      </c>
      <c r="I243" s="15" t="n">
        <f aca="false">I242</f>
        <v>31</v>
      </c>
      <c r="J243" s="15" t="n">
        <f aca="false">J242</f>
        <v>38</v>
      </c>
    </row>
    <row r="244" customFormat="false" ht="16.5" hidden="false" customHeight="false" outlineLevel="0" collapsed="false">
      <c r="A244" s="47"/>
      <c r="B244" s="54" t="str">
        <f aca="false">Хмільник!C259</f>
        <v>Шоколад молочний</v>
      </c>
      <c r="C244" s="54" t="n">
        <v>13017</v>
      </c>
      <c r="D244" s="15"/>
      <c r="E244" s="36" t="n">
        <f aca="false">(D244/(H244+I244+J244))*H244</f>
        <v>0</v>
      </c>
      <c r="F244" s="36" t="n">
        <f aca="false">(D244/(H244+I244+J244))*I244</f>
        <v>0</v>
      </c>
      <c r="G244" s="36" t="n">
        <f aca="false">(D244/(H244+I244+J244))*J244</f>
        <v>0</v>
      </c>
      <c r="H244" s="15" t="n">
        <f aca="false">H243</f>
        <v>49</v>
      </c>
      <c r="I244" s="15" t="n">
        <f aca="false">I243</f>
        <v>31</v>
      </c>
      <c r="J244" s="15" t="n">
        <f aca="false">J243</f>
        <v>38</v>
      </c>
    </row>
    <row r="245" customFormat="false" ht="16.5" hidden="false" customHeight="false" outlineLevel="0" collapsed="false">
      <c r="A245" s="47"/>
      <c r="B245" s="54" t="str">
        <f aca="false">Хмільник!C260</f>
        <v>Шоколад молочний індивідуального пакув.</v>
      </c>
      <c r="C245" s="54" t="n">
        <v>13018</v>
      </c>
      <c r="D245" s="15"/>
      <c r="E245" s="36" t="n">
        <f aca="false">(D245/(H245+I245+J245))*H245</f>
        <v>0</v>
      </c>
      <c r="F245" s="36" t="n">
        <f aca="false">(D245/(H245+I245+J245))*I245</f>
        <v>0</v>
      </c>
      <c r="G245" s="36" t="n">
        <f aca="false">(D245/(H245+I245+J245))*J245</f>
        <v>0</v>
      </c>
      <c r="H245" s="15" t="n">
        <f aca="false">H244</f>
        <v>49</v>
      </c>
      <c r="I245" s="15" t="n">
        <f aca="false">I244</f>
        <v>31</v>
      </c>
      <c r="J245" s="15" t="n">
        <f aca="false">J244</f>
        <v>38</v>
      </c>
    </row>
    <row r="246" customFormat="false" ht="16.5" hidden="false" customHeight="false" outlineLevel="0" collapsed="false">
      <c r="A246" s="47"/>
      <c r="B246" s="54" t="str">
        <f aca="false">Хмільник!C261</f>
        <v>Шоколад темний (чорний)</v>
      </c>
      <c r="C246" s="54" t="n">
        <v>13019</v>
      </c>
      <c r="D246" s="15"/>
      <c r="E246" s="36" t="n">
        <f aca="false">(D246/(H246+I246+J246))*H246</f>
        <v>0</v>
      </c>
      <c r="F246" s="36" t="n">
        <f aca="false">(D246/(H246+I246+J246))*I246</f>
        <v>0</v>
      </c>
      <c r="G246" s="36" t="n">
        <f aca="false">(D246/(H246+I246+J246))*J246</f>
        <v>0</v>
      </c>
      <c r="H246" s="15" t="n">
        <f aca="false">H245</f>
        <v>49</v>
      </c>
      <c r="I246" s="15" t="n">
        <f aca="false">I245</f>
        <v>31</v>
      </c>
      <c r="J246" s="15" t="n">
        <f aca="false">J245</f>
        <v>38</v>
      </c>
    </row>
    <row r="247" customFormat="false" ht="16.5" hidden="false" customHeight="false" outlineLevel="0" collapsed="false">
      <c r="A247" s="47"/>
      <c r="B247" s="54" t="str">
        <f aca="false">Хмільник!C262</f>
        <v>Шоколад темний (чорний) індив. пакування</v>
      </c>
      <c r="C247" s="54" t="n">
        <v>13020</v>
      </c>
      <c r="D247" s="15"/>
      <c r="E247" s="36" t="n">
        <f aca="false">(D247/(H247+I247+J247))*H247</f>
        <v>0</v>
      </c>
      <c r="F247" s="36" t="n">
        <f aca="false">(D247/(H247+I247+J247))*I247</f>
        <v>0</v>
      </c>
      <c r="G247" s="36" t="n">
        <f aca="false">(D247/(H247+I247+J247))*J247</f>
        <v>0</v>
      </c>
      <c r="H247" s="15" t="n">
        <f aca="false">H246</f>
        <v>49</v>
      </c>
      <c r="I247" s="15" t="n">
        <f aca="false">I246</f>
        <v>31</v>
      </c>
      <c r="J247" s="15" t="n">
        <f aca="false">J246</f>
        <v>38</v>
      </c>
    </row>
    <row r="248" customFormat="false" ht="16.5" hidden="false" customHeight="false" outlineLevel="0" collapsed="false">
      <c r="A248" s="47"/>
      <c r="B248" s="54" t="str">
        <f aca="false">Хмільник!C263</f>
        <v>Батончик шоколадний з арахісом</v>
      </c>
      <c r="C248" s="54" t="n">
        <v>13021</v>
      </c>
      <c r="D248" s="15"/>
      <c r="E248" s="36" t="n">
        <f aca="false">(D248/(H248+I248+J248))*H248</f>
        <v>0</v>
      </c>
      <c r="F248" s="36" t="n">
        <f aca="false">(D248/(H248+I248+J248))*I248</f>
        <v>0</v>
      </c>
      <c r="G248" s="36" t="n">
        <f aca="false">(D248/(H248+I248+J248))*J248</f>
        <v>0</v>
      </c>
      <c r="H248" s="15" t="n">
        <f aca="false">H247</f>
        <v>49</v>
      </c>
      <c r="I248" s="15" t="n">
        <f aca="false">I247</f>
        <v>31</v>
      </c>
      <c r="J248" s="15" t="n">
        <f aca="false">J247</f>
        <v>38</v>
      </c>
    </row>
    <row r="249" customFormat="false" ht="16.5" hidden="false" customHeight="false" outlineLevel="0" collapsed="false">
      <c r="A249" s="47"/>
      <c r="B249" s="54" t="str">
        <f aca="false">Хмільник!C264</f>
        <v>Бринза</v>
      </c>
      <c r="C249" s="54" t="n">
        <v>13101</v>
      </c>
      <c r="D249" s="15"/>
      <c r="E249" s="36" t="n">
        <f aca="false">(D249/(H249+I249+J249))*H249</f>
        <v>0</v>
      </c>
      <c r="F249" s="36" t="n">
        <f aca="false">(D249/(H249+I249+J249))*I249</f>
        <v>0</v>
      </c>
      <c r="G249" s="36" t="n">
        <f aca="false">(D249/(H249+I249+J249))*J249</f>
        <v>0</v>
      </c>
      <c r="H249" s="15" t="n">
        <f aca="false">H248</f>
        <v>49</v>
      </c>
      <c r="I249" s="15" t="n">
        <f aca="false">I248</f>
        <v>31</v>
      </c>
      <c r="J249" s="15" t="n">
        <f aca="false">J248</f>
        <v>38</v>
      </c>
    </row>
    <row r="250" customFormat="false" ht="16.5" hidden="false" customHeight="false" outlineLevel="0" collapsed="false">
      <c r="A250" s="47"/>
      <c r="B250" s="54" t="str">
        <f aca="false">Хмільник!C265</f>
        <v>Вершки питні</v>
      </c>
      <c r="C250" s="54" t="n">
        <v>13102</v>
      </c>
      <c r="D250" s="15"/>
      <c r="E250" s="36" t="n">
        <f aca="false">(D250/(H250+I250+J250))*H250</f>
        <v>0</v>
      </c>
      <c r="F250" s="36" t="n">
        <f aca="false">(D250/(H250+I250+J250))*I250</f>
        <v>0</v>
      </c>
      <c r="G250" s="36" t="n">
        <f aca="false">(D250/(H250+I250+J250))*J250</f>
        <v>0</v>
      </c>
      <c r="H250" s="15" t="n">
        <f aca="false">H249</f>
        <v>49</v>
      </c>
      <c r="I250" s="15" t="n">
        <f aca="false">I249</f>
        <v>31</v>
      </c>
      <c r="J250" s="15" t="n">
        <f aca="false">J249</f>
        <v>38</v>
      </c>
    </row>
    <row r="251" customFormat="false" ht="16.5" hidden="false" customHeight="false" outlineLevel="0" collapsed="false">
      <c r="A251" s="47"/>
      <c r="B251" s="54" t="str">
        <f aca="false">Хмільник!C266</f>
        <v>Йогурт від 1,5 % (з наповнювачами)</v>
      </c>
      <c r="C251" s="54" t="n">
        <v>13104</v>
      </c>
      <c r="D251" s="15"/>
      <c r="E251" s="36" t="n">
        <f aca="false">(D251/(H251+I251+J251))*H251</f>
        <v>0</v>
      </c>
      <c r="F251" s="36" t="n">
        <f aca="false">(D251/(H251+I251+J251))*I251</f>
        <v>0</v>
      </c>
      <c r="G251" s="36" t="n">
        <f aca="false">(D251/(H251+I251+J251))*J251</f>
        <v>0</v>
      </c>
      <c r="H251" s="15" t="n">
        <f aca="false">H250</f>
        <v>49</v>
      </c>
      <c r="I251" s="15" t="n">
        <f aca="false">I250</f>
        <v>31</v>
      </c>
      <c r="J251" s="15" t="n">
        <f aca="false">J250</f>
        <v>38</v>
      </c>
    </row>
    <row r="252" customFormat="false" ht="16.5" hidden="false" customHeight="false" outlineLevel="0" collapsed="false">
      <c r="A252" s="47"/>
      <c r="B252" s="54" t="str">
        <f aca="false">Хмільник!C267</f>
        <v>Йогурт від 1,5 % (без харчових добавок )</v>
      </c>
      <c r="C252" s="54" t="n">
        <v>13105</v>
      </c>
      <c r="D252" s="15"/>
      <c r="E252" s="36" t="n">
        <f aca="false">(D252/(H252+I252+J252))*H252</f>
        <v>0</v>
      </c>
      <c r="F252" s="36" t="n">
        <f aca="false">(D252/(H252+I252+J252))*I252</f>
        <v>0</v>
      </c>
      <c r="G252" s="36" t="n">
        <f aca="false">(D252/(H252+I252+J252))*J252</f>
        <v>0</v>
      </c>
      <c r="H252" s="15" t="n">
        <f aca="false">H251</f>
        <v>49</v>
      </c>
      <c r="I252" s="15" t="n">
        <f aca="false">I251</f>
        <v>31</v>
      </c>
      <c r="J252" s="15" t="n">
        <f aca="false">J251</f>
        <v>38</v>
      </c>
    </row>
    <row r="253" customFormat="false" ht="16.5" hidden="false" customHeight="false" outlineLevel="0" collapsed="false">
      <c r="A253" s="47" t="n">
        <v>23</v>
      </c>
      <c r="B253" s="54" t="str">
        <f aca="false">Хмільник!C268</f>
        <v>Кефір нежирний</v>
      </c>
      <c r="C253" s="54" t="n">
        <v>13106</v>
      </c>
      <c r="D253" s="15"/>
      <c r="E253" s="36" t="n">
        <f aca="false">(D253/(H253+I253+J253))*H253</f>
        <v>0</v>
      </c>
      <c r="F253" s="36" t="n">
        <f aca="false">(D253/(H253+I253+J253))*I253</f>
        <v>0</v>
      </c>
      <c r="G253" s="36" t="n">
        <f aca="false">(D253/(H253+I253+J253))*J253</f>
        <v>0</v>
      </c>
      <c r="H253" s="15" t="n">
        <f aca="false">H252</f>
        <v>49</v>
      </c>
      <c r="I253" s="15" t="n">
        <f aca="false">I252</f>
        <v>31</v>
      </c>
      <c r="J253" s="15" t="n">
        <f aca="false">J252</f>
        <v>38</v>
      </c>
    </row>
    <row r="254" customFormat="false" ht="16.5" hidden="false" customHeight="false" outlineLevel="0" collapsed="false">
      <c r="A254" s="47"/>
      <c r="B254" s="54" t="str">
        <f aca="false">Хмільник!C269</f>
        <v>Кефір від 2,5 %</v>
      </c>
      <c r="C254" s="54" t="n">
        <v>13107</v>
      </c>
      <c r="D254" s="15"/>
      <c r="E254" s="36" t="n">
        <f aca="false">(D254/(H254+I254+J254))*H254</f>
        <v>0</v>
      </c>
      <c r="F254" s="36" t="n">
        <f aca="false">(D254/(H254+I254+J254))*I254</f>
        <v>0</v>
      </c>
      <c r="G254" s="36" t="n">
        <f aca="false">(D254/(H254+I254+J254))*J254</f>
        <v>0</v>
      </c>
      <c r="H254" s="15" t="n">
        <f aca="false">H253</f>
        <v>49</v>
      </c>
      <c r="I254" s="15" t="n">
        <f aca="false">I253</f>
        <v>31</v>
      </c>
      <c r="J254" s="15" t="n">
        <f aca="false">J253</f>
        <v>38</v>
      </c>
    </row>
    <row r="255" customFormat="false" ht="16.5" hidden="false" customHeight="false" outlineLevel="0" collapsed="false">
      <c r="A255" s="47"/>
      <c r="B255" s="54" t="str">
        <f aca="false">Хмільник!C270</f>
        <v>Молоко згущене від 8,5 %</v>
      </c>
      <c r="C255" s="54" t="n">
        <v>13108</v>
      </c>
      <c r="D255" s="15" t="n">
        <v>2.95</v>
      </c>
      <c r="E255" s="36" t="n">
        <f aca="false">(D255/(H255+I255+J255))*H255</f>
        <v>1.225</v>
      </c>
      <c r="F255" s="36" t="n">
        <f aca="false">(D255/(H255+I255+J255))*I255</f>
        <v>0.775</v>
      </c>
      <c r="G255" s="36" t="n">
        <f aca="false">(D255/(H255+I255+J255))*J255</f>
        <v>0.95</v>
      </c>
      <c r="H255" s="15" t="n">
        <f aca="false">H254</f>
        <v>49</v>
      </c>
      <c r="I255" s="15" t="n">
        <f aca="false">I254</f>
        <v>31</v>
      </c>
      <c r="J255" s="15" t="n">
        <f aca="false">J254</f>
        <v>38</v>
      </c>
    </row>
    <row r="256" customFormat="false" ht="16.5" hidden="false" customHeight="false" outlineLevel="0" collapsed="false">
      <c r="A256" s="47"/>
      <c r="B256" s="54" t="str">
        <f aca="false">Хмільник!C271</f>
        <v>Молоко пастеризоване 1 % - 2,45 %</v>
      </c>
      <c r="C256" s="54" t="n">
        <v>13109</v>
      </c>
      <c r="D256" s="15"/>
      <c r="E256" s="36" t="n">
        <f aca="false">(D256/(H256+I256+J256))*H256</f>
        <v>0</v>
      </c>
      <c r="F256" s="36" t="n">
        <f aca="false">(D256/(H256+I256+J256))*I256</f>
        <v>0</v>
      </c>
      <c r="G256" s="36" t="n">
        <f aca="false">(D256/(H256+I256+J256))*J256</f>
        <v>0</v>
      </c>
      <c r="H256" s="15" t="n">
        <f aca="false">H255</f>
        <v>49</v>
      </c>
      <c r="I256" s="15" t="n">
        <f aca="false">I255</f>
        <v>31</v>
      </c>
      <c r="J256" s="15" t="n">
        <f aca="false">J255</f>
        <v>38</v>
      </c>
    </row>
    <row r="257" customFormat="false" ht="16.5" hidden="false" customHeight="false" outlineLevel="0" collapsed="false">
      <c r="A257" s="47"/>
      <c r="B257" s="54" t="str">
        <f aca="false">Хмільник!C272</f>
        <v>Молоко ультрапастеризоване 1-1,6 %</v>
      </c>
      <c r="C257" s="54" t="n">
        <v>13110</v>
      </c>
      <c r="D257" s="15"/>
      <c r="E257" s="36" t="n">
        <f aca="false">(D257/(H257+I257+J257))*H257</f>
        <v>0</v>
      </c>
      <c r="F257" s="36" t="n">
        <f aca="false">(D257/(H257+I257+J257))*I257</f>
        <v>0</v>
      </c>
      <c r="G257" s="36" t="n">
        <f aca="false">(D257/(H257+I257+J257))*J257</f>
        <v>0</v>
      </c>
      <c r="H257" s="15" t="n">
        <f aca="false">H256</f>
        <v>49</v>
      </c>
      <c r="I257" s="15" t="n">
        <f aca="false">I256</f>
        <v>31</v>
      </c>
      <c r="J257" s="15" t="n">
        <f aca="false">J256</f>
        <v>38</v>
      </c>
    </row>
    <row r="258" customFormat="false" ht="16.5" hidden="false" customHeight="false" outlineLevel="0" collapsed="false">
      <c r="A258" s="47"/>
      <c r="B258" s="54" t="str">
        <f aca="false">Хмільник!C273</f>
        <v>Молоко ультрапастеризоване 2,5 %</v>
      </c>
      <c r="C258" s="54" t="n">
        <v>13111</v>
      </c>
      <c r="D258" s="15"/>
      <c r="E258" s="36" t="n">
        <f aca="false">(D258/(H258+I258+J258))*H258</f>
        <v>0</v>
      </c>
      <c r="F258" s="36" t="n">
        <f aca="false">(D258/(H258+I258+J258))*I258</f>
        <v>0</v>
      </c>
      <c r="G258" s="36" t="n">
        <f aca="false">(D258/(H258+I258+J258))*J258</f>
        <v>0</v>
      </c>
      <c r="H258" s="15" t="n">
        <f aca="false">H257</f>
        <v>49</v>
      </c>
      <c r="I258" s="15" t="n">
        <f aca="false">I257</f>
        <v>31</v>
      </c>
      <c r="J258" s="15" t="n">
        <f aca="false">J257</f>
        <v>38</v>
      </c>
    </row>
    <row r="259" customFormat="false" ht="16.5" hidden="false" customHeight="false" outlineLevel="0" collapsed="false">
      <c r="A259" s="47"/>
      <c r="B259" s="54" t="str">
        <f aca="false">Хмільник!C274</f>
        <v>Молоко ультрапастеризоване 3,2 %</v>
      </c>
      <c r="C259" s="54" t="n">
        <v>13112</v>
      </c>
      <c r="D259" s="15"/>
      <c r="E259" s="36" t="n">
        <f aca="false">(D259/(H259+I259+J259))*H259</f>
        <v>0</v>
      </c>
      <c r="F259" s="36" t="n">
        <f aca="false">(D259/(H259+I259+J259))*I259</f>
        <v>0</v>
      </c>
      <c r="G259" s="36" t="n">
        <f aca="false">(D259/(H259+I259+J259))*J259</f>
        <v>0</v>
      </c>
      <c r="H259" s="15" t="n">
        <f aca="false">H258</f>
        <v>49</v>
      </c>
      <c r="I259" s="15" t="n">
        <f aca="false">I258</f>
        <v>31</v>
      </c>
      <c r="J259" s="15" t="n">
        <f aca="false">J258</f>
        <v>38</v>
      </c>
    </row>
    <row r="260" customFormat="false" ht="16.5" hidden="false" customHeight="false" outlineLevel="0" collapsed="false">
      <c r="A260" s="47"/>
      <c r="B260" s="54" t="str">
        <f aca="false">Хмільник!C275</f>
        <v>Сир кисломолочний 9-18 %</v>
      </c>
      <c r="C260" s="54" t="n">
        <v>13113</v>
      </c>
      <c r="D260" s="15"/>
      <c r="E260" s="36" t="n">
        <f aca="false">(D260/(H260+I260+J260))*H260</f>
        <v>0</v>
      </c>
      <c r="F260" s="36" t="n">
        <f aca="false">(D260/(H260+I260+J260))*I260</f>
        <v>0</v>
      </c>
      <c r="G260" s="36" t="n">
        <f aca="false">(D260/(H260+I260+J260))*J260</f>
        <v>0</v>
      </c>
      <c r="H260" s="15" t="n">
        <f aca="false">H259</f>
        <v>49</v>
      </c>
      <c r="I260" s="15" t="n">
        <f aca="false">I259</f>
        <v>31</v>
      </c>
      <c r="J260" s="15" t="n">
        <f aca="false">J259</f>
        <v>38</v>
      </c>
    </row>
    <row r="261" customFormat="false" ht="16.5" hidden="false" customHeight="false" outlineLevel="0" collapsed="false">
      <c r="A261" s="47"/>
      <c r="B261" s="54" t="str">
        <f aca="false">Хмільник!C276</f>
        <v>Сир кисломолочний нежирний</v>
      </c>
      <c r="C261" s="54" t="n">
        <v>13114</v>
      </c>
      <c r="D261" s="15"/>
      <c r="E261" s="36" t="n">
        <f aca="false">(D261/(H261+I261+J261))*H261</f>
        <v>0</v>
      </c>
      <c r="F261" s="36" t="n">
        <f aca="false">(D261/(H261+I261+J261))*I261</f>
        <v>0</v>
      </c>
      <c r="G261" s="36" t="n">
        <f aca="false">(D261/(H261+I261+J261))*J261</f>
        <v>0</v>
      </c>
      <c r="H261" s="15" t="n">
        <f aca="false">H260</f>
        <v>49</v>
      </c>
      <c r="I261" s="15" t="n">
        <f aca="false">I260</f>
        <v>31</v>
      </c>
      <c r="J261" s="15" t="n">
        <f aca="false">J260</f>
        <v>38</v>
      </c>
    </row>
    <row r="262" customFormat="false" ht="16.5" hidden="false" customHeight="false" outlineLevel="0" collapsed="false">
      <c r="A262" s="47"/>
      <c r="B262" s="54" t="str">
        <f aca="false">Хмільник!C277</f>
        <v>Сир плавлений</v>
      </c>
      <c r="C262" s="54" t="n">
        <v>13115</v>
      </c>
      <c r="D262" s="15"/>
      <c r="E262" s="36" t="n">
        <f aca="false">(D262/(H262+I262+J262))*H262</f>
        <v>0</v>
      </c>
      <c r="F262" s="36" t="n">
        <f aca="false">(D262/(H262+I262+J262))*I262</f>
        <v>0</v>
      </c>
      <c r="G262" s="36" t="n">
        <f aca="false">(D262/(H262+I262+J262))*J262</f>
        <v>0</v>
      </c>
      <c r="H262" s="15" t="n">
        <f aca="false">H261</f>
        <v>49</v>
      </c>
      <c r="I262" s="15" t="n">
        <f aca="false">I261</f>
        <v>31</v>
      </c>
      <c r="J262" s="15" t="n">
        <f aca="false">J261</f>
        <v>38</v>
      </c>
    </row>
    <row r="263" customFormat="false" ht="16.5" hidden="false" customHeight="false" outlineLevel="0" collapsed="false">
      <c r="A263" s="47"/>
      <c r="B263" s="54" t="str">
        <f aca="false">Хмільник!C278</f>
        <v>Сир твердий (український асортимент)</v>
      </c>
      <c r="C263" s="54" t="n">
        <v>13116</v>
      </c>
      <c r="D263" s="15"/>
      <c r="E263" s="36" t="n">
        <f aca="false">(D263/(H263+I263+J263))*H263</f>
        <v>0</v>
      </c>
      <c r="F263" s="36" t="n">
        <f aca="false">(D263/(H263+I263+J263))*I263</f>
        <v>0</v>
      </c>
      <c r="G263" s="36" t="n">
        <f aca="false">(D263/(H263+I263+J263))*J263</f>
        <v>0</v>
      </c>
      <c r="H263" s="15" t="n">
        <f aca="false">H262</f>
        <v>49</v>
      </c>
      <c r="I263" s="15" t="n">
        <f aca="false">I262</f>
        <v>31</v>
      </c>
      <c r="J263" s="15" t="n">
        <f aca="false">J262</f>
        <v>38</v>
      </c>
    </row>
    <row r="264" customFormat="false" ht="16.5" hidden="false" customHeight="false" outlineLevel="0" collapsed="false">
      <c r="A264" s="47"/>
      <c r="B264" s="54" t="str">
        <f aca="false">Хмільник!C279</f>
        <v>Сир напівтвердий</v>
      </c>
      <c r="C264" s="54" t="n">
        <v>13117</v>
      </c>
      <c r="D264" s="15"/>
      <c r="E264" s="36" t="n">
        <f aca="false">(D264/(H264+I264+J264))*H264</f>
        <v>0</v>
      </c>
      <c r="F264" s="36" t="n">
        <f aca="false">(D264/(H264+I264+J264))*I264</f>
        <v>0</v>
      </c>
      <c r="G264" s="36" t="n">
        <f aca="false">(D264/(H264+I264+J264))*J264</f>
        <v>0</v>
      </c>
      <c r="H264" s="15" t="n">
        <f aca="false">H263</f>
        <v>49</v>
      </c>
      <c r="I264" s="15" t="n">
        <f aca="false">I263</f>
        <v>31</v>
      </c>
      <c r="J264" s="15" t="n">
        <f aca="false">J263</f>
        <v>38</v>
      </c>
    </row>
    <row r="265" customFormat="false" ht="16.5" hidden="false" customHeight="false" outlineLevel="0" collapsed="false">
      <c r="A265" s="47"/>
      <c r="B265" s="54" t="str">
        <f aca="false">Хмільник!C280</f>
        <v>Сир твердий сичужний</v>
      </c>
      <c r="C265" s="54" t="n">
        <v>13118</v>
      </c>
      <c r="D265" s="15"/>
      <c r="E265" s="36" t="n">
        <f aca="false">(D265/(H265+I265+J265))*H265</f>
        <v>0</v>
      </c>
      <c r="F265" s="36" t="n">
        <f aca="false">(D265/(H265+I265+J265))*I265</f>
        <v>0</v>
      </c>
      <c r="G265" s="36" t="n">
        <f aca="false">(D265/(H265+I265+J265))*J265</f>
        <v>0</v>
      </c>
      <c r="H265" s="15" t="n">
        <f aca="false">H264</f>
        <v>49</v>
      </c>
      <c r="I265" s="15" t="n">
        <f aca="false">I264</f>
        <v>31</v>
      </c>
      <c r="J265" s="15" t="n">
        <f aca="false">J264</f>
        <v>38</v>
      </c>
    </row>
    <row r="266" customFormat="false" ht="16.5" hidden="false" customHeight="false" outlineLevel="0" collapsed="false">
      <c r="A266" s="47"/>
      <c r="B266" s="54" t="str">
        <f aca="false">Хмільник!C281</f>
        <v>Сир м’який</v>
      </c>
      <c r="C266" s="54" t="n">
        <v>13119</v>
      </c>
      <c r="D266" s="15"/>
      <c r="E266" s="36" t="n">
        <f aca="false">(D266/(H266+I266+J266))*H266</f>
        <v>0</v>
      </c>
      <c r="F266" s="36" t="n">
        <f aca="false">(D266/(H266+I266+J266))*I266</f>
        <v>0</v>
      </c>
      <c r="G266" s="36" t="n">
        <f aca="false">(D266/(H266+I266+J266))*J266</f>
        <v>0</v>
      </c>
      <c r="H266" s="15" t="n">
        <f aca="false">H265</f>
        <v>49</v>
      </c>
      <c r="I266" s="15" t="n">
        <f aca="false">I265</f>
        <v>31</v>
      </c>
      <c r="J266" s="15" t="n">
        <f aca="false">J265</f>
        <v>38</v>
      </c>
    </row>
    <row r="267" customFormat="false" ht="16.5" hidden="false" customHeight="false" outlineLevel="0" collapsed="false">
      <c r="A267" s="47"/>
      <c r="B267" s="54" t="str">
        <f aca="false">Хмільник!C282</f>
        <v>Сметана 15 % - 19 %</v>
      </c>
      <c r="C267" s="54" t="n">
        <v>13120</v>
      </c>
      <c r="D267" s="15"/>
      <c r="E267" s="36" t="n">
        <f aca="false">(D267/(H267+I267+J267))*H267</f>
        <v>0</v>
      </c>
      <c r="F267" s="36" t="n">
        <f aca="false">(D267/(H267+I267+J267))*I267</f>
        <v>0</v>
      </c>
      <c r="G267" s="36" t="n">
        <f aca="false">(D267/(H267+I267+J267))*J267</f>
        <v>0</v>
      </c>
      <c r="H267" s="15" t="n">
        <f aca="false">H266</f>
        <v>49</v>
      </c>
      <c r="I267" s="15" t="n">
        <f aca="false">I266</f>
        <v>31</v>
      </c>
      <c r="J267" s="15" t="n">
        <f aca="false">J266</f>
        <v>38</v>
      </c>
    </row>
    <row r="268" customFormat="false" ht="16.5" hidden="false" customHeight="false" outlineLevel="0" collapsed="false">
      <c r="A268" s="47"/>
      <c r="B268" s="54" t="str">
        <f aca="false">Хмільник!C283</f>
        <v>Сметана 20 % - 24 %</v>
      </c>
      <c r="C268" s="54" t="n">
        <v>13121</v>
      </c>
      <c r="D268" s="15"/>
      <c r="E268" s="36" t="n">
        <f aca="false">(D268/(H268+I268+J268))*H268</f>
        <v>0</v>
      </c>
      <c r="F268" s="36" t="n">
        <f aca="false">(D268/(H268+I268+J268))*I268</f>
        <v>0</v>
      </c>
      <c r="G268" s="36" t="n">
        <f aca="false">(D268/(H268+I268+J268))*J268</f>
        <v>0</v>
      </c>
      <c r="H268" s="15" t="n">
        <f aca="false">H267</f>
        <v>49</v>
      </c>
      <c r="I268" s="15" t="n">
        <f aca="false">I267</f>
        <v>31</v>
      </c>
      <c r="J268" s="15" t="n">
        <f aca="false">J267</f>
        <v>38</v>
      </c>
    </row>
    <row r="269" customFormat="false" ht="16.5" hidden="false" customHeight="false" outlineLevel="0" collapsed="false">
      <c r="A269" s="47"/>
      <c r="B269" s="54" t="str">
        <f aca="false">Хмільник!C284</f>
        <v>Молоко пастеризоване від 2,5 %</v>
      </c>
      <c r="C269" s="54" t="n">
        <v>13122</v>
      </c>
      <c r="D269" s="15"/>
      <c r="E269" s="36" t="n">
        <f aca="false">(D269/(H269+I269+J269))*H269</f>
        <v>0</v>
      </c>
      <c r="F269" s="36" t="n">
        <f aca="false">(D269/(H269+I269+J269))*I269</f>
        <v>0</v>
      </c>
      <c r="G269" s="36" t="n">
        <f aca="false">(D269/(H269+I269+J269))*J269</f>
        <v>0</v>
      </c>
      <c r="H269" s="15" t="n">
        <f aca="false">H268</f>
        <v>49</v>
      </c>
      <c r="I269" s="15" t="n">
        <f aca="false">I268</f>
        <v>31</v>
      </c>
      <c r="J269" s="15" t="n">
        <f aca="false">J268</f>
        <v>38</v>
      </c>
    </row>
    <row r="270" customFormat="false" ht="16.5" hidden="false" customHeight="false" outlineLevel="0" collapsed="false">
      <c r="A270" s="47"/>
      <c r="B270" s="54" t="str">
        <f aca="false">Хмільник!C285</f>
        <v>Десерт сирковий</v>
      </c>
      <c r="C270" s="54" t="n">
        <v>13123</v>
      </c>
      <c r="D270" s="15"/>
      <c r="E270" s="36" t="n">
        <f aca="false">(D270/(H270+I270+J270))*H270</f>
        <v>0</v>
      </c>
      <c r="F270" s="36" t="n">
        <f aca="false">(D270/(H270+I270+J270))*I270</f>
        <v>0</v>
      </c>
      <c r="G270" s="36" t="n">
        <f aca="false">(D270/(H270+I270+J270))*J270</f>
        <v>0</v>
      </c>
      <c r="H270" s="15" t="n">
        <f aca="false">H269</f>
        <v>49</v>
      </c>
      <c r="I270" s="15" t="n">
        <f aca="false">I269</f>
        <v>31</v>
      </c>
      <c r="J270" s="15" t="n">
        <f aca="false">J269</f>
        <v>38</v>
      </c>
    </row>
    <row r="271" customFormat="false" ht="16.5" hidden="false" customHeight="false" outlineLevel="0" collapsed="false">
      <c r="A271" s="47"/>
      <c r="B271" s="54" t="str">
        <f aca="false">Хмільник!C286</f>
        <v>Сир розсільний</v>
      </c>
      <c r="C271" s="54" t="n">
        <v>13124</v>
      </c>
      <c r="D271" s="15"/>
      <c r="E271" s="36" t="n">
        <f aca="false">(D271/(H271+I271+J271))*H271</f>
        <v>0</v>
      </c>
      <c r="F271" s="36" t="n">
        <f aca="false">(D271/(H271+I271+J271))*I271</f>
        <v>0</v>
      </c>
      <c r="G271" s="36" t="n">
        <f aca="false">(D271/(H271+I271+J271))*J271</f>
        <v>0</v>
      </c>
      <c r="H271" s="15" t="n">
        <f aca="false">H270</f>
        <v>49</v>
      </c>
      <c r="I271" s="15" t="n">
        <f aca="false">I270</f>
        <v>31</v>
      </c>
      <c r="J271" s="15" t="n">
        <f aca="false">J270</f>
        <v>38</v>
      </c>
    </row>
    <row r="272" customFormat="false" ht="16.5" hidden="false" customHeight="false" outlineLevel="0" collapsed="false">
      <c r="A272" s="47"/>
      <c r="B272" s="54" t="str">
        <f aca="false">Хмільник!C287</f>
        <v>Сметана 25% - 40 %</v>
      </c>
      <c r="C272" s="54" t="n">
        <v>13125</v>
      </c>
      <c r="D272" s="15"/>
      <c r="E272" s="36" t="n">
        <f aca="false">(D272/(H272+I272+J272))*H272</f>
        <v>0</v>
      </c>
      <c r="F272" s="36" t="n">
        <f aca="false">(D272/(H272+I272+J272))*I272</f>
        <v>0</v>
      </c>
      <c r="G272" s="36" t="n">
        <f aca="false">(D272/(H272+I272+J272))*J272</f>
        <v>0</v>
      </c>
      <c r="H272" s="15" t="n">
        <f aca="false">H271</f>
        <v>49</v>
      </c>
      <c r="I272" s="15" t="n">
        <f aca="false">I271</f>
        <v>31</v>
      </c>
      <c r="J272" s="15" t="n">
        <f aca="false">J271</f>
        <v>38</v>
      </c>
    </row>
    <row r="273" customFormat="false" ht="16.5" hidden="false" customHeight="false" outlineLevel="0" collapsed="false">
      <c r="A273" s="47"/>
      <c r="B273" s="54" t="str">
        <f aca="false">Хмільник!C288</f>
        <v>Сир кисломолочний 5%</v>
      </c>
      <c r="C273" s="54" t="n">
        <v>13126</v>
      </c>
      <c r="D273" s="15"/>
      <c r="E273" s="36" t="n">
        <f aca="false">(D273/(H273+I273+J273))*H273</f>
        <v>0</v>
      </c>
      <c r="F273" s="36" t="n">
        <f aca="false">(D273/(H273+I273+J273))*I273</f>
        <v>0</v>
      </c>
      <c r="G273" s="36" t="n">
        <f aca="false">(D273/(H273+I273+J273))*J273</f>
        <v>0</v>
      </c>
      <c r="H273" s="15" t="n">
        <f aca="false">H272</f>
        <v>49</v>
      </c>
      <c r="I273" s="15" t="n">
        <f aca="false">I272</f>
        <v>31</v>
      </c>
      <c r="J273" s="15" t="n">
        <f aca="false">J272</f>
        <v>38</v>
      </c>
    </row>
    <row r="274" customFormat="false" ht="16.5" hidden="false" customHeight="false" outlineLevel="0" collapsed="false">
      <c r="A274" s="47"/>
      <c r="B274" s="54" t="str">
        <f aca="false">Хмільник!C289</f>
        <v>Апельсиновий нектар до 0,3 л</v>
      </c>
      <c r="C274" s="54" t="n">
        <v>14001</v>
      </c>
      <c r="D274" s="15"/>
      <c r="E274" s="36" t="n">
        <f aca="false">(D274/(H274+I274+J274))*H274</f>
        <v>0</v>
      </c>
      <c r="F274" s="36" t="n">
        <f aca="false">(D274/(H274+I274+J274))*I274</f>
        <v>0</v>
      </c>
      <c r="G274" s="36" t="n">
        <f aca="false">(D274/(H274+I274+J274))*J274</f>
        <v>0</v>
      </c>
      <c r="H274" s="15" t="n">
        <f aca="false">H273</f>
        <v>49</v>
      </c>
      <c r="I274" s="15" t="n">
        <f aca="false">I273</f>
        <v>31</v>
      </c>
      <c r="J274" s="15" t="n">
        <f aca="false">J273</f>
        <v>38</v>
      </c>
    </row>
    <row r="275" customFormat="false" ht="16.5" hidden="false" customHeight="false" outlineLevel="0" collapsed="false">
      <c r="A275" s="47"/>
      <c r="B275" s="54" t="str">
        <f aca="false">Хмільник!C290</f>
        <v>Апельсиновий нектар</v>
      </c>
      <c r="C275" s="54" t="n">
        <v>14002</v>
      </c>
      <c r="D275" s="15"/>
      <c r="E275" s="36" t="n">
        <f aca="false">(D275/(H275+I275+J275))*H275</f>
        <v>0</v>
      </c>
      <c r="F275" s="36" t="n">
        <f aca="false">(D275/(H275+I275+J275))*I275</f>
        <v>0</v>
      </c>
      <c r="G275" s="36" t="n">
        <f aca="false">(D275/(H275+I275+J275))*J275</f>
        <v>0</v>
      </c>
      <c r="H275" s="15" t="n">
        <f aca="false">H274</f>
        <v>49</v>
      </c>
      <c r="I275" s="15" t="n">
        <f aca="false">I274</f>
        <v>31</v>
      </c>
      <c r="J275" s="15" t="n">
        <f aca="false">J274</f>
        <v>38</v>
      </c>
    </row>
    <row r="276" customFormat="false" ht="16.5" hidden="false" customHeight="false" outlineLevel="0" collapsed="false">
      <c r="A276" s="47"/>
      <c r="B276" s="54" t="str">
        <f aca="false">Хмільник!C291</f>
        <v>Яблучно-виноградний сік до 0,3 л</v>
      </c>
      <c r="C276" s="54" t="n">
        <v>14003</v>
      </c>
      <c r="D276" s="15"/>
      <c r="E276" s="36" t="n">
        <f aca="false">(D276/(H276+I276+J276))*H276</f>
        <v>0</v>
      </c>
      <c r="F276" s="36" t="n">
        <f aca="false">(D276/(H276+I276+J276))*I276</f>
        <v>0</v>
      </c>
      <c r="G276" s="36" t="n">
        <f aca="false">(D276/(H276+I276+J276))*J276</f>
        <v>0</v>
      </c>
      <c r="H276" s="15" t="n">
        <f aca="false">H275</f>
        <v>49</v>
      </c>
      <c r="I276" s="15" t="n">
        <f aca="false">I275</f>
        <v>31</v>
      </c>
      <c r="J276" s="15" t="n">
        <f aca="false">J275</f>
        <v>38</v>
      </c>
    </row>
    <row r="277" customFormat="false" ht="16.5" hidden="false" customHeight="false" outlineLevel="0" collapsed="false">
      <c r="A277" s="47"/>
      <c r="B277" s="54" t="str">
        <f aca="false">Хмільник!C292</f>
        <v>Яблучно-виноградний сік</v>
      </c>
      <c r="C277" s="54" t="n">
        <v>14004</v>
      </c>
      <c r="D277" s="15"/>
      <c r="E277" s="36" t="n">
        <f aca="false">(D277/(H277+I277+J277))*H277</f>
        <v>0</v>
      </c>
      <c r="F277" s="36" t="n">
        <f aca="false">(D277/(H277+I277+J277))*I277</f>
        <v>0</v>
      </c>
      <c r="G277" s="36" t="n">
        <f aca="false">(D277/(H277+I277+J277))*J277</f>
        <v>0</v>
      </c>
      <c r="H277" s="15" t="n">
        <f aca="false">H276</f>
        <v>49</v>
      </c>
      <c r="I277" s="15" t="n">
        <f aca="false">I276</f>
        <v>31</v>
      </c>
      <c r="J277" s="15" t="n">
        <f aca="false">J276</f>
        <v>38</v>
      </c>
    </row>
    <row r="278" customFormat="false" ht="16.5" hidden="false" customHeight="false" outlineLevel="0" collapsed="false">
      <c r="A278" s="47"/>
      <c r="B278" s="54" t="str">
        <f aca="false">Хмільник!C293</f>
        <v>Вишневий нектар до 0,3 л</v>
      </c>
      <c r="C278" s="54" t="n">
        <v>14005</v>
      </c>
      <c r="D278" s="15"/>
      <c r="E278" s="36" t="n">
        <f aca="false">(D278/(H278+I278+J278))*H278</f>
        <v>0</v>
      </c>
      <c r="F278" s="36" t="n">
        <f aca="false">(D278/(H278+I278+J278))*I278</f>
        <v>0</v>
      </c>
      <c r="G278" s="36" t="n">
        <f aca="false">(D278/(H278+I278+J278))*J278</f>
        <v>0</v>
      </c>
      <c r="H278" s="15" t="n">
        <f aca="false">H277</f>
        <v>49</v>
      </c>
      <c r="I278" s="15" t="n">
        <f aca="false">I277</f>
        <v>31</v>
      </c>
      <c r="J278" s="15" t="n">
        <f aca="false">J277</f>
        <v>38</v>
      </c>
    </row>
    <row r="279" customFormat="false" ht="16.5" hidden="false" customHeight="false" outlineLevel="0" collapsed="false">
      <c r="A279" s="47"/>
      <c r="B279" s="54" t="str">
        <f aca="false">Хмільник!C294</f>
        <v>Вишневий нектар</v>
      </c>
      <c r="C279" s="54" t="n">
        <v>14006</v>
      </c>
      <c r="D279" s="15"/>
      <c r="E279" s="36" t="n">
        <f aca="false">(D279/(H279+I279+J279))*H279</f>
        <v>0</v>
      </c>
      <c r="F279" s="36" t="n">
        <f aca="false">(D279/(H279+I279+J279))*I279</f>
        <v>0</v>
      </c>
      <c r="G279" s="36" t="n">
        <f aca="false">(D279/(H279+I279+J279))*J279</f>
        <v>0</v>
      </c>
      <c r="H279" s="15" t="n">
        <f aca="false">H278</f>
        <v>49</v>
      </c>
      <c r="I279" s="15" t="n">
        <f aca="false">I278</f>
        <v>31</v>
      </c>
      <c r="J279" s="15" t="n">
        <f aca="false">J278</f>
        <v>38</v>
      </c>
    </row>
    <row r="280" customFormat="false" ht="16.5" hidden="false" customHeight="false" outlineLevel="0" collapsed="false">
      <c r="A280" s="47"/>
      <c r="B280" s="54" t="str">
        <f aca="false">Хмільник!C295</f>
        <v>Вода газована солодка 0,5 л</v>
      </c>
      <c r="C280" s="54" t="n">
        <v>14007</v>
      </c>
      <c r="D280" s="15"/>
      <c r="E280" s="36" t="n">
        <f aca="false">(D280/(H280+I280+J280))*H280</f>
        <v>0</v>
      </c>
      <c r="F280" s="36" t="n">
        <f aca="false">(D280/(H280+I280+J280))*I280</f>
        <v>0</v>
      </c>
      <c r="G280" s="36" t="n">
        <f aca="false">(D280/(H280+I280+J280))*J280</f>
        <v>0</v>
      </c>
      <c r="H280" s="15" t="n">
        <f aca="false">H279</f>
        <v>49</v>
      </c>
      <c r="I280" s="15" t="n">
        <f aca="false">I279</f>
        <v>31</v>
      </c>
      <c r="J280" s="15" t="n">
        <f aca="false">J279</f>
        <v>38</v>
      </c>
    </row>
    <row r="281" customFormat="false" ht="16.5" hidden="false" customHeight="false" outlineLevel="0" collapsed="false">
      <c r="A281" s="47"/>
      <c r="B281" s="54" t="str">
        <f aca="false">Хмільник!C296</f>
        <v>Вода мінеральна столова сильно газ. 0,5 л</v>
      </c>
      <c r="C281" s="54" t="n">
        <v>14008</v>
      </c>
      <c r="D281" s="15"/>
      <c r="E281" s="36" t="n">
        <f aca="false">(D281/(H281+I281+J281))*H281</f>
        <v>0</v>
      </c>
      <c r="F281" s="36" t="n">
        <f aca="false">(D281/(H281+I281+J281))*I281</f>
        <v>0</v>
      </c>
      <c r="G281" s="36" t="n">
        <f aca="false">(D281/(H281+I281+J281))*J281</f>
        <v>0</v>
      </c>
      <c r="H281" s="15" t="n">
        <f aca="false">H280</f>
        <v>49</v>
      </c>
      <c r="I281" s="15" t="n">
        <f aca="false">I280</f>
        <v>31</v>
      </c>
      <c r="J281" s="15" t="n">
        <f aca="false">J280</f>
        <v>38</v>
      </c>
    </row>
    <row r="282" customFormat="false" ht="16.5" hidden="false" customHeight="false" outlineLevel="0" collapsed="false">
      <c r="A282" s="47"/>
      <c r="B282" s="54" t="str">
        <f aca="false">Хмільник!C297</f>
        <v>Вода мінеральна столова негазована 0,5 л</v>
      </c>
      <c r="C282" s="54" t="n">
        <v>14010</v>
      </c>
      <c r="D282" s="15"/>
      <c r="E282" s="36" t="n">
        <f aca="false">(D282/(H282+I282+J282))*H282</f>
        <v>0</v>
      </c>
      <c r="F282" s="36" t="n">
        <f aca="false">(D282/(H282+I282+J282))*I282</f>
        <v>0</v>
      </c>
      <c r="G282" s="36" t="n">
        <f aca="false">(D282/(H282+I282+J282))*J282</f>
        <v>0</v>
      </c>
      <c r="H282" s="15" t="n">
        <f aca="false">H281</f>
        <v>49</v>
      </c>
      <c r="I282" s="15" t="n">
        <f aca="false">I281</f>
        <v>31</v>
      </c>
      <c r="J282" s="15" t="n">
        <f aca="false">J281</f>
        <v>38</v>
      </c>
    </row>
    <row r="283" customFormat="false" ht="16.5" hidden="false" customHeight="false" outlineLevel="0" collapsed="false">
      <c r="A283" s="47"/>
      <c r="B283" s="54" t="str">
        <f aca="false">Хмільник!C298</f>
        <v>Вода мінеральна столова негазована 1,5 л</v>
      </c>
      <c r="C283" s="54" t="n">
        <v>14011</v>
      </c>
      <c r="D283" s="15"/>
      <c r="E283" s="36" t="n">
        <f aca="false">(D283/(H283+I283+J283))*H283</f>
        <v>0</v>
      </c>
      <c r="F283" s="36" t="n">
        <f aca="false">(D283/(H283+I283+J283))*I283</f>
        <v>0</v>
      </c>
      <c r="G283" s="36" t="n">
        <f aca="false">(D283/(H283+I283+J283))*J283</f>
        <v>0</v>
      </c>
      <c r="H283" s="15" t="n">
        <f aca="false">H282</f>
        <v>49</v>
      </c>
      <c r="I283" s="15" t="n">
        <f aca="false">I282</f>
        <v>31</v>
      </c>
      <c r="J283" s="15" t="n">
        <f aca="false">J282</f>
        <v>38</v>
      </c>
    </row>
    <row r="284" customFormat="false" ht="16.5" hidden="false" customHeight="false" outlineLevel="0" collapsed="false">
      <c r="A284" s="47" t="n">
        <v>24</v>
      </c>
      <c r="B284" s="54" t="str">
        <f aca="false">Хмільник!C299</f>
        <v>Вода питна бутильована до 1,5 л</v>
      </c>
      <c r="C284" s="54" t="n">
        <v>14012</v>
      </c>
      <c r="D284" s="15"/>
      <c r="E284" s="36" t="n">
        <f aca="false">(D284/(H284+I284+J284))*H284</f>
        <v>0</v>
      </c>
      <c r="F284" s="36" t="n">
        <f aca="false">(D284/(H284+I284+J284))*I284</f>
        <v>0</v>
      </c>
      <c r="G284" s="36" t="n">
        <f aca="false">(D284/(H284+I284+J284))*J284</f>
        <v>0</v>
      </c>
      <c r="H284" s="15" t="n">
        <f aca="false">H283</f>
        <v>49</v>
      </c>
      <c r="I284" s="15" t="n">
        <f aca="false">I283</f>
        <v>31</v>
      </c>
      <c r="J284" s="15" t="n">
        <f aca="false">J283</f>
        <v>38</v>
      </c>
    </row>
    <row r="285" customFormat="false" ht="16.5" hidden="false" customHeight="false" outlineLevel="0" collapsed="false">
      <c r="A285" s="47"/>
      <c r="B285" s="54" t="str">
        <f aca="false">Хмільник!C300</f>
        <v>Гранатовий нектар</v>
      </c>
      <c r="C285" s="54" t="n">
        <v>14013</v>
      </c>
      <c r="D285" s="15"/>
      <c r="E285" s="36" t="n">
        <f aca="false">(D285/(H285+I285+J285))*H285</f>
        <v>0</v>
      </c>
      <c r="F285" s="36" t="n">
        <f aca="false">(D285/(H285+I285+J285))*I285</f>
        <v>0</v>
      </c>
      <c r="G285" s="36" t="n">
        <f aca="false">(D285/(H285+I285+J285))*J285</f>
        <v>0</v>
      </c>
      <c r="H285" s="15" t="n">
        <f aca="false">H284</f>
        <v>49</v>
      </c>
      <c r="I285" s="15" t="n">
        <f aca="false">I284</f>
        <v>31</v>
      </c>
      <c r="J285" s="15" t="n">
        <f aca="false">J284</f>
        <v>38</v>
      </c>
    </row>
    <row r="286" customFormat="false" ht="16.5" hidden="false" customHeight="false" outlineLevel="0" collapsed="false">
      <c r="A286" s="47"/>
      <c r="B286" s="54" t="str">
        <f aca="false">Хмільник!C301</f>
        <v>Кава натуральна мелена</v>
      </c>
      <c r="C286" s="54" t="n">
        <v>14015</v>
      </c>
      <c r="D286" s="15" t="n">
        <v>0.59</v>
      </c>
      <c r="E286" s="36" t="n">
        <f aca="false">(D286/(H286+I286+J286))*H286</f>
        <v>0.245</v>
      </c>
      <c r="F286" s="36" t="n">
        <f aca="false">(D286/(H286+I286+J286))*I286</f>
        <v>0.155</v>
      </c>
      <c r="G286" s="36" t="n">
        <f aca="false">(D286/(H286+I286+J286))*J286</f>
        <v>0.19</v>
      </c>
      <c r="H286" s="15" t="n">
        <f aca="false">H285</f>
        <v>49</v>
      </c>
      <c r="I286" s="15" t="n">
        <f aca="false">I285</f>
        <v>31</v>
      </c>
      <c r="J286" s="15" t="n">
        <f aca="false">J285</f>
        <v>38</v>
      </c>
    </row>
    <row r="287" customFormat="false" ht="16.5" hidden="false" customHeight="false" outlineLevel="0" collapsed="false">
      <c r="A287" s="15"/>
      <c r="B287" s="54" t="str">
        <f aca="false">Хмільник!C302</f>
        <v>Кава розчинна</v>
      </c>
      <c r="C287" s="54" t="n">
        <v>14016</v>
      </c>
      <c r="D287" s="15"/>
      <c r="E287" s="36" t="n">
        <f aca="false">(D287/(H287+I287+J287))*H287</f>
        <v>0</v>
      </c>
      <c r="F287" s="36" t="n">
        <f aca="false">(D287/(H287+I287+J287))*I287</f>
        <v>0</v>
      </c>
      <c r="G287" s="36" t="n">
        <f aca="false">(D287/(H287+I287+J287))*J287</f>
        <v>0</v>
      </c>
      <c r="H287" s="15" t="n">
        <f aca="false">H286</f>
        <v>49</v>
      </c>
      <c r="I287" s="15" t="n">
        <f aca="false">I286</f>
        <v>31</v>
      </c>
      <c r="J287" s="15" t="n">
        <f aca="false">J286</f>
        <v>38</v>
      </c>
    </row>
    <row r="288" customFormat="false" ht="16.5" hidden="false" customHeight="false" outlineLevel="0" collapsed="false">
      <c r="A288" s="47"/>
      <c r="B288" s="54" t="str">
        <f aca="false">Хмільник!C303</f>
        <v>Кавовий напій</v>
      </c>
      <c r="C288" s="54" t="n">
        <v>14017</v>
      </c>
      <c r="D288" s="15"/>
      <c r="E288" s="36" t="n">
        <f aca="false">(D288/(H288+I288+J288))*H288</f>
        <v>0</v>
      </c>
      <c r="F288" s="36" t="n">
        <f aca="false">(D288/(H288+I288+J288))*I288</f>
        <v>0</v>
      </c>
      <c r="G288" s="36" t="n">
        <f aca="false">(D288/(H288+I288+J288))*J288</f>
        <v>0</v>
      </c>
      <c r="H288" s="15" t="n">
        <f aca="false">H287</f>
        <v>49</v>
      </c>
      <c r="I288" s="15" t="n">
        <f aca="false">I287</f>
        <v>31</v>
      </c>
      <c r="J288" s="15" t="n">
        <f aca="false">J287</f>
        <v>38</v>
      </c>
    </row>
    <row r="289" customFormat="false" ht="16.5" hidden="false" customHeight="false" outlineLevel="0" collapsed="false">
      <c r="A289" s="47"/>
      <c r="B289" s="54" t="str">
        <f aca="false">Хмільник!C304</f>
        <v>Какао-порошок</v>
      </c>
      <c r="C289" s="54" t="n">
        <v>14018</v>
      </c>
      <c r="D289" s="15"/>
      <c r="E289" s="36" t="n">
        <f aca="false">(D289/(H289+I289+J289))*H289</f>
        <v>0</v>
      </c>
      <c r="F289" s="36" t="n">
        <f aca="false">(D289/(H289+I289+J289))*I289</f>
        <v>0</v>
      </c>
      <c r="G289" s="36" t="n">
        <f aca="false">(D289/(H289+I289+J289))*J289</f>
        <v>0</v>
      </c>
      <c r="H289" s="15" t="n">
        <f aca="false">H288</f>
        <v>49</v>
      </c>
      <c r="I289" s="15" t="n">
        <f aca="false">I288</f>
        <v>31</v>
      </c>
      <c r="J289" s="15" t="n">
        <f aca="false">J288</f>
        <v>38</v>
      </c>
    </row>
    <row r="290" customFormat="false" ht="16.5" hidden="false" customHeight="false" outlineLevel="0" collapsed="false">
      <c r="A290" s="47"/>
      <c r="B290" s="54" t="str">
        <f aca="false">Хмільник!C305</f>
        <v>Мультивітамінний сік</v>
      </c>
      <c r="C290" s="54" t="n">
        <v>14020</v>
      </c>
      <c r="D290" s="15"/>
      <c r="E290" s="36" t="n">
        <f aca="false">(D290/(H290+I290+J290))*H290</f>
        <v>0</v>
      </c>
      <c r="F290" s="36" t="n">
        <f aca="false">(D290/(H290+I290+J290))*I290</f>
        <v>0</v>
      </c>
      <c r="G290" s="36" t="n">
        <f aca="false">(D290/(H290+I290+J290))*J290</f>
        <v>0</v>
      </c>
      <c r="H290" s="15" t="n">
        <f aca="false">H289</f>
        <v>49</v>
      </c>
      <c r="I290" s="15" t="n">
        <f aca="false">I289</f>
        <v>31</v>
      </c>
      <c r="J290" s="15" t="n">
        <f aca="false">J289</f>
        <v>38</v>
      </c>
    </row>
    <row r="291" customFormat="false" ht="16.5" hidden="false" customHeight="false" outlineLevel="0" collapsed="false">
      <c r="A291" s="47" t="n">
        <v>25</v>
      </c>
      <c r="B291" s="54" t="str">
        <f aca="false">Хмільник!C306</f>
        <v>Томатний сік</v>
      </c>
      <c r="C291" s="54" t="n">
        <v>14022</v>
      </c>
      <c r="D291" s="15"/>
      <c r="E291" s="36" t="n">
        <f aca="false">(D291/(H291+I291+J291))*H291</f>
        <v>0</v>
      </c>
      <c r="F291" s="36" t="n">
        <f aca="false">(D291/(H291+I291+J291))*I291</f>
        <v>0</v>
      </c>
      <c r="G291" s="36" t="n">
        <f aca="false">(D291/(H291+I291+J291))*J291</f>
        <v>0</v>
      </c>
      <c r="H291" s="15" t="n">
        <f aca="false">H290</f>
        <v>49</v>
      </c>
      <c r="I291" s="15" t="n">
        <f aca="false">I290</f>
        <v>31</v>
      </c>
      <c r="J291" s="15" t="n">
        <f aca="false">J290</f>
        <v>38</v>
      </c>
    </row>
    <row r="292" customFormat="false" ht="16.5" hidden="false" customHeight="false" outlineLevel="0" collapsed="false">
      <c r="A292" s="47"/>
      <c r="B292" s="54" t="str">
        <f aca="false">Хмільник!C307</f>
        <v>Цукор індивідуального пакування</v>
      </c>
      <c r="C292" s="54" t="n">
        <v>14024</v>
      </c>
      <c r="D292" s="15"/>
      <c r="E292" s="36" t="n">
        <f aca="false">(D292/(H292+I292+J292))*H292</f>
        <v>0</v>
      </c>
      <c r="F292" s="36" t="n">
        <f aca="false">(D292/(H292+I292+J292))*I292</f>
        <v>0</v>
      </c>
      <c r="G292" s="36" t="n">
        <f aca="false">(D292/(H292+I292+J292))*J292</f>
        <v>0</v>
      </c>
      <c r="H292" s="15" t="n">
        <f aca="false">H291</f>
        <v>49</v>
      </c>
      <c r="I292" s="15" t="n">
        <f aca="false">I291</f>
        <v>31</v>
      </c>
      <c r="J292" s="15" t="n">
        <f aca="false">J291</f>
        <v>38</v>
      </c>
    </row>
    <row r="293" customFormat="false" ht="16.5" hidden="false" customHeight="false" outlineLevel="0" collapsed="false">
      <c r="A293" s="15"/>
      <c r="B293" s="54" t="str">
        <f aca="false">Хмільник!C308</f>
        <v>Цукор</v>
      </c>
      <c r="C293" s="54" t="n">
        <v>14025</v>
      </c>
      <c r="D293" s="15" t="n">
        <v>7.08</v>
      </c>
      <c r="E293" s="36" t="n">
        <f aca="false">(D293/(H293+I293+J293))*H293</f>
        <v>2.94</v>
      </c>
      <c r="F293" s="36" t="n">
        <f aca="false">(D293/(H293+I293+J293))*I293</f>
        <v>1.86</v>
      </c>
      <c r="G293" s="36" t="n">
        <f aca="false">(D293/(H293+I293+J293))*J293</f>
        <v>2.28</v>
      </c>
      <c r="H293" s="15" t="n">
        <f aca="false">H292</f>
        <v>49</v>
      </c>
      <c r="I293" s="15" t="n">
        <f aca="false">I292</f>
        <v>31</v>
      </c>
      <c r="J293" s="15" t="n">
        <f aca="false">J292</f>
        <v>38</v>
      </c>
    </row>
    <row r="294" customFormat="false" ht="16.5" hidden="false" customHeight="false" outlineLevel="0" collapsed="false">
      <c r="A294" s="47"/>
      <c r="B294" s="54" t="str">
        <f aca="false">Хмільник!C309</f>
        <v>Чай зелений пакетований</v>
      </c>
      <c r="C294" s="54" t="n">
        <v>14026</v>
      </c>
      <c r="D294" s="15"/>
      <c r="E294" s="36" t="n">
        <f aca="false">(D294/(H294+I294+J294))*H294</f>
        <v>0</v>
      </c>
      <c r="F294" s="36" t="n">
        <f aca="false">(D294/(H294+I294+J294))*I294</f>
        <v>0</v>
      </c>
      <c r="G294" s="36" t="n">
        <f aca="false">(D294/(H294+I294+J294))*J294</f>
        <v>0</v>
      </c>
      <c r="H294" s="15" t="n">
        <f aca="false">H293</f>
        <v>49</v>
      </c>
      <c r="I294" s="15" t="n">
        <f aca="false">I293</f>
        <v>31</v>
      </c>
      <c r="J294" s="15" t="n">
        <f aca="false">J293</f>
        <v>38</v>
      </c>
    </row>
    <row r="295" customFormat="false" ht="16.5" hidden="false" customHeight="false" outlineLevel="0" collapsed="false">
      <c r="A295" s="47"/>
      <c r="B295" s="54" t="str">
        <f aca="false">Хмільник!C310</f>
        <v>Чай зелений нефасований</v>
      </c>
      <c r="C295" s="54" t="n">
        <v>14027</v>
      </c>
      <c r="D295" s="15"/>
      <c r="E295" s="36" t="n">
        <f aca="false">(D295/(H295+I295+J295))*H295</f>
        <v>0</v>
      </c>
      <c r="F295" s="36" t="n">
        <f aca="false">(D295/(H295+I295+J295))*I295</f>
        <v>0</v>
      </c>
      <c r="G295" s="36" t="n">
        <f aca="false">(D295/(H295+I295+J295))*J295</f>
        <v>0</v>
      </c>
      <c r="H295" s="15" t="n">
        <f aca="false">H294</f>
        <v>49</v>
      </c>
      <c r="I295" s="15" t="n">
        <f aca="false">I294</f>
        <v>31</v>
      </c>
      <c r="J295" s="15" t="n">
        <f aca="false">J294</f>
        <v>38</v>
      </c>
    </row>
    <row r="296" customFormat="false" ht="16.5" hidden="false" customHeight="false" outlineLevel="0" collapsed="false">
      <c r="A296" s="47" t="n">
        <v>26</v>
      </c>
      <c r="B296" s="54" t="str">
        <f aca="false">Хмільник!C311</f>
        <v>Чай чорний з добавками пакетований</v>
      </c>
      <c r="C296" s="54" t="n">
        <v>14028</v>
      </c>
      <c r="D296" s="15"/>
      <c r="E296" s="36" t="n">
        <f aca="false">(D296/(H296+I296+J296))*H296</f>
        <v>0</v>
      </c>
      <c r="F296" s="36" t="n">
        <f aca="false">(D296/(H296+I296+J296))*I296</f>
        <v>0</v>
      </c>
      <c r="G296" s="36" t="n">
        <f aca="false">(D296/(H296+I296+J296))*J296</f>
        <v>0</v>
      </c>
      <c r="H296" s="15" t="n">
        <f aca="false">H295</f>
        <v>49</v>
      </c>
      <c r="I296" s="15" t="n">
        <f aca="false">I295</f>
        <v>31</v>
      </c>
      <c r="J296" s="15" t="n">
        <f aca="false">J295</f>
        <v>38</v>
      </c>
    </row>
    <row r="297" customFormat="false" ht="16.5" hidden="false" customHeight="false" outlineLevel="0" collapsed="false">
      <c r="A297" s="47"/>
      <c r="B297" s="54" t="str">
        <f aca="false">Хмільник!C312</f>
        <v>Чай чорний пакетований</v>
      </c>
      <c r="C297" s="54" t="n">
        <v>14029</v>
      </c>
      <c r="D297" s="15"/>
      <c r="E297" s="36" t="n">
        <f aca="false">(D297/(H297+I297+J297))*H297</f>
        <v>0</v>
      </c>
      <c r="F297" s="36" t="n">
        <f aca="false">(D297/(H297+I297+J297))*I297</f>
        <v>0</v>
      </c>
      <c r="G297" s="36" t="n">
        <f aca="false">(D297/(H297+I297+J297))*J297</f>
        <v>0</v>
      </c>
      <c r="H297" s="15" t="n">
        <f aca="false">H296</f>
        <v>49</v>
      </c>
      <c r="I297" s="15" t="n">
        <f aca="false">I296</f>
        <v>31</v>
      </c>
      <c r="J297" s="15" t="n">
        <f aca="false">J296</f>
        <v>38</v>
      </c>
    </row>
    <row r="298" customFormat="false" ht="16.5" hidden="false" customHeight="false" outlineLevel="0" collapsed="false">
      <c r="A298" s="15"/>
      <c r="B298" s="54" t="str">
        <f aca="false">Хмільник!C313</f>
        <v>Чай чорний нефасований</v>
      </c>
      <c r="C298" s="54" t="n">
        <v>14030</v>
      </c>
      <c r="D298" s="15" t="n">
        <v>0.118</v>
      </c>
      <c r="E298" s="36" t="n">
        <f aca="false">(D298/(H298+I298+J298))*H298</f>
        <v>0.049</v>
      </c>
      <c r="F298" s="36" t="n">
        <f aca="false">(D298/(H298+I298+J298))*I298</f>
        <v>0.031</v>
      </c>
      <c r="G298" s="36" t="n">
        <f aca="false">(D298/(H298+I298+J298))*J298</f>
        <v>0.038</v>
      </c>
      <c r="H298" s="15" t="n">
        <f aca="false">H297</f>
        <v>49</v>
      </c>
      <c r="I298" s="15" t="n">
        <f aca="false">I297</f>
        <v>31</v>
      </c>
      <c r="J298" s="15" t="n">
        <f aca="false">J297</f>
        <v>38</v>
      </c>
    </row>
    <row r="299" customFormat="false" ht="16.5" hidden="false" customHeight="false" outlineLevel="0" collapsed="false">
      <c r="A299" s="47"/>
      <c r="B299" s="54" t="str">
        <f aca="false">Хмільник!C314</f>
        <v>Яблучний сік до 0,3 л</v>
      </c>
      <c r="C299" s="54" t="n">
        <v>14031</v>
      </c>
      <c r="D299" s="15"/>
      <c r="E299" s="36" t="n">
        <f aca="false">(D299/(H299+I299+J299))*H299</f>
        <v>0</v>
      </c>
      <c r="F299" s="36" t="n">
        <f aca="false">(D299/(H299+I299+J299))*I299</f>
        <v>0</v>
      </c>
      <c r="G299" s="36" t="n">
        <f aca="false">(D299/(H299+I299+J299))*J299</f>
        <v>0</v>
      </c>
      <c r="H299" s="15" t="n">
        <f aca="false">H298</f>
        <v>49</v>
      </c>
      <c r="I299" s="15" t="n">
        <f aca="false">I298</f>
        <v>31</v>
      </c>
      <c r="J299" s="15" t="n">
        <f aca="false">J298</f>
        <v>38</v>
      </c>
    </row>
    <row r="300" customFormat="false" ht="16.5" hidden="false" customHeight="false" outlineLevel="0" collapsed="false">
      <c r="A300" s="47"/>
      <c r="B300" s="54" t="str">
        <f aca="false">Хмільник!C315</f>
        <v>Яблучний сік</v>
      </c>
      <c r="C300" s="54" t="n">
        <v>14032</v>
      </c>
      <c r="D300" s="15"/>
      <c r="E300" s="36" t="n">
        <f aca="false">(D300/(H300+I300+J300))*H300</f>
        <v>0</v>
      </c>
      <c r="F300" s="36" t="n">
        <f aca="false">(D300/(H300+I300+J300))*I300</f>
        <v>0</v>
      </c>
      <c r="G300" s="36" t="n">
        <f aca="false">(D300/(H300+I300+J300))*J300</f>
        <v>0</v>
      </c>
      <c r="H300" s="15" t="n">
        <f aca="false">H299</f>
        <v>49</v>
      </c>
      <c r="I300" s="15" t="n">
        <f aca="false">I299</f>
        <v>31</v>
      </c>
      <c r="J300" s="15" t="n">
        <f aca="false">J299</f>
        <v>38</v>
      </c>
    </row>
    <row r="301" customFormat="false" ht="16.5" hidden="false" customHeight="false" outlineLevel="0" collapsed="false">
      <c r="A301" s="47"/>
      <c r="B301" s="54" t="str">
        <f aca="false">Хмільник!C316</f>
        <v>Персиковий нектар</v>
      </c>
      <c r="C301" s="54" t="n">
        <v>14035</v>
      </c>
      <c r="D301" s="15"/>
      <c r="E301" s="36" t="n">
        <f aca="false">(D301/(H301+I301+J301))*H301</f>
        <v>0</v>
      </c>
      <c r="F301" s="36" t="n">
        <f aca="false">(D301/(H301+I301+J301))*I301</f>
        <v>0</v>
      </c>
      <c r="G301" s="36" t="n">
        <f aca="false">(D301/(H301+I301+J301))*J301</f>
        <v>0</v>
      </c>
      <c r="H301" s="15" t="n">
        <f aca="false">H300</f>
        <v>49</v>
      </c>
      <c r="I301" s="15" t="n">
        <f aca="false">I300</f>
        <v>31</v>
      </c>
      <c r="J301" s="15" t="n">
        <f aca="false">J300</f>
        <v>38</v>
      </c>
    </row>
    <row r="302" customFormat="false" ht="16.5" hidden="false" customHeight="false" outlineLevel="0" collapsed="false">
      <c r="A302" s="47"/>
      <c r="B302" s="54" t="str">
        <f aca="false">Хмільник!C317</f>
        <v>Чай зелений з добавками пакетований</v>
      </c>
      <c r="C302" s="54" t="n">
        <v>14036</v>
      </c>
      <c r="D302" s="15"/>
      <c r="E302" s="36" t="n">
        <f aca="false">(D302/(H302+I302+J302))*H302</f>
        <v>0</v>
      </c>
      <c r="F302" s="36" t="n">
        <f aca="false">(D302/(H302+I302+J302))*I302</f>
        <v>0</v>
      </c>
      <c r="G302" s="36" t="n">
        <f aca="false">(D302/(H302+I302+J302))*J302</f>
        <v>0</v>
      </c>
      <c r="H302" s="15" t="n">
        <f aca="false">H301</f>
        <v>49</v>
      </c>
      <c r="I302" s="15" t="n">
        <f aca="false">I301</f>
        <v>31</v>
      </c>
      <c r="J302" s="15" t="n">
        <f aca="false">J301</f>
        <v>38</v>
      </c>
    </row>
    <row r="303" customFormat="false" ht="16.5" hidden="false" customHeight="false" outlineLevel="0" collapsed="false">
      <c r="A303" s="47"/>
      <c r="B303" s="54" t="str">
        <f aca="false">Хмільник!C318</f>
        <v>Сік морквяний</v>
      </c>
      <c r="C303" s="54" t="n">
        <v>14037</v>
      </c>
      <c r="D303" s="15"/>
      <c r="E303" s="36" t="n">
        <f aca="false">(D303/(H303+I303+J303))*H303</f>
        <v>0</v>
      </c>
      <c r="F303" s="36" t="n">
        <f aca="false">(D303/(H303+I303+J303))*I303</f>
        <v>0</v>
      </c>
      <c r="G303" s="36" t="n">
        <f aca="false">(D303/(H303+I303+J303))*J303</f>
        <v>0</v>
      </c>
      <c r="H303" s="15" t="n">
        <f aca="false">H302</f>
        <v>49</v>
      </c>
      <c r="I303" s="15" t="n">
        <f aca="false">I302</f>
        <v>31</v>
      </c>
      <c r="J303" s="15" t="n">
        <f aca="false">J302</f>
        <v>38</v>
      </c>
    </row>
    <row r="304" customFormat="false" ht="16.5" hidden="false" customHeight="false" outlineLevel="0" collapsed="false">
      <c r="A304" s="47"/>
      <c r="B304" s="54" t="str">
        <f aca="false">Хмільник!C319</f>
        <v>Ананас консервований</v>
      </c>
      <c r="C304" s="54" t="n">
        <v>14101</v>
      </c>
      <c r="D304" s="15"/>
      <c r="E304" s="36" t="n">
        <f aca="false">(D304/(H304+I304+J304))*H304</f>
        <v>0</v>
      </c>
      <c r="F304" s="36" t="n">
        <f aca="false">(D304/(H304+I304+J304))*I304</f>
        <v>0</v>
      </c>
      <c r="G304" s="36" t="n">
        <f aca="false">(D304/(H304+I304+J304))*J304</f>
        <v>0</v>
      </c>
      <c r="H304" s="15" t="n">
        <f aca="false">H303</f>
        <v>49</v>
      </c>
      <c r="I304" s="15" t="n">
        <f aca="false">I303</f>
        <v>31</v>
      </c>
      <c r="J304" s="15" t="n">
        <f aca="false">J303</f>
        <v>38</v>
      </c>
    </row>
    <row r="305" customFormat="false" ht="16.5" hidden="false" customHeight="false" outlineLevel="0" collapsed="false">
      <c r="A305" s="47"/>
      <c r="B305" s="54" t="str">
        <f aca="false">Хмільник!C320</f>
        <v>Ананас свіжий</v>
      </c>
      <c r="C305" s="54" t="n">
        <v>14102</v>
      </c>
      <c r="D305" s="15"/>
      <c r="E305" s="36" t="n">
        <f aca="false">(D305/(H305+I305+J305))*H305</f>
        <v>0</v>
      </c>
      <c r="F305" s="36" t="n">
        <f aca="false">(D305/(H305+I305+J305))*I305</f>
        <v>0</v>
      </c>
      <c r="G305" s="36" t="n">
        <f aca="false">(D305/(H305+I305+J305))*J305</f>
        <v>0</v>
      </c>
      <c r="H305" s="15" t="n">
        <f aca="false">H304</f>
        <v>49</v>
      </c>
      <c r="I305" s="15" t="n">
        <f aca="false">I304</f>
        <v>31</v>
      </c>
      <c r="J305" s="15" t="n">
        <f aca="false">J304</f>
        <v>38</v>
      </c>
    </row>
    <row r="306" customFormat="false" ht="16.5" hidden="false" customHeight="false" outlineLevel="0" collapsed="false">
      <c r="A306" s="47"/>
      <c r="B306" s="54" t="str">
        <f aca="false">Хмільник!C321</f>
        <v>Апельсин</v>
      </c>
      <c r="C306" s="54" t="n">
        <v>14103</v>
      </c>
      <c r="D306" s="15"/>
      <c r="E306" s="36" t="n">
        <f aca="false">(D306/(H306+I306+J306))*H306</f>
        <v>0</v>
      </c>
      <c r="F306" s="36" t="n">
        <f aca="false">(D306/(H306+I306+J306))*I306</f>
        <v>0</v>
      </c>
      <c r="G306" s="36" t="n">
        <f aca="false">(D306/(H306+I306+J306))*J306</f>
        <v>0</v>
      </c>
      <c r="H306" s="15" t="n">
        <f aca="false">H305</f>
        <v>49</v>
      </c>
      <c r="I306" s="15" t="n">
        <f aca="false">I305</f>
        <v>31</v>
      </c>
      <c r="J306" s="15" t="n">
        <f aca="false">J305</f>
        <v>38</v>
      </c>
    </row>
    <row r="307" customFormat="false" ht="16.5" hidden="false" customHeight="false" outlineLevel="0" collapsed="false">
      <c r="A307" s="47"/>
      <c r="B307" s="54" t="str">
        <f aca="false">Хмільник!C322</f>
        <v>Банан</v>
      </c>
      <c r="C307" s="54" t="n">
        <v>14104</v>
      </c>
      <c r="D307" s="15"/>
      <c r="E307" s="36" t="n">
        <f aca="false">(D307/(H307+I307+J307))*H307</f>
        <v>0</v>
      </c>
      <c r="F307" s="36" t="n">
        <f aca="false">(D307/(H307+I307+J307))*I307</f>
        <v>0</v>
      </c>
      <c r="G307" s="36" t="n">
        <f aca="false">(D307/(H307+I307+J307))*J307</f>
        <v>0</v>
      </c>
      <c r="H307" s="15" t="n">
        <f aca="false">H306</f>
        <v>49</v>
      </c>
      <c r="I307" s="15" t="n">
        <f aca="false">I306</f>
        <v>31</v>
      </c>
      <c r="J307" s="15" t="n">
        <f aca="false">J306</f>
        <v>38</v>
      </c>
    </row>
    <row r="308" customFormat="false" ht="16.5" hidden="false" customHeight="false" outlineLevel="0" collapsed="false">
      <c r="A308" s="47"/>
      <c r="B308" s="54" t="str">
        <f aca="false">Хмільник!C323</f>
        <v>Виноград</v>
      </c>
      <c r="C308" s="54" t="n">
        <v>14105</v>
      </c>
      <c r="D308" s="15"/>
      <c r="E308" s="36" t="n">
        <f aca="false">(D308/(H308+I308+J308))*H308</f>
        <v>0</v>
      </c>
      <c r="F308" s="36" t="n">
        <f aca="false">(D308/(H308+I308+J308))*I308</f>
        <v>0</v>
      </c>
      <c r="G308" s="36" t="n">
        <f aca="false">(D308/(H308+I308+J308))*J308</f>
        <v>0</v>
      </c>
      <c r="H308" s="15" t="n">
        <f aca="false">H307</f>
        <v>49</v>
      </c>
      <c r="I308" s="15" t="n">
        <f aca="false">I307</f>
        <v>31</v>
      </c>
      <c r="J308" s="15" t="n">
        <f aca="false">J307</f>
        <v>38</v>
      </c>
    </row>
    <row r="309" customFormat="false" ht="16.5" hidden="false" customHeight="false" outlineLevel="0" collapsed="false">
      <c r="A309" s="47"/>
      <c r="B309" s="54" t="str">
        <f aca="false">Хмільник!C324</f>
        <v>Арахіс смажений</v>
      </c>
      <c r="C309" s="54" t="n">
        <v>14106</v>
      </c>
      <c r="D309" s="15"/>
      <c r="E309" s="36" t="n">
        <f aca="false">(D309/(H309+I309+J309))*H309</f>
        <v>0</v>
      </c>
      <c r="F309" s="36" t="n">
        <f aca="false">(D309/(H309+I309+J309))*I309</f>
        <v>0</v>
      </c>
      <c r="G309" s="36" t="n">
        <f aca="false">(D309/(H309+I309+J309))*J309</f>
        <v>0</v>
      </c>
      <c r="H309" s="15" t="n">
        <f aca="false">H308</f>
        <v>49</v>
      </c>
      <c r="I309" s="15" t="n">
        <f aca="false">I308</f>
        <v>31</v>
      </c>
      <c r="J309" s="15" t="n">
        <f aca="false">J308</f>
        <v>38</v>
      </c>
    </row>
    <row r="310" customFormat="false" ht="16.5" hidden="false" customHeight="false" outlineLevel="0" collapsed="false">
      <c r="A310" s="47"/>
      <c r="B310" s="54" t="str">
        <f aca="false">Хмільник!C325</f>
        <v>Горіх волоський ядро</v>
      </c>
      <c r="C310" s="54" t="n">
        <v>14107</v>
      </c>
      <c r="D310" s="15"/>
      <c r="E310" s="36" t="n">
        <f aca="false">(D310/(H310+I310+J310))*H310</f>
        <v>0</v>
      </c>
      <c r="F310" s="36" t="n">
        <f aca="false">(D310/(H310+I310+J310))*I310</f>
        <v>0</v>
      </c>
      <c r="G310" s="36" t="n">
        <f aca="false">(D310/(H310+I310+J310))*J310</f>
        <v>0</v>
      </c>
      <c r="H310" s="15" t="n">
        <f aca="false">H309</f>
        <v>49</v>
      </c>
      <c r="I310" s="15" t="n">
        <f aca="false">I309</f>
        <v>31</v>
      </c>
      <c r="J310" s="15" t="n">
        <f aca="false">J309</f>
        <v>38</v>
      </c>
    </row>
    <row r="311" customFormat="false" ht="16.5" hidden="false" customHeight="false" outlineLevel="0" collapsed="false">
      <c r="A311" s="47"/>
      <c r="B311" s="54" t="str">
        <f aca="false">Хмільник!C326</f>
        <v>Горіх кеш'ю</v>
      </c>
      <c r="C311" s="54" t="n">
        <v>14108</v>
      </c>
      <c r="D311" s="15"/>
      <c r="E311" s="36" t="n">
        <f aca="false">(D311/(H311+I311+J311))*H311</f>
        <v>0</v>
      </c>
      <c r="F311" s="36" t="n">
        <f aca="false">(D311/(H311+I311+J311))*I311</f>
        <v>0</v>
      </c>
      <c r="G311" s="36" t="n">
        <f aca="false">(D311/(H311+I311+J311))*J311</f>
        <v>0</v>
      </c>
      <c r="H311" s="15" t="n">
        <f aca="false">H310</f>
        <v>49</v>
      </c>
      <c r="I311" s="15" t="n">
        <f aca="false">I310</f>
        <v>31</v>
      </c>
      <c r="J311" s="15" t="n">
        <f aca="false">J310</f>
        <v>38</v>
      </c>
    </row>
    <row r="312" customFormat="false" ht="16.5" hidden="false" customHeight="false" outlineLevel="0" collapsed="false">
      <c r="A312" s="47"/>
      <c r="B312" s="54" t="str">
        <f aca="false">Хмільник!C327</f>
        <v>Горіх фундук ядро сушений</v>
      </c>
      <c r="C312" s="54" t="n">
        <v>14109</v>
      </c>
      <c r="D312" s="15"/>
      <c r="E312" s="36" t="n">
        <f aca="false">(D312/(H312+I312+J312))*H312</f>
        <v>0</v>
      </c>
      <c r="F312" s="36" t="n">
        <f aca="false">(D312/(H312+I312+J312))*I312</f>
        <v>0</v>
      </c>
      <c r="G312" s="36" t="n">
        <f aca="false">(D312/(H312+I312+J312))*J312</f>
        <v>0</v>
      </c>
      <c r="H312" s="15" t="n">
        <f aca="false">H311</f>
        <v>49</v>
      </c>
      <c r="I312" s="15" t="n">
        <f aca="false">I311</f>
        <v>31</v>
      </c>
      <c r="J312" s="15" t="n">
        <f aca="false">J311</f>
        <v>38</v>
      </c>
    </row>
    <row r="313" customFormat="false" ht="16.5" hidden="false" customHeight="false" outlineLevel="0" collapsed="false">
      <c r="A313" s="47"/>
      <c r="B313" s="54" t="str">
        <f aca="false">Хмільник!C328</f>
        <v>Грейпфрут</v>
      </c>
      <c r="C313" s="54" t="n">
        <v>14110</v>
      </c>
      <c r="D313" s="15"/>
      <c r="E313" s="36" t="n">
        <f aca="false">(D313/(H313+I313+J313))*H313</f>
        <v>0</v>
      </c>
      <c r="F313" s="36" t="n">
        <f aca="false">(D313/(H313+I313+J313))*I313</f>
        <v>0</v>
      </c>
      <c r="G313" s="36" t="n">
        <f aca="false">(D313/(H313+I313+J313))*J313</f>
        <v>0</v>
      </c>
      <c r="H313" s="15" t="n">
        <f aca="false">H312</f>
        <v>49</v>
      </c>
      <c r="I313" s="15" t="n">
        <f aca="false">I312</f>
        <v>31</v>
      </c>
      <c r="J313" s="15" t="n">
        <f aca="false">J312</f>
        <v>38</v>
      </c>
    </row>
    <row r="314" customFormat="false" ht="16.5" hidden="false" customHeight="false" outlineLevel="0" collapsed="false">
      <c r="A314" s="47"/>
      <c r="B314" s="54" t="str">
        <f aca="false">Хмільник!C329</f>
        <v>Груша свіжа ранніх термінів достигання</v>
      </c>
      <c r="C314" s="54" t="n">
        <v>14111</v>
      </c>
      <c r="D314" s="15"/>
      <c r="E314" s="36" t="n">
        <f aca="false">(D314/(H314+I314+J314))*H314</f>
        <v>0</v>
      </c>
      <c r="F314" s="36" t="n">
        <f aca="false">(D314/(H314+I314+J314))*I314</f>
        <v>0</v>
      </c>
      <c r="G314" s="36" t="n">
        <f aca="false">(D314/(H314+I314+J314))*J314</f>
        <v>0</v>
      </c>
      <c r="H314" s="15" t="n">
        <f aca="false">H313</f>
        <v>49</v>
      </c>
      <c r="I314" s="15" t="n">
        <f aca="false">I313</f>
        <v>31</v>
      </c>
      <c r="J314" s="15" t="n">
        <f aca="false">J313</f>
        <v>38</v>
      </c>
    </row>
    <row r="315" customFormat="false" ht="16.5" hidden="false" customHeight="false" outlineLevel="0" collapsed="false">
      <c r="A315" s="47"/>
      <c r="B315" s="54" t="str">
        <f aca="false">Хмільник!C330</f>
        <v>Груша свіжа сер. та пізн. терм. достигання</v>
      </c>
      <c r="C315" s="54" t="n">
        <v>14112</v>
      </c>
      <c r="D315" s="15"/>
      <c r="E315" s="36" t="n">
        <f aca="false">(D315/(H315+I315+J315))*H315</f>
        <v>0</v>
      </c>
      <c r="F315" s="36" t="n">
        <f aca="false">(D315/(H315+I315+J315))*I315</f>
        <v>0</v>
      </c>
      <c r="G315" s="36" t="n">
        <f aca="false">(D315/(H315+I315+J315))*J315</f>
        <v>0</v>
      </c>
      <c r="H315" s="15" t="n">
        <f aca="false">H314</f>
        <v>49</v>
      </c>
      <c r="I315" s="15" t="n">
        <f aca="false">I314</f>
        <v>31</v>
      </c>
      <c r="J315" s="15" t="n">
        <f aca="false">J314</f>
        <v>38</v>
      </c>
    </row>
    <row r="316" customFormat="false" ht="16.5" hidden="false" customHeight="false" outlineLevel="0" collapsed="false">
      <c r="A316" s="47"/>
      <c r="B316" s="54" t="str">
        <f aca="false">Хмільник!C331</f>
        <v>Груша консервована</v>
      </c>
      <c r="C316" s="54" t="n">
        <v>14113</v>
      </c>
      <c r="D316" s="15"/>
      <c r="E316" s="36" t="n">
        <f aca="false">(D316/(H316+I316+J316))*H316</f>
        <v>0</v>
      </c>
      <c r="F316" s="36" t="n">
        <f aca="false">(D316/(H316+I316+J316))*I316</f>
        <v>0</v>
      </c>
      <c r="G316" s="36" t="n">
        <f aca="false">(D316/(H316+I316+J316))*J316</f>
        <v>0</v>
      </c>
      <c r="H316" s="15" t="n">
        <f aca="false">H315</f>
        <v>49</v>
      </c>
      <c r="I316" s="15" t="n">
        <f aca="false">I315</f>
        <v>31</v>
      </c>
      <c r="J316" s="15" t="n">
        <f aca="false">J315</f>
        <v>38</v>
      </c>
    </row>
    <row r="317" customFormat="false" ht="16.5" hidden="false" customHeight="false" outlineLevel="0" collapsed="false">
      <c r="A317" s="47"/>
      <c r="B317" s="54" t="str">
        <f aca="false">Хмільник!C332</f>
        <v>Диня</v>
      </c>
      <c r="C317" s="54" t="n">
        <v>14114</v>
      </c>
      <c r="D317" s="15"/>
      <c r="E317" s="36" t="n">
        <f aca="false">(D317/(H317+I317+J317))*H317</f>
        <v>0</v>
      </c>
      <c r="F317" s="36" t="n">
        <f aca="false">(D317/(H317+I317+J317))*I317</f>
        <v>0</v>
      </c>
      <c r="G317" s="36" t="n">
        <f aca="false">(D317/(H317+I317+J317))*J317</f>
        <v>0</v>
      </c>
      <c r="H317" s="15" t="n">
        <f aca="false">H316</f>
        <v>49</v>
      </c>
      <c r="I317" s="15" t="n">
        <f aca="false">I316</f>
        <v>31</v>
      </c>
      <c r="J317" s="15" t="n">
        <f aca="false">J316</f>
        <v>38</v>
      </c>
    </row>
    <row r="318" customFormat="false" ht="16.5" hidden="false" customHeight="false" outlineLevel="0" collapsed="false">
      <c r="A318" s="47"/>
      <c r="B318" s="54" t="str">
        <f aca="false">Хмільник!C333</f>
        <v>Кавун</v>
      </c>
      <c r="C318" s="54" t="n">
        <v>14115</v>
      </c>
      <c r="D318" s="15"/>
      <c r="E318" s="36" t="n">
        <f aca="false">(D318/(H318+I318+J318))*H318</f>
        <v>0</v>
      </c>
      <c r="F318" s="36" t="n">
        <f aca="false">(D318/(H318+I318+J318))*I318</f>
        <v>0</v>
      </c>
      <c r="G318" s="36" t="n">
        <f aca="false">(D318/(H318+I318+J318))*J318</f>
        <v>0</v>
      </c>
      <c r="H318" s="15" t="n">
        <f aca="false">H317</f>
        <v>49</v>
      </c>
      <c r="I318" s="15" t="n">
        <f aca="false">I317</f>
        <v>31</v>
      </c>
      <c r="J318" s="15" t="n">
        <f aca="false">J317</f>
        <v>38</v>
      </c>
    </row>
    <row r="319" customFormat="false" ht="16.5" hidden="false" customHeight="false" outlineLevel="0" collapsed="false">
      <c r="A319" s="47" t="n">
        <v>27</v>
      </c>
      <c r="B319" s="54" t="str">
        <f aca="false">Хмільник!C334</f>
        <v>Ківі</v>
      </c>
      <c r="C319" s="54" t="n">
        <v>14116</v>
      </c>
      <c r="D319" s="15"/>
      <c r="E319" s="36" t="n">
        <f aca="false">(D319/(H319+I319+J319))*H319</f>
        <v>0</v>
      </c>
      <c r="F319" s="36" t="n">
        <f aca="false">(D319/(H319+I319+J319))*I319</f>
        <v>0</v>
      </c>
      <c r="G319" s="36" t="n">
        <f aca="false">(D319/(H319+I319+J319))*J319</f>
        <v>0</v>
      </c>
      <c r="H319" s="15" t="n">
        <f aca="false">H318</f>
        <v>49</v>
      </c>
      <c r="I319" s="15" t="n">
        <f aca="false">I318</f>
        <v>31</v>
      </c>
      <c r="J319" s="15" t="n">
        <f aca="false">J318</f>
        <v>38</v>
      </c>
    </row>
    <row r="320" customFormat="false" ht="16.5" hidden="false" customHeight="false" outlineLevel="0" collapsed="false">
      <c r="A320" s="47"/>
      <c r="B320" s="54" t="str">
        <f aca="false">Хмільник!C335</f>
        <v>Курага</v>
      </c>
      <c r="C320" s="54" t="n">
        <v>14117</v>
      </c>
      <c r="D320" s="15"/>
      <c r="E320" s="36" t="n">
        <f aca="false">(D320/(H320+I320+J320))*H320</f>
        <v>0</v>
      </c>
      <c r="F320" s="36" t="n">
        <f aca="false">(D320/(H320+I320+J320))*I320</f>
        <v>0</v>
      </c>
      <c r="G320" s="36" t="n">
        <f aca="false">(D320/(H320+I320+J320))*J320</f>
        <v>0</v>
      </c>
      <c r="H320" s="15" t="n">
        <f aca="false">H319</f>
        <v>49</v>
      </c>
      <c r="I320" s="15" t="n">
        <f aca="false">I319</f>
        <v>31</v>
      </c>
      <c r="J320" s="15" t="n">
        <f aca="false">J319</f>
        <v>38</v>
      </c>
    </row>
    <row r="321" customFormat="false" ht="16.5" hidden="false" customHeight="false" outlineLevel="0" collapsed="false">
      <c r="A321" s="47"/>
      <c r="B321" s="54" t="str">
        <f aca="false">Хмільник!C336</f>
        <v>Лимон</v>
      </c>
      <c r="C321" s="54" t="n">
        <v>14118</v>
      </c>
      <c r="D321" s="15" t="n">
        <v>0.59</v>
      </c>
      <c r="E321" s="36" t="n">
        <f aca="false">(D321/(H321+I321+J321))*H321</f>
        <v>0.245</v>
      </c>
      <c r="F321" s="36" t="n">
        <f aca="false">(D321/(H321+I321+J321))*I321</f>
        <v>0.155</v>
      </c>
      <c r="G321" s="36" t="n">
        <f aca="false">(D321/(H321+I321+J321))*J321</f>
        <v>0.19</v>
      </c>
      <c r="H321" s="15" t="n">
        <f aca="false">H320</f>
        <v>49</v>
      </c>
      <c r="I321" s="15" t="n">
        <f aca="false">I320</f>
        <v>31</v>
      </c>
      <c r="J321" s="15" t="n">
        <f aca="false">J320</f>
        <v>38</v>
      </c>
    </row>
    <row r="322" customFormat="false" ht="16.5" hidden="false" customHeight="false" outlineLevel="0" collapsed="false">
      <c r="A322" s="47"/>
      <c r="B322" s="54" t="str">
        <f aca="false">Хмільник!C337</f>
        <v>Малина свіжа</v>
      </c>
      <c r="C322" s="54" t="n">
        <v>14120</v>
      </c>
      <c r="D322" s="15"/>
      <c r="E322" s="36" t="n">
        <f aca="false">(D322/(H322+I322+J322))*H322</f>
        <v>0</v>
      </c>
      <c r="F322" s="36" t="n">
        <f aca="false">(D322/(H322+I322+J322))*I322</f>
        <v>0</v>
      </c>
      <c r="G322" s="36" t="n">
        <f aca="false">(D322/(H322+I322+J322))*J322</f>
        <v>0</v>
      </c>
      <c r="H322" s="15" t="n">
        <f aca="false">H321</f>
        <v>49</v>
      </c>
      <c r="I322" s="15" t="n">
        <f aca="false">I321</f>
        <v>31</v>
      </c>
      <c r="J322" s="15" t="n">
        <f aca="false">J321</f>
        <v>38</v>
      </c>
    </row>
    <row r="323" customFormat="false" ht="16.5" hidden="false" customHeight="false" outlineLevel="0" collapsed="false">
      <c r="A323" s="47"/>
      <c r="B323" s="54" t="str">
        <f aca="false">Хмільник!C338</f>
        <v>Мандарин</v>
      </c>
      <c r="C323" s="54" t="n">
        <v>14121</v>
      </c>
      <c r="D323" s="15"/>
      <c r="E323" s="36" t="n">
        <f aca="false">(D323/(H323+I323+J323))*H323</f>
        <v>0</v>
      </c>
      <c r="F323" s="36" t="n">
        <f aca="false">(D323/(H323+I323+J323))*I323</f>
        <v>0</v>
      </c>
      <c r="G323" s="36" t="n">
        <f aca="false">(D323/(H323+I323+J323))*J323</f>
        <v>0</v>
      </c>
      <c r="H323" s="15" t="n">
        <f aca="false">H322</f>
        <v>49</v>
      </c>
      <c r="I323" s="15" t="n">
        <f aca="false">I322</f>
        <v>31</v>
      </c>
      <c r="J323" s="15" t="n">
        <f aca="false">J322</f>
        <v>38</v>
      </c>
    </row>
    <row r="324" customFormat="false" ht="16.5" hidden="false" customHeight="false" outlineLevel="0" collapsed="false">
      <c r="A324" s="47"/>
      <c r="B324" s="54" t="str">
        <f aca="false">Хмільник!C339</f>
        <v>Персик консервований</v>
      </c>
      <c r="C324" s="54" t="n">
        <v>14122</v>
      </c>
      <c r="D324" s="15"/>
      <c r="E324" s="36" t="n">
        <f aca="false">(D324/(H324+I324+J324))*H324</f>
        <v>0</v>
      </c>
      <c r="F324" s="36" t="n">
        <f aca="false">(D324/(H324+I324+J324))*I324</f>
        <v>0</v>
      </c>
      <c r="G324" s="36" t="n">
        <f aca="false">(D324/(H324+I324+J324))*J324</f>
        <v>0</v>
      </c>
      <c r="H324" s="15" t="n">
        <f aca="false">H323</f>
        <v>49</v>
      </c>
      <c r="I324" s="15" t="n">
        <f aca="false">I323</f>
        <v>31</v>
      </c>
      <c r="J324" s="15" t="n">
        <f aca="false">J323</f>
        <v>38</v>
      </c>
    </row>
    <row r="325" customFormat="false" ht="16.5" hidden="false" customHeight="false" outlineLevel="0" collapsed="false">
      <c r="A325" s="47"/>
      <c r="B325" s="54" t="str">
        <f aca="false">Хмільник!C340</f>
        <v>Родзинки</v>
      </c>
      <c r="C325" s="54" t="n">
        <v>14123</v>
      </c>
      <c r="D325" s="15"/>
      <c r="E325" s="36" t="n">
        <f aca="false">(D325/(H325+I325+J325))*H325</f>
        <v>0</v>
      </c>
      <c r="F325" s="36" t="n">
        <f aca="false">(D325/(H325+I325+J325))*I325</f>
        <v>0</v>
      </c>
      <c r="G325" s="36" t="n">
        <f aca="false">(D325/(H325+I325+J325))*J325</f>
        <v>0</v>
      </c>
      <c r="H325" s="15" t="n">
        <f aca="false">H324</f>
        <v>49</v>
      </c>
      <c r="I325" s="15" t="n">
        <f aca="false">I324</f>
        <v>31</v>
      </c>
      <c r="J325" s="15" t="n">
        <f aca="false">J324</f>
        <v>38</v>
      </c>
    </row>
    <row r="326" customFormat="false" ht="16.5" hidden="false" customHeight="false" outlineLevel="0" collapsed="false">
      <c r="A326" s="47"/>
      <c r="B326" s="54" t="str">
        <f aca="false">Хмільник!C341</f>
        <v>Суміш сухофруктів</v>
      </c>
      <c r="C326" s="54" t="n">
        <v>14124</v>
      </c>
      <c r="D326" s="15"/>
      <c r="E326" s="36" t="n">
        <f aca="false">(D326/(H326+I326+J326))*H326</f>
        <v>0</v>
      </c>
      <c r="F326" s="36" t="n">
        <f aca="false">(D326/(H326+I326+J326))*I326</f>
        <v>0</v>
      </c>
      <c r="G326" s="36" t="n">
        <f aca="false">(D326/(H326+I326+J326))*J326</f>
        <v>0</v>
      </c>
      <c r="H326" s="15" t="n">
        <f aca="false">H325</f>
        <v>49</v>
      </c>
      <c r="I326" s="15" t="n">
        <f aca="false">I325</f>
        <v>31</v>
      </c>
      <c r="J326" s="15" t="n">
        <f aca="false">J325</f>
        <v>38</v>
      </c>
    </row>
    <row r="327" customFormat="false" ht="16.5" hidden="false" customHeight="false" outlineLevel="0" collapsed="false">
      <c r="A327" s="47"/>
      <c r="B327" s="54" t="str">
        <f aca="false">Хмільник!C342</f>
        <v>Суміш фруктів консервована</v>
      </c>
      <c r="C327" s="54" t="n">
        <v>14125</v>
      </c>
      <c r="D327" s="15"/>
      <c r="E327" s="36" t="n">
        <f aca="false">(D327/(H327+I327+J327))*H327</f>
        <v>0</v>
      </c>
      <c r="F327" s="36" t="n">
        <f aca="false">(D327/(H327+I327+J327))*I327</f>
        <v>0</v>
      </c>
      <c r="G327" s="36" t="n">
        <f aca="false">(D327/(H327+I327+J327))*J327</f>
        <v>0</v>
      </c>
      <c r="H327" s="15" t="n">
        <f aca="false">H326</f>
        <v>49</v>
      </c>
      <c r="I327" s="15" t="n">
        <f aca="false">I326</f>
        <v>31</v>
      </c>
      <c r="J327" s="15" t="n">
        <f aca="false">J326</f>
        <v>38</v>
      </c>
    </row>
    <row r="328" customFormat="false" ht="16.5" hidden="false" customHeight="false" outlineLevel="0" collapsed="false">
      <c r="A328" s="47"/>
      <c r="B328" s="54" t="str">
        <f aca="false">Хмільник!C343</f>
        <v>Хурма</v>
      </c>
      <c r="C328" s="54" t="n">
        <v>14126</v>
      </c>
      <c r="D328" s="15"/>
      <c r="E328" s="36" t="n">
        <f aca="false">(D328/(H328+I328+J328))*H328</f>
        <v>0</v>
      </c>
      <c r="F328" s="36" t="n">
        <f aca="false">(D328/(H328+I328+J328))*I328</f>
        <v>0</v>
      </c>
      <c r="G328" s="36" t="n">
        <f aca="false">(D328/(H328+I328+J328))*J328</f>
        <v>0</v>
      </c>
      <c r="H328" s="15" t="n">
        <f aca="false">H327</f>
        <v>49</v>
      </c>
      <c r="I328" s="15" t="n">
        <f aca="false">I327</f>
        <v>31</v>
      </c>
      <c r="J328" s="15" t="n">
        <f aca="false">J327</f>
        <v>38</v>
      </c>
    </row>
    <row r="329" customFormat="false" ht="16.5" hidden="false" customHeight="false" outlineLevel="0" collapsed="false">
      <c r="A329" s="47"/>
      <c r="B329" s="54" t="str">
        <f aca="false">Хмільник!C344</f>
        <v>Черешня</v>
      </c>
      <c r="C329" s="54" t="n">
        <v>14127</v>
      </c>
      <c r="D329" s="15"/>
      <c r="E329" s="36" t="n">
        <f aca="false">(D329/(H329+I329+J329))*H329</f>
        <v>0</v>
      </c>
      <c r="F329" s="36" t="n">
        <f aca="false">(D329/(H329+I329+J329))*I329</f>
        <v>0</v>
      </c>
      <c r="G329" s="36" t="n">
        <f aca="false">(D329/(H329+I329+J329))*J329</f>
        <v>0</v>
      </c>
      <c r="H329" s="15" t="n">
        <f aca="false">H328</f>
        <v>49</v>
      </c>
      <c r="I329" s="15" t="n">
        <f aca="false">I328</f>
        <v>31</v>
      </c>
      <c r="J329" s="15" t="n">
        <f aca="false">J328</f>
        <v>38</v>
      </c>
    </row>
    <row r="330" customFormat="false" ht="16.5" hidden="false" customHeight="false" outlineLevel="0" collapsed="false">
      <c r="A330" s="47"/>
      <c r="B330" s="54" t="str">
        <f aca="false">Хмільник!C345</f>
        <v>Чорнослив без кісточки</v>
      </c>
      <c r="C330" s="54" t="n">
        <v>14128</v>
      </c>
      <c r="D330" s="15"/>
      <c r="E330" s="36" t="n">
        <f aca="false">(D330/(H330+I330+J330))*H330</f>
        <v>0</v>
      </c>
      <c r="F330" s="36" t="n">
        <f aca="false">(D330/(H330+I330+J330))*I330</f>
        <v>0</v>
      </c>
      <c r="G330" s="36" t="n">
        <f aca="false">(D330/(H330+I330+J330))*J330</f>
        <v>0</v>
      </c>
      <c r="H330" s="15" t="n">
        <f aca="false">H329</f>
        <v>49</v>
      </c>
      <c r="I330" s="15" t="n">
        <f aca="false">I329</f>
        <v>31</v>
      </c>
      <c r="J330" s="15" t="n">
        <f aca="false">J329</f>
        <v>38</v>
      </c>
    </row>
    <row r="331" customFormat="false" ht="16.5" hidden="false" customHeight="false" outlineLevel="0" collapsed="false">
      <c r="A331" s="47"/>
      <c r="B331" s="54" t="str">
        <f aca="false">Хмільник!C346</f>
        <v>Нектарин</v>
      </c>
      <c r="C331" s="54" t="n">
        <v>14129</v>
      </c>
      <c r="D331" s="15"/>
      <c r="E331" s="36" t="n">
        <f aca="false">(D331/(H331+I331+J331))*H331</f>
        <v>0</v>
      </c>
      <c r="F331" s="36" t="n">
        <f aca="false">(D331/(H331+I331+J331))*I331</f>
        <v>0</v>
      </c>
      <c r="G331" s="36" t="n">
        <f aca="false">(D331/(H331+I331+J331))*J331</f>
        <v>0</v>
      </c>
      <c r="H331" s="15" t="n">
        <f aca="false">H330</f>
        <v>49</v>
      </c>
      <c r="I331" s="15" t="n">
        <f aca="false">I330</f>
        <v>31</v>
      </c>
      <c r="J331" s="15" t="n">
        <f aca="false">J330</f>
        <v>38</v>
      </c>
    </row>
    <row r="332" customFormat="false" ht="16.5" hidden="false" customHeight="false" outlineLevel="0" collapsed="false">
      <c r="A332" s="47"/>
      <c r="B332" s="54" t="str">
        <f aca="false">Хмільник!C347</f>
        <v>Яблука свіжі ранніх термінів достигання</v>
      </c>
      <c r="C332" s="54" t="n">
        <v>14131</v>
      </c>
      <c r="D332" s="15"/>
      <c r="E332" s="36" t="n">
        <f aca="false">(D332/(H332+I332+J332))*H332</f>
        <v>0</v>
      </c>
      <c r="F332" s="36" t="n">
        <f aca="false">(D332/(H332+I332+J332))*I332</f>
        <v>0</v>
      </c>
      <c r="G332" s="36" t="n">
        <f aca="false">(D332/(H332+I332+J332))*J332</f>
        <v>0</v>
      </c>
      <c r="H332" s="15" t="n">
        <f aca="false">H331</f>
        <v>49</v>
      </c>
      <c r="I332" s="15" t="n">
        <f aca="false">I331</f>
        <v>31</v>
      </c>
      <c r="J332" s="15" t="n">
        <f aca="false">J331</f>
        <v>38</v>
      </c>
    </row>
    <row r="333" customFormat="false" ht="16.5" hidden="false" customHeight="false" outlineLevel="0" collapsed="false">
      <c r="A333" s="47"/>
      <c r="B333" s="54" t="str">
        <f aca="false">Хмільник!C348</f>
        <v>Яблука свіжі пізніх (серед.) терм. достиган.</v>
      </c>
      <c r="C333" s="54" t="n">
        <v>14132</v>
      </c>
      <c r="D333" s="15"/>
      <c r="E333" s="36" t="n">
        <f aca="false">(D333/(H333+I333+J333))*H333</f>
        <v>0</v>
      </c>
      <c r="F333" s="36" t="n">
        <f aca="false">(D333/(H333+I333+J333))*I333</f>
        <v>0</v>
      </c>
      <c r="G333" s="36" t="n">
        <f aca="false">(D333/(H333+I333+J333))*J333</f>
        <v>0</v>
      </c>
      <c r="H333" s="15" t="n">
        <f aca="false">H332</f>
        <v>49</v>
      </c>
      <c r="I333" s="15" t="n">
        <f aca="false">I332</f>
        <v>31</v>
      </c>
      <c r="J333" s="15" t="n">
        <f aca="false">J332</f>
        <v>38</v>
      </c>
    </row>
    <row r="334" customFormat="false" ht="16.5" hidden="false" customHeight="false" outlineLevel="0" collapsed="false">
      <c r="A334" s="47"/>
      <c r="B334" s="54" t="str">
        <f aca="false">Хмільник!C349</f>
        <v>Насіння льону</v>
      </c>
      <c r="C334" s="54" t="n">
        <v>14133</v>
      </c>
      <c r="D334" s="15"/>
      <c r="E334" s="36" t="n">
        <f aca="false">(D334/(H334+I334+J334))*H334</f>
        <v>0</v>
      </c>
      <c r="F334" s="36" t="n">
        <f aca="false">(D334/(H334+I334+J334))*I334</f>
        <v>0</v>
      </c>
      <c r="G334" s="36" t="n">
        <f aca="false">(D334/(H334+I334+J334))*J334</f>
        <v>0</v>
      </c>
      <c r="H334" s="15" t="n">
        <f aca="false">H333</f>
        <v>49</v>
      </c>
      <c r="I334" s="15" t="n">
        <f aca="false">I333</f>
        <v>31</v>
      </c>
      <c r="J334" s="15" t="n">
        <f aca="false">J333</f>
        <v>38</v>
      </c>
    </row>
    <row r="335" customFormat="false" ht="16.5" hidden="false" customHeight="false" outlineLevel="0" collapsed="false">
      <c r="A335" s="47"/>
      <c r="B335" s="54" t="str">
        <f aca="false">Хмільник!C350</f>
        <v>Шипшина сушена</v>
      </c>
      <c r="C335" s="54" t="n">
        <v>14134</v>
      </c>
      <c r="D335" s="15"/>
      <c r="E335" s="36" t="n">
        <f aca="false">(D335/(H335+I335+J335))*H335</f>
        <v>0</v>
      </c>
      <c r="F335" s="36" t="n">
        <f aca="false">(D335/(H335+I335+J335))*I335</f>
        <v>0</v>
      </c>
      <c r="G335" s="36" t="n">
        <f aca="false">(D335/(H335+I335+J335))*J335</f>
        <v>0</v>
      </c>
      <c r="H335" s="15" t="n">
        <f aca="false">H334</f>
        <v>49</v>
      </c>
      <c r="I335" s="15" t="n">
        <f aca="false">I334</f>
        <v>31</v>
      </c>
      <c r="J335" s="15" t="n">
        <f aca="false">J334</f>
        <v>38</v>
      </c>
    </row>
    <row r="336" customFormat="false" ht="16.5" hidden="false" customHeight="false" outlineLevel="0" collapsed="false">
      <c r="A336" s="47"/>
      <c r="B336" s="54" t="str">
        <f aca="false">Хмільник!C351</f>
        <v>Слива свіжа сезонна</v>
      </c>
      <c r="C336" s="54" t="n">
        <v>14135</v>
      </c>
      <c r="D336" s="15"/>
      <c r="E336" s="36" t="n">
        <f aca="false">(D336/(H336+I336+J336))*H336</f>
        <v>0</v>
      </c>
      <c r="F336" s="36" t="n">
        <f aca="false">(D336/(H336+I336+J336))*I336</f>
        <v>0</v>
      </c>
      <c r="G336" s="36" t="n">
        <f aca="false">(D336/(H336+I336+J336))*J336</f>
        <v>0</v>
      </c>
      <c r="H336" s="15" t="n">
        <f aca="false">H335</f>
        <v>49</v>
      </c>
      <c r="I336" s="15" t="n">
        <f aca="false">I335</f>
        <v>31</v>
      </c>
      <c r="J336" s="15" t="n">
        <f aca="false">J335</f>
        <v>38</v>
      </c>
    </row>
    <row r="337" customFormat="false" ht="16.5" hidden="false" customHeight="false" outlineLevel="0" collapsed="false">
      <c r="A337" s="47"/>
      <c r="B337" s="54" t="str">
        <f aca="false">Хмільник!C352</f>
        <v>Гарбузове насіння чищене</v>
      </c>
      <c r="C337" s="54" t="n">
        <v>14136</v>
      </c>
      <c r="D337" s="15"/>
      <c r="E337" s="36" t="n">
        <f aca="false">(D337/(H337+I337+J337))*H337</f>
        <v>0</v>
      </c>
      <c r="F337" s="36" t="n">
        <f aca="false">(D337/(H337+I337+J337))*I337</f>
        <v>0</v>
      </c>
      <c r="G337" s="36" t="n">
        <f aca="false">(D337/(H337+I337+J337))*J337</f>
        <v>0</v>
      </c>
      <c r="H337" s="15" t="n">
        <f aca="false">H336</f>
        <v>49</v>
      </c>
      <c r="I337" s="15" t="n">
        <f aca="false">I336</f>
        <v>31</v>
      </c>
      <c r="J337" s="15" t="n">
        <f aca="false">J336</f>
        <v>38</v>
      </c>
    </row>
    <row r="338" customFormat="false" ht="16.5" hidden="false" customHeight="false" outlineLevel="0" collapsed="false">
      <c r="A338" s="47"/>
      <c r="B338" s="54" t="str">
        <f aca="false">Хмільник!C353</f>
        <v>Інжир сушений</v>
      </c>
      <c r="C338" s="54" t="n">
        <v>14137</v>
      </c>
      <c r="D338" s="15"/>
      <c r="E338" s="36" t="n">
        <f aca="false">(D338/(H338+I338+J338))*H338</f>
        <v>0</v>
      </c>
      <c r="F338" s="36" t="n">
        <f aca="false">(D338/(H338+I338+J338))*I338</f>
        <v>0</v>
      </c>
      <c r="G338" s="36" t="n">
        <f aca="false">(D338/(H338+I338+J338))*J338</f>
        <v>0</v>
      </c>
      <c r="H338" s="15" t="n">
        <f aca="false">H337</f>
        <v>49</v>
      </c>
      <c r="I338" s="15" t="n">
        <f aca="false">I337</f>
        <v>31</v>
      </c>
      <c r="J338" s="15" t="n">
        <f aca="false">J337</f>
        <v>38</v>
      </c>
    </row>
    <row r="339" customFormat="false" ht="16.5" hidden="false" customHeight="false" outlineLevel="0" collapsed="false">
      <c r="A339" s="47"/>
      <c r="B339" s="54" t="str">
        <f aca="false">Хмільник!C354</f>
        <v>Абрикос</v>
      </c>
      <c r="C339" s="54" t="n">
        <v>14138</v>
      </c>
      <c r="D339" s="15"/>
      <c r="E339" s="36" t="n">
        <f aca="false">(D339/(H339+I339+J339))*H339</f>
        <v>0</v>
      </c>
      <c r="F339" s="36" t="n">
        <f aca="false">(D339/(H339+I339+J339))*I339</f>
        <v>0</v>
      </c>
      <c r="G339" s="36" t="n">
        <f aca="false">(D339/(H339+I339+J339))*J339</f>
        <v>0</v>
      </c>
      <c r="H339" s="15" t="n">
        <f aca="false">H338</f>
        <v>49</v>
      </c>
      <c r="I339" s="15" t="n">
        <f aca="false">I338</f>
        <v>31</v>
      </c>
      <c r="J339" s="15" t="n">
        <f aca="false">J338</f>
        <v>38</v>
      </c>
    </row>
    <row r="340" customFormat="false" ht="16.5" hidden="false" customHeight="false" outlineLevel="0" collapsed="false">
      <c r="A340" s="47"/>
      <c r="B340" s="54" t="str">
        <f aca="false">Хмільник!C355</f>
        <v>Персик</v>
      </c>
      <c r="C340" s="54" t="n">
        <v>14139</v>
      </c>
      <c r="D340" s="15"/>
      <c r="E340" s="36" t="n">
        <f aca="false">(D340/(H340+I340+J340))*H340</f>
        <v>0</v>
      </c>
      <c r="F340" s="36" t="n">
        <f aca="false">(D340/(H340+I340+J340))*I340</f>
        <v>0</v>
      </c>
      <c r="G340" s="36" t="n">
        <f aca="false">(D340/(H340+I340+J340))*J340</f>
        <v>0</v>
      </c>
      <c r="H340" s="15" t="n">
        <f aca="false">H339</f>
        <v>49</v>
      </c>
      <c r="I340" s="15" t="n">
        <f aca="false">I339</f>
        <v>31</v>
      </c>
      <c r="J340" s="15" t="n">
        <f aca="false">J339</f>
        <v>38</v>
      </c>
    </row>
    <row r="341" customFormat="false" ht="16.5" hidden="false" customHeight="false" outlineLevel="0" collapsed="false">
      <c r="A341" s="47"/>
      <c r="B341" s="54" t="str">
        <f aca="false">Хмільник!C356</f>
        <v>Полуниця</v>
      </c>
      <c r="C341" s="54" t="n">
        <v>14141</v>
      </c>
      <c r="D341" s="15"/>
      <c r="E341" s="36" t="n">
        <f aca="false">(D341/(H341+I341+J341))*H341</f>
        <v>0</v>
      </c>
      <c r="F341" s="36" t="n">
        <f aca="false">(D341/(H341+I341+J341))*I341</f>
        <v>0</v>
      </c>
      <c r="G341" s="36" t="n">
        <f aca="false">(D341/(H341+I341+J341))*J341</f>
        <v>0</v>
      </c>
      <c r="H341" s="15" t="n">
        <f aca="false">H340</f>
        <v>49</v>
      </c>
      <c r="I341" s="15" t="n">
        <f aca="false">I340</f>
        <v>31</v>
      </c>
      <c r="J341" s="15" t="n">
        <f aca="false">J340</f>
        <v>38</v>
      </c>
    </row>
    <row r="342" customFormat="false" ht="16.5" hidden="false" customHeight="false" outlineLevel="0" collapsed="false">
      <c r="A342" s="47"/>
      <c r="B342" s="54" t="str">
        <f aca="false">Хмільник!C357</f>
        <v>Смородина чорна</v>
      </c>
      <c r="C342" s="54" t="n">
        <v>14142</v>
      </c>
      <c r="D342" s="15"/>
      <c r="E342" s="36" t="n">
        <f aca="false">(D342/(H342+I342+J342))*H342</f>
        <v>0</v>
      </c>
      <c r="F342" s="36" t="n">
        <f aca="false">(D342/(H342+I342+J342))*I342</f>
        <v>0</v>
      </c>
      <c r="G342" s="36" t="n">
        <f aca="false">(D342/(H342+I342+J342))*J342</f>
        <v>0</v>
      </c>
      <c r="H342" s="15" t="n">
        <f aca="false">H341</f>
        <v>49</v>
      </c>
      <c r="I342" s="15" t="n">
        <f aca="false">I341</f>
        <v>31</v>
      </c>
      <c r="J342" s="15" t="n">
        <f aca="false">J341</f>
        <v>38</v>
      </c>
    </row>
    <row r="343" customFormat="false" ht="16.5" hidden="false" customHeight="false" outlineLevel="0" collapsed="false">
      <c r="A343" s="47"/>
      <c r="B343" s="54" t="str">
        <f aca="false">Хмільник!C358</f>
        <v>Авокадо</v>
      </c>
      <c r="C343" s="54" t="n">
        <v>14143</v>
      </c>
      <c r="D343" s="15"/>
      <c r="E343" s="36" t="n">
        <f aca="false">(D343/(H343+I343+J343))*H343</f>
        <v>0</v>
      </c>
      <c r="F343" s="36" t="n">
        <f aca="false">(D343/(H343+I343+J343))*I343</f>
        <v>0</v>
      </c>
      <c r="G343" s="36" t="n">
        <f aca="false">(D343/(H343+I343+J343))*J343</f>
        <v>0</v>
      </c>
      <c r="H343" s="15" t="n">
        <f aca="false">H342</f>
        <v>49</v>
      </c>
      <c r="I343" s="15" t="n">
        <f aca="false">I342</f>
        <v>31</v>
      </c>
      <c r="J343" s="15" t="n">
        <f aca="false">J342</f>
        <v>38</v>
      </c>
    </row>
    <row r="344" customFormat="false" ht="16.5" hidden="false" customHeight="false" outlineLevel="0" collapsed="false">
      <c r="A344" s="47"/>
      <c r="B344" s="54" t="str">
        <f aca="false">Хмільник!C359</f>
        <v>Батон</v>
      </c>
      <c r="C344" s="54" t="n">
        <v>15001</v>
      </c>
      <c r="D344" s="15"/>
      <c r="E344" s="36" t="n">
        <f aca="false">(D344/(H344+I344+J344))*H344</f>
        <v>0</v>
      </c>
      <c r="F344" s="36" t="n">
        <f aca="false">(D344/(H344+I344+J344))*I344</f>
        <v>0</v>
      </c>
      <c r="G344" s="36" t="n">
        <f aca="false">(D344/(H344+I344+J344))*J344</f>
        <v>0</v>
      </c>
      <c r="H344" s="15" t="n">
        <f aca="false">H343</f>
        <v>49</v>
      </c>
      <c r="I344" s="15" t="n">
        <f aca="false">I343</f>
        <v>31</v>
      </c>
      <c r="J344" s="15" t="n">
        <f aca="false">J343</f>
        <v>38</v>
      </c>
    </row>
    <row r="345" customFormat="false" ht="16.5" hidden="false" customHeight="false" outlineLevel="0" collapsed="false">
      <c r="A345" s="47" t="n">
        <v>28</v>
      </c>
      <c r="B345" s="54" t="str">
        <f aca="false">Хмільник!C360</f>
        <v>Борошно пшеничне першого ґатунку</v>
      </c>
      <c r="C345" s="54" t="n">
        <v>15003</v>
      </c>
      <c r="D345" s="15"/>
      <c r="E345" s="36" t="n">
        <f aca="false">(D345/(H345+I345+J345))*H345</f>
        <v>0</v>
      </c>
      <c r="F345" s="36" t="n">
        <f aca="false">(D345/(H345+I345+J345))*I345</f>
        <v>0</v>
      </c>
      <c r="G345" s="36" t="n">
        <f aca="false">(D345/(H345+I345+J345))*J345</f>
        <v>0</v>
      </c>
      <c r="H345" s="15" t="n">
        <f aca="false">H344</f>
        <v>49</v>
      </c>
      <c r="I345" s="15" t="n">
        <f aca="false">I344</f>
        <v>31</v>
      </c>
      <c r="J345" s="15" t="n">
        <f aca="false">J344</f>
        <v>38</v>
      </c>
    </row>
    <row r="346" customFormat="false" ht="16.5" hidden="false" customHeight="false" outlineLevel="0" collapsed="false">
      <c r="A346" s="47"/>
      <c r="B346" s="54" t="str">
        <f aca="false">Хмільник!C361</f>
        <v>Борошно пшеничне другого ґатунку</v>
      </c>
      <c r="C346" s="54" t="n">
        <v>15004</v>
      </c>
      <c r="D346" s="15"/>
      <c r="E346" s="36" t="n">
        <f aca="false">(D346/(H346+I346+J346))*H346</f>
        <v>0</v>
      </c>
      <c r="F346" s="36" t="n">
        <f aca="false">(D346/(H346+I346+J346))*I346</f>
        <v>0</v>
      </c>
      <c r="G346" s="36" t="n">
        <f aca="false">(D346/(H346+I346+J346))*J346</f>
        <v>0</v>
      </c>
      <c r="H346" s="15" t="n">
        <f aca="false">H345</f>
        <v>49</v>
      </c>
      <c r="I346" s="15" t="n">
        <f aca="false">I345</f>
        <v>31</v>
      </c>
      <c r="J346" s="15" t="n">
        <f aca="false">J345</f>
        <v>38</v>
      </c>
    </row>
    <row r="347" customFormat="false" ht="16.5" hidden="false" customHeight="false" outlineLevel="0" collapsed="false">
      <c r="A347" s="15"/>
      <c r="B347" s="54" t="str">
        <f aca="false">Хмільник!C362</f>
        <v>Борошно пшеничне вищого ґатунку</v>
      </c>
      <c r="C347" s="54" t="n">
        <v>15005</v>
      </c>
      <c r="D347" s="15" t="n">
        <v>2.36</v>
      </c>
      <c r="E347" s="36" t="n">
        <f aca="false">(D347/(H347+I347+J347))*H347</f>
        <v>0.98</v>
      </c>
      <c r="F347" s="36" t="n">
        <f aca="false">(D347/(H347+I347+J347))*I347</f>
        <v>0.62</v>
      </c>
      <c r="G347" s="36" t="n">
        <f aca="false">(D347/(H347+I347+J347))*J347</f>
        <v>0.76</v>
      </c>
      <c r="H347" s="15" t="n">
        <f aca="false">H346</f>
        <v>49</v>
      </c>
      <c r="I347" s="15" t="n">
        <f aca="false">I346</f>
        <v>31</v>
      </c>
      <c r="J347" s="15" t="n">
        <f aca="false">J346</f>
        <v>38</v>
      </c>
    </row>
    <row r="348" customFormat="false" ht="16.5" hidden="false" customHeight="false" outlineLevel="0" collapsed="false">
      <c r="A348" s="47"/>
      <c r="B348" s="54" t="str">
        <f aca="false">Хмільник!C363</f>
        <v>Сушки</v>
      </c>
      <c r="C348" s="54" t="n">
        <v>15006</v>
      </c>
      <c r="D348" s="15"/>
      <c r="E348" s="36" t="n">
        <f aca="false">(D348/(H348+I348+J348))*H348</f>
        <v>0</v>
      </c>
      <c r="F348" s="36" t="n">
        <f aca="false">(D348/(H348+I348+J348))*I348</f>
        <v>0</v>
      </c>
      <c r="G348" s="36" t="n">
        <f aca="false">(D348/(H348+I348+J348))*J348</f>
        <v>0</v>
      </c>
      <c r="H348" s="15" t="n">
        <f aca="false">H347</f>
        <v>49</v>
      </c>
      <c r="I348" s="15" t="n">
        <f aca="false">I347</f>
        <v>31</v>
      </c>
      <c r="J348" s="15" t="n">
        <f aca="false">J347</f>
        <v>38</v>
      </c>
    </row>
    <row r="349" customFormat="false" ht="16.5" hidden="false" customHeight="false" outlineLevel="0" collapsed="false">
      <c r="A349" s="47"/>
      <c r="B349" s="54" t="str">
        <f aca="false">Хмільник!C364</f>
        <v>Вафлі з начинкою</v>
      </c>
      <c r="C349" s="54" t="n">
        <v>15007</v>
      </c>
      <c r="D349" s="15"/>
      <c r="E349" s="36" t="n">
        <f aca="false">(D349/(H349+I349+J349))*H349</f>
        <v>0</v>
      </c>
      <c r="F349" s="36" t="n">
        <f aca="false">(D349/(H349+I349+J349))*I349</f>
        <v>0</v>
      </c>
      <c r="G349" s="36" t="n">
        <f aca="false">(D349/(H349+I349+J349))*J349</f>
        <v>0</v>
      </c>
      <c r="H349" s="15" t="n">
        <f aca="false">H348</f>
        <v>49</v>
      </c>
      <c r="I349" s="15" t="n">
        <f aca="false">I348</f>
        <v>31</v>
      </c>
      <c r="J349" s="15" t="n">
        <f aca="false">J348</f>
        <v>38</v>
      </c>
    </row>
    <row r="350" customFormat="false" ht="16.5" hidden="false" customHeight="false" outlineLevel="0" collapsed="false">
      <c r="A350" s="47" t="n">
        <v>29</v>
      </c>
      <c r="B350" s="54" t="str">
        <f aca="false">Хмільник!C365</f>
        <v>Вафлі з фруктовими начинками</v>
      </c>
      <c r="C350" s="54" t="n">
        <v>15008</v>
      </c>
      <c r="D350" s="15"/>
      <c r="E350" s="36" t="n">
        <f aca="false">(D350/(H350+I350+J350))*H350</f>
        <v>0</v>
      </c>
      <c r="F350" s="36" t="n">
        <f aca="false">(D350/(H350+I350+J350))*I350</f>
        <v>0</v>
      </c>
      <c r="G350" s="36" t="n">
        <f aca="false">(D350/(H350+I350+J350))*J350</f>
        <v>0</v>
      </c>
      <c r="H350" s="15" t="n">
        <f aca="false">H349</f>
        <v>49</v>
      </c>
      <c r="I350" s="15" t="n">
        <f aca="false">I349</f>
        <v>31</v>
      </c>
      <c r="J350" s="15" t="n">
        <f aca="false">J349</f>
        <v>38</v>
      </c>
    </row>
    <row r="351" customFormat="false" ht="16.5" hidden="false" customHeight="false" outlineLevel="0" collapsed="false">
      <c r="A351" s="47"/>
      <c r="B351" s="54" t="str">
        <f aca="false">Хмільник!C366</f>
        <v>Галети</v>
      </c>
      <c r="C351" s="54" t="n">
        <v>15009</v>
      </c>
      <c r="D351" s="15"/>
      <c r="E351" s="36" t="n">
        <f aca="false">(D351/(H351+I351+J351))*H351</f>
        <v>0</v>
      </c>
      <c r="F351" s="36" t="n">
        <f aca="false">(D351/(H351+I351+J351))*I351</f>
        <v>0</v>
      </c>
      <c r="G351" s="36" t="n">
        <f aca="false">(D351/(H351+I351+J351))*J351</f>
        <v>0</v>
      </c>
      <c r="H351" s="15" t="n">
        <f aca="false">H350</f>
        <v>49</v>
      </c>
      <c r="I351" s="15" t="n">
        <f aca="false">I350</f>
        <v>31</v>
      </c>
      <c r="J351" s="15" t="n">
        <f aca="false">J350</f>
        <v>38</v>
      </c>
    </row>
    <row r="352" customFormat="false" ht="16.5" hidden="false" customHeight="false" outlineLevel="0" collapsed="false">
      <c r="A352" s="47"/>
      <c r="B352" s="54" t="str">
        <f aca="false">Хмільник!C367</f>
        <v>Здобна випічка</v>
      </c>
      <c r="C352" s="54" t="n">
        <v>15010</v>
      </c>
      <c r="D352" s="15" t="n">
        <v>3.99</v>
      </c>
      <c r="E352" s="36" t="n">
        <f aca="false">(D352/(H352+I352+J352))*H352</f>
        <v>1.65686440677966</v>
      </c>
      <c r="F352" s="36" t="n">
        <f aca="false">(D352/(H352+I352+J352))*I352</f>
        <v>1.04822033898305</v>
      </c>
      <c r="G352" s="36" t="n">
        <f aca="false">(D352/(H352+I352+J352))*J352</f>
        <v>1.28491525423729</v>
      </c>
      <c r="H352" s="15" t="n">
        <f aca="false">H351</f>
        <v>49</v>
      </c>
      <c r="I352" s="15" t="n">
        <f aca="false">I351</f>
        <v>31</v>
      </c>
      <c r="J352" s="15" t="n">
        <f aca="false">J351</f>
        <v>38</v>
      </c>
    </row>
    <row r="353" customFormat="false" ht="16.5" hidden="false" customHeight="false" outlineLevel="0" collapsed="false">
      <c r="A353" s="47" t="n">
        <v>30</v>
      </c>
      <c r="B353" s="54" t="str">
        <f aca="false">Хмільник!C368</f>
        <v>Печиво вівсяне</v>
      </c>
      <c r="C353" s="54" t="n">
        <v>15011</v>
      </c>
      <c r="D353" s="15"/>
      <c r="E353" s="36" t="n">
        <f aca="false">(D353/(H353+I353+J353))*H353</f>
        <v>0</v>
      </c>
      <c r="F353" s="36" t="n">
        <f aca="false">(D353/(H353+I353+J353))*I353</f>
        <v>0</v>
      </c>
      <c r="G353" s="36" t="n">
        <f aca="false">(D353/(H353+I353+J353))*J353</f>
        <v>0</v>
      </c>
      <c r="H353" s="15" t="n">
        <f aca="false">H352</f>
        <v>49</v>
      </c>
      <c r="I353" s="15" t="n">
        <f aca="false">I352</f>
        <v>31</v>
      </c>
      <c r="J353" s="15" t="n">
        <f aca="false">J352</f>
        <v>38</v>
      </c>
    </row>
    <row r="354" customFormat="false" ht="16.5" hidden="false" customHeight="false" outlineLevel="0" collapsed="false">
      <c r="A354" s="47"/>
      <c r="B354" s="54" t="str">
        <f aca="false">Хмільник!C369</f>
        <v>Печиво цукрове</v>
      </c>
      <c r="C354" s="54" t="n">
        <v>15012</v>
      </c>
      <c r="D354" s="15"/>
      <c r="E354" s="36" t="n">
        <f aca="false">(D354/(H354+I354+J354))*H354</f>
        <v>0</v>
      </c>
      <c r="F354" s="36" t="n">
        <f aca="false">(D354/(H354+I354+J354))*I354</f>
        <v>0</v>
      </c>
      <c r="G354" s="36" t="n">
        <f aca="false">(D354/(H354+I354+J354))*J354</f>
        <v>0</v>
      </c>
      <c r="H354" s="15" t="n">
        <f aca="false">H353</f>
        <v>49</v>
      </c>
      <c r="I354" s="15" t="n">
        <f aca="false">I353</f>
        <v>31</v>
      </c>
      <c r="J354" s="15" t="n">
        <f aca="false">J353</f>
        <v>38</v>
      </c>
    </row>
    <row r="355" customFormat="false" ht="16.5" hidden="false" customHeight="false" outlineLevel="0" collapsed="false">
      <c r="A355" s="47"/>
      <c r="B355" s="54" t="str">
        <f aca="false">Хмільник!C370</f>
        <v>Печиво листкове</v>
      </c>
      <c r="C355" s="54" t="n">
        <v>15013</v>
      </c>
      <c r="D355" s="15" t="n">
        <v>5.9</v>
      </c>
      <c r="E355" s="36" t="n">
        <f aca="false">(D355/(H355+I355+J355))*H355</f>
        <v>2.45</v>
      </c>
      <c r="F355" s="36" t="n">
        <f aca="false">(D355/(H355+I355+J355))*I355</f>
        <v>1.55</v>
      </c>
      <c r="G355" s="36" t="n">
        <f aca="false">(D355/(H355+I355+J355))*J355</f>
        <v>1.9</v>
      </c>
      <c r="H355" s="15" t="n">
        <f aca="false">H354</f>
        <v>49</v>
      </c>
      <c r="I355" s="15" t="n">
        <f aca="false">I354</f>
        <v>31</v>
      </c>
      <c r="J355" s="15" t="n">
        <f aca="false">J354</f>
        <v>38</v>
      </c>
    </row>
    <row r="356" customFormat="false" ht="16.5" hidden="false" customHeight="false" outlineLevel="0" collapsed="false">
      <c r="A356" s="47"/>
      <c r="B356" s="54" t="str">
        <f aca="false">Хмільник!C371</f>
        <v>Печиво затяжне</v>
      </c>
      <c r="C356" s="54" t="n">
        <v>15014</v>
      </c>
      <c r="D356" s="15"/>
      <c r="E356" s="36" t="n">
        <f aca="false">(D356/(H356+I356+J356))*H356</f>
        <v>0</v>
      </c>
      <c r="F356" s="36" t="n">
        <f aca="false">(D356/(H356+I356+J356))*I356</f>
        <v>0</v>
      </c>
      <c r="G356" s="36" t="n">
        <f aca="false">(D356/(H356+I356+J356))*J356</f>
        <v>0</v>
      </c>
      <c r="H356" s="15" t="n">
        <f aca="false">H355</f>
        <v>49</v>
      </c>
      <c r="I356" s="15" t="n">
        <f aca="false">I355</f>
        <v>31</v>
      </c>
      <c r="J356" s="15" t="n">
        <f aca="false">J355</f>
        <v>38</v>
      </c>
    </row>
    <row r="357" customFormat="false" ht="16.5" hidden="false" customHeight="false" outlineLevel="0" collapsed="false">
      <c r="A357" s="47"/>
      <c r="B357" s="54" t="str">
        <f aca="false">Хмільник!C372</f>
        <v>Сухарі</v>
      </c>
      <c r="C357" s="54" t="n">
        <v>15015</v>
      </c>
      <c r="D357" s="15"/>
      <c r="E357" s="36" t="n">
        <f aca="false">(D357/(H357+I357+J357))*H357</f>
        <v>0</v>
      </c>
      <c r="F357" s="36" t="n">
        <f aca="false">(D357/(H357+I357+J357))*I357</f>
        <v>0</v>
      </c>
      <c r="G357" s="36" t="n">
        <f aca="false">(D357/(H357+I357+J357))*J357</f>
        <v>0</v>
      </c>
      <c r="H357" s="15" t="n">
        <f aca="false">H356</f>
        <v>49</v>
      </c>
      <c r="I357" s="15" t="n">
        <f aca="false">I356</f>
        <v>31</v>
      </c>
      <c r="J357" s="15" t="n">
        <f aca="false">J356</f>
        <v>38</v>
      </c>
    </row>
    <row r="358" customFormat="false" ht="16.5" hidden="false" customHeight="false" outlineLevel="0" collapsed="false">
      <c r="A358" s="47"/>
      <c r="B358" s="54" t="str">
        <f aca="false">Хмільник!C373</f>
        <v>Хліб житній (нарізний)</v>
      </c>
      <c r="C358" s="54" t="n">
        <v>15017</v>
      </c>
      <c r="D358" s="15" t="n">
        <v>11.44</v>
      </c>
      <c r="E358" s="36" t="n">
        <f aca="false">(D358/(H358+I358+J358))*H358</f>
        <v>4.75050847457627</v>
      </c>
      <c r="F358" s="36" t="n">
        <f aca="false">(D358/(H358+I358+J358))*I358</f>
        <v>3.00542372881356</v>
      </c>
      <c r="G358" s="36" t="n">
        <f aca="false">(D358/(H358+I358+J358))*J358</f>
        <v>3.68406779661017</v>
      </c>
      <c r="H358" s="15" t="n">
        <f aca="false">H357</f>
        <v>49</v>
      </c>
      <c r="I358" s="15" t="n">
        <f aca="false">I357</f>
        <v>31</v>
      </c>
      <c r="J358" s="15" t="n">
        <f aca="false">J357</f>
        <v>38</v>
      </c>
    </row>
    <row r="359" customFormat="false" ht="16.5" hidden="false" customHeight="false" outlineLevel="0" collapsed="false">
      <c r="A359" s="47"/>
      <c r="B359" s="54" t="str">
        <f aca="false">Хмільник!C374</f>
        <v>Хліб із суміші жит. і пшен. борошна (наріз)</v>
      </c>
      <c r="C359" s="54" t="n">
        <v>15018</v>
      </c>
      <c r="D359" s="15"/>
      <c r="E359" s="36" t="n">
        <f aca="false">(D359/(H359+I359+J359))*H359</f>
        <v>0</v>
      </c>
      <c r="F359" s="36" t="n">
        <f aca="false">(D359/(H359+I359+J359))*I359</f>
        <v>0</v>
      </c>
      <c r="G359" s="36" t="n">
        <f aca="false">(D359/(H359+I359+J359))*J359</f>
        <v>0</v>
      </c>
      <c r="H359" s="15" t="n">
        <f aca="false">H358</f>
        <v>49</v>
      </c>
      <c r="I359" s="15" t="n">
        <f aca="false">I358</f>
        <v>31</v>
      </c>
      <c r="J359" s="15" t="n">
        <f aca="false">J358</f>
        <v>38</v>
      </c>
    </row>
    <row r="360" customFormat="false" ht="16.5" hidden="false" customHeight="false" outlineLevel="0" collapsed="false">
      <c r="A360" s="47"/>
      <c r="B360" s="54" t="str">
        <f aca="false">Хмільник!C375</f>
        <v>Хліб з пшенич. бор. першого ґат (нарізний)</v>
      </c>
      <c r="C360" s="54" t="n">
        <v>15020</v>
      </c>
      <c r="D360" s="15" t="n">
        <v>8.54</v>
      </c>
      <c r="E360" s="36" t="n">
        <f aca="false">(D360/(H360+I360+J360))*H360</f>
        <v>3.54627118644068</v>
      </c>
      <c r="F360" s="36" t="n">
        <f aca="false">(D360/(H360+I360+J360))*I360</f>
        <v>2.2435593220339</v>
      </c>
      <c r="G360" s="36" t="n">
        <f aca="false">(D360/(H360+I360+J360))*J360</f>
        <v>2.75016949152542</v>
      </c>
      <c r="H360" s="15" t="n">
        <f aca="false">H359</f>
        <v>49</v>
      </c>
      <c r="I360" s="15" t="n">
        <f aca="false">I359</f>
        <v>31</v>
      </c>
      <c r="J360" s="15" t="n">
        <f aca="false">J359</f>
        <v>38</v>
      </c>
    </row>
    <row r="361" customFormat="false" ht="16.5" hidden="false" customHeight="false" outlineLevel="0" collapsed="false">
      <c r="A361" s="47"/>
      <c r="B361" s="54" t="str">
        <f aca="false">Хмільник!C376</f>
        <v>Булочка для гамбургера</v>
      </c>
      <c r="C361" s="54" t="n">
        <v>15021</v>
      </c>
      <c r="D361" s="15"/>
      <c r="E361" s="36" t="n">
        <f aca="false">(D361/(H361+I361+J361))*H361</f>
        <v>0</v>
      </c>
      <c r="F361" s="36" t="n">
        <f aca="false">(D361/(H361+I361+J361))*I361</f>
        <v>0</v>
      </c>
      <c r="G361" s="36" t="n">
        <f aca="false">(D361/(H361+I361+J361))*J361</f>
        <v>0</v>
      </c>
      <c r="H361" s="15" t="n">
        <f aca="false">H360</f>
        <v>49</v>
      </c>
      <c r="I361" s="15" t="n">
        <f aca="false">I360</f>
        <v>31</v>
      </c>
      <c r="J361" s="15" t="n">
        <f aca="false">J360</f>
        <v>38</v>
      </c>
    </row>
    <row r="362" customFormat="false" ht="16.5" hidden="false" customHeight="false" outlineLevel="0" collapsed="false">
      <c r="A362" s="47"/>
      <c r="B362" s="54" t="str">
        <f aca="false">Хмільник!C377</f>
        <v>Хліб цільнозерновий</v>
      </c>
      <c r="C362" s="54" t="n">
        <v>15022</v>
      </c>
      <c r="D362" s="15"/>
      <c r="E362" s="36" t="n">
        <f aca="false">(D362/(H362+I362+J362))*H362</f>
        <v>0</v>
      </c>
      <c r="F362" s="36" t="n">
        <f aca="false">(D362/(H362+I362+J362))*I362</f>
        <v>0</v>
      </c>
      <c r="G362" s="36" t="n">
        <f aca="false">(D362/(H362+I362+J362))*J362</f>
        <v>0</v>
      </c>
      <c r="H362" s="15" t="n">
        <f aca="false">H361</f>
        <v>49</v>
      </c>
      <c r="I362" s="15" t="n">
        <f aca="false">I361</f>
        <v>31</v>
      </c>
      <c r="J362" s="15" t="n">
        <f aca="false">J361</f>
        <v>38</v>
      </c>
    </row>
    <row r="363" customFormat="false" ht="16.5" hidden="false" customHeight="false" outlineLevel="0" collapsed="false">
      <c r="A363" s="47"/>
      <c r="B363" s="54" t="str">
        <f aca="false">Хмільник!C378</f>
        <v>Лаваш тонкий</v>
      </c>
      <c r="C363" s="54" t="n">
        <v>15023</v>
      </c>
      <c r="D363" s="15"/>
      <c r="E363" s="36" t="n">
        <f aca="false">(D363/(H363+I363+J363))*H363</f>
        <v>0</v>
      </c>
      <c r="F363" s="36" t="n">
        <f aca="false">(D363/(H363+I363+J363))*I363</f>
        <v>0</v>
      </c>
      <c r="G363" s="36" t="n">
        <f aca="false">(D363/(H363+I363+J363))*J363</f>
        <v>0</v>
      </c>
      <c r="H363" s="15" t="n">
        <f aca="false">H362</f>
        <v>49</v>
      </c>
      <c r="I363" s="15" t="n">
        <f aca="false">I362</f>
        <v>31</v>
      </c>
      <c r="J363" s="15" t="n">
        <f aca="false">J362</f>
        <v>38</v>
      </c>
    </row>
  </sheetData>
  <autoFilter ref="A2:J363"/>
  <conditionalFormatting sqref="A14:A37">
    <cfRule type="expression" priority="2" aboveAverage="0" equalAverage="0" bottom="0" percent="0" rank="0" text="" dxfId="2">
      <formula>ROW(A14)=CELL("строка")</formula>
    </cfRule>
  </conditionalFormatting>
  <printOptions headings="false" gridLines="false" gridLinesSet="true" horizontalCentered="false" verticalCentered="false"/>
  <pageMargins left="0.708333333333333" right="0.708333333333333" top="0.747916666666667" bottom="0.747916666666667" header="0.511811023622047" footer="0.511811023622047"/>
  <pageSetup paperSize="9" scale="100" fitToWidth="1" fitToHeight="2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86"/>
  <sheetViews>
    <sheetView showFormulas="false" showGridLines="true" showRowColHeaders="true" showZeros="true" rightToLeft="false" tabSelected="true" showOutlineSymbols="true" defaultGridColor="true" view="normal" topLeftCell="A6" colorId="64" zoomScale="100" zoomScaleNormal="100" zoomScalePageLayoutView="100" workbookViewId="0">
      <selection pane="topLeft" activeCell="F19" activeCellId="0" sqref="F19"/>
    </sheetView>
  </sheetViews>
  <sheetFormatPr defaultColWidth="9" defaultRowHeight="16.5" zeroHeight="false" outlineLevelRow="0" outlineLevelCol="0"/>
  <cols>
    <col collapsed="false" customWidth="true" hidden="false" outlineLevel="0" max="1" min="1" style="1" width="12.14"/>
    <col collapsed="false" customWidth="true" hidden="false" outlineLevel="0" max="2" min="2" style="0" width="36.71"/>
    <col collapsed="false" customWidth="true" hidden="false" outlineLevel="0" max="3" min="3" style="0" width="14.57"/>
    <col collapsed="false" customWidth="true" hidden="false" outlineLevel="0" max="4" min="4" style="0" width="5.14"/>
    <col collapsed="false" customWidth="true" hidden="false" outlineLevel="0" max="5" min="5" style="0" width="7"/>
    <col collapsed="false" customWidth="true" hidden="false" outlineLevel="0" max="6" min="6" style="0" width="11.43"/>
    <col collapsed="false" customWidth="true" hidden="false" outlineLevel="0" max="7" min="7" style="2" width="12.29"/>
    <col collapsed="false" customWidth="true" hidden="false" outlineLevel="0" max="8" min="8" style="0" width="12.14"/>
  </cols>
  <sheetData>
    <row r="1" customFormat="false" ht="16.5" hidden="false" customHeight="false" outlineLevel="0" collapsed="false">
      <c r="A1" s="4"/>
      <c r="B1" s="5"/>
      <c r="C1" s="5"/>
      <c r="D1" s="5"/>
      <c r="E1" s="6" t="s">
        <v>0</v>
      </c>
      <c r="F1" s="6"/>
      <c r="G1" s="6"/>
      <c r="H1" s="6"/>
    </row>
    <row r="2" customFormat="false" ht="16.5" hidden="false" customHeight="false" outlineLevel="0" collapsed="false">
      <c r="A2" s="4"/>
      <c r="B2" s="5"/>
      <c r="C2" s="5"/>
      <c r="D2" s="5"/>
      <c r="E2" s="7" t="s">
        <v>1</v>
      </c>
      <c r="F2" s="7"/>
      <c r="G2" s="7"/>
      <c r="H2" s="7"/>
    </row>
    <row r="3" customFormat="false" ht="16.5" hidden="false" customHeight="false" outlineLevel="0" collapsed="false">
      <c r="A3" s="4"/>
      <c r="B3" s="5"/>
      <c r="C3" s="5"/>
      <c r="D3" s="5"/>
      <c r="E3" s="7" t="s">
        <v>2</v>
      </c>
      <c r="F3" s="7"/>
      <c r="G3" s="7"/>
      <c r="H3" s="7"/>
    </row>
    <row r="4" customFormat="false" ht="16.5" hidden="false" customHeight="false" outlineLevel="0" collapsed="false">
      <c r="A4" s="4"/>
      <c r="B4" s="5"/>
      <c r="C4" s="5"/>
      <c r="D4" s="5"/>
      <c r="E4" s="5"/>
      <c r="F4" s="5"/>
      <c r="G4" s="8"/>
      <c r="H4" s="5"/>
    </row>
    <row r="5" customFormat="false" ht="16.5" hidden="false" customHeight="false" outlineLevel="0" collapsed="false">
      <c r="A5" s="4"/>
      <c r="B5" s="5"/>
      <c r="C5" s="5"/>
      <c r="D5" s="5"/>
      <c r="E5" s="5"/>
      <c r="F5" s="5"/>
      <c r="G5" s="8"/>
      <c r="H5" s="5"/>
    </row>
    <row r="6" customFormat="false" ht="16.5" hidden="false" customHeight="false" outlineLevel="0" collapsed="false">
      <c r="A6" s="9" t="s">
        <v>401</v>
      </c>
      <c r="B6" s="9"/>
      <c r="C6" s="9"/>
      <c r="D6" s="9"/>
      <c r="E6" s="9"/>
      <c r="F6" s="9"/>
      <c r="G6" s="9"/>
      <c r="H6" s="9"/>
    </row>
    <row r="7" customFormat="false" ht="16.5" hidden="false" customHeight="false" outlineLevel="0" collapsed="false">
      <c r="A7" s="4"/>
      <c r="B7" s="5"/>
      <c r="C7" s="5"/>
      <c r="D7" s="5"/>
      <c r="E7" s="5"/>
      <c r="F7" s="5"/>
      <c r="G7" s="8"/>
      <c r="H7" s="5"/>
    </row>
    <row r="8" customFormat="false" ht="20.25" hidden="false" customHeight="false" outlineLevel="0" collapsed="false">
      <c r="A8" s="10" t="s">
        <v>402</v>
      </c>
      <c r="B8" s="10"/>
      <c r="C8" s="10"/>
      <c r="D8" s="10"/>
      <c r="E8" s="10"/>
      <c r="F8" s="10"/>
      <c r="G8" s="10"/>
      <c r="H8" s="10"/>
    </row>
    <row r="9" customFormat="false" ht="17.25" hidden="false" customHeight="false" outlineLevel="0" collapsed="false">
      <c r="A9" s="11"/>
      <c r="B9" s="11"/>
      <c r="C9" s="11"/>
      <c r="D9" s="11"/>
      <c r="E9" s="11"/>
      <c r="F9" s="11"/>
      <c r="G9" s="11"/>
      <c r="H9" s="11"/>
    </row>
    <row r="10" customFormat="false" ht="16.5" hidden="false" customHeight="false" outlineLevel="0" collapsed="false">
      <c r="A10" s="4"/>
      <c r="B10" s="5"/>
      <c r="C10" s="5"/>
      <c r="D10" s="5"/>
      <c r="E10" s="5"/>
      <c r="F10" s="5"/>
      <c r="G10" s="8"/>
      <c r="H10" s="5"/>
    </row>
    <row r="11" customFormat="false" ht="33.75" hidden="false" customHeight="true" outlineLevel="0" collapsed="false">
      <c r="A11" s="12" t="s">
        <v>5</v>
      </c>
      <c r="B11" s="13" t="s">
        <v>6</v>
      </c>
      <c r="C11" s="13" t="s">
        <v>7</v>
      </c>
      <c r="D11" s="13"/>
      <c r="E11" s="13" t="s">
        <v>8</v>
      </c>
      <c r="F11" s="13"/>
      <c r="G11" s="14" t="s">
        <v>9</v>
      </c>
      <c r="H11" s="14"/>
    </row>
    <row r="12" customFormat="false" ht="16.5" hidden="false" customHeight="false" outlineLevel="0" collapsed="false">
      <c r="A12" s="15"/>
      <c r="B12" s="16"/>
      <c r="C12" s="15"/>
      <c r="D12" s="15"/>
      <c r="E12" s="15"/>
      <c r="F12" s="15"/>
      <c r="G12" s="17"/>
      <c r="H12" s="17"/>
    </row>
    <row r="13" customFormat="false" ht="16.5" hidden="false" customHeight="false" outlineLevel="0" collapsed="false">
      <c r="A13" s="4"/>
      <c r="B13" s="5"/>
      <c r="C13" s="5"/>
      <c r="D13" s="5"/>
      <c r="E13" s="5"/>
      <c r="F13" s="5"/>
      <c r="G13" s="8"/>
      <c r="H13" s="5"/>
    </row>
    <row r="14" customFormat="false" ht="45" hidden="false" customHeight="true" outlineLevel="0" collapsed="false">
      <c r="A14" s="18" t="s">
        <v>10</v>
      </c>
      <c r="B14" s="12" t="s">
        <v>11</v>
      </c>
      <c r="C14" s="12" t="s">
        <v>12</v>
      </c>
      <c r="D14" s="12"/>
      <c r="E14" s="12" t="s">
        <v>13</v>
      </c>
      <c r="F14" s="12"/>
      <c r="G14" s="14" t="s">
        <v>14</v>
      </c>
      <c r="H14" s="14"/>
    </row>
    <row r="15" customFormat="false" ht="30" hidden="false" customHeight="true" outlineLevel="0" collapsed="false">
      <c r="A15" s="19" t="n">
        <v>45627</v>
      </c>
      <c r="B15" s="12" t="s">
        <v>15</v>
      </c>
      <c r="C15" s="66" t="s">
        <v>16</v>
      </c>
      <c r="D15" s="66"/>
      <c r="E15" s="12"/>
      <c r="F15" s="12"/>
      <c r="G15" s="67" t="s">
        <v>17</v>
      </c>
      <c r="H15" s="67"/>
    </row>
    <row r="16" customFormat="false" ht="5.25" hidden="false" customHeight="true" outlineLevel="0" collapsed="false">
      <c r="A16" s="4"/>
      <c r="B16" s="4"/>
      <c r="C16" s="4"/>
      <c r="D16" s="4"/>
      <c r="E16" s="4"/>
      <c r="F16" s="4"/>
      <c r="G16" s="21"/>
      <c r="H16" s="4"/>
    </row>
    <row r="17" customFormat="false" ht="106.5" hidden="false" customHeight="true" outlineLevel="0" collapsed="false">
      <c r="A17" s="12" t="s">
        <v>19</v>
      </c>
      <c r="B17" s="12" t="s">
        <v>20</v>
      </c>
      <c r="C17" s="22" t="s">
        <v>12</v>
      </c>
      <c r="D17" s="22" t="s">
        <v>21</v>
      </c>
      <c r="E17" s="22" t="s">
        <v>22</v>
      </c>
      <c r="F17" s="22" t="s">
        <v>23</v>
      </c>
      <c r="G17" s="23" t="s">
        <v>24</v>
      </c>
      <c r="H17" s="22" t="s">
        <v>25</v>
      </c>
    </row>
    <row r="18" customFormat="false" ht="16.5" hidden="false" customHeight="false" outlineLevel="0" collapsed="false">
      <c r="A18" s="24" t="n">
        <v>1</v>
      </c>
      <c r="B18" s="24" t="n">
        <v>2</v>
      </c>
      <c r="C18" s="24" t="n">
        <v>3</v>
      </c>
      <c r="D18" s="24" t="n">
        <v>4</v>
      </c>
      <c r="E18" s="24" t="n">
        <v>5</v>
      </c>
      <c r="F18" s="24" t="n">
        <v>6</v>
      </c>
      <c r="G18" s="25" t="n">
        <v>7</v>
      </c>
      <c r="H18" s="24" t="n">
        <v>8</v>
      </c>
    </row>
    <row r="19" customFormat="false" ht="16.5" hidden="false" customHeight="false" outlineLevel="0" collapsed="false">
      <c r="A19" s="68" t="n">
        <v>1</v>
      </c>
      <c r="B19" s="27" t="s">
        <v>26</v>
      </c>
      <c r="C19" s="28" t="n">
        <v>11001</v>
      </c>
      <c r="D19" s="15" t="s">
        <v>27</v>
      </c>
      <c r="E19" s="15"/>
      <c r="F19" s="29" t="n">
        <f aca="false">Загальна!E4</f>
        <v>0</v>
      </c>
      <c r="G19" s="17"/>
      <c r="H19" s="17"/>
    </row>
    <row r="20" customFormat="false" ht="16.5" hidden="false" customHeight="false" outlineLevel="0" collapsed="false">
      <c r="A20" s="69"/>
      <c r="B20" s="35" t="s">
        <v>28</v>
      </c>
      <c r="C20" s="33" t="n">
        <v>11002</v>
      </c>
      <c r="D20" s="15" t="s">
        <v>27</v>
      </c>
      <c r="E20" s="15"/>
      <c r="F20" s="29" t="n">
        <f aca="false">Загальна!E5</f>
        <v>0</v>
      </c>
      <c r="G20" s="17"/>
      <c r="H20" s="17"/>
    </row>
    <row r="21" customFormat="false" ht="16.5" hidden="false" customHeight="false" outlineLevel="0" collapsed="false">
      <c r="A21" s="68" t="n">
        <v>1</v>
      </c>
      <c r="B21" s="35" t="s">
        <v>29</v>
      </c>
      <c r="C21" s="33" t="n">
        <v>11004</v>
      </c>
      <c r="D21" s="15" t="s">
        <v>27</v>
      </c>
      <c r="E21" s="15"/>
      <c r="F21" s="29" t="n">
        <f aca="false">Загальна!E6</f>
        <v>2.94</v>
      </c>
      <c r="G21" s="17"/>
      <c r="H21" s="17"/>
    </row>
    <row r="22" customFormat="false" ht="16.5" hidden="false" customHeight="false" outlineLevel="0" collapsed="false">
      <c r="A22" s="69"/>
      <c r="B22" s="35" t="s">
        <v>30</v>
      </c>
      <c r="C22" s="33" t="n">
        <v>11005</v>
      </c>
      <c r="D22" s="15" t="s">
        <v>27</v>
      </c>
      <c r="E22" s="15"/>
      <c r="F22" s="29" t="n">
        <f aca="false">Загальна!E7</f>
        <v>0</v>
      </c>
      <c r="G22" s="17"/>
      <c r="H22" s="17"/>
    </row>
    <row r="23" customFormat="false" ht="16.5" hidden="false" customHeight="false" outlineLevel="0" collapsed="false">
      <c r="A23" s="68"/>
      <c r="B23" s="35" t="s">
        <v>31</v>
      </c>
      <c r="C23" s="33" t="n">
        <v>11006</v>
      </c>
      <c r="D23" s="15" t="s">
        <v>27</v>
      </c>
      <c r="E23" s="15"/>
      <c r="F23" s="29" t="n">
        <f aca="false">Загальна!E8</f>
        <v>0</v>
      </c>
      <c r="G23" s="17"/>
      <c r="H23" s="17"/>
    </row>
    <row r="24" customFormat="false" ht="16.5" hidden="false" customHeight="false" outlineLevel="0" collapsed="false">
      <c r="A24" s="68"/>
      <c r="B24" s="35" t="s">
        <v>32</v>
      </c>
      <c r="C24" s="33" t="n">
        <v>11007</v>
      </c>
      <c r="D24" s="15" t="s">
        <v>27</v>
      </c>
      <c r="E24" s="15"/>
      <c r="F24" s="29" t="n">
        <f aca="false">Загальна!E9</f>
        <v>0</v>
      </c>
      <c r="G24" s="17"/>
      <c r="H24" s="17"/>
    </row>
    <row r="25" customFormat="false" ht="16.5" hidden="false" customHeight="false" outlineLevel="0" collapsed="false">
      <c r="A25" s="69"/>
      <c r="B25" s="35" t="s">
        <v>33</v>
      </c>
      <c r="C25" s="33" t="n">
        <v>11008</v>
      </c>
      <c r="D25" s="15" t="s">
        <v>27</v>
      </c>
      <c r="E25" s="15"/>
      <c r="F25" s="29" t="n">
        <f aca="false">Загальна!E10</f>
        <v>0</v>
      </c>
      <c r="G25" s="17"/>
      <c r="H25" s="17"/>
    </row>
    <row r="26" customFormat="false" ht="16.5" hidden="false" customHeight="false" outlineLevel="0" collapsed="false">
      <c r="A26" s="69"/>
      <c r="B26" s="35" t="s">
        <v>34</v>
      </c>
      <c r="C26" s="33" t="n">
        <v>11009</v>
      </c>
      <c r="D26" s="15" t="s">
        <v>27</v>
      </c>
      <c r="E26" s="15"/>
      <c r="F26" s="29" t="n">
        <f aca="false">Загальна!E11</f>
        <v>0</v>
      </c>
      <c r="G26" s="17"/>
      <c r="H26" s="17"/>
    </row>
    <row r="27" customFormat="false" ht="16.5" hidden="false" customHeight="false" outlineLevel="0" collapsed="false">
      <c r="A27" s="69" t="n">
        <v>2</v>
      </c>
      <c r="B27" s="35" t="s">
        <v>35</v>
      </c>
      <c r="C27" s="33" t="n">
        <v>11010</v>
      </c>
      <c r="D27" s="15" t="s">
        <v>27</v>
      </c>
      <c r="E27" s="15"/>
      <c r="F27" s="29" t="n">
        <f aca="false">Загальна!E12</f>
        <v>0</v>
      </c>
      <c r="G27" s="17"/>
      <c r="H27" s="17"/>
    </row>
    <row r="28" customFormat="false" ht="16.5" hidden="false" customHeight="false" outlineLevel="0" collapsed="false">
      <c r="A28" s="68"/>
      <c r="B28" s="35" t="s">
        <v>36</v>
      </c>
      <c r="C28" s="33" t="n">
        <v>11011</v>
      </c>
      <c r="D28" s="15" t="s">
        <v>27</v>
      </c>
      <c r="E28" s="15"/>
      <c r="F28" s="29" t="n">
        <f aca="false">Загальна!E13</f>
        <v>0</v>
      </c>
      <c r="G28" s="17"/>
      <c r="H28" s="17"/>
    </row>
    <row r="29" customFormat="false" ht="16.5" hidden="false" customHeight="false" outlineLevel="0" collapsed="false">
      <c r="A29" s="68" t="n">
        <v>2</v>
      </c>
      <c r="B29" s="35" t="s">
        <v>37</v>
      </c>
      <c r="C29" s="33" t="n">
        <v>11012</v>
      </c>
      <c r="D29" s="15" t="s">
        <v>27</v>
      </c>
      <c r="E29" s="15"/>
      <c r="F29" s="29" t="n">
        <f aca="false">Загальна!E14</f>
        <v>1.96</v>
      </c>
      <c r="G29" s="17"/>
      <c r="H29" s="17"/>
    </row>
    <row r="30" customFormat="false" ht="16.5" hidden="false" customHeight="false" outlineLevel="0" collapsed="false">
      <c r="A30" s="68"/>
      <c r="B30" s="35" t="s">
        <v>38</v>
      </c>
      <c r="C30" s="33" t="n">
        <v>11013</v>
      </c>
      <c r="D30" s="15" t="s">
        <v>27</v>
      </c>
      <c r="E30" s="15"/>
      <c r="F30" s="29" t="n">
        <f aca="false">Загальна!E15</f>
        <v>0</v>
      </c>
      <c r="G30" s="17"/>
      <c r="H30" s="17"/>
    </row>
    <row r="31" customFormat="false" ht="16.5" hidden="false" customHeight="false" outlineLevel="0" collapsed="false">
      <c r="A31" s="68"/>
      <c r="B31" s="35" t="s">
        <v>39</v>
      </c>
      <c r="C31" s="33" t="n">
        <v>11014</v>
      </c>
      <c r="D31" s="15" t="s">
        <v>27</v>
      </c>
      <c r="E31" s="15"/>
      <c r="F31" s="29" t="n">
        <f aca="false">Загальна!E16</f>
        <v>0</v>
      </c>
      <c r="G31" s="17"/>
      <c r="H31" s="17"/>
    </row>
    <row r="32" customFormat="false" ht="16.5" hidden="false" customHeight="false" outlineLevel="0" collapsed="false">
      <c r="A32" s="68"/>
      <c r="B32" s="35" t="s">
        <v>40</v>
      </c>
      <c r="C32" s="33" t="n">
        <v>11015</v>
      </c>
      <c r="D32" s="15" t="s">
        <v>27</v>
      </c>
      <c r="E32" s="15"/>
      <c r="F32" s="29" t="n">
        <f aca="false">Загальна!E17</f>
        <v>0</v>
      </c>
      <c r="G32" s="17"/>
      <c r="H32" s="17"/>
    </row>
    <row r="33" customFormat="false" ht="16.5" hidden="false" customHeight="false" outlineLevel="0" collapsed="false">
      <c r="A33" s="68"/>
      <c r="B33" s="35" t="s">
        <v>41</v>
      </c>
      <c r="C33" s="33" t="n">
        <v>11016</v>
      </c>
      <c r="D33" s="15" t="s">
        <v>27</v>
      </c>
      <c r="E33" s="15"/>
      <c r="F33" s="29" t="n">
        <f aca="false">Загальна!E18</f>
        <v>0</v>
      </c>
      <c r="G33" s="17"/>
      <c r="H33" s="17"/>
    </row>
    <row r="34" customFormat="false" ht="16.5" hidden="false" customHeight="false" outlineLevel="0" collapsed="false">
      <c r="A34" s="69"/>
      <c r="B34" s="35" t="s">
        <v>42</v>
      </c>
      <c r="C34" s="33" t="n">
        <v>11017</v>
      </c>
      <c r="D34" s="15" t="s">
        <v>27</v>
      </c>
      <c r="E34" s="15"/>
      <c r="F34" s="29" t="n">
        <f aca="false">Загальна!E19</f>
        <v>0</v>
      </c>
      <c r="G34" s="17"/>
      <c r="H34" s="17"/>
    </row>
    <row r="35" customFormat="false" ht="16.5" hidden="false" customHeight="false" outlineLevel="0" collapsed="false">
      <c r="A35" s="68"/>
      <c r="B35" s="35" t="s">
        <v>43</v>
      </c>
      <c r="C35" s="33" t="n">
        <v>11019</v>
      </c>
      <c r="D35" s="15" t="s">
        <v>27</v>
      </c>
      <c r="E35" s="15"/>
      <c r="F35" s="29" t="n">
        <f aca="false">Загальна!E20</f>
        <v>0</v>
      </c>
      <c r="G35" s="17"/>
      <c r="H35" s="17"/>
    </row>
    <row r="36" customFormat="false" ht="16.5" hidden="false" customHeight="false" outlineLevel="0" collapsed="false">
      <c r="A36" s="68"/>
      <c r="B36" s="35" t="s">
        <v>44</v>
      </c>
      <c r="C36" s="33" t="n">
        <v>11020</v>
      </c>
      <c r="D36" s="15" t="s">
        <v>27</v>
      </c>
      <c r="E36" s="15"/>
      <c r="F36" s="29" t="n">
        <f aca="false">Загальна!E21</f>
        <v>0</v>
      </c>
      <c r="G36" s="17"/>
      <c r="H36" s="17"/>
    </row>
    <row r="37" customFormat="false" ht="16.5" hidden="false" customHeight="false" outlineLevel="0" collapsed="false">
      <c r="A37" s="68"/>
      <c r="B37" s="35" t="s">
        <v>45</v>
      </c>
      <c r="C37" s="33" t="n">
        <v>11021</v>
      </c>
      <c r="D37" s="15" t="s">
        <v>27</v>
      </c>
      <c r="E37" s="15"/>
      <c r="F37" s="29" t="n">
        <f aca="false">Загальна!E22</f>
        <v>0</v>
      </c>
      <c r="G37" s="17"/>
      <c r="H37" s="17"/>
    </row>
    <row r="38" customFormat="false" ht="16.5" hidden="false" customHeight="false" outlineLevel="0" collapsed="false">
      <c r="A38" s="68"/>
      <c r="B38" s="35" t="s">
        <v>46</v>
      </c>
      <c r="C38" s="33" t="n">
        <v>11022</v>
      </c>
      <c r="D38" s="15" t="s">
        <v>27</v>
      </c>
      <c r="E38" s="15"/>
      <c r="F38" s="29" t="n">
        <f aca="false">Загальна!E23</f>
        <v>0</v>
      </c>
      <c r="G38" s="17"/>
      <c r="H38" s="17"/>
    </row>
    <row r="39" customFormat="false" ht="16.5" hidden="false" customHeight="false" outlineLevel="0" collapsed="false">
      <c r="A39" s="68"/>
      <c r="B39" s="35" t="s">
        <v>47</v>
      </c>
      <c r="C39" s="33" t="n">
        <v>11023</v>
      </c>
      <c r="D39" s="15" t="s">
        <v>27</v>
      </c>
      <c r="E39" s="15"/>
      <c r="F39" s="29" t="n">
        <f aca="false">Загальна!E24</f>
        <v>0</v>
      </c>
      <c r="G39" s="17"/>
      <c r="H39" s="17"/>
    </row>
    <row r="40" customFormat="false" ht="16.5" hidden="false" customHeight="false" outlineLevel="0" collapsed="false">
      <c r="A40" s="68" t="n">
        <v>3</v>
      </c>
      <c r="B40" s="35" t="s">
        <v>48</v>
      </c>
      <c r="C40" s="33" t="n">
        <v>11024</v>
      </c>
      <c r="D40" s="15" t="s">
        <v>27</v>
      </c>
      <c r="E40" s="15"/>
      <c r="F40" s="29" t="n">
        <f aca="false">Загальна!E25</f>
        <v>0</v>
      </c>
      <c r="G40" s="17"/>
      <c r="H40" s="17"/>
    </row>
    <row r="41" customFormat="false" ht="16.5" hidden="false" customHeight="false" outlineLevel="0" collapsed="false">
      <c r="A41" s="68" t="n">
        <v>4</v>
      </c>
      <c r="B41" s="35" t="s">
        <v>49</v>
      </c>
      <c r="C41" s="33" t="n">
        <v>11025</v>
      </c>
      <c r="D41" s="15" t="s">
        <v>27</v>
      </c>
      <c r="E41" s="15"/>
      <c r="F41" s="29" t="n">
        <f aca="false">Загальна!E26</f>
        <v>0</v>
      </c>
      <c r="G41" s="17"/>
      <c r="H41" s="17"/>
    </row>
    <row r="42" customFormat="false" ht="16.5" hidden="false" customHeight="false" outlineLevel="0" collapsed="false">
      <c r="A42" s="68" t="n">
        <v>3</v>
      </c>
      <c r="B42" s="35" t="s">
        <v>50</v>
      </c>
      <c r="C42" s="33" t="n">
        <v>11026</v>
      </c>
      <c r="D42" s="15" t="s">
        <v>27</v>
      </c>
      <c r="E42" s="15"/>
      <c r="F42" s="29" t="n">
        <f aca="false">Загальна!E27</f>
        <v>1.96</v>
      </c>
      <c r="G42" s="17"/>
      <c r="H42" s="17"/>
    </row>
    <row r="43" customFormat="false" ht="16.5" hidden="false" customHeight="false" outlineLevel="0" collapsed="false">
      <c r="A43" s="68" t="n">
        <v>4</v>
      </c>
      <c r="B43" s="35" t="s">
        <v>51</v>
      </c>
      <c r="C43" s="33" t="n">
        <v>11028</v>
      </c>
      <c r="D43" s="15" t="s">
        <v>27</v>
      </c>
      <c r="E43" s="15"/>
      <c r="F43" s="29" t="n">
        <f aca="false">Загальна!E28</f>
        <v>0.49</v>
      </c>
      <c r="G43" s="17"/>
      <c r="H43" s="17"/>
    </row>
    <row r="44" customFormat="false" ht="16.5" hidden="false" customHeight="false" outlineLevel="0" collapsed="false">
      <c r="A44" s="68"/>
      <c r="B44" s="35" t="s">
        <v>52</v>
      </c>
      <c r="C44" s="33" t="n">
        <v>11029</v>
      </c>
      <c r="D44" s="15" t="s">
        <v>27</v>
      </c>
      <c r="E44" s="15"/>
      <c r="F44" s="29" t="n">
        <f aca="false">Загальна!E29</f>
        <v>0</v>
      </c>
      <c r="G44" s="17"/>
      <c r="H44" s="17"/>
    </row>
    <row r="45" customFormat="false" ht="16.5" hidden="false" customHeight="false" outlineLevel="0" collapsed="false">
      <c r="A45" s="68"/>
      <c r="B45" s="35" t="s">
        <v>53</v>
      </c>
      <c r="C45" s="33" t="n">
        <v>11030</v>
      </c>
      <c r="D45" s="15" t="s">
        <v>27</v>
      </c>
      <c r="E45" s="15"/>
      <c r="F45" s="29" t="n">
        <f aca="false">Загальна!E30</f>
        <v>0</v>
      </c>
      <c r="G45" s="17"/>
      <c r="H45" s="17"/>
    </row>
    <row r="46" customFormat="false" ht="16.5" hidden="false" customHeight="false" outlineLevel="0" collapsed="false">
      <c r="A46" s="68" t="n">
        <v>5</v>
      </c>
      <c r="B46" s="35" t="s">
        <v>54</v>
      </c>
      <c r="C46" s="33" t="n">
        <v>11031</v>
      </c>
      <c r="D46" s="15" t="s">
        <v>27</v>
      </c>
      <c r="E46" s="15"/>
      <c r="F46" s="29" t="n">
        <f aca="false">Загальна!E31</f>
        <v>0</v>
      </c>
      <c r="G46" s="17"/>
      <c r="H46" s="17"/>
    </row>
    <row r="47" customFormat="false" ht="16.5" hidden="false" customHeight="false" outlineLevel="0" collapsed="false">
      <c r="A47" s="68"/>
      <c r="B47" s="35" t="s">
        <v>55</v>
      </c>
      <c r="C47" s="33" t="n">
        <v>11032</v>
      </c>
      <c r="D47" s="15" t="s">
        <v>27</v>
      </c>
      <c r="E47" s="15"/>
      <c r="F47" s="29" t="n">
        <f aca="false">Загальна!E32</f>
        <v>0</v>
      </c>
      <c r="G47" s="17"/>
      <c r="H47" s="17"/>
    </row>
    <row r="48" customFormat="false" ht="16.5" hidden="false" customHeight="false" outlineLevel="0" collapsed="false">
      <c r="A48" s="68" t="n">
        <v>5</v>
      </c>
      <c r="B48" s="35" t="s">
        <v>56</v>
      </c>
      <c r="C48" s="33" t="n">
        <v>11033</v>
      </c>
      <c r="D48" s="15" t="s">
        <v>27</v>
      </c>
      <c r="E48" s="15"/>
      <c r="F48" s="29" t="n">
        <f aca="false">Загальна!E33</f>
        <v>0.735</v>
      </c>
      <c r="G48" s="17"/>
      <c r="H48" s="17"/>
    </row>
    <row r="49" customFormat="false" ht="16.5" hidden="false" customHeight="false" outlineLevel="0" collapsed="false">
      <c r="A49" s="69"/>
      <c r="B49" s="35" t="s">
        <v>57</v>
      </c>
      <c r="C49" s="33" t="n">
        <v>11034</v>
      </c>
      <c r="D49" s="15" t="s">
        <v>27</v>
      </c>
      <c r="E49" s="15"/>
      <c r="F49" s="29" t="n">
        <f aca="false">Загальна!E34</f>
        <v>0</v>
      </c>
      <c r="G49" s="17"/>
      <c r="H49" s="17"/>
    </row>
    <row r="50" customFormat="false" ht="16.5" hidden="false" customHeight="false" outlineLevel="0" collapsed="false">
      <c r="A50" s="68"/>
      <c r="B50" s="35" t="s">
        <v>58</v>
      </c>
      <c r="C50" s="33" t="n">
        <v>11039</v>
      </c>
      <c r="D50" s="15" t="s">
        <v>27</v>
      </c>
      <c r="E50" s="15"/>
      <c r="F50" s="29" t="n">
        <f aca="false">Загальна!E35</f>
        <v>0</v>
      </c>
      <c r="G50" s="17"/>
      <c r="H50" s="17"/>
    </row>
    <row r="51" customFormat="false" ht="16.5" hidden="false" customHeight="false" outlineLevel="0" collapsed="false">
      <c r="A51" s="68"/>
      <c r="B51" s="35" t="s">
        <v>59</v>
      </c>
      <c r="C51" s="33" t="n">
        <v>11040</v>
      </c>
      <c r="D51" s="15" t="s">
        <v>27</v>
      </c>
      <c r="E51" s="15"/>
      <c r="F51" s="29" t="n">
        <f aca="false">Загальна!E36</f>
        <v>0</v>
      </c>
      <c r="G51" s="17"/>
      <c r="H51" s="17"/>
    </row>
    <row r="52" customFormat="false" ht="16.5" hidden="false" customHeight="false" outlineLevel="0" collapsed="false">
      <c r="A52" s="68" t="n">
        <v>6</v>
      </c>
      <c r="B52" s="35" t="s">
        <v>60</v>
      </c>
      <c r="C52" s="33" t="n">
        <v>11041</v>
      </c>
      <c r="D52" s="15" t="s">
        <v>27</v>
      </c>
      <c r="E52" s="15"/>
      <c r="F52" s="29" t="n">
        <f aca="false">Загальна!E37</f>
        <v>0</v>
      </c>
      <c r="G52" s="17"/>
      <c r="H52" s="17"/>
    </row>
    <row r="53" customFormat="false" ht="16.5" hidden="false" customHeight="false" outlineLevel="0" collapsed="false">
      <c r="A53" s="68"/>
      <c r="B53" s="35" t="s">
        <v>61</v>
      </c>
      <c r="C53" s="33" t="n">
        <v>11042</v>
      </c>
      <c r="D53" s="15" t="s">
        <v>27</v>
      </c>
      <c r="E53" s="15"/>
      <c r="F53" s="29" t="n">
        <f aca="false">Загальна!E38</f>
        <v>0</v>
      </c>
      <c r="G53" s="17"/>
      <c r="H53" s="17"/>
    </row>
    <row r="54" customFormat="false" ht="16.5" hidden="false" customHeight="false" outlineLevel="0" collapsed="false">
      <c r="A54" s="68" t="n">
        <v>6</v>
      </c>
      <c r="B54" s="35" t="s">
        <v>62</v>
      </c>
      <c r="C54" s="33" t="n">
        <v>11043</v>
      </c>
      <c r="D54" s="15" t="s">
        <v>27</v>
      </c>
      <c r="E54" s="15"/>
      <c r="F54" s="29" t="n">
        <f aca="false">Загальна!E39</f>
        <v>0.735</v>
      </c>
      <c r="G54" s="17"/>
      <c r="H54" s="17"/>
    </row>
    <row r="55" customFormat="false" ht="16.5" hidden="false" customHeight="false" outlineLevel="0" collapsed="false">
      <c r="A55" s="68"/>
      <c r="B55" s="35" t="s">
        <v>63</v>
      </c>
      <c r="C55" s="33" t="n">
        <v>11044</v>
      </c>
      <c r="D55" s="15" t="s">
        <v>27</v>
      </c>
      <c r="E55" s="15"/>
      <c r="F55" s="29" t="n">
        <f aca="false">Загальна!E40</f>
        <v>0</v>
      </c>
      <c r="G55" s="17"/>
      <c r="H55" s="17"/>
    </row>
    <row r="56" customFormat="false" ht="16.5" hidden="false" customHeight="false" outlineLevel="0" collapsed="false">
      <c r="A56" s="68"/>
      <c r="B56" s="35" t="s">
        <v>64</v>
      </c>
      <c r="C56" s="33" t="n">
        <v>11045</v>
      </c>
      <c r="D56" s="15" t="s">
        <v>27</v>
      </c>
      <c r="E56" s="15"/>
      <c r="F56" s="29" t="n">
        <f aca="false">Загальна!E41</f>
        <v>0</v>
      </c>
      <c r="G56" s="17"/>
      <c r="H56" s="17"/>
    </row>
    <row r="57" customFormat="false" ht="16.5" hidden="false" customHeight="false" outlineLevel="0" collapsed="false">
      <c r="A57" s="69"/>
      <c r="B57" s="35" t="s">
        <v>65</v>
      </c>
      <c r="C57" s="33" t="n">
        <v>11046</v>
      </c>
      <c r="D57" s="15" t="s">
        <v>27</v>
      </c>
      <c r="E57" s="15"/>
      <c r="F57" s="29" t="n">
        <f aca="false">Загальна!E42</f>
        <v>0</v>
      </c>
      <c r="G57" s="17"/>
      <c r="H57" s="17"/>
    </row>
    <row r="58" customFormat="false" ht="16.5" hidden="false" customHeight="false" outlineLevel="0" collapsed="false">
      <c r="A58" s="68" t="n">
        <v>7</v>
      </c>
      <c r="B58" s="35" t="s">
        <v>66</v>
      </c>
      <c r="C58" s="33" t="n">
        <v>11047</v>
      </c>
      <c r="D58" s="15" t="s">
        <v>27</v>
      </c>
      <c r="E58" s="15"/>
      <c r="F58" s="29" t="n">
        <f aca="false">Загальна!E43</f>
        <v>0</v>
      </c>
      <c r="G58" s="17"/>
      <c r="H58" s="17"/>
    </row>
    <row r="59" customFormat="false" ht="16.5" hidden="false" customHeight="false" outlineLevel="0" collapsed="false">
      <c r="A59" s="69"/>
      <c r="B59" s="35" t="s">
        <v>67</v>
      </c>
      <c r="C59" s="33" t="n">
        <v>11048</v>
      </c>
      <c r="D59" s="15" t="s">
        <v>27</v>
      </c>
      <c r="E59" s="15"/>
      <c r="F59" s="29" t="n">
        <f aca="false">Загальна!E44</f>
        <v>0</v>
      </c>
      <c r="G59" s="17"/>
      <c r="H59" s="17"/>
    </row>
    <row r="60" customFormat="false" ht="16.5" hidden="false" customHeight="false" outlineLevel="0" collapsed="false">
      <c r="A60" s="68" t="n">
        <v>7</v>
      </c>
      <c r="B60" s="35" t="s">
        <v>68</v>
      </c>
      <c r="C60" s="33" t="n">
        <v>11049</v>
      </c>
      <c r="D60" s="15" t="s">
        <v>27</v>
      </c>
      <c r="E60" s="15"/>
      <c r="F60" s="29" t="n">
        <f aca="false">Загальна!E45</f>
        <v>2.695</v>
      </c>
      <c r="G60" s="17"/>
      <c r="H60" s="17"/>
    </row>
    <row r="61" customFormat="false" ht="16.5" hidden="false" customHeight="false" outlineLevel="0" collapsed="false">
      <c r="A61" s="69"/>
      <c r="B61" s="35" t="s">
        <v>69</v>
      </c>
      <c r="C61" s="33" t="n">
        <v>11050</v>
      </c>
      <c r="D61" s="15" t="s">
        <v>27</v>
      </c>
      <c r="E61" s="15"/>
      <c r="F61" s="29" t="n">
        <f aca="false">Загальна!E46</f>
        <v>0</v>
      </c>
      <c r="G61" s="17"/>
      <c r="H61" s="17"/>
    </row>
    <row r="62" customFormat="false" ht="16.5" hidden="false" customHeight="false" outlineLevel="0" collapsed="false">
      <c r="A62" s="68"/>
      <c r="B62" s="35" t="s">
        <v>70</v>
      </c>
      <c r="C62" s="33" t="n">
        <v>11051</v>
      </c>
      <c r="D62" s="15" t="s">
        <v>27</v>
      </c>
      <c r="E62" s="15"/>
      <c r="F62" s="29" t="n">
        <f aca="false">Загальна!E47</f>
        <v>0</v>
      </c>
      <c r="G62" s="17"/>
      <c r="H62" s="17"/>
    </row>
    <row r="63" customFormat="false" ht="16.5" hidden="false" customHeight="false" outlineLevel="0" collapsed="false">
      <c r="A63" s="68"/>
      <c r="B63" s="35" t="s">
        <v>71</v>
      </c>
      <c r="C63" s="33" t="n">
        <v>11052</v>
      </c>
      <c r="D63" s="15" t="s">
        <v>27</v>
      </c>
      <c r="E63" s="15"/>
      <c r="F63" s="29" t="n">
        <f aca="false">Загальна!E48</f>
        <v>0</v>
      </c>
      <c r="G63" s="17"/>
      <c r="H63" s="17"/>
    </row>
    <row r="64" customFormat="false" ht="16.5" hidden="false" customHeight="false" outlineLevel="0" collapsed="false">
      <c r="A64" s="68"/>
      <c r="B64" s="35" t="s">
        <v>72</v>
      </c>
      <c r="C64" s="33" t="n">
        <v>11053</v>
      </c>
      <c r="D64" s="15" t="s">
        <v>27</v>
      </c>
      <c r="E64" s="15"/>
      <c r="F64" s="29" t="n">
        <f aca="false">Загальна!E49</f>
        <v>0</v>
      </c>
      <c r="G64" s="17"/>
      <c r="H64" s="17"/>
    </row>
    <row r="65" customFormat="false" ht="16.5" hidden="false" customHeight="false" outlineLevel="0" collapsed="false">
      <c r="A65" s="68"/>
      <c r="B65" s="35" t="s">
        <v>73</v>
      </c>
      <c r="C65" s="33" t="n">
        <v>11054</v>
      </c>
      <c r="D65" s="15" t="s">
        <v>27</v>
      </c>
      <c r="E65" s="15"/>
      <c r="F65" s="29" t="n">
        <f aca="false">Загальна!E50</f>
        <v>0</v>
      </c>
      <c r="G65" s="17"/>
      <c r="H65" s="17"/>
    </row>
    <row r="66" customFormat="false" ht="16.5" hidden="false" customHeight="false" outlineLevel="0" collapsed="false">
      <c r="A66" s="68"/>
      <c r="B66" s="35" t="s">
        <v>74</v>
      </c>
      <c r="C66" s="33" t="n">
        <v>11055</v>
      </c>
      <c r="D66" s="15" t="s">
        <v>27</v>
      </c>
      <c r="E66" s="15"/>
      <c r="F66" s="29" t="n">
        <f aca="false">Загальна!E51</f>
        <v>0</v>
      </c>
      <c r="G66" s="17"/>
      <c r="H66" s="17"/>
    </row>
    <row r="67" customFormat="false" ht="16.5" hidden="false" customHeight="false" outlineLevel="0" collapsed="false">
      <c r="A67" s="68"/>
      <c r="B67" s="35" t="s">
        <v>75</v>
      </c>
      <c r="C67" s="33" t="n">
        <v>11057</v>
      </c>
      <c r="D67" s="15" t="s">
        <v>27</v>
      </c>
      <c r="E67" s="15"/>
      <c r="F67" s="29" t="n">
        <f aca="false">Загальна!E52</f>
        <v>0</v>
      </c>
      <c r="G67" s="17"/>
      <c r="H67" s="17"/>
    </row>
    <row r="68" customFormat="false" ht="16.5" hidden="false" customHeight="false" outlineLevel="0" collapsed="false">
      <c r="A68" s="68"/>
      <c r="B68" s="35" t="s">
        <v>76</v>
      </c>
      <c r="C68" s="33" t="n">
        <v>11058</v>
      </c>
      <c r="D68" s="15" t="s">
        <v>27</v>
      </c>
      <c r="E68" s="15"/>
      <c r="F68" s="29" t="n">
        <f aca="false">Загальна!E53</f>
        <v>0</v>
      </c>
      <c r="G68" s="17"/>
      <c r="H68" s="17"/>
    </row>
    <row r="69" customFormat="false" ht="16.5" hidden="false" customHeight="false" outlineLevel="0" collapsed="false">
      <c r="A69" s="68"/>
      <c r="B69" s="35" t="s">
        <v>77</v>
      </c>
      <c r="C69" s="33" t="n">
        <v>11059</v>
      </c>
      <c r="D69" s="15" t="s">
        <v>27</v>
      </c>
      <c r="E69" s="15"/>
      <c r="F69" s="29" t="n">
        <f aca="false">Загальна!E54</f>
        <v>0</v>
      </c>
      <c r="G69" s="17"/>
      <c r="H69" s="17"/>
    </row>
    <row r="70" customFormat="false" ht="16.5" hidden="false" customHeight="false" outlineLevel="0" collapsed="false">
      <c r="A70" s="68"/>
      <c r="B70" s="35" t="s">
        <v>78</v>
      </c>
      <c r="C70" s="33" t="n">
        <v>11060</v>
      </c>
      <c r="D70" s="15" t="s">
        <v>27</v>
      </c>
      <c r="E70" s="15"/>
      <c r="F70" s="29" t="n">
        <f aca="false">Загальна!E55</f>
        <v>0</v>
      </c>
      <c r="G70" s="17"/>
      <c r="H70" s="17"/>
    </row>
    <row r="71" customFormat="false" ht="16.5" hidden="false" customHeight="false" outlineLevel="0" collapsed="false">
      <c r="A71" s="68" t="n">
        <v>8</v>
      </c>
      <c r="B71" s="35" t="s">
        <v>79</v>
      </c>
      <c r="C71" s="33" t="n">
        <v>11061</v>
      </c>
      <c r="D71" s="15" t="s">
        <v>27</v>
      </c>
      <c r="E71" s="15"/>
      <c r="F71" s="29" t="n">
        <f aca="false">Загальна!E56</f>
        <v>0</v>
      </c>
      <c r="G71" s="17"/>
      <c r="H71" s="17"/>
    </row>
    <row r="72" customFormat="false" ht="16.5" hidden="false" customHeight="false" outlineLevel="0" collapsed="false">
      <c r="A72" s="68"/>
      <c r="B72" s="35" t="s">
        <v>80</v>
      </c>
      <c r="C72" s="33" t="n">
        <v>11062</v>
      </c>
      <c r="D72" s="15" t="s">
        <v>27</v>
      </c>
      <c r="E72" s="15"/>
      <c r="F72" s="29" t="n">
        <f aca="false">Загальна!E57</f>
        <v>0</v>
      </c>
      <c r="G72" s="17"/>
      <c r="H72" s="17"/>
    </row>
    <row r="73" customFormat="false" ht="16.5" hidden="false" customHeight="false" outlineLevel="0" collapsed="false">
      <c r="A73" s="68" t="n">
        <v>8</v>
      </c>
      <c r="B73" s="35" t="s">
        <v>81</v>
      </c>
      <c r="C73" s="33" t="n">
        <v>11063</v>
      </c>
      <c r="D73" s="15" t="s">
        <v>27</v>
      </c>
      <c r="E73" s="15"/>
      <c r="F73" s="29" t="n">
        <f aca="false">Загальна!E58</f>
        <v>7.35</v>
      </c>
      <c r="G73" s="17"/>
      <c r="H73" s="17"/>
    </row>
    <row r="74" customFormat="false" ht="16.5" hidden="false" customHeight="false" outlineLevel="0" collapsed="false">
      <c r="A74" s="68"/>
      <c r="B74" s="35" t="s">
        <v>82</v>
      </c>
      <c r="C74" s="33" t="n">
        <v>11064</v>
      </c>
      <c r="D74" s="15" t="s">
        <v>27</v>
      </c>
      <c r="E74" s="15"/>
      <c r="F74" s="29" t="n">
        <f aca="false">Загальна!E59</f>
        <v>0</v>
      </c>
      <c r="G74" s="17"/>
      <c r="H74" s="17"/>
    </row>
    <row r="75" customFormat="false" ht="16.5" hidden="false" customHeight="false" outlineLevel="0" collapsed="false">
      <c r="A75" s="68"/>
      <c r="B75" s="35" t="s">
        <v>83</v>
      </c>
      <c r="C75" s="33" t="n">
        <v>11065</v>
      </c>
      <c r="D75" s="15" t="s">
        <v>27</v>
      </c>
      <c r="E75" s="15"/>
      <c r="F75" s="29" t="n">
        <f aca="false">Загальна!E60</f>
        <v>0</v>
      </c>
      <c r="G75" s="17"/>
      <c r="H75" s="17"/>
    </row>
    <row r="76" customFormat="false" ht="16.5" hidden="false" customHeight="false" outlineLevel="0" collapsed="false">
      <c r="A76" s="68"/>
      <c r="B76" s="35" t="s">
        <v>84</v>
      </c>
      <c r="C76" s="33" t="n">
        <v>11201</v>
      </c>
      <c r="D76" s="15" t="s">
        <v>27</v>
      </c>
      <c r="E76" s="15"/>
      <c r="F76" s="29" t="n">
        <f aca="false">Загальна!E61</f>
        <v>0</v>
      </c>
      <c r="G76" s="17"/>
      <c r="H76" s="17"/>
    </row>
    <row r="77" customFormat="false" ht="16.5" hidden="false" customHeight="false" outlineLevel="0" collapsed="false">
      <c r="A77" s="68"/>
      <c r="B77" s="35" t="s">
        <v>85</v>
      </c>
      <c r="C77" s="33" t="n">
        <v>11202</v>
      </c>
      <c r="D77" s="15" t="s">
        <v>27</v>
      </c>
      <c r="E77" s="15"/>
      <c r="F77" s="29" t="n">
        <f aca="false">Загальна!E62</f>
        <v>0</v>
      </c>
      <c r="G77" s="17"/>
      <c r="H77" s="17"/>
    </row>
    <row r="78" customFormat="false" ht="16.5" hidden="false" customHeight="false" outlineLevel="0" collapsed="false">
      <c r="A78" s="69"/>
      <c r="B78" s="35" t="s">
        <v>86</v>
      </c>
      <c r="C78" s="33" t="n">
        <v>11203</v>
      </c>
      <c r="D78" s="15" t="s">
        <v>27</v>
      </c>
      <c r="E78" s="15"/>
      <c r="F78" s="29" t="n">
        <f aca="false">Загальна!E63</f>
        <v>0</v>
      </c>
      <c r="G78" s="17"/>
      <c r="H78" s="17"/>
    </row>
    <row r="79" customFormat="false" ht="16.5" hidden="false" customHeight="false" outlineLevel="0" collapsed="false">
      <c r="A79" s="69"/>
      <c r="B79" s="35" t="s">
        <v>87</v>
      </c>
      <c r="C79" s="33" t="n">
        <v>11204</v>
      </c>
      <c r="D79" s="15" t="s">
        <v>27</v>
      </c>
      <c r="E79" s="15"/>
      <c r="F79" s="29" t="n">
        <f aca="false">Загальна!E64</f>
        <v>0</v>
      </c>
      <c r="G79" s="17"/>
      <c r="H79" s="17"/>
    </row>
    <row r="80" customFormat="false" ht="16.5" hidden="false" customHeight="false" outlineLevel="0" collapsed="false">
      <c r="A80" s="68"/>
      <c r="B80" s="35" t="s">
        <v>88</v>
      </c>
      <c r="C80" s="33" t="n">
        <v>11205</v>
      </c>
      <c r="D80" s="15" t="s">
        <v>27</v>
      </c>
      <c r="E80" s="15"/>
      <c r="F80" s="29" t="n">
        <f aca="false">Загальна!E65</f>
        <v>0</v>
      </c>
      <c r="G80" s="17"/>
      <c r="H80" s="17"/>
    </row>
    <row r="81" customFormat="false" ht="16.5" hidden="false" customHeight="false" outlineLevel="0" collapsed="false">
      <c r="A81" s="68"/>
      <c r="B81" s="35" t="s">
        <v>89</v>
      </c>
      <c r="C81" s="33" t="n">
        <v>11206</v>
      </c>
      <c r="D81" s="15" t="s">
        <v>27</v>
      </c>
      <c r="E81" s="15"/>
      <c r="F81" s="29" t="n">
        <f aca="false">Загальна!E66</f>
        <v>0</v>
      </c>
      <c r="G81" s="17"/>
      <c r="H81" s="17"/>
    </row>
    <row r="82" customFormat="false" ht="16.5" hidden="false" customHeight="false" outlineLevel="0" collapsed="false">
      <c r="A82" s="68"/>
      <c r="B82" s="35" t="s">
        <v>90</v>
      </c>
      <c r="C82" s="33" t="n">
        <v>11208</v>
      </c>
      <c r="D82" s="15" t="s">
        <v>27</v>
      </c>
      <c r="E82" s="15"/>
      <c r="F82" s="29" t="n">
        <f aca="false">Загальна!E67</f>
        <v>0</v>
      </c>
      <c r="G82" s="17"/>
      <c r="H82" s="17"/>
    </row>
    <row r="83" customFormat="false" ht="16.5" hidden="false" customHeight="false" outlineLevel="0" collapsed="false">
      <c r="A83" s="69"/>
      <c r="B83" s="35" t="s">
        <v>91</v>
      </c>
      <c r="C83" s="33" t="n">
        <v>11209</v>
      </c>
      <c r="D83" s="15" t="s">
        <v>27</v>
      </c>
      <c r="E83" s="15"/>
      <c r="F83" s="29" t="n">
        <f aca="false">Загальна!E68</f>
        <v>0</v>
      </c>
      <c r="G83" s="17"/>
      <c r="H83" s="17"/>
    </row>
    <row r="84" customFormat="false" ht="16.5" hidden="false" customHeight="false" outlineLevel="0" collapsed="false">
      <c r="A84" s="68"/>
      <c r="B84" s="35" t="s">
        <v>92</v>
      </c>
      <c r="C84" s="33" t="n">
        <v>11210</v>
      </c>
      <c r="D84" s="15" t="s">
        <v>27</v>
      </c>
      <c r="E84" s="15"/>
      <c r="F84" s="29" t="n">
        <f aca="false">Загальна!E69</f>
        <v>0</v>
      </c>
      <c r="G84" s="17"/>
      <c r="H84" s="17"/>
    </row>
    <row r="85" customFormat="false" ht="16.5" hidden="false" customHeight="false" outlineLevel="0" collapsed="false">
      <c r="A85" s="69"/>
      <c r="B85" s="35" t="s">
        <v>93</v>
      </c>
      <c r="C85" s="33" t="n">
        <v>11211</v>
      </c>
      <c r="D85" s="15" t="s">
        <v>27</v>
      </c>
      <c r="E85" s="15"/>
      <c r="F85" s="29" t="n">
        <f aca="false">Загальна!E70</f>
        <v>0</v>
      </c>
      <c r="G85" s="17"/>
      <c r="H85" s="17"/>
    </row>
    <row r="86" customFormat="false" ht="16.5" hidden="false" customHeight="false" outlineLevel="0" collapsed="false">
      <c r="A86" s="69"/>
      <c r="B86" s="35" t="s">
        <v>94</v>
      </c>
      <c r="C86" s="33" t="n">
        <v>11212</v>
      </c>
      <c r="D86" s="15" t="s">
        <v>27</v>
      </c>
      <c r="E86" s="15"/>
      <c r="F86" s="29" t="n">
        <f aca="false">Загальна!E71</f>
        <v>0</v>
      </c>
      <c r="G86" s="17"/>
      <c r="H86" s="17"/>
    </row>
    <row r="87" customFormat="false" ht="16.5" hidden="false" customHeight="false" outlineLevel="0" collapsed="false">
      <c r="A87" s="68"/>
      <c r="B87" s="35" t="s">
        <v>95</v>
      </c>
      <c r="C87" s="33" t="n">
        <v>11213</v>
      </c>
      <c r="D87" s="15" t="s">
        <v>27</v>
      </c>
      <c r="E87" s="15"/>
      <c r="F87" s="29" t="n">
        <f aca="false">Загальна!E72</f>
        <v>0</v>
      </c>
      <c r="G87" s="17"/>
      <c r="H87" s="17"/>
    </row>
    <row r="88" customFormat="false" ht="16.5" hidden="false" customHeight="false" outlineLevel="0" collapsed="false">
      <c r="A88" s="68"/>
      <c r="B88" s="35" t="s">
        <v>96</v>
      </c>
      <c r="C88" s="33" t="n">
        <v>11214</v>
      </c>
      <c r="D88" s="15" t="s">
        <v>27</v>
      </c>
      <c r="E88" s="15"/>
      <c r="F88" s="29" t="n">
        <f aca="false">Загальна!E73</f>
        <v>0</v>
      </c>
      <c r="G88" s="17"/>
      <c r="H88" s="17"/>
    </row>
    <row r="89" customFormat="false" ht="16.5" hidden="false" customHeight="false" outlineLevel="0" collapsed="false">
      <c r="A89" s="68"/>
      <c r="B89" s="35" t="s">
        <v>97</v>
      </c>
      <c r="C89" s="33" t="n">
        <v>11215</v>
      </c>
      <c r="D89" s="15" t="s">
        <v>27</v>
      </c>
      <c r="E89" s="15"/>
      <c r="F89" s="29" t="n">
        <f aca="false">Загальна!E74</f>
        <v>0</v>
      </c>
      <c r="G89" s="17"/>
      <c r="H89" s="17"/>
    </row>
    <row r="90" customFormat="false" ht="16.5" hidden="false" customHeight="false" outlineLevel="0" collapsed="false">
      <c r="A90" s="68"/>
      <c r="B90" s="35" t="s">
        <v>98</v>
      </c>
      <c r="C90" s="33" t="n">
        <v>11301</v>
      </c>
      <c r="D90" s="15" t="s">
        <v>27</v>
      </c>
      <c r="E90" s="15"/>
      <c r="F90" s="29" t="n">
        <f aca="false">Загальна!E75</f>
        <v>0</v>
      </c>
      <c r="G90" s="17"/>
      <c r="H90" s="17"/>
    </row>
    <row r="91" customFormat="false" ht="16.5" hidden="false" customHeight="false" outlineLevel="0" collapsed="false">
      <c r="A91" s="68"/>
      <c r="B91" s="35" t="s">
        <v>99</v>
      </c>
      <c r="C91" s="33" t="n">
        <v>11302</v>
      </c>
      <c r="D91" s="15" t="s">
        <v>27</v>
      </c>
      <c r="E91" s="15"/>
      <c r="F91" s="29" t="n">
        <f aca="false">Загальна!E76</f>
        <v>0</v>
      </c>
      <c r="G91" s="17"/>
      <c r="H91" s="17"/>
    </row>
    <row r="92" customFormat="false" ht="16.5" hidden="false" customHeight="false" outlineLevel="0" collapsed="false">
      <c r="A92" s="68"/>
      <c r="B92" s="35" t="s">
        <v>100</v>
      </c>
      <c r="C92" s="33" t="n">
        <v>11303</v>
      </c>
      <c r="D92" s="15" t="s">
        <v>27</v>
      </c>
      <c r="E92" s="15"/>
      <c r="F92" s="29" t="n">
        <f aca="false">Загальна!E77</f>
        <v>0</v>
      </c>
      <c r="G92" s="17"/>
      <c r="H92" s="17"/>
    </row>
    <row r="93" customFormat="false" ht="16.5" hidden="false" customHeight="false" outlineLevel="0" collapsed="false">
      <c r="A93" s="68"/>
      <c r="B93" s="35" t="s">
        <v>101</v>
      </c>
      <c r="C93" s="33" t="n">
        <v>11309</v>
      </c>
      <c r="D93" s="15" t="s">
        <v>27</v>
      </c>
      <c r="E93" s="15"/>
      <c r="F93" s="29" t="n">
        <f aca="false">Загальна!E78</f>
        <v>0</v>
      </c>
      <c r="G93" s="17"/>
      <c r="H93" s="17"/>
    </row>
    <row r="94" customFormat="false" ht="16.5" hidden="false" customHeight="false" outlineLevel="0" collapsed="false">
      <c r="A94" s="68"/>
      <c r="B94" s="35" t="s">
        <v>102</v>
      </c>
      <c r="C94" s="33" t="n">
        <v>11310</v>
      </c>
      <c r="D94" s="15" t="s">
        <v>27</v>
      </c>
      <c r="E94" s="15"/>
      <c r="F94" s="29" t="n">
        <f aca="false">Загальна!E79</f>
        <v>0</v>
      </c>
      <c r="G94" s="17"/>
      <c r="H94" s="17"/>
    </row>
    <row r="95" customFormat="false" ht="16.5" hidden="false" customHeight="false" outlineLevel="0" collapsed="false">
      <c r="A95" s="68"/>
      <c r="B95" s="35" t="s">
        <v>103</v>
      </c>
      <c r="C95" s="33" t="n">
        <v>11401</v>
      </c>
      <c r="D95" s="15" t="s">
        <v>27</v>
      </c>
      <c r="E95" s="15"/>
      <c r="F95" s="29" t="n">
        <f aca="false">Загальна!E80</f>
        <v>0</v>
      </c>
      <c r="G95" s="17"/>
      <c r="H95" s="17"/>
    </row>
    <row r="96" customFormat="false" ht="16.5" hidden="false" customHeight="false" outlineLevel="0" collapsed="false">
      <c r="A96" s="68" t="n">
        <v>9</v>
      </c>
      <c r="B96" s="35" t="s">
        <v>104</v>
      </c>
      <c r="C96" s="33" t="n">
        <v>11402</v>
      </c>
      <c r="D96" s="15" t="s">
        <v>27</v>
      </c>
      <c r="E96" s="15"/>
      <c r="F96" s="29" t="n">
        <f aca="false">Загальна!E81</f>
        <v>0</v>
      </c>
      <c r="G96" s="17"/>
      <c r="H96" s="17"/>
    </row>
    <row r="97" customFormat="false" ht="16.5" hidden="false" customHeight="false" outlineLevel="0" collapsed="false">
      <c r="A97" s="68" t="n">
        <v>10</v>
      </c>
      <c r="B97" s="35" t="s">
        <v>105</v>
      </c>
      <c r="C97" s="33" t="n">
        <v>11403</v>
      </c>
      <c r="D97" s="15" t="s">
        <v>27</v>
      </c>
      <c r="E97" s="15"/>
      <c r="F97" s="29" t="n">
        <f aca="false">Загальна!E82</f>
        <v>0</v>
      </c>
      <c r="G97" s="17"/>
      <c r="H97" s="17"/>
    </row>
    <row r="98" customFormat="false" ht="16.5" hidden="false" customHeight="false" outlineLevel="0" collapsed="false">
      <c r="A98" s="68" t="n">
        <v>9</v>
      </c>
      <c r="B98" s="35" t="s">
        <v>106</v>
      </c>
      <c r="C98" s="33" t="n">
        <v>11404</v>
      </c>
      <c r="D98" s="15" t="s">
        <v>27</v>
      </c>
      <c r="E98" s="15"/>
      <c r="F98" s="29" t="n">
        <f aca="false">Загальна!E83</f>
        <v>2.94</v>
      </c>
      <c r="G98" s="17"/>
      <c r="H98" s="17"/>
    </row>
    <row r="99" customFormat="false" ht="16.5" hidden="false" customHeight="false" outlineLevel="0" collapsed="false">
      <c r="A99" s="69" t="n">
        <v>10</v>
      </c>
      <c r="B99" s="35" t="s">
        <v>107</v>
      </c>
      <c r="C99" s="33" t="n">
        <v>11405</v>
      </c>
      <c r="D99" s="15" t="s">
        <v>27</v>
      </c>
      <c r="E99" s="15"/>
      <c r="F99" s="29" t="n">
        <f aca="false">Загальна!E84</f>
        <v>2.94</v>
      </c>
      <c r="G99" s="17"/>
      <c r="H99" s="17"/>
    </row>
    <row r="100" customFormat="false" ht="16.5" hidden="false" customHeight="false" outlineLevel="0" collapsed="false">
      <c r="A100" s="69"/>
      <c r="B100" s="35" t="s">
        <v>108</v>
      </c>
      <c r="C100" s="33" t="n">
        <v>11406</v>
      </c>
      <c r="D100" s="15" t="s">
        <v>27</v>
      </c>
      <c r="E100" s="15"/>
      <c r="F100" s="29" t="n">
        <f aca="false">Загальна!E85</f>
        <v>0</v>
      </c>
      <c r="G100" s="17"/>
      <c r="H100" s="17"/>
    </row>
    <row r="101" customFormat="false" ht="16.5" hidden="false" customHeight="false" outlineLevel="0" collapsed="false">
      <c r="A101" s="68" t="n">
        <v>11</v>
      </c>
      <c r="B101" s="35" t="s">
        <v>109</v>
      </c>
      <c r="C101" s="33" t="n">
        <v>11407</v>
      </c>
      <c r="D101" s="15" t="s">
        <v>27</v>
      </c>
      <c r="E101" s="15"/>
      <c r="F101" s="29" t="n">
        <f aca="false">Загальна!E86</f>
        <v>0</v>
      </c>
      <c r="G101" s="17"/>
      <c r="H101" s="17"/>
    </row>
    <row r="102" customFormat="false" ht="16.5" hidden="false" customHeight="false" outlineLevel="0" collapsed="false">
      <c r="A102" s="68"/>
      <c r="B102" s="35" t="s">
        <v>110</v>
      </c>
      <c r="C102" s="33" t="n">
        <v>11408</v>
      </c>
      <c r="D102" s="15" t="s">
        <v>27</v>
      </c>
      <c r="E102" s="15"/>
      <c r="F102" s="29" t="n">
        <f aca="false">Загальна!E87</f>
        <v>0</v>
      </c>
      <c r="G102" s="17"/>
      <c r="H102" s="17"/>
    </row>
    <row r="103" customFormat="false" ht="16.5" hidden="false" customHeight="false" outlineLevel="0" collapsed="false">
      <c r="A103" s="68" t="n">
        <v>11</v>
      </c>
      <c r="B103" s="35" t="s">
        <v>111</v>
      </c>
      <c r="C103" s="33" t="n">
        <v>11409</v>
      </c>
      <c r="D103" s="15" t="s">
        <v>27</v>
      </c>
      <c r="E103" s="15"/>
      <c r="F103" s="29" t="n">
        <f aca="false">Загальна!E88</f>
        <v>2.94</v>
      </c>
      <c r="G103" s="17"/>
      <c r="H103" s="17"/>
    </row>
    <row r="104" customFormat="false" ht="16.5" hidden="false" customHeight="false" outlineLevel="0" collapsed="false">
      <c r="A104" s="68"/>
      <c r="B104" s="35" t="s">
        <v>112</v>
      </c>
      <c r="C104" s="33" t="n">
        <v>11410</v>
      </c>
      <c r="D104" s="15" t="s">
        <v>27</v>
      </c>
      <c r="E104" s="15"/>
      <c r="F104" s="29" t="n">
        <f aca="false">Загальна!E89</f>
        <v>0</v>
      </c>
      <c r="G104" s="17"/>
      <c r="H104" s="17"/>
    </row>
    <row r="105" customFormat="false" ht="16.5" hidden="false" customHeight="false" outlineLevel="0" collapsed="false">
      <c r="A105" s="68"/>
      <c r="B105" s="35" t="s">
        <v>113</v>
      </c>
      <c r="C105" s="33" t="n">
        <v>11411</v>
      </c>
      <c r="D105" s="15" t="s">
        <v>27</v>
      </c>
      <c r="E105" s="15"/>
      <c r="F105" s="29" t="n">
        <f aca="false">Загальна!E90</f>
        <v>0</v>
      </c>
      <c r="G105" s="17"/>
      <c r="H105" s="17"/>
    </row>
    <row r="106" customFormat="false" ht="16.5" hidden="false" customHeight="false" outlineLevel="0" collapsed="false">
      <c r="A106" s="68"/>
      <c r="B106" s="35" t="s">
        <v>114</v>
      </c>
      <c r="C106" s="33" t="n">
        <v>11412</v>
      </c>
      <c r="D106" s="15" t="s">
        <v>27</v>
      </c>
      <c r="E106" s="15"/>
      <c r="F106" s="29" t="n">
        <f aca="false">Загальна!E91</f>
        <v>0</v>
      </c>
      <c r="G106" s="17"/>
      <c r="H106" s="17"/>
    </row>
    <row r="107" customFormat="false" ht="16.5" hidden="false" customHeight="false" outlineLevel="0" collapsed="false">
      <c r="A107" s="68"/>
      <c r="B107" s="35" t="s">
        <v>115</v>
      </c>
      <c r="C107" s="33" t="n">
        <v>11413</v>
      </c>
      <c r="D107" s="15" t="s">
        <v>27</v>
      </c>
      <c r="E107" s="15"/>
      <c r="F107" s="29" t="n">
        <f aca="false">Загальна!E92</f>
        <v>0</v>
      </c>
      <c r="G107" s="17"/>
      <c r="H107" s="17"/>
    </row>
    <row r="108" customFormat="false" ht="16.5" hidden="false" customHeight="false" outlineLevel="0" collapsed="false">
      <c r="A108" s="68"/>
      <c r="B108" s="35" t="s">
        <v>116</v>
      </c>
      <c r="C108" s="33" t="n">
        <v>11414</v>
      </c>
      <c r="D108" s="15" t="s">
        <v>27</v>
      </c>
      <c r="E108" s="15"/>
      <c r="F108" s="29" t="n">
        <f aca="false">Загальна!E93</f>
        <v>0</v>
      </c>
      <c r="G108" s="17"/>
      <c r="H108" s="17"/>
    </row>
    <row r="109" customFormat="false" ht="16.5" hidden="false" customHeight="false" outlineLevel="0" collapsed="false">
      <c r="A109" s="69"/>
      <c r="B109" s="35" t="s">
        <v>117</v>
      </c>
      <c r="C109" s="33" t="n">
        <v>11415</v>
      </c>
      <c r="D109" s="15" t="s">
        <v>27</v>
      </c>
      <c r="E109" s="15"/>
      <c r="F109" s="29" t="n">
        <f aca="false">Загальна!E94</f>
        <v>0</v>
      </c>
      <c r="G109" s="17"/>
      <c r="H109" s="17"/>
    </row>
    <row r="110" customFormat="false" ht="16.5" hidden="false" customHeight="false" outlineLevel="0" collapsed="false">
      <c r="A110" s="69"/>
      <c r="B110" s="35" t="s">
        <v>118</v>
      </c>
      <c r="C110" s="33" t="n">
        <v>11416</v>
      </c>
      <c r="D110" s="15" t="s">
        <v>27</v>
      </c>
      <c r="E110" s="15"/>
      <c r="F110" s="29" t="n">
        <f aca="false">Загальна!E95</f>
        <v>0</v>
      </c>
      <c r="G110" s="17"/>
      <c r="H110" s="17"/>
    </row>
    <row r="111" customFormat="false" ht="16.5" hidden="false" customHeight="false" outlineLevel="0" collapsed="false">
      <c r="A111" s="68"/>
      <c r="B111" s="35" t="s">
        <v>119</v>
      </c>
      <c r="C111" s="33" t="n">
        <v>11417</v>
      </c>
      <c r="D111" s="15" t="s">
        <v>27</v>
      </c>
      <c r="E111" s="15"/>
      <c r="F111" s="29" t="n">
        <f aca="false">Загальна!E96</f>
        <v>0</v>
      </c>
      <c r="G111" s="17"/>
      <c r="H111" s="17"/>
    </row>
    <row r="112" customFormat="false" ht="16.5" hidden="false" customHeight="false" outlineLevel="0" collapsed="false">
      <c r="A112" s="68"/>
      <c r="B112" s="35" t="s">
        <v>120</v>
      </c>
      <c r="C112" s="33" t="n">
        <v>11419</v>
      </c>
      <c r="D112" s="15" t="s">
        <v>27</v>
      </c>
      <c r="E112" s="15"/>
      <c r="F112" s="29" t="n">
        <f aca="false">Загальна!E97</f>
        <v>0</v>
      </c>
      <c r="G112" s="17"/>
      <c r="H112" s="17"/>
    </row>
    <row r="113" customFormat="false" ht="16.5" hidden="false" customHeight="false" outlineLevel="0" collapsed="false">
      <c r="A113" s="68"/>
      <c r="B113" s="35" t="s">
        <v>121</v>
      </c>
      <c r="C113" s="33" t="n">
        <v>11420</v>
      </c>
      <c r="D113" s="15" t="s">
        <v>27</v>
      </c>
      <c r="E113" s="15"/>
      <c r="F113" s="29" t="n">
        <f aca="false">Загальна!E98</f>
        <v>0</v>
      </c>
      <c r="G113" s="17"/>
      <c r="H113" s="17"/>
    </row>
    <row r="114" customFormat="false" ht="16.5" hidden="false" customHeight="false" outlineLevel="0" collapsed="false">
      <c r="A114" s="68"/>
      <c r="B114" s="35" t="s">
        <v>122</v>
      </c>
      <c r="C114" s="33" t="n">
        <v>11422</v>
      </c>
      <c r="D114" s="15" t="s">
        <v>27</v>
      </c>
      <c r="E114" s="15"/>
      <c r="F114" s="29" t="n">
        <f aca="false">Загальна!E99</f>
        <v>0</v>
      </c>
      <c r="G114" s="17"/>
      <c r="H114" s="17"/>
    </row>
    <row r="115" customFormat="false" ht="16.5" hidden="false" customHeight="false" outlineLevel="0" collapsed="false">
      <c r="A115" s="68"/>
      <c r="B115" s="35" t="s">
        <v>123</v>
      </c>
      <c r="C115" s="33" t="n">
        <v>11423</v>
      </c>
      <c r="D115" s="15" t="s">
        <v>27</v>
      </c>
      <c r="E115" s="15"/>
      <c r="F115" s="29" t="n">
        <f aca="false">Загальна!E100</f>
        <v>0</v>
      </c>
      <c r="G115" s="17"/>
      <c r="H115" s="17"/>
    </row>
    <row r="116" customFormat="false" ht="16.5" hidden="false" customHeight="false" outlineLevel="0" collapsed="false">
      <c r="A116" s="68"/>
      <c r="B116" s="35" t="s">
        <v>124</v>
      </c>
      <c r="C116" s="33" t="n">
        <v>11424</v>
      </c>
      <c r="D116" s="15" t="s">
        <v>27</v>
      </c>
      <c r="E116" s="15"/>
      <c r="F116" s="29" t="n">
        <f aca="false">Загальна!E101</f>
        <v>0</v>
      </c>
      <c r="G116" s="17"/>
      <c r="H116" s="17"/>
    </row>
    <row r="117" customFormat="false" ht="16.5" hidden="false" customHeight="false" outlineLevel="0" collapsed="false">
      <c r="A117" s="70"/>
      <c r="B117" s="35" t="s">
        <v>125</v>
      </c>
      <c r="C117" s="33" t="n">
        <v>11501</v>
      </c>
      <c r="D117" s="38" t="s">
        <v>27</v>
      </c>
      <c r="E117" s="38"/>
      <c r="F117" s="29" t="n">
        <f aca="false">Загальна!E102</f>
        <v>0</v>
      </c>
      <c r="G117" s="17"/>
      <c r="H117" s="17"/>
    </row>
    <row r="118" customFormat="false" ht="16.5" hidden="false" customHeight="false" outlineLevel="0" collapsed="false">
      <c r="A118" s="69"/>
      <c r="B118" s="35" t="s">
        <v>126</v>
      </c>
      <c r="C118" s="33" t="n">
        <v>11502</v>
      </c>
      <c r="D118" s="15" t="s">
        <v>27</v>
      </c>
      <c r="E118" s="39"/>
      <c r="F118" s="29" t="n">
        <f aca="false">Загальна!E103</f>
        <v>0</v>
      </c>
      <c r="G118" s="17"/>
      <c r="H118" s="17"/>
    </row>
    <row r="119" customFormat="false" ht="16.5" hidden="false" customHeight="false" outlineLevel="0" collapsed="false">
      <c r="A119" s="68"/>
      <c r="B119" s="35" t="s">
        <v>127</v>
      </c>
      <c r="C119" s="33" t="n">
        <v>11503</v>
      </c>
      <c r="D119" s="15" t="s">
        <v>27</v>
      </c>
      <c r="E119" s="15"/>
      <c r="F119" s="29" t="n">
        <f aca="false">Загальна!E104</f>
        <v>0</v>
      </c>
      <c r="G119" s="17"/>
      <c r="H119" s="17"/>
    </row>
    <row r="120" customFormat="false" ht="16.5" hidden="false" customHeight="false" outlineLevel="0" collapsed="false">
      <c r="A120" s="68"/>
      <c r="B120" s="35" t="s">
        <v>128</v>
      </c>
      <c r="C120" s="33" t="n">
        <v>11504</v>
      </c>
      <c r="D120" s="15" t="s">
        <v>27</v>
      </c>
      <c r="E120" s="15"/>
      <c r="F120" s="29" t="n">
        <f aca="false">Загальна!E105</f>
        <v>0</v>
      </c>
      <c r="G120" s="17"/>
      <c r="H120" s="17"/>
    </row>
    <row r="121" customFormat="false" ht="16.5" hidden="false" customHeight="false" outlineLevel="0" collapsed="false">
      <c r="A121" s="68" t="n">
        <v>12</v>
      </c>
      <c r="B121" s="35" t="s">
        <v>129</v>
      </c>
      <c r="C121" s="33" t="n">
        <v>11505</v>
      </c>
      <c r="D121" s="15" t="s">
        <v>27</v>
      </c>
      <c r="E121" s="15"/>
      <c r="F121" s="29" t="n">
        <f aca="false">Загальна!E106</f>
        <v>0</v>
      </c>
      <c r="G121" s="17"/>
      <c r="H121" s="17"/>
    </row>
    <row r="122" customFormat="false" ht="16.5" hidden="false" customHeight="false" outlineLevel="0" collapsed="false">
      <c r="A122" s="68"/>
      <c r="B122" s="35" t="s">
        <v>130</v>
      </c>
      <c r="C122" s="33" t="n">
        <v>11602</v>
      </c>
      <c r="D122" s="15" t="s">
        <v>27</v>
      </c>
      <c r="E122" s="15"/>
      <c r="F122" s="29" t="n">
        <f aca="false">Загальна!E107</f>
        <v>0</v>
      </c>
      <c r="G122" s="17"/>
      <c r="H122" s="17"/>
    </row>
    <row r="123" customFormat="false" ht="16.5" hidden="false" customHeight="false" outlineLevel="0" collapsed="false">
      <c r="A123" s="68" t="n">
        <v>12</v>
      </c>
      <c r="B123" s="35" t="s">
        <v>131</v>
      </c>
      <c r="C123" s="33" t="n">
        <v>11603</v>
      </c>
      <c r="D123" s="15" t="s">
        <v>27</v>
      </c>
      <c r="E123" s="15"/>
      <c r="F123" s="29" t="n">
        <f aca="false">Загальна!E108</f>
        <v>0.49</v>
      </c>
      <c r="G123" s="17"/>
      <c r="H123" s="17"/>
    </row>
    <row r="124" customFormat="false" ht="16.5" hidden="false" customHeight="false" outlineLevel="0" collapsed="false">
      <c r="A124" s="68"/>
      <c r="B124" s="35" t="s">
        <v>132</v>
      </c>
      <c r="C124" s="33" t="n">
        <v>11604</v>
      </c>
      <c r="D124" s="15" t="s">
        <v>27</v>
      </c>
      <c r="E124" s="15"/>
      <c r="F124" s="29" t="n">
        <f aca="false">Загальна!E109</f>
        <v>0</v>
      </c>
      <c r="G124" s="17"/>
      <c r="H124" s="17"/>
    </row>
    <row r="125" customFormat="false" ht="16.5" hidden="false" customHeight="false" outlineLevel="0" collapsed="false">
      <c r="A125" s="68" t="n">
        <v>13</v>
      </c>
      <c r="B125" s="35" t="s">
        <v>133</v>
      </c>
      <c r="C125" s="33" t="n">
        <v>11605</v>
      </c>
      <c r="D125" s="15" t="s">
        <v>27</v>
      </c>
      <c r="E125" s="15"/>
      <c r="F125" s="29" t="n">
        <f aca="false">Загальна!E110</f>
        <v>0</v>
      </c>
      <c r="G125" s="17"/>
      <c r="H125" s="17"/>
    </row>
    <row r="126" customFormat="false" ht="16.5" hidden="false" customHeight="false" outlineLevel="0" collapsed="false">
      <c r="A126" s="68"/>
      <c r="B126" s="35" t="s">
        <v>134</v>
      </c>
      <c r="C126" s="33" t="n">
        <v>11606</v>
      </c>
      <c r="D126" s="15" t="s">
        <v>27</v>
      </c>
      <c r="E126" s="15"/>
      <c r="F126" s="29" t="n">
        <f aca="false">Загальна!E111</f>
        <v>0</v>
      </c>
      <c r="G126" s="17"/>
      <c r="H126" s="17"/>
    </row>
    <row r="127" customFormat="false" ht="16.5" hidden="false" customHeight="false" outlineLevel="0" collapsed="false">
      <c r="A127" s="68" t="n">
        <v>13</v>
      </c>
      <c r="B127" s="35" t="s">
        <v>135</v>
      </c>
      <c r="C127" s="33" t="n">
        <v>11607</v>
      </c>
      <c r="D127" s="15" t="s">
        <v>27</v>
      </c>
      <c r="E127" s="15"/>
      <c r="F127" s="29" t="n">
        <f aca="false">Загальна!E112</f>
        <v>0.49</v>
      </c>
      <c r="G127" s="17"/>
      <c r="H127" s="17"/>
    </row>
    <row r="128" customFormat="false" ht="16.5" hidden="false" customHeight="false" outlineLevel="0" collapsed="false">
      <c r="A128" s="68"/>
      <c r="B128" s="35" t="s">
        <v>136</v>
      </c>
      <c r="C128" s="33" t="n">
        <v>11608</v>
      </c>
      <c r="D128" s="15" t="s">
        <v>27</v>
      </c>
      <c r="E128" s="15"/>
      <c r="F128" s="29" t="n">
        <f aca="false">Загальна!E113</f>
        <v>0</v>
      </c>
      <c r="G128" s="17"/>
      <c r="H128" s="17"/>
    </row>
    <row r="129" customFormat="false" ht="16.5" hidden="false" customHeight="false" outlineLevel="0" collapsed="false">
      <c r="A129" s="68"/>
      <c r="B129" s="35" t="s">
        <v>137</v>
      </c>
      <c r="C129" s="33" t="n">
        <v>11609</v>
      </c>
      <c r="D129" s="15" t="s">
        <v>27</v>
      </c>
      <c r="E129" s="15"/>
      <c r="F129" s="29" t="n">
        <f aca="false">Загальна!E114</f>
        <v>0</v>
      </c>
      <c r="G129" s="17"/>
      <c r="H129" s="17"/>
    </row>
    <row r="130" customFormat="false" ht="16.5" hidden="false" customHeight="false" outlineLevel="0" collapsed="false">
      <c r="A130" s="69"/>
      <c r="B130" s="35" t="s">
        <v>138</v>
      </c>
      <c r="C130" s="33" t="n">
        <v>11610</v>
      </c>
      <c r="D130" s="15" t="s">
        <v>27</v>
      </c>
      <c r="E130" s="15"/>
      <c r="F130" s="29" t="n">
        <f aca="false">Загальна!E115</f>
        <v>0</v>
      </c>
      <c r="G130" s="17"/>
      <c r="H130" s="17"/>
    </row>
    <row r="131" customFormat="false" ht="16.5" hidden="false" customHeight="false" outlineLevel="0" collapsed="false">
      <c r="A131" s="68"/>
      <c r="B131" s="35" t="s">
        <v>139</v>
      </c>
      <c r="C131" s="33" t="n">
        <v>11611</v>
      </c>
      <c r="D131" s="15" t="s">
        <v>27</v>
      </c>
      <c r="E131" s="15"/>
      <c r="F131" s="29" t="n">
        <f aca="false">Загальна!E116</f>
        <v>0</v>
      </c>
      <c r="G131" s="17"/>
      <c r="H131" s="17"/>
    </row>
    <row r="132" customFormat="false" ht="16.5" hidden="false" customHeight="false" outlineLevel="0" collapsed="false">
      <c r="A132" s="68" t="n">
        <v>14</v>
      </c>
      <c r="B132" s="35" t="s">
        <v>140</v>
      </c>
      <c r="C132" s="33" t="n">
        <v>11612</v>
      </c>
      <c r="D132" s="15" t="s">
        <v>27</v>
      </c>
      <c r="E132" s="15"/>
      <c r="F132" s="29" t="n">
        <f aca="false">Загальна!E117</f>
        <v>0</v>
      </c>
      <c r="G132" s="17"/>
      <c r="H132" s="17"/>
    </row>
    <row r="133" customFormat="false" ht="16.5" hidden="false" customHeight="false" outlineLevel="0" collapsed="false">
      <c r="A133" s="69"/>
      <c r="B133" s="35" t="s">
        <v>141</v>
      </c>
      <c r="C133" s="33" t="n">
        <v>11613</v>
      </c>
      <c r="D133" s="15" t="s">
        <v>27</v>
      </c>
      <c r="E133" s="15"/>
      <c r="F133" s="29" t="n">
        <f aca="false">Загальна!E118</f>
        <v>0</v>
      </c>
      <c r="G133" s="17"/>
      <c r="H133" s="17"/>
    </row>
    <row r="134" customFormat="false" ht="16.5" hidden="false" customHeight="false" outlineLevel="0" collapsed="false">
      <c r="A134" s="69" t="n">
        <v>14</v>
      </c>
      <c r="B134" s="35" t="s">
        <v>142</v>
      </c>
      <c r="C134" s="33" t="n">
        <v>11614</v>
      </c>
      <c r="D134" s="15" t="s">
        <v>27</v>
      </c>
      <c r="E134" s="15"/>
      <c r="F134" s="29" t="n">
        <f aca="false">Загальна!E119</f>
        <v>1.225</v>
      </c>
      <c r="G134" s="17"/>
      <c r="H134" s="17"/>
    </row>
    <row r="135" customFormat="false" ht="16.5" hidden="false" customHeight="false" outlineLevel="0" collapsed="false">
      <c r="A135" s="69"/>
      <c r="B135" s="35" t="s">
        <v>143</v>
      </c>
      <c r="C135" s="33" t="n">
        <v>11615</v>
      </c>
      <c r="D135" s="15" t="s">
        <v>27</v>
      </c>
      <c r="E135" s="15"/>
      <c r="F135" s="29" t="n">
        <f aca="false">Загальна!E120</f>
        <v>0</v>
      </c>
      <c r="G135" s="17"/>
      <c r="H135" s="17"/>
    </row>
    <row r="136" customFormat="false" ht="16.5" hidden="false" customHeight="false" outlineLevel="0" collapsed="false">
      <c r="A136" s="68" t="n">
        <v>15</v>
      </c>
      <c r="B136" s="35" t="s">
        <v>144</v>
      </c>
      <c r="C136" s="33" t="n">
        <v>11616</v>
      </c>
      <c r="D136" s="15" t="s">
        <v>27</v>
      </c>
      <c r="E136" s="15"/>
      <c r="F136" s="29" t="n">
        <f aca="false">Загальна!E121</f>
        <v>0.049</v>
      </c>
      <c r="G136" s="17"/>
      <c r="H136" s="17"/>
    </row>
    <row r="137" customFormat="false" ht="16.5" hidden="false" customHeight="false" outlineLevel="0" collapsed="false">
      <c r="A137" s="68"/>
      <c r="B137" s="35" t="s">
        <v>145</v>
      </c>
      <c r="C137" s="33" t="n">
        <v>11617</v>
      </c>
      <c r="D137" s="15" t="s">
        <v>27</v>
      </c>
      <c r="E137" s="15"/>
      <c r="F137" s="29" t="n">
        <f aca="false">Загальна!E122</f>
        <v>0</v>
      </c>
      <c r="G137" s="17"/>
      <c r="H137" s="17"/>
    </row>
    <row r="138" customFormat="false" ht="16.5" hidden="false" customHeight="false" outlineLevel="0" collapsed="false">
      <c r="A138" s="69"/>
      <c r="B138" s="35" t="s">
        <v>146</v>
      </c>
      <c r="C138" s="33" t="n">
        <v>11618</v>
      </c>
      <c r="D138" s="15" t="s">
        <v>27</v>
      </c>
      <c r="E138" s="15"/>
      <c r="F138" s="29" t="n">
        <f aca="false">Загальна!E123</f>
        <v>0</v>
      </c>
      <c r="G138" s="17"/>
      <c r="H138" s="17"/>
    </row>
    <row r="139" customFormat="false" ht="16.5" hidden="false" customHeight="false" outlineLevel="0" collapsed="false">
      <c r="A139" s="69"/>
      <c r="B139" s="35" t="s">
        <v>147</v>
      </c>
      <c r="C139" s="33" t="n">
        <v>11619</v>
      </c>
      <c r="D139" s="15" t="s">
        <v>27</v>
      </c>
      <c r="E139" s="15"/>
      <c r="F139" s="29" t="n">
        <f aca="false">Загальна!E124</f>
        <v>0</v>
      </c>
      <c r="G139" s="17"/>
      <c r="H139" s="17"/>
    </row>
    <row r="140" customFormat="false" ht="16.5" hidden="false" customHeight="false" outlineLevel="0" collapsed="false">
      <c r="A140" s="68"/>
      <c r="B140" s="35" t="s">
        <v>148</v>
      </c>
      <c r="C140" s="33" t="n">
        <v>11620</v>
      </c>
      <c r="D140" s="15" t="s">
        <v>27</v>
      </c>
      <c r="E140" s="15"/>
      <c r="F140" s="29" t="n">
        <f aca="false">Загальна!E125</f>
        <v>0</v>
      </c>
      <c r="G140" s="17"/>
      <c r="H140" s="17"/>
    </row>
    <row r="141" customFormat="false" ht="16.5" hidden="false" customHeight="false" outlineLevel="0" collapsed="false">
      <c r="A141" s="68"/>
      <c r="B141" s="35" t="s">
        <v>149</v>
      </c>
      <c r="C141" s="33" t="n">
        <v>11621</v>
      </c>
      <c r="D141" s="15" t="s">
        <v>27</v>
      </c>
      <c r="E141" s="15"/>
      <c r="F141" s="29" t="n">
        <f aca="false">Загальна!E126</f>
        <v>0</v>
      </c>
      <c r="G141" s="17"/>
      <c r="H141" s="17"/>
    </row>
    <row r="142" customFormat="false" ht="16.5" hidden="false" customHeight="false" outlineLevel="0" collapsed="false">
      <c r="A142" s="68"/>
      <c r="B142" s="35" t="s">
        <v>150</v>
      </c>
      <c r="C142" s="33" t="n">
        <v>11622</v>
      </c>
      <c r="D142" s="15" t="s">
        <v>27</v>
      </c>
      <c r="E142" s="15"/>
      <c r="F142" s="29" t="n">
        <f aca="false">Загальна!E127</f>
        <v>0</v>
      </c>
      <c r="G142" s="17"/>
      <c r="H142" s="17"/>
    </row>
    <row r="143" customFormat="false" ht="16.5" hidden="false" customHeight="false" outlineLevel="0" collapsed="false">
      <c r="A143" s="68"/>
      <c r="B143" s="35" t="s">
        <v>151</v>
      </c>
      <c r="C143" s="33" t="n">
        <v>11623</v>
      </c>
      <c r="D143" s="15" t="s">
        <v>27</v>
      </c>
      <c r="E143" s="15"/>
      <c r="F143" s="29" t="n">
        <f aca="false">Загальна!E128</f>
        <v>0</v>
      </c>
      <c r="G143" s="17"/>
      <c r="H143" s="17"/>
    </row>
    <row r="144" customFormat="false" ht="16.5" hidden="false" customHeight="false" outlineLevel="0" collapsed="false">
      <c r="A144" s="68"/>
      <c r="B144" s="35" t="s">
        <v>152</v>
      </c>
      <c r="C144" s="33" t="n">
        <v>11624</v>
      </c>
      <c r="D144" s="15" t="s">
        <v>27</v>
      </c>
      <c r="E144" s="15"/>
      <c r="F144" s="29" t="n">
        <f aca="false">Загальна!E129</f>
        <v>0</v>
      </c>
      <c r="G144" s="17"/>
      <c r="H144" s="17"/>
    </row>
    <row r="145" customFormat="false" ht="16.5" hidden="false" customHeight="false" outlineLevel="0" collapsed="false">
      <c r="A145" s="68"/>
      <c r="B145" s="35" t="s">
        <v>153</v>
      </c>
      <c r="C145" s="33" t="n">
        <v>11625</v>
      </c>
      <c r="D145" s="15" t="s">
        <v>27</v>
      </c>
      <c r="E145" s="15"/>
      <c r="F145" s="29" t="n">
        <f aca="false">Загальна!E130</f>
        <v>0</v>
      </c>
      <c r="G145" s="17"/>
      <c r="H145" s="17"/>
    </row>
    <row r="146" customFormat="false" ht="16.5" hidden="false" customHeight="false" outlineLevel="0" collapsed="false">
      <c r="A146" s="68"/>
      <c r="B146" s="35" t="s">
        <v>154</v>
      </c>
      <c r="C146" s="33" t="n">
        <v>11626</v>
      </c>
      <c r="D146" s="15" t="s">
        <v>27</v>
      </c>
      <c r="E146" s="15"/>
      <c r="F146" s="29" t="n">
        <f aca="false">Загальна!E131</f>
        <v>0</v>
      </c>
      <c r="G146" s="17"/>
      <c r="H146" s="17"/>
    </row>
    <row r="147" customFormat="false" ht="16.5" hidden="false" customHeight="false" outlineLevel="0" collapsed="false">
      <c r="A147" s="68"/>
      <c r="B147" s="35" t="s">
        <v>155</v>
      </c>
      <c r="C147" s="33" t="n">
        <v>11627</v>
      </c>
      <c r="D147" s="15" t="s">
        <v>27</v>
      </c>
      <c r="E147" s="15"/>
      <c r="F147" s="29" t="n">
        <f aca="false">Загальна!E132</f>
        <v>0</v>
      </c>
      <c r="G147" s="17"/>
      <c r="H147" s="17"/>
    </row>
    <row r="148" customFormat="false" ht="16.5" hidden="false" customHeight="false" outlineLevel="0" collapsed="false">
      <c r="A148" s="68"/>
      <c r="B148" s="35" t="s">
        <v>156</v>
      </c>
      <c r="C148" s="33" t="n">
        <v>11628</v>
      </c>
      <c r="D148" s="15" t="s">
        <v>27</v>
      </c>
      <c r="E148" s="15"/>
      <c r="F148" s="29" t="n">
        <f aca="false">Загальна!E133</f>
        <v>0</v>
      </c>
      <c r="G148" s="17"/>
      <c r="H148" s="17"/>
    </row>
    <row r="149" customFormat="false" ht="16.5" hidden="false" customHeight="false" outlineLevel="0" collapsed="false">
      <c r="A149" s="68"/>
      <c r="B149" s="35" t="s">
        <v>157</v>
      </c>
      <c r="C149" s="33" t="n">
        <v>11629</v>
      </c>
      <c r="D149" s="15" t="s">
        <v>27</v>
      </c>
      <c r="E149" s="15"/>
      <c r="F149" s="29" t="n">
        <f aca="false">Загальна!E134</f>
        <v>0</v>
      </c>
      <c r="G149" s="17"/>
      <c r="H149" s="17"/>
    </row>
    <row r="150" customFormat="false" ht="16.5" hidden="false" customHeight="false" outlineLevel="0" collapsed="false">
      <c r="A150" s="68"/>
      <c r="B150" s="35" t="s">
        <v>158</v>
      </c>
      <c r="C150" s="33" t="n">
        <v>11630</v>
      </c>
      <c r="D150" s="15" t="s">
        <v>27</v>
      </c>
      <c r="E150" s="15"/>
      <c r="F150" s="29" t="n">
        <f aca="false">Загальна!E135</f>
        <v>0</v>
      </c>
      <c r="G150" s="17"/>
      <c r="H150" s="17"/>
    </row>
    <row r="151" customFormat="false" ht="16.5" hidden="false" customHeight="false" outlineLevel="0" collapsed="false">
      <c r="A151" s="68"/>
      <c r="B151" s="35" t="s">
        <v>159</v>
      </c>
      <c r="C151" s="33" t="n">
        <v>11631</v>
      </c>
      <c r="D151" s="15" t="s">
        <v>27</v>
      </c>
      <c r="E151" s="15"/>
      <c r="F151" s="29" t="n">
        <f aca="false">Загальна!E136</f>
        <v>0</v>
      </c>
      <c r="G151" s="17"/>
      <c r="H151" s="17"/>
    </row>
    <row r="152" customFormat="false" ht="16.5" hidden="false" customHeight="false" outlineLevel="0" collapsed="false">
      <c r="A152" s="68"/>
      <c r="B152" s="35" t="s">
        <v>160</v>
      </c>
      <c r="C152" s="33" t="n">
        <v>11633</v>
      </c>
      <c r="D152" s="15" t="s">
        <v>27</v>
      </c>
      <c r="E152" s="15"/>
      <c r="F152" s="29" t="n">
        <f aca="false">Загальна!E137</f>
        <v>0</v>
      </c>
      <c r="G152" s="17"/>
      <c r="H152" s="17"/>
    </row>
    <row r="153" customFormat="false" ht="16.5" hidden="false" customHeight="false" outlineLevel="0" collapsed="false">
      <c r="A153" s="69"/>
      <c r="B153" s="35" t="s">
        <v>161</v>
      </c>
      <c r="C153" s="33" t="n">
        <v>11634</v>
      </c>
      <c r="D153" s="15" t="s">
        <v>27</v>
      </c>
      <c r="E153" s="15"/>
      <c r="F153" s="29" t="n">
        <f aca="false">Загальна!E138</f>
        <v>0</v>
      </c>
      <c r="G153" s="17"/>
      <c r="H153" s="17"/>
    </row>
    <row r="154" customFormat="false" ht="16.5" hidden="false" customHeight="false" outlineLevel="0" collapsed="false">
      <c r="A154" s="68"/>
      <c r="B154" s="35" t="s">
        <v>162</v>
      </c>
      <c r="C154" s="33" t="n">
        <v>11635</v>
      </c>
      <c r="D154" s="15" t="s">
        <v>27</v>
      </c>
      <c r="E154" s="15"/>
      <c r="F154" s="29" t="n">
        <f aca="false">Загальна!E139</f>
        <v>0</v>
      </c>
      <c r="G154" s="17"/>
      <c r="H154" s="17"/>
    </row>
    <row r="155" customFormat="false" ht="16.5" hidden="false" customHeight="false" outlineLevel="0" collapsed="false">
      <c r="A155" s="68" t="n">
        <v>16</v>
      </c>
      <c r="B155" s="35" t="s">
        <v>163</v>
      </c>
      <c r="C155" s="33" t="n">
        <v>11636</v>
      </c>
      <c r="D155" s="15" t="s">
        <v>27</v>
      </c>
      <c r="E155" s="15"/>
      <c r="F155" s="29" t="n">
        <f aca="false">Загальна!E140</f>
        <v>0</v>
      </c>
      <c r="G155" s="17"/>
      <c r="H155" s="17"/>
    </row>
    <row r="156" customFormat="false" ht="16.5" hidden="false" customHeight="false" outlineLevel="0" collapsed="false">
      <c r="A156" s="69"/>
      <c r="B156" s="35" t="s">
        <v>164</v>
      </c>
      <c r="C156" s="33" t="n">
        <v>11637</v>
      </c>
      <c r="D156" s="15" t="s">
        <v>27</v>
      </c>
      <c r="E156" s="15"/>
      <c r="F156" s="29" t="n">
        <f aca="false">Загальна!E141</f>
        <v>0</v>
      </c>
      <c r="G156" s="17"/>
      <c r="H156" s="17"/>
    </row>
    <row r="157" customFormat="false" ht="16.5" hidden="false" customHeight="false" outlineLevel="0" collapsed="false">
      <c r="A157" s="69" t="n">
        <v>16</v>
      </c>
      <c r="B157" s="35" t="s">
        <v>165</v>
      </c>
      <c r="C157" s="33" t="n">
        <v>11638</v>
      </c>
      <c r="D157" s="15" t="s">
        <v>27</v>
      </c>
      <c r="E157" s="15"/>
      <c r="F157" s="29" t="n">
        <f aca="false">Загальна!E142</f>
        <v>0.049</v>
      </c>
      <c r="G157" s="17"/>
      <c r="H157" s="17"/>
    </row>
    <row r="158" customFormat="false" ht="16.5" hidden="false" customHeight="false" outlineLevel="0" collapsed="false">
      <c r="A158" s="69"/>
      <c r="B158" s="35" t="s">
        <v>166</v>
      </c>
      <c r="C158" s="33" t="n">
        <v>11639</v>
      </c>
      <c r="D158" s="15" t="s">
        <v>27</v>
      </c>
      <c r="E158" s="15"/>
      <c r="F158" s="29" t="n">
        <f aca="false">Загальна!E143</f>
        <v>0</v>
      </c>
      <c r="G158" s="17"/>
      <c r="H158" s="17"/>
    </row>
    <row r="159" customFormat="false" ht="16.5" hidden="false" customHeight="false" outlineLevel="0" collapsed="false">
      <c r="A159" s="69"/>
      <c r="B159" s="35" t="s">
        <v>167</v>
      </c>
      <c r="C159" s="33" t="n">
        <v>12001</v>
      </c>
      <c r="D159" s="15" t="s">
        <v>27</v>
      </c>
      <c r="E159" s="15"/>
      <c r="F159" s="29" t="n">
        <f aca="false">Загальна!E144</f>
        <v>0</v>
      </c>
      <c r="G159" s="17"/>
      <c r="H159" s="17"/>
    </row>
    <row r="160" customFormat="false" ht="16.5" hidden="false" customHeight="false" outlineLevel="0" collapsed="false">
      <c r="A160" s="68"/>
      <c r="B160" s="35" t="s">
        <v>168</v>
      </c>
      <c r="C160" s="33" t="n">
        <v>12003</v>
      </c>
      <c r="D160" s="15" t="s">
        <v>27</v>
      </c>
      <c r="E160" s="15"/>
      <c r="F160" s="29" t="n">
        <f aca="false">Загальна!E145</f>
        <v>0</v>
      </c>
      <c r="G160" s="17"/>
      <c r="H160" s="17"/>
    </row>
    <row r="161" customFormat="false" ht="16.5" hidden="false" customHeight="false" outlineLevel="0" collapsed="false">
      <c r="A161" s="68"/>
      <c r="B161" s="35" t="s">
        <v>169</v>
      </c>
      <c r="C161" s="33" t="n">
        <v>12004</v>
      </c>
      <c r="D161" s="15" t="s">
        <v>27</v>
      </c>
      <c r="E161" s="15"/>
      <c r="F161" s="29" t="n">
        <f aca="false">Загальна!E146</f>
        <v>0</v>
      </c>
      <c r="G161" s="17"/>
      <c r="H161" s="17"/>
    </row>
    <row r="162" customFormat="false" ht="16.5" hidden="false" customHeight="false" outlineLevel="0" collapsed="false">
      <c r="A162" s="68"/>
      <c r="B162" s="35" t="s">
        <v>170</v>
      </c>
      <c r="C162" s="33" t="n">
        <v>12005</v>
      </c>
      <c r="D162" s="15" t="s">
        <v>27</v>
      </c>
      <c r="E162" s="15"/>
      <c r="F162" s="29" t="n">
        <f aca="false">Загальна!E147</f>
        <v>0</v>
      </c>
      <c r="G162" s="17"/>
      <c r="H162" s="17"/>
    </row>
    <row r="163" customFormat="false" ht="16.5" hidden="false" customHeight="false" outlineLevel="0" collapsed="false">
      <c r="A163" s="68"/>
      <c r="B163" s="35" t="s">
        <v>171</v>
      </c>
      <c r="C163" s="33" t="n">
        <v>12007</v>
      </c>
      <c r="D163" s="15" t="s">
        <v>27</v>
      </c>
      <c r="E163" s="15"/>
      <c r="F163" s="29" t="n">
        <f aca="false">Загальна!E148</f>
        <v>0</v>
      </c>
      <c r="G163" s="17"/>
      <c r="H163" s="17"/>
    </row>
    <row r="164" customFormat="false" ht="16.5" hidden="false" customHeight="false" outlineLevel="0" collapsed="false">
      <c r="A164" s="68"/>
      <c r="B164" s="35" t="s">
        <v>172</v>
      </c>
      <c r="C164" s="33" t="n">
        <v>12008</v>
      </c>
      <c r="D164" s="15" t="s">
        <v>27</v>
      </c>
      <c r="E164" s="15"/>
      <c r="F164" s="29" t="n">
        <f aca="false">Загальна!E149</f>
        <v>0</v>
      </c>
      <c r="G164" s="17"/>
      <c r="H164" s="17"/>
    </row>
    <row r="165" customFormat="false" ht="16.5" hidden="false" customHeight="false" outlineLevel="0" collapsed="false">
      <c r="A165" s="69"/>
      <c r="B165" s="35" t="s">
        <v>173</v>
      </c>
      <c r="C165" s="33" t="n">
        <v>12009</v>
      </c>
      <c r="D165" s="15" t="s">
        <v>27</v>
      </c>
      <c r="E165" s="15"/>
      <c r="F165" s="29" t="n">
        <f aca="false">Загальна!E150</f>
        <v>0</v>
      </c>
      <c r="G165" s="17"/>
      <c r="H165" s="17"/>
    </row>
    <row r="166" customFormat="false" ht="16.5" hidden="false" customHeight="false" outlineLevel="0" collapsed="false">
      <c r="A166" s="69"/>
      <c r="B166" s="35" t="s">
        <v>174</v>
      </c>
      <c r="C166" s="33" t="n">
        <v>12010</v>
      </c>
      <c r="D166" s="15" t="s">
        <v>27</v>
      </c>
      <c r="E166" s="15"/>
      <c r="F166" s="29" t="n">
        <f aca="false">Загальна!E151</f>
        <v>0</v>
      </c>
      <c r="G166" s="17"/>
      <c r="H166" s="17"/>
    </row>
    <row r="167" customFormat="false" ht="16.5" hidden="false" customHeight="false" outlineLevel="0" collapsed="false">
      <c r="A167" s="68"/>
      <c r="B167" s="35" t="s">
        <v>175</v>
      </c>
      <c r="C167" s="33" t="n">
        <v>12011</v>
      </c>
      <c r="D167" s="15" t="s">
        <v>27</v>
      </c>
      <c r="E167" s="15"/>
      <c r="F167" s="29" t="n">
        <f aca="false">Загальна!E152</f>
        <v>0</v>
      </c>
      <c r="G167" s="17"/>
      <c r="H167" s="17"/>
    </row>
    <row r="168" customFormat="false" ht="16.5" hidden="false" customHeight="false" outlineLevel="0" collapsed="false">
      <c r="A168" s="68"/>
      <c r="B168" s="35" t="s">
        <v>176</v>
      </c>
      <c r="C168" s="33" t="n">
        <v>12012</v>
      </c>
      <c r="D168" s="15" t="s">
        <v>27</v>
      </c>
      <c r="E168" s="15"/>
      <c r="F168" s="29" t="n">
        <f aca="false">Загальна!E153</f>
        <v>0</v>
      </c>
      <c r="G168" s="17"/>
      <c r="H168" s="17"/>
    </row>
    <row r="169" customFormat="false" ht="16.5" hidden="false" customHeight="false" outlineLevel="0" collapsed="false">
      <c r="A169" s="68"/>
      <c r="B169" s="35" t="s">
        <v>177</v>
      </c>
      <c r="C169" s="33" t="n">
        <v>12013</v>
      </c>
      <c r="D169" s="15" t="s">
        <v>27</v>
      </c>
      <c r="E169" s="15"/>
      <c r="F169" s="29" t="n">
        <f aca="false">Загальна!E154</f>
        <v>0</v>
      </c>
      <c r="G169" s="17"/>
      <c r="H169" s="17"/>
    </row>
    <row r="170" customFormat="false" ht="16.5" hidden="false" customHeight="false" outlineLevel="0" collapsed="false">
      <c r="A170" s="68"/>
      <c r="B170" s="35" t="s">
        <v>178</v>
      </c>
      <c r="C170" s="33" t="n">
        <v>12014</v>
      </c>
      <c r="D170" s="15" t="s">
        <v>27</v>
      </c>
      <c r="E170" s="15"/>
      <c r="F170" s="29" t="n">
        <f aca="false">Загальна!E155</f>
        <v>0</v>
      </c>
      <c r="G170" s="17"/>
      <c r="H170" s="17"/>
    </row>
    <row r="171" customFormat="false" ht="16.5" hidden="false" customHeight="false" outlineLevel="0" collapsed="false">
      <c r="A171" s="68"/>
      <c r="B171" s="35" t="s">
        <v>179</v>
      </c>
      <c r="C171" s="33" t="n">
        <v>12016</v>
      </c>
      <c r="D171" s="15" t="s">
        <v>27</v>
      </c>
      <c r="E171" s="15"/>
      <c r="F171" s="29" t="n">
        <f aca="false">Загальна!E156</f>
        <v>0</v>
      </c>
      <c r="G171" s="17"/>
      <c r="H171" s="17"/>
    </row>
    <row r="172" customFormat="false" ht="16.5" hidden="false" customHeight="false" outlineLevel="0" collapsed="false">
      <c r="A172" s="68"/>
      <c r="B172" s="35" t="s">
        <v>180</v>
      </c>
      <c r="C172" s="33" t="n">
        <v>12020</v>
      </c>
      <c r="D172" s="15" t="s">
        <v>27</v>
      </c>
      <c r="E172" s="15"/>
      <c r="F172" s="29" t="n">
        <f aca="false">Загальна!E157</f>
        <v>0</v>
      </c>
      <c r="G172" s="17"/>
      <c r="H172" s="17"/>
    </row>
    <row r="173" customFormat="false" ht="16.5" hidden="false" customHeight="false" outlineLevel="0" collapsed="false">
      <c r="A173" s="68"/>
      <c r="B173" s="35" t="s">
        <v>181</v>
      </c>
      <c r="C173" s="33" t="n">
        <v>12022</v>
      </c>
      <c r="D173" s="15" t="s">
        <v>27</v>
      </c>
      <c r="E173" s="15"/>
      <c r="F173" s="29" t="n">
        <f aca="false">Загальна!E158</f>
        <v>0</v>
      </c>
      <c r="G173" s="17"/>
      <c r="H173" s="17"/>
    </row>
    <row r="174" customFormat="false" ht="16.5" hidden="false" customHeight="false" outlineLevel="0" collapsed="false">
      <c r="A174" s="68"/>
      <c r="B174" s="35" t="s">
        <v>182</v>
      </c>
      <c r="C174" s="33" t="n">
        <v>12023</v>
      </c>
      <c r="D174" s="15" t="s">
        <v>27</v>
      </c>
      <c r="E174" s="15"/>
      <c r="F174" s="29" t="n">
        <f aca="false">Загальна!E159</f>
        <v>0</v>
      </c>
      <c r="G174" s="17"/>
      <c r="H174" s="17"/>
    </row>
    <row r="175" customFormat="false" ht="16.5" hidden="false" customHeight="false" outlineLevel="0" collapsed="false">
      <c r="A175" s="68"/>
      <c r="B175" s="35" t="s">
        <v>183</v>
      </c>
      <c r="C175" s="33" t="n">
        <v>12024</v>
      </c>
      <c r="D175" s="15" t="s">
        <v>27</v>
      </c>
      <c r="E175" s="15"/>
      <c r="F175" s="29" t="n">
        <f aca="false">Загальна!E160</f>
        <v>0</v>
      </c>
      <c r="G175" s="17"/>
      <c r="H175" s="17"/>
    </row>
    <row r="176" customFormat="false" ht="16.5" hidden="false" customHeight="false" outlineLevel="0" collapsed="false">
      <c r="A176" s="69" t="n">
        <v>17</v>
      </c>
      <c r="B176" s="35" t="s">
        <v>184</v>
      </c>
      <c r="C176" s="33" t="n">
        <v>12025</v>
      </c>
      <c r="D176" s="15" t="s">
        <v>27</v>
      </c>
      <c r="E176" s="15"/>
      <c r="F176" s="29" t="n">
        <f aca="false">Загальна!E161</f>
        <v>0</v>
      </c>
      <c r="G176" s="17"/>
      <c r="H176" s="17"/>
    </row>
    <row r="177" customFormat="false" ht="16.5" hidden="false" customHeight="false" outlineLevel="0" collapsed="false">
      <c r="A177" s="69"/>
      <c r="B177" s="35" t="s">
        <v>185</v>
      </c>
      <c r="C177" s="33" t="n">
        <v>12026</v>
      </c>
      <c r="D177" s="15" t="s">
        <v>27</v>
      </c>
      <c r="E177" s="15"/>
      <c r="F177" s="29" t="n">
        <f aca="false">Загальна!E162</f>
        <v>0</v>
      </c>
      <c r="G177" s="17"/>
      <c r="H177" s="17"/>
    </row>
    <row r="178" customFormat="false" ht="16.5" hidden="false" customHeight="false" outlineLevel="0" collapsed="false">
      <c r="A178" s="69" t="n">
        <v>17</v>
      </c>
      <c r="B178" s="35" t="s">
        <v>186</v>
      </c>
      <c r="C178" s="33" t="n">
        <v>12028</v>
      </c>
      <c r="D178" s="15" t="s">
        <v>27</v>
      </c>
      <c r="E178" s="15"/>
      <c r="F178" s="29" t="n">
        <f aca="false">Загальна!E163</f>
        <v>9.8</v>
      </c>
      <c r="G178" s="17"/>
      <c r="H178" s="17"/>
    </row>
    <row r="179" customFormat="false" ht="16.5" hidden="false" customHeight="false" outlineLevel="0" collapsed="false">
      <c r="A179" s="71"/>
      <c r="B179" s="33" t="s">
        <v>187</v>
      </c>
      <c r="C179" s="33" t="n">
        <v>12029</v>
      </c>
      <c r="D179" s="15" t="s">
        <v>27</v>
      </c>
      <c r="E179" s="42"/>
      <c r="F179" s="29" t="n">
        <f aca="false">Загальна!E164</f>
        <v>0</v>
      </c>
      <c r="G179" s="43"/>
      <c r="H179" s="43"/>
    </row>
    <row r="180" customFormat="false" ht="16.5" hidden="false" customHeight="false" outlineLevel="0" collapsed="false">
      <c r="A180" s="72"/>
      <c r="B180" s="33" t="s">
        <v>188</v>
      </c>
      <c r="C180" s="33" t="n">
        <v>12030</v>
      </c>
      <c r="D180" s="15" t="s">
        <v>27</v>
      </c>
      <c r="E180" s="33"/>
      <c r="F180" s="29" t="n">
        <f aca="false">Загальна!E165</f>
        <v>0</v>
      </c>
      <c r="G180" s="48"/>
      <c r="H180" s="33"/>
    </row>
    <row r="181" customFormat="false" ht="16.5" hidden="false" customHeight="false" outlineLevel="0" collapsed="false">
      <c r="A181" s="72"/>
      <c r="B181" s="33" t="s">
        <v>189</v>
      </c>
      <c r="C181" s="33" t="n">
        <v>12031</v>
      </c>
      <c r="D181" s="15" t="s">
        <v>27</v>
      </c>
      <c r="E181" s="49"/>
      <c r="F181" s="29" t="n">
        <f aca="false">Загальна!E166</f>
        <v>0</v>
      </c>
      <c r="G181" s="49"/>
      <c r="H181" s="49"/>
    </row>
    <row r="182" customFormat="false" ht="16.5" hidden="false" customHeight="false" outlineLevel="0" collapsed="false">
      <c r="A182" s="72"/>
      <c r="B182" s="33" t="s">
        <v>190</v>
      </c>
      <c r="C182" s="33" t="n">
        <v>12032</v>
      </c>
      <c r="D182" s="15" t="s">
        <v>27</v>
      </c>
      <c r="E182" s="49"/>
      <c r="F182" s="29" t="n">
        <f aca="false">Загальна!E167</f>
        <v>0</v>
      </c>
      <c r="G182" s="49"/>
      <c r="H182" s="49"/>
    </row>
    <row r="183" customFormat="false" ht="16.5" hidden="false" customHeight="false" outlineLevel="0" collapsed="false">
      <c r="A183" s="72"/>
      <c r="B183" s="33" t="s">
        <v>191</v>
      </c>
      <c r="C183" s="33" t="n">
        <v>12033</v>
      </c>
      <c r="D183" s="15" t="s">
        <v>27</v>
      </c>
      <c r="E183" s="49"/>
      <c r="F183" s="29" t="n">
        <f aca="false">Загальна!E168</f>
        <v>0</v>
      </c>
      <c r="G183" s="49"/>
      <c r="H183" s="49"/>
    </row>
    <row r="184" customFormat="false" ht="16.5" hidden="false" customHeight="false" outlineLevel="0" collapsed="false">
      <c r="A184" s="72" t="n">
        <v>18</v>
      </c>
      <c r="B184" s="33" t="s">
        <v>192</v>
      </c>
      <c r="C184" s="33" t="n">
        <v>12034</v>
      </c>
      <c r="D184" s="15" t="s">
        <v>27</v>
      </c>
      <c r="E184" s="49"/>
      <c r="F184" s="29" t="n">
        <f aca="false">Загальна!E169</f>
        <v>0</v>
      </c>
      <c r="G184" s="49"/>
      <c r="H184" s="49"/>
    </row>
    <row r="185" customFormat="false" ht="16.5" hidden="false" customHeight="false" outlineLevel="0" collapsed="false">
      <c r="A185" s="73"/>
      <c r="B185" s="33" t="s">
        <v>193</v>
      </c>
      <c r="C185" s="33" t="n">
        <v>12035</v>
      </c>
      <c r="D185" s="15" t="s">
        <v>27</v>
      </c>
      <c r="E185" s="16"/>
      <c r="F185" s="29" t="n">
        <f aca="false">Загальна!E170</f>
        <v>0</v>
      </c>
      <c r="G185" s="50"/>
      <c r="H185" s="16"/>
    </row>
    <row r="186" customFormat="false" ht="16.5" hidden="false" customHeight="false" outlineLevel="0" collapsed="false">
      <c r="A186" s="68" t="n">
        <v>18</v>
      </c>
      <c r="B186" s="33" t="s">
        <v>194</v>
      </c>
      <c r="C186" s="33" t="n">
        <v>12036</v>
      </c>
      <c r="D186" s="15" t="s">
        <v>27</v>
      </c>
      <c r="E186" s="16"/>
      <c r="F186" s="29" t="n">
        <f aca="false">Загальна!E171</f>
        <v>4.9</v>
      </c>
      <c r="G186" s="50"/>
      <c r="H186" s="16"/>
    </row>
    <row r="187" customFormat="false" ht="16.5" hidden="false" customHeight="false" outlineLevel="0" collapsed="false">
      <c r="A187" s="73"/>
      <c r="B187" s="33" t="s">
        <v>195</v>
      </c>
      <c r="C187" s="33" t="n">
        <v>12037</v>
      </c>
      <c r="D187" s="15" t="s">
        <v>27</v>
      </c>
      <c r="E187" s="16"/>
      <c r="F187" s="29" t="n">
        <f aca="false">Загальна!E172</f>
        <v>0</v>
      </c>
      <c r="G187" s="50"/>
      <c r="H187" s="16"/>
    </row>
    <row r="188" customFormat="false" ht="16.5" hidden="false" customHeight="false" outlineLevel="0" collapsed="false">
      <c r="A188" s="73"/>
      <c r="B188" s="33" t="s">
        <v>196</v>
      </c>
      <c r="C188" s="33" t="n">
        <v>12038</v>
      </c>
      <c r="D188" s="15" t="s">
        <v>27</v>
      </c>
      <c r="E188" s="16"/>
      <c r="F188" s="29" t="n">
        <f aca="false">Загальна!E173</f>
        <v>0</v>
      </c>
      <c r="G188" s="50"/>
      <c r="H188" s="16"/>
    </row>
    <row r="189" customFormat="false" ht="16.5" hidden="false" customHeight="false" outlineLevel="0" collapsed="false">
      <c r="A189" s="72"/>
      <c r="B189" s="33" t="s">
        <v>197</v>
      </c>
      <c r="C189" s="33" t="n">
        <v>12039</v>
      </c>
      <c r="D189" s="15" t="s">
        <v>27</v>
      </c>
      <c r="E189" s="16"/>
      <c r="F189" s="29" t="n">
        <f aca="false">Загальна!E174</f>
        <v>0</v>
      </c>
      <c r="G189" s="50"/>
      <c r="H189" s="16"/>
    </row>
    <row r="190" customFormat="false" ht="16.5" hidden="false" customHeight="false" outlineLevel="0" collapsed="false">
      <c r="A190" s="72"/>
      <c r="B190" s="33" t="s">
        <v>198</v>
      </c>
      <c r="C190" s="33" t="n">
        <v>12040</v>
      </c>
      <c r="D190" s="15" t="s">
        <v>27</v>
      </c>
      <c r="E190" s="49"/>
      <c r="F190" s="29" t="n">
        <f aca="false">Загальна!E175</f>
        <v>0</v>
      </c>
      <c r="G190" s="49"/>
      <c r="H190" s="49"/>
    </row>
    <row r="191" customFormat="false" ht="16.5" hidden="false" customHeight="false" outlineLevel="0" collapsed="false">
      <c r="A191" s="72"/>
      <c r="B191" s="33" t="s">
        <v>199</v>
      </c>
      <c r="C191" s="33" t="n">
        <v>12041</v>
      </c>
      <c r="D191" s="15" t="s">
        <v>27</v>
      </c>
      <c r="E191" s="16"/>
      <c r="F191" s="29" t="n">
        <f aca="false">Загальна!E176</f>
        <v>0</v>
      </c>
      <c r="G191" s="50"/>
      <c r="H191" s="16"/>
    </row>
    <row r="192" customFormat="false" ht="16.5" hidden="false" customHeight="false" outlineLevel="0" collapsed="false">
      <c r="A192" s="72"/>
      <c r="B192" s="33" t="s">
        <v>200</v>
      </c>
      <c r="C192" s="33" t="n">
        <v>12042</v>
      </c>
      <c r="D192" s="15" t="s">
        <v>27</v>
      </c>
      <c r="E192" s="49"/>
      <c r="F192" s="29" t="n">
        <f aca="false">Загальна!E177</f>
        <v>0</v>
      </c>
      <c r="G192" s="49"/>
      <c r="H192" s="49"/>
    </row>
    <row r="193" customFormat="false" ht="16.5" hidden="false" customHeight="false" outlineLevel="0" collapsed="false">
      <c r="A193" s="72"/>
      <c r="B193" s="33" t="s">
        <v>201</v>
      </c>
      <c r="C193" s="33" t="n">
        <v>12043</v>
      </c>
      <c r="D193" s="15" t="s">
        <v>27</v>
      </c>
      <c r="E193" s="33"/>
      <c r="F193" s="29" t="n">
        <f aca="false">Загальна!E178</f>
        <v>0</v>
      </c>
      <c r="G193" s="48"/>
      <c r="H193" s="33"/>
    </row>
    <row r="194" customFormat="false" ht="16.5" hidden="false" customHeight="false" outlineLevel="0" collapsed="false">
      <c r="A194" s="72"/>
      <c r="B194" s="33" t="s">
        <v>202</v>
      </c>
      <c r="C194" s="33" t="n">
        <v>12044</v>
      </c>
      <c r="D194" s="15" t="s">
        <v>27</v>
      </c>
      <c r="E194" s="33"/>
      <c r="F194" s="29" t="n">
        <f aca="false">Загальна!E179</f>
        <v>0</v>
      </c>
      <c r="G194" s="48"/>
      <c r="H194" s="33"/>
    </row>
    <row r="195" customFormat="false" ht="16.5" hidden="false" customHeight="false" outlineLevel="0" collapsed="false">
      <c r="A195" s="72"/>
      <c r="B195" s="33" t="s">
        <v>203</v>
      </c>
      <c r="C195" s="33" t="n">
        <v>12046</v>
      </c>
      <c r="D195" s="15" t="s">
        <v>27</v>
      </c>
      <c r="E195" s="33"/>
      <c r="F195" s="29" t="n">
        <f aca="false">Загальна!E180</f>
        <v>0</v>
      </c>
      <c r="G195" s="48"/>
      <c r="H195" s="33"/>
    </row>
    <row r="196" customFormat="false" ht="16.5" hidden="false" customHeight="false" outlineLevel="0" collapsed="false">
      <c r="A196" s="72" t="n">
        <v>19</v>
      </c>
      <c r="B196" s="33" t="s">
        <v>204</v>
      </c>
      <c r="C196" s="33" t="n">
        <v>12047</v>
      </c>
      <c r="D196" s="15" t="s">
        <v>27</v>
      </c>
      <c r="E196" s="33"/>
      <c r="F196" s="29" t="n">
        <f aca="false">Загальна!E181</f>
        <v>0</v>
      </c>
      <c r="G196" s="48"/>
      <c r="H196" s="33"/>
    </row>
    <row r="197" customFormat="false" ht="16.5" hidden="false" customHeight="false" outlineLevel="0" collapsed="false">
      <c r="A197" s="72"/>
      <c r="B197" s="33" t="s">
        <v>205</v>
      </c>
      <c r="C197" s="33" t="n">
        <v>12049</v>
      </c>
      <c r="D197" s="15" t="s">
        <v>27</v>
      </c>
      <c r="E197" s="33"/>
      <c r="F197" s="29" t="n">
        <f aca="false">Загальна!E182</f>
        <v>0</v>
      </c>
      <c r="G197" s="48"/>
      <c r="H197" s="33"/>
    </row>
    <row r="198" customFormat="false" ht="16.5" hidden="false" customHeight="false" outlineLevel="0" collapsed="false">
      <c r="A198" s="72" t="n">
        <v>19</v>
      </c>
      <c r="B198" s="33" t="s">
        <v>206</v>
      </c>
      <c r="C198" s="33" t="n">
        <v>12051</v>
      </c>
      <c r="D198" s="15" t="s">
        <v>27</v>
      </c>
      <c r="E198" s="33"/>
      <c r="F198" s="29" t="n">
        <f aca="false">Загальна!E183</f>
        <v>1.47</v>
      </c>
      <c r="G198" s="48"/>
      <c r="H198" s="33"/>
    </row>
    <row r="199" customFormat="false" ht="16.5" hidden="false" customHeight="false" outlineLevel="0" collapsed="false">
      <c r="A199" s="72"/>
      <c r="B199" s="33" t="s">
        <v>207</v>
      </c>
      <c r="C199" s="33" t="n">
        <v>12052</v>
      </c>
      <c r="D199" s="15" t="s">
        <v>27</v>
      </c>
      <c r="E199" s="33"/>
      <c r="F199" s="29" t="n">
        <f aca="false">Загальна!E184</f>
        <v>0</v>
      </c>
      <c r="G199" s="48"/>
      <c r="H199" s="33"/>
    </row>
    <row r="200" customFormat="false" ht="16.5" hidden="false" customHeight="false" outlineLevel="0" collapsed="false">
      <c r="A200" s="72"/>
      <c r="B200" s="33" t="s">
        <v>208</v>
      </c>
      <c r="C200" s="33" t="n">
        <v>12054</v>
      </c>
      <c r="D200" s="15" t="s">
        <v>27</v>
      </c>
      <c r="E200" s="33"/>
      <c r="F200" s="29" t="n">
        <f aca="false">Загальна!E185</f>
        <v>0</v>
      </c>
      <c r="G200" s="48"/>
      <c r="H200" s="33"/>
    </row>
    <row r="201" customFormat="false" ht="16.5" hidden="false" customHeight="false" outlineLevel="0" collapsed="false">
      <c r="A201" s="72" t="n">
        <v>20</v>
      </c>
      <c r="B201" s="33" t="s">
        <v>209</v>
      </c>
      <c r="C201" s="33" t="n">
        <v>12055</v>
      </c>
      <c r="D201" s="15" t="s">
        <v>27</v>
      </c>
      <c r="E201" s="33"/>
      <c r="F201" s="29" t="n">
        <f aca="false">Загальна!E186</f>
        <v>0</v>
      </c>
      <c r="G201" s="48"/>
      <c r="H201" s="33"/>
    </row>
    <row r="202" customFormat="false" ht="16.5" hidden="false" customHeight="false" outlineLevel="0" collapsed="false">
      <c r="A202" s="72"/>
      <c r="B202" s="33" t="s">
        <v>210</v>
      </c>
      <c r="C202" s="33" t="n">
        <v>12056</v>
      </c>
      <c r="D202" s="15" t="s">
        <v>211</v>
      </c>
      <c r="E202" s="33"/>
      <c r="F202" s="29" t="n">
        <f aca="false">Загальна!E187</f>
        <v>0</v>
      </c>
      <c r="G202" s="48"/>
      <c r="H202" s="33"/>
    </row>
    <row r="203" customFormat="false" ht="16.5" hidden="false" customHeight="false" outlineLevel="0" collapsed="false">
      <c r="A203" s="72" t="n">
        <v>20</v>
      </c>
      <c r="B203" s="33" t="s">
        <v>212</v>
      </c>
      <c r="C203" s="33" t="n">
        <v>12057</v>
      </c>
      <c r="D203" s="15" t="s">
        <v>211</v>
      </c>
      <c r="E203" s="33"/>
      <c r="F203" s="29" t="n">
        <v>118</v>
      </c>
      <c r="G203" s="48"/>
      <c r="H203" s="33"/>
    </row>
    <row r="204" customFormat="false" ht="16.5" hidden="false" customHeight="false" outlineLevel="0" collapsed="false">
      <c r="A204" s="72"/>
      <c r="B204" s="33" t="s">
        <v>213</v>
      </c>
      <c r="C204" s="33" t="n">
        <v>12058</v>
      </c>
      <c r="D204" s="15" t="s">
        <v>27</v>
      </c>
      <c r="E204" s="33"/>
      <c r="F204" s="29" t="n">
        <f aca="false">Загальна!E189</f>
        <v>0</v>
      </c>
      <c r="G204" s="48"/>
      <c r="H204" s="33"/>
    </row>
    <row r="205" customFormat="false" ht="16.5" hidden="false" customHeight="false" outlineLevel="0" collapsed="false">
      <c r="A205" s="72"/>
      <c r="B205" s="33" t="s">
        <v>214</v>
      </c>
      <c r="C205" s="33" t="n">
        <v>12060</v>
      </c>
      <c r="D205" s="15" t="s">
        <v>27</v>
      </c>
      <c r="E205" s="33"/>
      <c r="F205" s="29" t="n">
        <f aca="false">Загальна!E190</f>
        <v>0</v>
      </c>
      <c r="G205" s="48"/>
      <c r="H205" s="33"/>
    </row>
    <row r="206" customFormat="false" ht="16.5" hidden="false" customHeight="false" outlineLevel="0" collapsed="false">
      <c r="A206" s="72"/>
      <c r="B206" s="33" t="s">
        <v>215</v>
      </c>
      <c r="C206" s="33" t="n">
        <v>12061</v>
      </c>
      <c r="D206" s="15" t="s">
        <v>27</v>
      </c>
      <c r="E206" s="33"/>
      <c r="F206" s="29" t="n">
        <f aca="false">Загальна!E191</f>
        <v>0</v>
      </c>
      <c r="G206" s="48"/>
      <c r="H206" s="33"/>
    </row>
    <row r="207" customFormat="false" ht="16.5" hidden="false" customHeight="false" outlineLevel="0" collapsed="false">
      <c r="A207" s="72"/>
      <c r="B207" s="33" t="s">
        <v>216</v>
      </c>
      <c r="C207" s="33" t="n">
        <v>12062</v>
      </c>
      <c r="D207" s="15" t="s">
        <v>27</v>
      </c>
      <c r="E207" s="33"/>
      <c r="F207" s="29" t="n">
        <f aca="false">Загальна!E192</f>
        <v>0</v>
      </c>
      <c r="G207" s="48"/>
      <c r="H207" s="33"/>
    </row>
    <row r="208" customFormat="false" ht="16.5" hidden="false" customHeight="false" outlineLevel="0" collapsed="false">
      <c r="A208" s="72"/>
      <c r="B208" s="33" t="s">
        <v>217</v>
      </c>
      <c r="C208" s="33" t="n">
        <v>12064</v>
      </c>
      <c r="D208" s="15" t="s">
        <v>27</v>
      </c>
      <c r="E208" s="33"/>
      <c r="F208" s="29" t="n">
        <f aca="false">Загальна!E193</f>
        <v>0</v>
      </c>
      <c r="G208" s="48"/>
      <c r="H208" s="33"/>
    </row>
    <row r="209" customFormat="false" ht="16.5" hidden="false" customHeight="false" outlineLevel="0" collapsed="false">
      <c r="A209" s="72"/>
      <c r="B209" s="33" t="s">
        <v>218</v>
      </c>
      <c r="C209" s="33" t="n">
        <v>12065</v>
      </c>
      <c r="D209" s="15" t="s">
        <v>27</v>
      </c>
      <c r="E209" s="33"/>
      <c r="F209" s="29" t="n">
        <f aca="false">Загальна!E194</f>
        <v>0</v>
      </c>
      <c r="G209" s="48"/>
      <c r="H209" s="33"/>
    </row>
    <row r="210" customFormat="false" ht="16.5" hidden="false" customHeight="false" outlineLevel="0" collapsed="false">
      <c r="A210" s="72"/>
      <c r="B210" s="33" t="s">
        <v>219</v>
      </c>
      <c r="C210" s="33" t="n">
        <v>12066</v>
      </c>
      <c r="D210" s="15" t="s">
        <v>27</v>
      </c>
      <c r="E210" s="33"/>
      <c r="F210" s="29" t="n">
        <f aca="false">Загальна!E195</f>
        <v>0</v>
      </c>
      <c r="G210" s="48"/>
      <c r="H210" s="33"/>
    </row>
    <row r="211" customFormat="false" ht="16.5" hidden="false" customHeight="false" outlineLevel="0" collapsed="false">
      <c r="A211" s="72"/>
      <c r="B211" s="33" t="s">
        <v>220</v>
      </c>
      <c r="C211" s="33" t="n">
        <v>12069</v>
      </c>
      <c r="D211" s="15" t="s">
        <v>27</v>
      </c>
      <c r="E211" s="33"/>
      <c r="F211" s="29" t="n">
        <f aca="false">Загальна!E196</f>
        <v>0</v>
      </c>
      <c r="G211" s="48"/>
      <c r="H211" s="33"/>
    </row>
    <row r="212" customFormat="false" ht="16.5" hidden="false" customHeight="false" outlineLevel="0" collapsed="false">
      <c r="A212" s="72"/>
      <c r="B212" s="33" t="s">
        <v>221</v>
      </c>
      <c r="C212" s="33" t="n">
        <v>12074</v>
      </c>
      <c r="D212" s="15" t="s">
        <v>27</v>
      </c>
      <c r="E212" s="33"/>
      <c r="F212" s="29" t="n">
        <f aca="false">Загальна!E197</f>
        <v>0</v>
      </c>
      <c r="G212" s="48"/>
      <c r="H212" s="33"/>
    </row>
    <row r="213" customFormat="false" ht="16.5" hidden="false" customHeight="false" outlineLevel="0" collapsed="false">
      <c r="A213" s="72"/>
      <c r="B213" s="33" t="s">
        <v>222</v>
      </c>
      <c r="C213" s="33" t="n">
        <v>12075</v>
      </c>
      <c r="D213" s="15" t="s">
        <v>27</v>
      </c>
      <c r="E213" s="33"/>
      <c r="F213" s="29" t="n">
        <f aca="false">Загальна!E198</f>
        <v>0</v>
      </c>
      <c r="G213" s="48"/>
      <c r="H213" s="33"/>
    </row>
    <row r="214" customFormat="false" ht="16.5" hidden="false" customHeight="false" outlineLevel="0" collapsed="false">
      <c r="A214" s="72"/>
      <c r="B214" s="33" t="s">
        <v>223</v>
      </c>
      <c r="C214" s="33" t="n">
        <v>12076</v>
      </c>
      <c r="D214" s="15" t="s">
        <v>27</v>
      </c>
      <c r="E214" s="33"/>
      <c r="F214" s="29" t="n">
        <f aca="false">Загальна!E199</f>
        <v>0</v>
      </c>
      <c r="G214" s="48"/>
      <c r="H214" s="33"/>
    </row>
    <row r="215" customFormat="false" ht="16.5" hidden="false" customHeight="false" outlineLevel="0" collapsed="false">
      <c r="A215" s="72"/>
      <c r="B215" s="33" t="s">
        <v>224</v>
      </c>
      <c r="C215" s="33" t="n">
        <v>12201</v>
      </c>
      <c r="D215" s="15" t="s">
        <v>27</v>
      </c>
      <c r="E215" s="33"/>
      <c r="F215" s="29" t="n">
        <f aca="false">Загальна!E200</f>
        <v>0</v>
      </c>
      <c r="G215" s="48"/>
      <c r="H215" s="33"/>
    </row>
    <row r="216" customFormat="false" ht="16.5" hidden="false" customHeight="false" outlineLevel="0" collapsed="false">
      <c r="A216" s="72"/>
      <c r="B216" s="33" t="s">
        <v>225</v>
      </c>
      <c r="C216" s="33" t="n">
        <v>12202</v>
      </c>
      <c r="D216" s="15" t="s">
        <v>27</v>
      </c>
      <c r="E216" s="33"/>
      <c r="F216" s="29" t="n">
        <f aca="false">Загальна!E201</f>
        <v>0</v>
      </c>
      <c r="G216" s="48"/>
      <c r="H216" s="33"/>
    </row>
    <row r="217" customFormat="false" ht="16.5" hidden="false" customHeight="false" outlineLevel="0" collapsed="false">
      <c r="A217" s="72"/>
      <c r="B217" s="33" t="s">
        <v>226</v>
      </c>
      <c r="C217" s="33" t="n">
        <v>12204</v>
      </c>
      <c r="D217" s="15" t="s">
        <v>27</v>
      </c>
      <c r="E217" s="33"/>
      <c r="F217" s="29" t="n">
        <f aca="false">Загальна!E202</f>
        <v>0</v>
      </c>
      <c r="G217" s="48"/>
      <c r="H217" s="33"/>
    </row>
    <row r="218" customFormat="false" ht="16.5" hidden="false" customHeight="false" outlineLevel="0" collapsed="false">
      <c r="A218" s="72"/>
      <c r="B218" s="33" t="s">
        <v>227</v>
      </c>
      <c r="C218" s="33" t="n">
        <v>12205</v>
      </c>
      <c r="D218" s="15" t="s">
        <v>27</v>
      </c>
      <c r="E218" s="33"/>
      <c r="F218" s="29" t="n">
        <f aca="false">Загальна!E203</f>
        <v>0</v>
      </c>
      <c r="G218" s="48"/>
      <c r="H218" s="33"/>
    </row>
    <row r="219" customFormat="false" ht="16.5" hidden="false" customHeight="false" outlineLevel="0" collapsed="false">
      <c r="A219" s="72"/>
      <c r="B219" s="33" t="s">
        <v>228</v>
      </c>
      <c r="C219" s="33" t="n">
        <v>12208</v>
      </c>
      <c r="D219" s="15" t="s">
        <v>27</v>
      </c>
      <c r="E219" s="33"/>
      <c r="F219" s="29" t="n">
        <f aca="false">Загальна!E204</f>
        <v>0</v>
      </c>
      <c r="G219" s="48"/>
      <c r="H219" s="33"/>
    </row>
    <row r="220" customFormat="false" ht="16.5" hidden="false" customHeight="false" outlineLevel="0" collapsed="false">
      <c r="A220" s="72"/>
      <c r="B220" s="33" t="s">
        <v>229</v>
      </c>
      <c r="C220" s="33" t="n">
        <v>12209</v>
      </c>
      <c r="D220" s="15" t="s">
        <v>27</v>
      </c>
      <c r="E220" s="33"/>
      <c r="F220" s="29" t="n">
        <f aca="false">Загальна!E205</f>
        <v>0</v>
      </c>
      <c r="G220" s="48"/>
      <c r="H220" s="33"/>
    </row>
    <row r="221" customFormat="false" ht="16.5" hidden="false" customHeight="false" outlineLevel="0" collapsed="false">
      <c r="A221" s="72"/>
      <c r="B221" s="33" t="s">
        <v>230</v>
      </c>
      <c r="C221" s="33" t="n">
        <v>12211</v>
      </c>
      <c r="D221" s="15" t="s">
        <v>27</v>
      </c>
      <c r="E221" s="33"/>
      <c r="F221" s="29" t="n">
        <f aca="false">Загальна!E206</f>
        <v>0</v>
      </c>
      <c r="G221" s="48"/>
      <c r="H221" s="33"/>
    </row>
    <row r="222" customFormat="false" ht="16.5" hidden="false" customHeight="false" outlineLevel="0" collapsed="false">
      <c r="A222" s="72"/>
      <c r="B222" s="33" t="s">
        <v>231</v>
      </c>
      <c r="C222" s="33" t="n">
        <v>12213</v>
      </c>
      <c r="D222" s="15" t="s">
        <v>27</v>
      </c>
      <c r="E222" s="33"/>
      <c r="F222" s="29" t="n">
        <f aca="false">Загальна!E207</f>
        <v>0</v>
      </c>
      <c r="G222" s="48"/>
      <c r="H222" s="33"/>
    </row>
    <row r="223" customFormat="false" ht="16.5" hidden="false" customHeight="false" outlineLevel="0" collapsed="false">
      <c r="A223" s="72"/>
      <c r="B223" s="33" t="s">
        <v>232</v>
      </c>
      <c r="C223" s="33" t="n">
        <v>12215</v>
      </c>
      <c r="D223" s="15" t="s">
        <v>27</v>
      </c>
      <c r="E223" s="33"/>
      <c r="F223" s="29" t="n">
        <f aca="false">Загальна!E208</f>
        <v>0</v>
      </c>
      <c r="G223" s="48"/>
      <c r="H223" s="33"/>
    </row>
    <row r="224" customFormat="false" ht="16.5" hidden="false" customHeight="false" outlineLevel="0" collapsed="false">
      <c r="A224" s="72"/>
      <c r="B224" s="33" t="s">
        <v>233</v>
      </c>
      <c r="C224" s="33" t="n">
        <v>12216</v>
      </c>
      <c r="D224" s="15" t="s">
        <v>27</v>
      </c>
      <c r="E224" s="33"/>
      <c r="F224" s="29" t="n">
        <f aca="false">Загальна!E209</f>
        <v>0</v>
      </c>
      <c r="G224" s="48"/>
      <c r="H224" s="33"/>
    </row>
    <row r="225" customFormat="false" ht="16.5" hidden="false" customHeight="false" outlineLevel="0" collapsed="false">
      <c r="A225" s="72"/>
      <c r="B225" s="33" t="s">
        <v>234</v>
      </c>
      <c r="C225" s="33" t="n">
        <v>12217</v>
      </c>
      <c r="D225" s="15" t="s">
        <v>27</v>
      </c>
      <c r="E225" s="33"/>
      <c r="F225" s="29" t="n">
        <f aca="false">Загальна!E210</f>
        <v>0</v>
      </c>
      <c r="G225" s="48"/>
      <c r="H225" s="33"/>
    </row>
    <row r="226" customFormat="false" ht="16.5" hidden="false" customHeight="false" outlineLevel="0" collapsed="false">
      <c r="A226" s="72"/>
      <c r="B226" s="33" t="s">
        <v>235</v>
      </c>
      <c r="C226" s="33" t="n">
        <v>12218</v>
      </c>
      <c r="D226" s="15" t="s">
        <v>27</v>
      </c>
      <c r="E226" s="33"/>
      <c r="F226" s="29" t="n">
        <f aca="false">Загальна!E211</f>
        <v>0</v>
      </c>
      <c r="G226" s="48"/>
      <c r="H226" s="33"/>
    </row>
    <row r="227" customFormat="false" ht="16.5" hidden="false" customHeight="false" outlineLevel="0" collapsed="false">
      <c r="A227" s="72"/>
      <c r="B227" s="33" t="s">
        <v>236</v>
      </c>
      <c r="C227" s="33" t="n">
        <v>12219</v>
      </c>
      <c r="D227" s="15" t="s">
        <v>27</v>
      </c>
      <c r="E227" s="33"/>
      <c r="F227" s="29" t="n">
        <f aca="false">Загальна!E212</f>
        <v>0</v>
      </c>
      <c r="G227" s="48"/>
      <c r="H227" s="33"/>
    </row>
    <row r="228" customFormat="false" ht="16.5" hidden="false" customHeight="false" outlineLevel="0" collapsed="false">
      <c r="A228" s="72"/>
      <c r="B228" s="33" t="s">
        <v>237</v>
      </c>
      <c r="C228" s="33" t="n">
        <v>12221</v>
      </c>
      <c r="D228" s="15" t="s">
        <v>27</v>
      </c>
      <c r="E228" s="33"/>
      <c r="F228" s="29" t="n">
        <f aca="false">Загальна!E213</f>
        <v>0</v>
      </c>
      <c r="G228" s="48"/>
      <c r="H228" s="33"/>
    </row>
    <row r="229" customFormat="false" ht="16.5" hidden="false" customHeight="false" outlineLevel="0" collapsed="false">
      <c r="A229" s="72"/>
      <c r="B229" s="33" t="s">
        <v>238</v>
      </c>
      <c r="C229" s="33" t="n">
        <v>12224</v>
      </c>
      <c r="D229" s="15" t="s">
        <v>27</v>
      </c>
      <c r="E229" s="33"/>
      <c r="F229" s="29" t="n">
        <f aca="false">Загальна!E214</f>
        <v>0</v>
      </c>
      <c r="G229" s="48"/>
      <c r="H229" s="33"/>
    </row>
    <row r="230" customFormat="false" ht="16.5" hidden="false" customHeight="false" outlineLevel="0" collapsed="false">
      <c r="A230" s="72"/>
      <c r="B230" s="33" t="s">
        <v>239</v>
      </c>
      <c r="C230" s="33" t="n">
        <v>12225</v>
      </c>
      <c r="D230" s="15" t="s">
        <v>27</v>
      </c>
      <c r="E230" s="33"/>
      <c r="F230" s="29" t="n">
        <f aca="false">Загальна!E215</f>
        <v>0</v>
      </c>
      <c r="G230" s="48"/>
      <c r="H230" s="33"/>
    </row>
    <row r="231" customFormat="false" ht="16.5" hidden="false" customHeight="false" outlineLevel="0" collapsed="false">
      <c r="A231" s="72"/>
      <c r="B231" s="33" t="s">
        <v>240</v>
      </c>
      <c r="C231" s="33" t="n">
        <v>12226</v>
      </c>
      <c r="D231" s="15" t="s">
        <v>27</v>
      </c>
      <c r="E231" s="33"/>
      <c r="F231" s="29" t="n">
        <f aca="false">Загальна!E216</f>
        <v>0</v>
      </c>
      <c r="G231" s="48"/>
      <c r="H231" s="33"/>
    </row>
    <row r="232" customFormat="false" ht="16.5" hidden="false" customHeight="false" outlineLevel="0" collapsed="false">
      <c r="A232" s="72"/>
      <c r="B232" s="33" t="s">
        <v>241</v>
      </c>
      <c r="C232" s="33" t="n">
        <v>12228</v>
      </c>
      <c r="D232" s="15" t="s">
        <v>27</v>
      </c>
      <c r="E232" s="33"/>
      <c r="F232" s="29" t="n">
        <f aca="false">Загальна!E217</f>
        <v>0</v>
      </c>
      <c r="G232" s="48"/>
      <c r="H232" s="33"/>
    </row>
    <row r="233" customFormat="false" ht="16.5" hidden="false" customHeight="false" outlineLevel="0" collapsed="false">
      <c r="A233" s="72"/>
      <c r="B233" s="33" t="s">
        <v>242</v>
      </c>
      <c r="C233" s="33" t="n">
        <v>12229</v>
      </c>
      <c r="D233" s="15" t="s">
        <v>27</v>
      </c>
      <c r="E233" s="33"/>
      <c r="F233" s="29" t="n">
        <f aca="false">Загальна!E218</f>
        <v>0</v>
      </c>
      <c r="G233" s="48"/>
      <c r="H233" s="33"/>
    </row>
    <row r="234" customFormat="false" ht="16.5" hidden="false" customHeight="false" outlineLevel="0" collapsed="false">
      <c r="A234" s="72"/>
      <c r="B234" s="33" t="s">
        <v>243</v>
      </c>
      <c r="C234" s="33" t="n">
        <v>12231</v>
      </c>
      <c r="D234" s="15" t="s">
        <v>27</v>
      </c>
      <c r="E234" s="33"/>
      <c r="F234" s="29" t="n">
        <f aca="false">Загальна!E219</f>
        <v>0</v>
      </c>
      <c r="G234" s="48"/>
      <c r="H234" s="33"/>
    </row>
    <row r="235" customFormat="false" ht="16.5" hidden="false" customHeight="false" outlineLevel="0" collapsed="false">
      <c r="A235" s="72"/>
      <c r="B235" s="33" t="s">
        <v>244</v>
      </c>
      <c r="C235" s="33" t="n">
        <v>12235</v>
      </c>
      <c r="D235" s="15" t="s">
        <v>27</v>
      </c>
      <c r="E235" s="33"/>
      <c r="F235" s="29" t="n">
        <f aca="false">Загальна!E220</f>
        <v>0</v>
      </c>
      <c r="G235" s="48"/>
      <c r="H235" s="33"/>
    </row>
    <row r="236" customFormat="false" ht="16.5" hidden="false" customHeight="false" outlineLevel="0" collapsed="false">
      <c r="A236" s="72" t="n">
        <v>21</v>
      </c>
      <c r="B236" s="33" t="s">
        <v>245</v>
      </c>
      <c r="C236" s="33" t="n">
        <v>12237</v>
      </c>
      <c r="D236" s="15" t="s">
        <v>27</v>
      </c>
      <c r="E236" s="33"/>
      <c r="F236" s="29" t="n">
        <f aca="false">Загальна!E221</f>
        <v>0</v>
      </c>
      <c r="G236" s="48"/>
      <c r="H236" s="33"/>
    </row>
    <row r="237" customFormat="false" ht="16.5" hidden="false" customHeight="false" outlineLevel="0" collapsed="false">
      <c r="A237" s="72"/>
      <c r="B237" s="33" t="s">
        <v>246</v>
      </c>
      <c r="C237" s="33" t="n">
        <v>12301</v>
      </c>
      <c r="D237" s="15" t="s">
        <v>27</v>
      </c>
      <c r="E237" s="33"/>
      <c r="F237" s="29" t="n">
        <f aca="false">Загальна!E222</f>
        <v>0</v>
      </c>
      <c r="G237" s="48"/>
      <c r="H237" s="33"/>
    </row>
    <row r="238" customFormat="false" ht="16.5" hidden="false" customHeight="false" outlineLevel="0" collapsed="false">
      <c r="A238" s="72" t="n">
        <v>21</v>
      </c>
      <c r="B238" s="33" t="s">
        <v>247</v>
      </c>
      <c r="C238" s="33" t="n">
        <v>12302</v>
      </c>
      <c r="D238" s="15" t="s">
        <v>27</v>
      </c>
      <c r="E238" s="33"/>
      <c r="F238" s="29" t="n">
        <f aca="false">Загальна!E223</f>
        <v>0.49</v>
      </c>
      <c r="G238" s="48"/>
      <c r="H238" s="33"/>
    </row>
    <row r="239" customFormat="false" ht="16.5" hidden="false" customHeight="false" outlineLevel="0" collapsed="false">
      <c r="A239" s="72"/>
      <c r="B239" s="33" t="s">
        <v>248</v>
      </c>
      <c r="C239" s="33" t="n">
        <v>12303</v>
      </c>
      <c r="D239" s="15" t="s">
        <v>27</v>
      </c>
      <c r="E239" s="33"/>
      <c r="F239" s="29" t="n">
        <f aca="false">Загальна!E224</f>
        <v>0</v>
      </c>
      <c r="G239" s="48"/>
      <c r="H239" s="33"/>
    </row>
    <row r="240" customFormat="false" ht="16.5" hidden="false" customHeight="false" outlineLevel="0" collapsed="false">
      <c r="A240" s="72"/>
      <c r="B240" s="33" t="s">
        <v>249</v>
      </c>
      <c r="C240" s="33" t="n">
        <v>12304</v>
      </c>
      <c r="D240" s="15" t="s">
        <v>27</v>
      </c>
      <c r="E240" s="33"/>
      <c r="F240" s="29" t="n">
        <f aca="false">Загальна!E225</f>
        <v>0</v>
      </c>
      <c r="G240" s="48"/>
      <c r="H240" s="33"/>
    </row>
    <row r="241" customFormat="false" ht="16.5" hidden="false" customHeight="false" outlineLevel="0" collapsed="false">
      <c r="A241" s="72" t="n">
        <v>22</v>
      </c>
      <c r="B241" s="33" t="s">
        <v>250</v>
      </c>
      <c r="C241" s="33" t="n">
        <v>12305</v>
      </c>
      <c r="D241" s="15" t="s">
        <v>27</v>
      </c>
      <c r="E241" s="33"/>
      <c r="F241" s="29" t="n">
        <f aca="false">Загальна!E226</f>
        <v>0</v>
      </c>
      <c r="G241" s="48"/>
      <c r="H241" s="33"/>
    </row>
    <row r="242" customFormat="false" ht="16.5" hidden="false" customHeight="false" outlineLevel="0" collapsed="false">
      <c r="A242" s="72"/>
      <c r="B242" s="33" t="s">
        <v>251</v>
      </c>
      <c r="C242" s="33" t="n">
        <v>12306</v>
      </c>
      <c r="D242" s="15" t="s">
        <v>27</v>
      </c>
      <c r="E242" s="33"/>
      <c r="F242" s="29" t="n">
        <f aca="false">Загальна!E227</f>
        <v>0</v>
      </c>
      <c r="G242" s="48"/>
      <c r="H242" s="33"/>
    </row>
    <row r="243" customFormat="false" ht="16.5" hidden="false" customHeight="false" outlineLevel="0" collapsed="false">
      <c r="A243" s="72" t="n">
        <v>22</v>
      </c>
      <c r="B243" s="33" t="s">
        <v>252</v>
      </c>
      <c r="C243" s="33" t="n">
        <v>12307</v>
      </c>
      <c r="D243" s="15" t="s">
        <v>27</v>
      </c>
      <c r="E243" s="33"/>
      <c r="F243" s="29" t="n">
        <f aca="false">Загальна!E228</f>
        <v>0.98</v>
      </c>
      <c r="G243" s="48"/>
      <c r="H243" s="33"/>
    </row>
    <row r="244" customFormat="false" ht="16.5" hidden="false" customHeight="false" outlineLevel="0" collapsed="false">
      <c r="A244" s="72"/>
      <c r="B244" s="33" t="s">
        <v>253</v>
      </c>
      <c r="C244" s="33" t="n">
        <v>12308</v>
      </c>
      <c r="D244" s="15" t="s">
        <v>27</v>
      </c>
      <c r="E244" s="33"/>
      <c r="F244" s="29" t="n">
        <f aca="false">Загальна!E229</f>
        <v>0</v>
      </c>
      <c r="G244" s="48"/>
      <c r="H244" s="33"/>
    </row>
    <row r="245" customFormat="false" ht="16.5" hidden="false" customHeight="false" outlineLevel="0" collapsed="false">
      <c r="A245" s="72"/>
      <c r="B245" s="33" t="s">
        <v>254</v>
      </c>
      <c r="C245" s="33" t="n">
        <v>13001</v>
      </c>
      <c r="D245" s="15" t="s">
        <v>27</v>
      </c>
      <c r="E245" s="33"/>
      <c r="F245" s="29" t="n">
        <f aca="false">Загальна!E230</f>
        <v>0</v>
      </c>
      <c r="G245" s="48"/>
      <c r="H245" s="33"/>
    </row>
    <row r="246" customFormat="false" ht="16.5" hidden="false" customHeight="false" outlineLevel="0" collapsed="false">
      <c r="A246" s="72"/>
      <c r="B246" s="33" t="s">
        <v>255</v>
      </c>
      <c r="C246" s="33" t="n">
        <v>13002</v>
      </c>
      <c r="D246" s="15" t="s">
        <v>27</v>
      </c>
      <c r="E246" s="33"/>
      <c r="F246" s="29" t="n">
        <f aca="false">Загальна!E231</f>
        <v>0</v>
      </c>
      <c r="G246" s="48"/>
      <c r="H246" s="33"/>
    </row>
    <row r="247" customFormat="false" ht="16.5" hidden="false" customHeight="false" outlineLevel="0" collapsed="false">
      <c r="A247" s="72"/>
      <c r="B247" s="33" t="s">
        <v>256</v>
      </c>
      <c r="C247" s="33" t="n">
        <v>13003</v>
      </c>
      <c r="D247" s="15" t="s">
        <v>27</v>
      </c>
      <c r="E247" s="33"/>
      <c r="F247" s="29" t="n">
        <f aca="false">Загальна!E232</f>
        <v>0</v>
      </c>
      <c r="G247" s="48"/>
      <c r="H247" s="33"/>
    </row>
    <row r="248" customFormat="false" ht="16.5" hidden="false" customHeight="false" outlineLevel="0" collapsed="false">
      <c r="A248" s="72"/>
      <c r="B248" s="33" t="s">
        <v>257</v>
      </c>
      <c r="C248" s="33" t="n">
        <v>13004</v>
      </c>
      <c r="D248" s="15" t="s">
        <v>27</v>
      </c>
      <c r="E248" s="33"/>
      <c r="F248" s="29" t="n">
        <f aca="false">Загальна!E233</f>
        <v>0</v>
      </c>
      <c r="G248" s="48"/>
      <c r="H248" s="33"/>
    </row>
    <row r="249" customFormat="false" ht="16.5" hidden="false" customHeight="false" outlineLevel="0" collapsed="false">
      <c r="A249" s="72"/>
      <c r="B249" s="33" t="s">
        <v>258</v>
      </c>
      <c r="C249" s="33" t="n">
        <v>13005</v>
      </c>
      <c r="D249" s="15" t="s">
        <v>27</v>
      </c>
      <c r="E249" s="33"/>
      <c r="F249" s="29" t="n">
        <f aca="false">Загальна!E234</f>
        <v>0</v>
      </c>
      <c r="G249" s="48"/>
      <c r="H249" s="33"/>
    </row>
    <row r="250" customFormat="false" ht="16.5" hidden="false" customHeight="false" outlineLevel="0" collapsed="false">
      <c r="A250" s="72"/>
      <c r="B250" s="33" t="s">
        <v>259</v>
      </c>
      <c r="C250" s="33" t="n">
        <v>13006</v>
      </c>
      <c r="D250" s="15" t="s">
        <v>27</v>
      </c>
      <c r="E250" s="33"/>
      <c r="F250" s="29" t="n">
        <f aca="false">Загальна!E235</f>
        <v>0</v>
      </c>
      <c r="G250" s="48"/>
      <c r="H250" s="33"/>
    </row>
    <row r="251" customFormat="false" ht="16.5" hidden="false" customHeight="false" outlineLevel="0" collapsed="false">
      <c r="A251" s="72"/>
      <c r="B251" s="33" t="s">
        <v>260</v>
      </c>
      <c r="C251" s="33" t="n">
        <v>13007</v>
      </c>
      <c r="D251" s="15" t="s">
        <v>27</v>
      </c>
      <c r="E251" s="33"/>
      <c r="F251" s="29" t="n">
        <f aca="false">Загальна!E236</f>
        <v>0</v>
      </c>
      <c r="G251" s="48"/>
      <c r="H251" s="33"/>
    </row>
    <row r="252" customFormat="false" ht="16.5" hidden="false" customHeight="false" outlineLevel="0" collapsed="false">
      <c r="A252" s="72"/>
      <c r="B252" s="33" t="s">
        <v>261</v>
      </c>
      <c r="C252" s="33" t="n">
        <v>13008</v>
      </c>
      <c r="D252" s="15" t="s">
        <v>27</v>
      </c>
      <c r="E252" s="33"/>
      <c r="F252" s="29" t="n">
        <f aca="false">Загальна!E237</f>
        <v>0</v>
      </c>
      <c r="G252" s="48"/>
      <c r="H252" s="33"/>
    </row>
    <row r="253" customFormat="false" ht="16.5" hidden="false" customHeight="false" outlineLevel="0" collapsed="false">
      <c r="A253" s="72"/>
      <c r="B253" s="33" t="s">
        <v>262</v>
      </c>
      <c r="C253" s="33" t="n">
        <v>13009</v>
      </c>
      <c r="D253" s="15" t="s">
        <v>27</v>
      </c>
      <c r="E253" s="33"/>
      <c r="F253" s="29" t="n">
        <f aca="false">Загальна!E238</f>
        <v>0</v>
      </c>
      <c r="G253" s="48"/>
      <c r="H253" s="33"/>
    </row>
    <row r="254" customFormat="false" ht="16.5" hidden="false" customHeight="false" outlineLevel="0" collapsed="false">
      <c r="A254" s="72"/>
      <c r="B254" s="33" t="s">
        <v>263</v>
      </c>
      <c r="C254" s="33" t="n">
        <v>13010</v>
      </c>
      <c r="D254" s="15" t="s">
        <v>27</v>
      </c>
      <c r="E254" s="33"/>
      <c r="F254" s="29" t="n">
        <f aca="false">Загальна!E239</f>
        <v>0</v>
      </c>
      <c r="G254" s="48"/>
      <c r="H254" s="33"/>
    </row>
    <row r="255" customFormat="false" ht="16.5" hidden="false" customHeight="false" outlineLevel="0" collapsed="false">
      <c r="A255" s="72"/>
      <c r="B255" s="33" t="s">
        <v>264</v>
      </c>
      <c r="C255" s="33" t="n">
        <v>13011</v>
      </c>
      <c r="D255" s="15" t="s">
        <v>27</v>
      </c>
      <c r="E255" s="33"/>
      <c r="F255" s="29" t="n">
        <f aca="false">Загальна!E240</f>
        <v>0</v>
      </c>
      <c r="G255" s="48"/>
      <c r="H255" s="33"/>
    </row>
    <row r="256" customFormat="false" ht="16.5" hidden="false" customHeight="false" outlineLevel="0" collapsed="false">
      <c r="A256" s="72"/>
      <c r="B256" s="33" t="s">
        <v>265</v>
      </c>
      <c r="C256" s="33" t="n">
        <v>13013</v>
      </c>
      <c r="D256" s="15" t="s">
        <v>27</v>
      </c>
      <c r="E256" s="33"/>
      <c r="F256" s="29" t="n">
        <f aca="false">Загальна!E241</f>
        <v>0</v>
      </c>
      <c r="G256" s="48"/>
      <c r="H256" s="33"/>
    </row>
    <row r="257" customFormat="false" ht="16.5" hidden="false" customHeight="false" outlineLevel="0" collapsed="false">
      <c r="A257" s="72"/>
      <c r="B257" s="33" t="s">
        <v>266</v>
      </c>
      <c r="C257" s="33" t="n">
        <v>13015</v>
      </c>
      <c r="D257" s="15" t="s">
        <v>27</v>
      </c>
      <c r="E257" s="33"/>
      <c r="F257" s="29" t="n">
        <f aca="false">Загальна!E242</f>
        <v>0</v>
      </c>
      <c r="G257" s="48"/>
      <c r="H257" s="33"/>
    </row>
    <row r="258" customFormat="false" ht="16.5" hidden="false" customHeight="false" outlineLevel="0" collapsed="false">
      <c r="A258" s="72"/>
      <c r="B258" s="33" t="s">
        <v>267</v>
      </c>
      <c r="C258" s="33" t="n">
        <v>13016</v>
      </c>
      <c r="D258" s="15" t="s">
        <v>27</v>
      </c>
      <c r="E258" s="33"/>
      <c r="F258" s="29" t="n">
        <f aca="false">Загальна!E243</f>
        <v>0</v>
      </c>
      <c r="G258" s="48"/>
      <c r="H258" s="33"/>
    </row>
    <row r="259" customFormat="false" ht="16.5" hidden="false" customHeight="false" outlineLevel="0" collapsed="false">
      <c r="A259" s="72"/>
      <c r="B259" s="33" t="s">
        <v>268</v>
      </c>
      <c r="C259" s="33" t="n">
        <v>13017</v>
      </c>
      <c r="D259" s="15" t="s">
        <v>27</v>
      </c>
      <c r="E259" s="33"/>
      <c r="F259" s="29" t="n">
        <f aca="false">Загальна!E244</f>
        <v>0</v>
      </c>
      <c r="G259" s="48"/>
      <c r="H259" s="33"/>
    </row>
    <row r="260" customFormat="false" ht="16.5" hidden="false" customHeight="false" outlineLevel="0" collapsed="false">
      <c r="A260" s="72"/>
      <c r="B260" s="33" t="s">
        <v>269</v>
      </c>
      <c r="C260" s="33" t="n">
        <v>13018</v>
      </c>
      <c r="D260" s="15" t="s">
        <v>27</v>
      </c>
      <c r="E260" s="33"/>
      <c r="F260" s="29" t="n">
        <f aca="false">Загальна!E245</f>
        <v>0</v>
      </c>
      <c r="G260" s="48"/>
      <c r="H260" s="33"/>
    </row>
    <row r="261" customFormat="false" ht="16.5" hidden="false" customHeight="false" outlineLevel="0" collapsed="false">
      <c r="A261" s="72"/>
      <c r="B261" s="33" t="s">
        <v>270</v>
      </c>
      <c r="C261" s="33" t="n">
        <v>13019</v>
      </c>
      <c r="D261" s="15" t="s">
        <v>27</v>
      </c>
      <c r="E261" s="33"/>
      <c r="F261" s="29" t="n">
        <f aca="false">Загальна!E246</f>
        <v>0</v>
      </c>
      <c r="G261" s="48"/>
      <c r="H261" s="33"/>
    </row>
    <row r="262" customFormat="false" ht="16.5" hidden="false" customHeight="false" outlineLevel="0" collapsed="false">
      <c r="A262" s="72"/>
      <c r="B262" s="33" t="s">
        <v>271</v>
      </c>
      <c r="C262" s="33" t="n">
        <v>13020</v>
      </c>
      <c r="D262" s="15" t="s">
        <v>27</v>
      </c>
      <c r="E262" s="33"/>
      <c r="F262" s="29" t="n">
        <f aca="false">Загальна!E247</f>
        <v>0</v>
      </c>
      <c r="G262" s="48"/>
      <c r="H262" s="33"/>
    </row>
    <row r="263" customFormat="false" ht="16.5" hidden="false" customHeight="false" outlineLevel="0" collapsed="false">
      <c r="A263" s="72"/>
      <c r="B263" s="33" t="s">
        <v>272</v>
      </c>
      <c r="C263" s="33" t="n">
        <v>13021</v>
      </c>
      <c r="D263" s="15" t="s">
        <v>27</v>
      </c>
      <c r="E263" s="33"/>
      <c r="F263" s="29" t="n">
        <f aca="false">Загальна!E248</f>
        <v>0</v>
      </c>
      <c r="G263" s="48"/>
      <c r="H263" s="33"/>
    </row>
    <row r="264" customFormat="false" ht="16.5" hidden="false" customHeight="false" outlineLevel="0" collapsed="false">
      <c r="A264" s="72"/>
      <c r="B264" s="33" t="s">
        <v>273</v>
      </c>
      <c r="C264" s="33" t="n">
        <v>13101</v>
      </c>
      <c r="D264" s="15" t="s">
        <v>27</v>
      </c>
      <c r="E264" s="33"/>
      <c r="F264" s="29" t="n">
        <f aca="false">Загальна!E249</f>
        <v>0</v>
      </c>
      <c r="G264" s="48"/>
      <c r="H264" s="33"/>
    </row>
    <row r="265" customFormat="false" ht="16.5" hidden="false" customHeight="false" outlineLevel="0" collapsed="false">
      <c r="A265" s="72"/>
      <c r="B265" s="33" t="s">
        <v>274</v>
      </c>
      <c r="C265" s="33" t="n">
        <v>13102</v>
      </c>
      <c r="D265" s="15" t="s">
        <v>27</v>
      </c>
      <c r="E265" s="33"/>
      <c r="F265" s="29" t="n">
        <f aca="false">Загальна!E250</f>
        <v>0</v>
      </c>
      <c r="G265" s="48"/>
      <c r="H265" s="33"/>
    </row>
    <row r="266" customFormat="false" ht="16.5" hidden="false" customHeight="false" outlineLevel="0" collapsed="false">
      <c r="A266" s="72"/>
      <c r="B266" s="33" t="s">
        <v>275</v>
      </c>
      <c r="C266" s="33" t="n">
        <v>13104</v>
      </c>
      <c r="D266" s="15" t="s">
        <v>27</v>
      </c>
      <c r="E266" s="33"/>
      <c r="F266" s="29" t="n">
        <f aca="false">Загальна!E251</f>
        <v>0</v>
      </c>
      <c r="G266" s="48"/>
      <c r="H266" s="33"/>
    </row>
    <row r="267" customFormat="false" ht="16.5" hidden="false" customHeight="false" outlineLevel="0" collapsed="false">
      <c r="A267" s="72"/>
      <c r="B267" s="33" t="s">
        <v>276</v>
      </c>
      <c r="C267" s="33" t="n">
        <v>13105</v>
      </c>
      <c r="D267" s="15" t="s">
        <v>27</v>
      </c>
      <c r="E267" s="33"/>
      <c r="F267" s="29" t="n">
        <f aca="false">Загальна!E252</f>
        <v>0</v>
      </c>
      <c r="G267" s="48"/>
      <c r="H267" s="33"/>
    </row>
    <row r="268" customFormat="false" ht="16.5" hidden="false" customHeight="false" outlineLevel="0" collapsed="false">
      <c r="A268" s="72" t="n">
        <v>23</v>
      </c>
      <c r="B268" s="33" t="s">
        <v>277</v>
      </c>
      <c r="C268" s="33" t="n">
        <v>13106</v>
      </c>
      <c r="D268" s="15" t="s">
        <v>27</v>
      </c>
      <c r="E268" s="33"/>
      <c r="F268" s="29" t="n">
        <f aca="false">Загальна!E253</f>
        <v>0</v>
      </c>
      <c r="G268" s="48"/>
      <c r="H268" s="33"/>
    </row>
    <row r="269" customFormat="false" ht="16.5" hidden="false" customHeight="false" outlineLevel="0" collapsed="false">
      <c r="A269" s="72"/>
      <c r="B269" s="33" t="s">
        <v>278</v>
      </c>
      <c r="C269" s="33" t="n">
        <v>13107</v>
      </c>
      <c r="D269" s="15" t="s">
        <v>27</v>
      </c>
      <c r="E269" s="33"/>
      <c r="F269" s="29" t="n">
        <f aca="false">Загальна!E254</f>
        <v>0</v>
      </c>
      <c r="G269" s="48"/>
      <c r="H269" s="33"/>
    </row>
    <row r="270" customFormat="false" ht="16.5" hidden="false" customHeight="false" outlineLevel="0" collapsed="false">
      <c r="A270" s="72" t="n">
        <v>23</v>
      </c>
      <c r="B270" s="33" t="s">
        <v>279</v>
      </c>
      <c r="C270" s="33" t="n">
        <v>13108</v>
      </c>
      <c r="D270" s="15" t="s">
        <v>27</v>
      </c>
      <c r="E270" s="33"/>
      <c r="F270" s="29" t="n">
        <f aca="false">Загальна!E255</f>
        <v>1.225</v>
      </c>
      <c r="G270" s="48"/>
      <c r="H270" s="33"/>
    </row>
    <row r="271" customFormat="false" ht="16.5" hidden="false" customHeight="false" outlineLevel="0" collapsed="false">
      <c r="A271" s="72"/>
      <c r="B271" s="33" t="s">
        <v>280</v>
      </c>
      <c r="C271" s="33" t="n">
        <v>13109</v>
      </c>
      <c r="D271" s="15" t="s">
        <v>27</v>
      </c>
      <c r="E271" s="33"/>
      <c r="F271" s="29" t="n">
        <f aca="false">Загальна!E256</f>
        <v>0</v>
      </c>
      <c r="G271" s="48"/>
      <c r="H271" s="33"/>
    </row>
    <row r="272" customFormat="false" ht="16.5" hidden="false" customHeight="false" outlineLevel="0" collapsed="false">
      <c r="A272" s="72"/>
      <c r="B272" s="33" t="s">
        <v>281</v>
      </c>
      <c r="C272" s="33" t="n">
        <v>13110</v>
      </c>
      <c r="D272" s="15" t="s">
        <v>27</v>
      </c>
      <c r="E272" s="33"/>
      <c r="F272" s="29" t="n">
        <f aca="false">Загальна!E257</f>
        <v>0</v>
      </c>
      <c r="G272" s="48"/>
      <c r="H272" s="33"/>
    </row>
    <row r="273" customFormat="false" ht="16.5" hidden="false" customHeight="false" outlineLevel="0" collapsed="false">
      <c r="A273" s="72"/>
      <c r="B273" s="33" t="s">
        <v>282</v>
      </c>
      <c r="C273" s="33" t="n">
        <v>13111</v>
      </c>
      <c r="D273" s="15" t="s">
        <v>27</v>
      </c>
      <c r="E273" s="33"/>
      <c r="F273" s="29" t="n">
        <f aca="false">Загальна!E258</f>
        <v>0</v>
      </c>
      <c r="G273" s="48"/>
      <c r="H273" s="33"/>
    </row>
    <row r="274" customFormat="false" ht="16.5" hidden="false" customHeight="false" outlineLevel="0" collapsed="false">
      <c r="A274" s="72"/>
      <c r="B274" s="33" t="s">
        <v>283</v>
      </c>
      <c r="C274" s="33" t="n">
        <v>13112</v>
      </c>
      <c r="D274" s="15" t="s">
        <v>27</v>
      </c>
      <c r="E274" s="33"/>
      <c r="F274" s="29" t="n">
        <f aca="false">Загальна!E259</f>
        <v>0</v>
      </c>
      <c r="G274" s="48"/>
      <c r="H274" s="33"/>
    </row>
    <row r="275" customFormat="false" ht="16.5" hidden="false" customHeight="false" outlineLevel="0" collapsed="false">
      <c r="A275" s="72"/>
      <c r="B275" s="33" t="s">
        <v>284</v>
      </c>
      <c r="C275" s="33" t="n">
        <v>13113</v>
      </c>
      <c r="D275" s="15" t="s">
        <v>27</v>
      </c>
      <c r="E275" s="33"/>
      <c r="F275" s="29" t="n">
        <f aca="false">Загальна!E260</f>
        <v>0</v>
      </c>
      <c r="G275" s="48"/>
      <c r="H275" s="33"/>
    </row>
    <row r="276" customFormat="false" ht="16.5" hidden="false" customHeight="false" outlineLevel="0" collapsed="false">
      <c r="A276" s="72"/>
      <c r="B276" s="33" t="s">
        <v>285</v>
      </c>
      <c r="C276" s="33" t="n">
        <v>13114</v>
      </c>
      <c r="D276" s="15" t="s">
        <v>27</v>
      </c>
      <c r="E276" s="33"/>
      <c r="F276" s="29" t="n">
        <f aca="false">Загальна!E261</f>
        <v>0</v>
      </c>
      <c r="G276" s="48"/>
      <c r="H276" s="33"/>
    </row>
    <row r="277" customFormat="false" ht="16.5" hidden="false" customHeight="false" outlineLevel="0" collapsed="false">
      <c r="A277" s="72"/>
      <c r="B277" s="33" t="s">
        <v>286</v>
      </c>
      <c r="C277" s="33" t="n">
        <v>13115</v>
      </c>
      <c r="D277" s="15" t="s">
        <v>27</v>
      </c>
      <c r="E277" s="33"/>
      <c r="F277" s="29" t="n">
        <f aca="false">Загальна!E262</f>
        <v>0</v>
      </c>
      <c r="G277" s="48"/>
      <c r="H277" s="33"/>
    </row>
    <row r="278" customFormat="false" ht="16.5" hidden="false" customHeight="false" outlineLevel="0" collapsed="false">
      <c r="A278" s="72"/>
      <c r="B278" s="33" t="s">
        <v>287</v>
      </c>
      <c r="C278" s="33" t="n">
        <v>13116</v>
      </c>
      <c r="D278" s="15" t="s">
        <v>27</v>
      </c>
      <c r="E278" s="33"/>
      <c r="F278" s="29" t="n">
        <f aca="false">Загальна!E263</f>
        <v>0</v>
      </c>
      <c r="G278" s="48"/>
      <c r="H278" s="33"/>
    </row>
    <row r="279" customFormat="false" ht="16.5" hidden="false" customHeight="false" outlineLevel="0" collapsed="false">
      <c r="A279" s="72"/>
      <c r="B279" s="33" t="s">
        <v>288</v>
      </c>
      <c r="C279" s="33" t="n">
        <v>13117</v>
      </c>
      <c r="D279" s="15" t="s">
        <v>27</v>
      </c>
      <c r="E279" s="33"/>
      <c r="F279" s="29" t="n">
        <f aca="false">Загальна!E264</f>
        <v>0</v>
      </c>
      <c r="G279" s="48"/>
      <c r="H279" s="33"/>
    </row>
    <row r="280" customFormat="false" ht="16.5" hidden="false" customHeight="false" outlineLevel="0" collapsed="false">
      <c r="A280" s="72"/>
      <c r="B280" s="33" t="s">
        <v>289</v>
      </c>
      <c r="C280" s="33" t="n">
        <v>13118</v>
      </c>
      <c r="D280" s="15" t="s">
        <v>27</v>
      </c>
      <c r="E280" s="33"/>
      <c r="F280" s="29" t="n">
        <f aca="false">Загальна!E265</f>
        <v>0</v>
      </c>
      <c r="G280" s="48"/>
      <c r="H280" s="33"/>
    </row>
    <row r="281" customFormat="false" ht="16.5" hidden="false" customHeight="false" outlineLevel="0" collapsed="false">
      <c r="A281" s="72"/>
      <c r="B281" s="33" t="s">
        <v>290</v>
      </c>
      <c r="C281" s="33" t="n">
        <v>13119</v>
      </c>
      <c r="D281" s="15" t="s">
        <v>27</v>
      </c>
      <c r="E281" s="33"/>
      <c r="F281" s="29" t="n">
        <f aca="false">Загальна!E266</f>
        <v>0</v>
      </c>
      <c r="G281" s="48"/>
      <c r="H281" s="33"/>
    </row>
    <row r="282" customFormat="false" ht="16.5" hidden="false" customHeight="false" outlineLevel="0" collapsed="false">
      <c r="A282" s="72"/>
      <c r="B282" s="33" t="s">
        <v>291</v>
      </c>
      <c r="C282" s="33" t="n">
        <v>13120</v>
      </c>
      <c r="D282" s="15" t="s">
        <v>27</v>
      </c>
      <c r="E282" s="33"/>
      <c r="F282" s="29" t="n">
        <f aca="false">Загальна!E267</f>
        <v>0</v>
      </c>
      <c r="G282" s="48"/>
      <c r="H282" s="33"/>
    </row>
    <row r="283" customFormat="false" ht="16.5" hidden="false" customHeight="false" outlineLevel="0" collapsed="false">
      <c r="A283" s="72"/>
      <c r="B283" s="33" t="s">
        <v>292</v>
      </c>
      <c r="C283" s="33" t="n">
        <v>13121</v>
      </c>
      <c r="D283" s="15" t="s">
        <v>27</v>
      </c>
      <c r="E283" s="33"/>
      <c r="F283" s="29" t="n">
        <f aca="false">Загальна!E268</f>
        <v>0</v>
      </c>
      <c r="G283" s="48"/>
      <c r="H283" s="33"/>
    </row>
    <row r="284" customFormat="false" ht="16.5" hidden="false" customHeight="false" outlineLevel="0" collapsed="false">
      <c r="A284" s="72"/>
      <c r="B284" s="33" t="s">
        <v>293</v>
      </c>
      <c r="C284" s="33" t="n">
        <v>13122</v>
      </c>
      <c r="D284" s="15" t="s">
        <v>27</v>
      </c>
      <c r="E284" s="33"/>
      <c r="F284" s="29" t="n">
        <f aca="false">Загальна!E269</f>
        <v>0</v>
      </c>
      <c r="G284" s="48"/>
      <c r="H284" s="33"/>
    </row>
    <row r="285" customFormat="false" ht="16.5" hidden="false" customHeight="false" outlineLevel="0" collapsed="false">
      <c r="A285" s="72"/>
      <c r="B285" s="33" t="s">
        <v>294</v>
      </c>
      <c r="C285" s="33" t="n">
        <v>13123</v>
      </c>
      <c r="D285" s="15" t="s">
        <v>27</v>
      </c>
      <c r="E285" s="33"/>
      <c r="F285" s="29" t="n">
        <f aca="false">Загальна!E270</f>
        <v>0</v>
      </c>
      <c r="G285" s="48"/>
      <c r="H285" s="33"/>
    </row>
    <row r="286" customFormat="false" ht="16.5" hidden="false" customHeight="false" outlineLevel="0" collapsed="false">
      <c r="A286" s="72"/>
      <c r="B286" s="33" t="s">
        <v>295</v>
      </c>
      <c r="C286" s="33" t="n">
        <v>13124</v>
      </c>
      <c r="D286" s="15" t="s">
        <v>27</v>
      </c>
      <c r="E286" s="33"/>
      <c r="F286" s="29" t="n">
        <f aca="false">Загальна!E271</f>
        <v>0</v>
      </c>
      <c r="G286" s="48"/>
      <c r="H286" s="33"/>
    </row>
    <row r="287" customFormat="false" ht="16.5" hidden="false" customHeight="false" outlineLevel="0" collapsed="false">
      <c r="A287" s="72"/>
      <c r="B287" s="33" t="s">
        <v>296</v>
      </c>
      <c r="C287" s="33" t="n">
        <v>13125</v>
      </c>
      <c r="D287" s="15" t="s">
        <v>27</v>
      </c>
      <c r="E287" s="33"/>
      <c r="F287" s="29" t="n">
        <f aca="false">Загальна!E272</f>
        <v>0</v>
      </c>
      <c r="G287" s="48"/>
      <c r="H287" s="33"/>
    </row>
    <row r="288" customFormat="false" ht="16.5" hidden="false" customHeight="false" outlineLevel="0" collapsed="false">
      <c r="A288" s="72"/>
      <c r="B288" s="33" t="s">
        <v>297</v>
      </c>
      <c r="C288" s="33" t="n">
        <v>13126</v>
      </c>
      <c r="D288" s="15" t="s">
        <v>27</v>
      </c>
      <c r="E288" s="33"/>
      <c r="F288" s="29" t="n">
        <f aca="false">Загальна!E273</f>
        <v>0</v>
      </c>
      <c r="G288" s="48"/>
      <c r="H288" s="33"/>
    </row>
    <row r="289" customFormat="false" ht="16.5" hidden="false" customHeight="false" outlineLevel="0" collapsed="false">
      <c r="A289" s="72"/>
      <c r="B289" s="33" t="s">
        <v>298</v>
      </c>
      <c r="C289" s="33" t="n">
        <v>14001</v>
      </c>
      <c r="D289" s="15" t="s">
        <v>27</v>
      </c>
      <c r="E289" s="33"/>
      <c r="F289" s="29" t="n">
        <f aca="false">Загальна!E274</f>
        <v>0</v>
      </c>
      <c r="G289" s="48"/>
      <c r="H289" s="33"/>
    </row>
    <row r="290" customFormat="false" ht="16.5" hidden="false" customHeight="false" outlineLevel="0" collapsed="false">
      <c r="A290" s="72"/>
      <c r="B290" s="33" t="s">
        <v>299</v>
      </c>
      <c r="C290" s="33" t="n">
        <v>14002</v>
      </c>
      <c r="D290" s="15" t="s">
        <v>27</v>
      </c>
      <c r="E290" s="33"/>
      <c r="F290" s="29" t="n">
        <f aca="false">Загальна!E275</f>
        <v>0</v>
      </c>
      <c r="G290" s="48"/>
      <c r="H290" s="33"/>
    </row>
    <row r="291" customFormat="false" ht="16.5" hidden="false" customHeight="false" outlineLevel="0" collapsed="false">
      <c r="A291" s="72"/>
      <c r="B291" s="33" t="s">
        <v>300</v>
      </c>
      <c r="C291" s="33" t="n">
        <v>14003</v>
      </c>
      <c r="D291" s="15" t="s">
        <v>27</v>
      </c>
      <c r="E291" s="33"/>
      <c r="F291" s="29" t="n">
        <f aca="false">Загальна!E276</f>
        <v>0</v>
      </c>
      <c r="G291" s="48"/>
      <c r="H291" s="33"/>
    </row>
    <row r="292" customFormat="false" ht="16.5" hidden="false" customHeight="false" outlineLevel="0" collapsed="false">
      <c r="A292" s="72"/>
      <c r="B292" s="33" t="s">
        <v>301</v>
      </c>
      <c r="C292" s="33" t="n">
        <v>14004</v>
      </c>
      <c r="D292" s="15" t="s">
        <v>27</v>
      </c>
      <c r="E292" s="33"/>
      <c r="F292" s="29" t="n">
        <f aca="false">Загальна!E277</f>
        <v>0</v>
      </c>
      <c r="G292" s="48"/>
      <c r="H292" s="33"/>
    </row>
    <row r="293" customFormat="false" ht="16.5" hidden="false" customHeight="false" outlineLevel="0" collapsed="false">
      <c r="A293" s="72"/>
      <c r="B293" s="33" t="s">
        <v>302</v>
      </c>
      <c r="C293" s="33" t="n">
        <v>14005</v>
      </c>
      <c r="D293" s="15" t="s">
        <v>27</v>
      </c>
      <c r="E293" s="33"/>
      <c r="F293" s="29" t="n">
        <f aca="false">Загальна!E278</f>
        <v>0</v>
      </c>
      <c r="G293" s="48"/>
      <c r="H293" s="33"/>
    </row>
    <row r="294" customFormat="false" ht="16.5" hidden="false" customHeight="false" outlineLevel="0" collapsed="false">
      <c r="A294" s="72"/>
      <c r="B294" s="33" t="s">
        <v>303</v>
      </c>
      <c r="C294" s="33" t="n">
        <v>14006</v>
      </c>
      <c r="D294" s="15" t="s">
        <v>27</v>
      </c>
      <c r="E294" s="33"/>
      <c r="F294" s="29" t="n">
        <f aca="false">Загальна!E279</f>
        <v>0</v>
      </c>
      <c r="G294" s="48"/>
      <c r="H294" s="33"/>
    </row>
    <row r="295" customFormat="false" ht="16.5" hidden="false" customHeight="false" outlineLevel="0" collapsed="false">
      <c r="A295" s="72"/>
      <c r="B295" s="33" t="s">
        <v>304</v>
      </c>
      <c r="C295" s="33" t="n">
        <v>14007</v>
      </c>
      <c r="D295" s="15" t="s">
        <v>27</v>
      </c>
      <c r="E295" s="33"/>
      <c r="F295" s="29" t="n">
        <f aca="false">Загальна!E280</f>
        <v>0</v>
      </c>
      <c r="G295" s="48"/>
      <c r="H295" s="33"/>
    </row>
    <row r="296" customFormat="false" ht="16.5" hidden="false" customHeight="false" outlineLevel="0" collapsed="false">
      <c r="A296" s="72"/>
      <c r="B296" s="33" t="s">
        <v>305</v>
      </c>
      <c r="C296" s="33" t="n">
        <v>14008</v>
      </c>
      <c r="D296" s="15" t="s">
        <v>27</v>
      </c>
      <c r="E296" s="33"/>
      <c r="F296" s="29" t="n">
        <f aca="false">Загальна!E281</f>
        <v>0</v>
      </c>
      <c r="G296" s="48"/>
      <c r="H296" s="33"/>
    </row>
    <row r="297" customFormat="false" ht="16.5" hidden="false" customHeight="false" outlineLevel="0" collapsed="false">
      <c r="A297" s="72"/>
      <c r="B297" s="33" t="s">
        <v>306</v>
      </c>
      <c r="C297" s="33" t="n">
        <v>14010</v>
      </c>
      <c r="D297" s="15" t="s">
        <v>27</v>
      </c>
      <c r="E297" s="33"/>
      <c r="F297" s="29" t="n">
        <f aca="false">Загальна!E282</f>
        <v>0</v>
      </c>
      <c r="G297" s="48"/>
      <c r="H297" s="33"/>
    </row>
    <row r="298" customFormat="false" ht="16.5" hidden="false" customHeight="false" outlineLevel="0" collapsed="false">
      <c r="A298" s="72"/>
      <c r="B298" s="33" t="s">
        <v>307</v>
      </c>
      <c r="C298" s="33" t="n">
        <v>14011</v>
      </c>
      <c r="D298" s="15" t="s">
        <v>27</v>
      </c>
      <c r="E298" s="33"/>
      <c r="F298" s="29" t="n">
        <f aca="false">Загальна!E283</f>
        <v>0</v>
      </c>
      <c r="G298" s="48"/>
      <c r="H298" s="33"/>
    </row>
    <row r="299" customFormat="false" ht="16.5" hidden="false" customHeight="false" outlineLevel="0" collapsed="false">
      <c r="A299" s="72" t="n">
        <v>24</v>
      </c>
      <c r="B299" s="33" t="s">
        <v>308</v>
      </c>
      <c r="C299" s="33" t="n">
        <v>14012</v>
      </c>
      <c r="D299" s="15" t="s">
        <v>27</v>
      </c>
      <c r="E299" s="33"/>
      <c r="F299" s="29" t="n">
        <f aca="false">Загальна!E284</f>
        <v>0</v>
      </c>
      <c r="G299" s="48"/>
      <c r="H299" s="33"/>
    </row>
    <row r="300" customFormat="false" ht="16.5" hidden="false" customHeight="false" outlineLevel="0" collapsed="false">
      <c r="A300" s="72"/>
      <c r="B300" s="33" t="s">
        <v>309</v>
      </c>
      <c r="C300" s="33" t="n">
        <v>14013</v>
      </c>
      <c r="D300" s="15" t="s">
        <v>27</v>
      </c>
      <c r="E300" s="33"/>
      <c r="F300" s="29" t="n">
        <f aca="false">Загальна!E285</f>
        <v>0</v>
      </c>
      <c r="G300" s="48"/>
      <c r="H300" s="33"/>
    </row>
    <row r="301" customFormat="false" ht="16.5" hidden="false" customHeight="false" outlineLevel="0" collapsed="false">
      <c r="A301" s="72" t="n">
        <v>24</v>
      </c>
      <c r="B301" s="33" t="s">
        <v>310</v>
      </c>
      <c r="C301" s="33" t="n">
        <v>14015</v>
      </c>
      <c r="D301" s="15" t="s">
        <v>27</v>
      </c>
      <c r="E301" s="33"/>
      <c r="F301" s="29" t="n">
        <f aca="false">Загальна!E286</f>
        <v>0.245</v>
      </c>
      <c r="G301" s="48"/>
      <c r="H301" s="33"/>
    </row>
    <row r="302" customFormat="false" ht="16.5" hidden="false" customHeight="false" outlineLevel="0" collapsed="false">
      <c r="A302" s="72"/>
      <c r="B302" s="33" t="s">
        <v>311</v>
      </c>
      <c r="C302" s="33" t="n">
        <v>14016</v>
      </c>
      <c r="D302" s="15" t="s">
        <v>27</v>
      </c>
      <c r="E302" s="33"/>
      <c r="F302" s="29" t="n">
        <f aca="false">Загальна!E287</f>
        <v>0</v>
      </c>
      <c r="G302" s="48"/>
      <c r="H302" s="33"/>
    </row>
    <row r="303" customFormat="false" ht="16.5" hidden="false" customHeight="false" outlineLevel="0" collapsed="false">
      <c r="A303" s="72"/>
      <c r="B303" s="33" t="s">
        <v>312</v>
      </c>
      <c r="C303" s="33" t="n">
        <v>14017</v>
      </c>
      <c r="D303" s="15" t="s">
        <v>27</v>
      </c>
      <c r="E303" s="33"/>
      <c r="F303" s="29" t="n">
        <f aca="false">Загальна!E288</f>
        <v>0</v>
      </c>
      <c r="G303" s="48"/>
      <c r="H303" s="33"/>
    </row>
    <row r="304" customFormat="false" ht="16.5" hidden="false" customHeight="false" outlineLevel="0" collapsed="false">
      <c r="A304" s="72"/>
      <c r="B304" s="33" t="s">
        <v>313</v>
      </c>
      <c r="C304" s="33" t="n">
        <v>14018</v>
      </c>
      <c r="D304" s="15" t="s">
        <v>27</v>
      </c>
      <c r="E304" s="33"/>
      <c r="F304" s="29" t="n">
        <f aca="false">Загальна!E289</f>
        <v>0</v>
      </c>
      <c r="G304" s="48"/>
      <c r="H304" s="33"/>
    </row>
    <row r="305" customFormat="false" ht="16.5" hidden="false" customHeight="false" outlineLevel="0" collapsed="false">
      <c r="A305" s="72"/>
      <c r="B305" s="33" t="s">
        <v>314</v>
      </c>
      <c r="C305" s="33" t="n">
        <v>14020</v>
      </c>
      <c r="D305" s="15" t="s">
        <v>27</v>
      </c>
      <c r="E305" s="33"/>
      <c r="F305" s="29" t="n">
        <f aca="false">Загальна!E290</f>
        <v>0</v>
      </c>
      <c r="G305" s="48"/>
      <c r="H305" s="33"/>
    </row>
    <row r="306" customFormat="false" ht="16.5" hidden="false" customHeight="false" outlineLevel="0" collapsed="false">
      <c r="A306" s="72" t="n">
        <v>25</v>
      </c>
      <c r="B306" s="33" t="s">
        <v>315</v>
      </c>
      <c r="C306" s="33" t="n">
        <v>14022</v>
      </c>
      <c r="D306" s="15" t="s">
        <v>27</v>
      </c>
      <c r="E306" s="33"/>
      <c r="F306" s="29" t="n">
        <f aca="false">Загальна!E291</f>
        <v>0</v>
      </c>
      <c r="G306" s="48"/>
      <c r="H306" s="33"/>
    </row>
    <row r="307" customFormat="false" ht="16.5" hidden="false" customHeight="false" outlineLevel="0" collapsed="false">
      <c r="A307" s="72"/>
      <c r="B307" s="33" t="s">
        <v>316</v>
      </c>
      <c r="C307" s="33" t="n">
        <v>14024</v>
      </c>
      <c r="D307" s="15" t="s">
        <v>27</v>
      </c>
      <c r="E307" s="33"/>
      <c r="F307" s="29" t="n">
        <f aca="false">Загальна!E292</f>
        <v>0</v>
      </c>
      <c r="G307" s="48"/>
      <c r="H307" s="33"/>
    </row>
    <row r="308" customFormat="false" ht="16.5" hidden="false" customHeight="false" outlineLevel="0" collapsed="false">
      <c r="A308" s="72" t="n">
        <v>25</v>
      </c>
      <c r="B308" s="33" t="s">
        <v>317</v>
      </c>
      <c r="C308" s="33" t="n">
        <v>14025</v>
      </c>
      <c r="D308" s="15" t="s">
        <v>27</v>
      </c>
      <c r="E308" s="33"/>
      <c r="F308" s="29" t="n">
        <f aca="false">Загальна!E293</f>
        <v>2.94</v>
      </c>
      <c r="G308" s="48"/>
      <c r="H308" s="33"/>
    </row>
    <row r="309" customFormat="false" ht="16.5" hidden="false" customHeight="false" outlineLevel="0" collapsed="false">
      <c r="A309" s="72"/>
      <c r="B309" s="33" t="s">
        <v>318</v>
      </c>
      <c r="C309" s="33" t="n">
        <v>14026</v>
      </c>
      <c r="D309" s="15" t="s">
        <v>27</v>
      </c>
      <c r="E309" s="33"/>
      <c r="F309" s="29" t="n">
        <f aca="false">Загальна!E294</f>
        <v>0</v>
      </c>
      <c r="G309" s="48"/>
      <c r="H309" s="33"/>
    </row>
    <row r="310" customFormat="false" ht="16.5" hidden="false" customHeight="false" outlineLevel="0" collapsed="false">
      <c r="A310" s="72"/>
      <c r="B310" s="33" t="s">
        <v>319</v>
      </c>
      <c r="C310" s="33" t="n">
        <v>14027</v>
      </c>
      <c r="D310" s="15" t="s">
        <v>27</v>
      </c>
      <c r="E310" s="33"/>
      <c r="F310" s="29" t="n">
        <f aca="false">Загальна!E295</f>
        <v>0</v>
      </c>
      <c r="G310" s="48"/>
      <c r="H310" s="33"/>
    </row>
    <row r="311" customFormat="false" ht="16.5" hidden="false" customHeight="false" outlineLevel="0" collapsed="false">
      <c r="A311" s="72" t="n">
        <v>26</v>
      </c>
      <c r="B311" s="33" t="s">
        <v>320</v>
      </c>
      <c r="C311" s="33" t="n">
        <v>14028</v>
      </c>
      <c r="D311" s="15" t="s">
        <v>27</v>
      </c>
      <c r="E311" s="33"/>
      <c r="F311" s="29" t="n">
        <f aca="false">Загальна!E296</f>
        <v>0</v>
      </c>
      <c r="G311" s="48"/>
      <c r="H311" s="33"/>
    </row>
    <row r="312" customFormat="false" ht="16.5" hidden="false" customHeight="false" outlineLevel="0" collapsed="false">
      <c r="A312" s="72"/>
      <c r="B312" s="33" t="s">
        <v>321</v>
      </c>
      <c r="C312" s="33" t="n">
        <v>14029</v>
      </c>
      <c r="D312" s="15" t="s">
        <v>27</v>
      </c>
      <c r="E312" s="33"/>
      <c r="F312" s="29" t="n">
        <f aca="false">Загальна!E297</f>
        <v>0</v>
      </c>
      <c r="G312" s="48"/>
      <c r="H312" s="33"/>
    </row>
    <row r="313" customFormat="false" ht="16.5" hidden="false" customHeight="false" outlineLevel="0" collapsed="false">
      <c r="A313" s="72" t="n">
        <v>26</v>
      </c>
      <c r="B313" s="33" t="s">
        <v>322</v>
      </c>
      <c r="C313" s="33" t="n">
        <v>14030</v>
      </c>
      <c r="D313" s="15" t="s">
        <v>27</v>
      </c>
      <c r="E313" s="33"/>
      <c r="F313" s="29" t="n">
        <f aca="false">Загальна!E298</f>
        <v>0.049</v>
      </c>
      <c r="G313" s="48"/>
      <c r="H313" s="33"/>
    </row>
    <row r="314" customFormat="false" ht="16.5" hidden="false" customHeight="false" outlineLevel="0" collapsed="false">
      <c r="A314" s="72"/>
      <c r="B314" s="33" t="s">
        <v>323</v>
      </c>
      <c r="C314" s="33" t="n">
        <v>14031</v>
      </c>
      <c r="D314" s="15" t="s">
        <v>27</v>
      </c>
      <c r="E314" s="33"/>
      <c r="F314" s="29" t="n">
        <f aca="false">Загальна!E299</f>
        <v>0</v>
      </c>
      <c r="G314" s="48"/>
      <c r="H314" s="33"/>
    </row>
    <row r="315" customFormat="false" ht="16.5" hidden="false" customHeight="false" outlineLevel="0" collapsed="false">
      <c r="A315" s="72"/>
      <c r="B315" s="33" t="s">
        <v>324</v>
      </c>
      <c r="C315" s="33" t="n">
        <v>14032</v>
      </c>
      <c r="D315" s="15" t="s">
        <v>27</v>
      </c>
      <c r="E315" s="33"/>
      <c r="F315" s="29" t="n">
        <f aca="false">Загальна!E300</f>
        <v>0</v>
      </c>
      <c r="G315" s="48"/>
      <c r="H315" s="33"/>
    </row>
    <row r="316" customFormat="false" ht="16.5" hidden="false" customHeight="false" outlineLevel="0" collapsed="false">
      <c r="A316" s="72"/>
      <c r="B316" s="33" t="s">
        <v>325</v>
      </c>
      <c r="C316" s="33" t="n">
        <v>14035</v>
      </c>
      <c r="D316" s="15" t="s">
        <v>27</v>
      </c>
      <c r="E316" s="33"/>
      <c r="F316" s="29" t="n">
        <f aca="false">Загальна!E301</f>
        <v>0</v>
      </c>
      <c r="G316" s="48"/>
      <c r="H316" s="33"/>
    </row>
    <row r="317" customFormat="false" ht="16.5" hidden="false" customHeight="false" outlineLevel="0" collapsed="false">
      <c r="A317" s="72"/>
      <c r="B317" s="33" t="s">
        <v>326</v>
      </c>
      <c r="C317" s="33" t="n">
        <v>14036</v>
      </c>
      <c r="D317" s="15" t="s">
        <v>27</v>
      </c>
      <c r="E317" s="33"/>
      <c r="F317" s="29" t="n">
        <f aca="false">Загальна!E302</f>
        <v>0</v>
      </c>
      <c r="G317" s="48"/>
      <c r="H317" s="33"/>
    </row>
    <row r="318" customFormat="false" ht="16.5" hidden="false" customHeight="false" outlineLevel="0" collapsed="false">
      <c r="A318" s="72"/>
      <c r="B318" s="33" t="s">
        <v>327</v>
      </c>
      <c r="C318" s="33" t="n">
        <v>14037</v>
      </c>
      <c r="D318" s="15" t="s">
        <v>27</v>
      </c>
      <c r="E318" s="33"/>
      <c r="F318" s="29" t="n">
        <f aca="false">Загальна!E303</f>
        <v>0</v>
      </c>
      <c r="G318" s="48"/>
      <c r="H318" s="33"/>
    </row>
    <row r="319" customFormat="false" ht="16.5" hidden="false" customHeight="false" outlineLevel="0" collapsed="false">
      <c r="A319" s="72"/>
      <c r="B319" s="33" t="s">
        <v>328</v>
      </c>
      <c r="C319" s="33" t="n">
        <v>14101</v>
      </c>
      <c r="D319" s="15" t="s">
        <v>27</v>
      </c>
      <c r="E319" s="33"/>
      <c r="F319" s="29" t="n">
        <f aca="false">Загальна!E304</f>
        <v>0</v>
      </c>
      <c r="G319" s="48"/>
      <c r="H319" s="33"/>
    </row>
    <row r="320" customFormat="false" ht="16.5" hidden="false" customHeight="false" outlineLevel="0" collapsed="false">
      <c r="A320" s="72"/>
      <c r="B320" s="33" t="s">
        <v>329</v>
      </c>
      <c r="C320" s="33" t="n">
        <v>14102</v>
      </c>
      <c r="D320" s="15" t="s">
        <v>27</v>
      </c>
      <c r="E320" s="33"/>
      <c r="F320" s="29" t="n">
        <f aca="false">Загальна!E305</f>
        <v>0</v>
      </c>
      <c r="G320" s="48"/>
      <c r="H320" s="33"/>
    </row>
    <row r="321" customFormat="false" ht="16.5" hidden="false" customHeight="false" outlineLevel="0" collapsed="false">
      <c r="A321" s="72"/>
      <c r="B321" s="33" t="s">
        <v>330</v>
      </c>
      <c r="C321" s="33" t="n">
        <v>14103</v>
      </c>
      <c r="D321" s="15" t="s">
        <v>27</v>
      </c>
      <c r="E321" s="33"/>
      <c r="F321" s="29" t="n">
        <f aca="false">Загальна!E306</f>
        <v>0</v>
      </c>
      <c r="G321" s="48"/>
      <c r="H321" s="33"/>
    </row>
    <row r="322" customFormat="false" ht="16.5" hidden="false" customHeight="false" outlineLevel="0" collapsed="false">
      <c r="A322" s="72"/>
      <c r="B322" s="33" t="s">
        <v>331</v>
      </c>
      <c r="C322" s="33" t="n">
        <v>14104</v>
      </c>
      <c r="D322" s="15" t="s">
        <v>27</v>
      </c>
      <c r="E322" s="33"/>
      <c r="F322" s="29" t="n">
        <f aca="false">Загальна!E307</f>
        <v>0</v>
      </c>
      <c r="G322" s="48"/>
      <c r="H322" s="33"/>
    </row>
    <row r="323" customFormat="false" ht="16.5" hidden="false" customHeight="false" outlineLevel="0" collapsed="false">
      <c r="A323" s="72"/>
      <c r="B323" s="33" t="s">
        <v>332</v>
      </c>
      <c r="C323" s="33" t="n">
        <v>14105</v>
      </c>
      <c r="D323" s="15" t="s">
        <v>27</v>
      </c>
      <c r="E323" s="33"/>
      <c r="F323" s="29" t="n">
        <f aca="false">Загальна!E308</f>
        <v>0</v>
      </c>
      <c r="G323" s="48"/>
      <c r="H323" s="33"/>
    </row>
    <row r="324" customFormat="false" ht="16.5" hidden="false" customHeight="false" outlineLevel="0" collapsed="false">
      <c r="A324" s="72"/>
      <c r="B324" s="33" t="s">
        <v>333</v>
      </c>
      <c r="C324" s="33" t="n">
        <v>14106</v>
      </c>
      <c r="D324" s="15" t="s">
        <v>27</v>
      </c>
      <c r="E324" s="33"/>
      <c r="F324" s="29" t="n">
        <f aca="false">Загальна!E309</f>
        <v>0</v>
      </c>
      <c r="G324" s="48"/>
      <c r="H324" s="33"/>
    </row>
    <row r="325" customFormat="false" ht="16.5" hidden="false" customHeight="false" outlineLevel="0" collapsed="false">
      <c r="A325" s="72"/>
      <c r="B325" s="33" t="s">
        <v>334</v>
      </c>
      <c r="C325" s="33" t="n">
        <v>14107</v>
      </c>
      <c r="D325" s="15" t="s">
        <v>27</v>
      </c>
      <c r="E325" s="33"/>
      <c r="F325" s="29" t="n">
        <f aca="false">Загальна!E310</f>
        <v>0</v>
      </c>
      <c r="G325" s="48"/>
      <c r="H325" s="33"/>
    </row>
    <row r="326" customFormat="false" ht="16.5" hidden="false" customHeight="false" outlineLevel="0" collapsed="false">
      <c r="A326" s="72"/>
      <c r="B326" s="33" t="s">
        <v>335</v>
      </c>
      <c r="C326" s="33" t="n">
        <v>14108</v>
      </c>
      <c r="D326" s="15" t="s">
        <v>27</v>
      </c>
      <c r="E326" s="33"/>
      <c r="F326" s="29" t="n">
        <f aca="false">Загальна!E311</f>
        <v>0</v>
      </c>
      <c r="G326" s="48"/>
      <c r="H326" s="33"/>
    </row>
    <row r="327" customFormat="false" ht="16.5" hidden="false" customHeight="false" outlineLevel="0" collapsed="false">
      <c r="A327" s="72"/>
      <c r="B327" s="33" t="s">
        <v>336</v>
      </c>
      <c r="C327" s="33" t="n">
        <v>14109</v>
      </c>
      <c r="D327" s="15" t="s">
        <v>27</v>
      </c>
      <c r="E327" s="33"/>
      <c r="F327" s="29" t="n">
        <f aca="false">Загальна!E312</f>
        <v>0</v>
      </c>
      <c r="G327" s="48"/>
      <c r="H327" s="33"/>
    </row>
    <row r="328" customFormat="false" ht="16.5" hidden="false" customHeight="false" outlineLevel="0" collapsed="false">
      <c r="A328" s="72"/>
      <c r="B328" s="33" t="s">
        <v>337</v>
      </c>
      <c r="C328" s="33" t="n">
        <v>14110</v>
      </c>
      <c r="D328" s="15" t="s">
        <v>27</v>
      </c>
      <c r="E328" s="33"/>
      <c r="F328" s="29" t="n">
        <f aca="false">Загальна!E313</f>
        <v>0</v>
      </c>
      <c r="G328" s="48"/>
      <c r="H328" s="33"/>
    </row>
    <row r="329" customFormat="false" ht="16.5" hidden="false" customHeight="false" outlineLevel="0" collapsed="false">
      <c r="A329" s="72"/>
      <c r="B329" s="33" t="s">
        <v>338</v>
      </c>
      <c r="C329" s="33" t="n">
        <v>14111</v>
      </c>
      <c r="D329" s="15" t="s">
        <v>27</v>
      </c>
      <c r="E329" s="33"/>
      <c r="F329" s="29" t="n">
        <f aca="false">Загальна!E314</f>
        <v>0</v>
      </c>
      <c r="G329" s="48"/>
      <c r="H329" s="33"/>
    </row>
    <row r="330" customFormat="false" ht="16.5" hidden="false" customHeight="false" outlineLevel="0" collapsed="false">
      <c r="A330" s="72"/>
      <c r="B330" s="33" t="s">
        <v>339</v>
      </c>
      <c r="C330" s="33" t="n">
        <v>14112</v>
      </c>
      <c r="D330" s="15" t="s">
        <v>27</v>
      </c>
      <c r="E330" s="33"/>
      <c r="F330" s="29" t="n">
        <f aca="false">Загальна!E315</f>
        <v>0</v>
      </c>
      <c r="G330" s="48"/>
      <c r="H330" s="33"/>
    </row>
    <row r="331" customFormat="false" ht="16.5" hidden="false" customHeight="false" outlineLevel="0" collapsed="false">
      <c r="A331" s="72"/>
      <c r="B331" s="33" t="s">
        <v>340</v>
      </c>
      <c r="C331" s="33" t="n">
        <v>14113</v>
      </c>
      <c r="D331" s="15" t="s">
        <v>27</v>
      </c>
      <c r="E331" s="33"/>
      <c r="F331" s="29" t="n">
        <f aca="false">Загальна!E316</f>
        <v>0</v>
      </c>
      <c r="G331" s="48"/>
      <c r="H331" s="33"/>
    </row>
    <row r="332" customFormat="false" ht="16.5" hidden="false" customHeight="false" outlineLevel="0" collapsed="false">
      <c r="A332" s="72"/>
      <c r="B332" s="33" t="s">
        <v>341</v>
      </c>
      <c r="C332" s="33" t="n">
        <v>14114</v>
      </c>
      <c r="D332" s="15" t="s">
        <v>27</v>
      </c>
      <c r="E332" s="33"/>
      <c r="F332" s="29" t="n">
        <f aca="false">Загальна!E317</f>
        <v>0</v>
      </c>
      <c r="G332" s="48"/>
      <c r="H332" s="33"/>
    </row>
    <row r="333" customFormat="false" ht="16.5" hidden="false" customHeight="false" outlineLevel="0" collapsed="false">
      <c r="A333" s="72"/>
      <c r="B333" s="33" t="s">
        <v>342</v>
      </c>
      <c r="C333" s="33" t="n">
        <v>14115</v>
      </c>
      <c r="D333" s="15" t="s">
        <v>27</v>
      </c>
      <c r="E333" s="33"/>
      <c r="F333" s="29" t="n">
        <f aca="false">Загальна!E318</f>
        <v>0</v>
      </c>
      <c r="G333" s="48"/>
      <c r="H333" s="33"/>
    </row>
    <row r="334" customFormat="false" ht="16.5" hidden="false" customHeight="false" outlineLevel="0" collapsed="false">
      <c r="A334" s="72" t="n">
        <v>27</v>
      </c>
      <c r="B334" s="33" t="s">
        <v>343</v>
      </c>
      <c r="C334" s="33" t="n">
        <v>14116</v>
      </c>
      <c r="D334" s="15" t="s">
        <v>27</v>
      </c>
      <c r="E334" s="33"/>
      <c r="F334" s="29" t="n">
        <f aca="false">Загальна!E319</f>
        <v>0</v>
      </c>
      <c r="G334" s="48"/>
      <c r="H334" s="33"/>
    </row>
    <row r="335" customFormat="false" ht="16.5" hidden="false" customHeight="false" outlineLevel="0" collapsed="false">
      <c r="A335" s="72"/>
      <c r="B335" s="33" t="s">
        <v>344</v>
      </c>
      <c r="C335" s="33" t="n">
        <v>14117</v>
      </c>
      <c r="D335" s="15" t="s">
        <v>27</v>
      </c>
      <c r="E335" s="33"/>
      <c r="F335" s="29" t="n">
        <f aca="false">Загальна!E320</f>
        <v>0</v>
      </c>
      <c r="G335" s="48"/>
      <c r="H335" s="33"/>
    </row>
    <row r="336" customFormat="false" ht="16.5" hidden="false" customHeight="false" outlineLevel="0" collapsed="false">
      <c r="A336" s="72" t="n">
        <v>27</v>
      </c>
      <c r="B336" s="33" t="s">
        <v>345</v>
      </c>
      <c r="C336" s="33" t="n">
        <v>14118</v>
      </c>
      <c r="D336" s="15" t="s">
        <v>27</v>
      </c>
      <c r="E336" s="33"/>
      <c r="F336" s="29" t="n">
        <f aca="false">Загальна!E321</f>
        <v>0.245</v>
      </c>
      <c r="G336" s="48"/>
      <c r="H336" s="33"/>
    </row>
    <row r="337" customFormat="false" ht="16.5" hidden="false" customHeight="false" outlineLevel="0" collapsed="false">
      <c r="A337" s="72"/>
      <c r="B337" s="33" t="s">
        <v>346</v>
      </c>
      <c r="C337" s="33" t="n">
        <v>14120</v>
      </c>
      <c r="D337" s="15" t="s">
        <v>27</v>
      </c>
      <c r="E337" s="33"/>
      <c r="F337" s="29" t="n">
        <f aca="false">Загальна!E322</f>
        <v>0</v>
      </c>
      <c r="G337" s="48"/>
      <c r="H337" s="33"/>
    </row>
    <row r="338" customFormat="false" ht="16.5" hidden="false" customHeight="false" outlineLevel="0" collapsed="false">
      <c r="A338" s="72"/>
      <c r="B338" s="33" t="s">
        <v>347</v>
      </c>
      <c r="C338" s="33" t="n">
        <v>14121</v>
      </c>
      <c r="D338" s="15" t="s">
        <v>27</v>
      </c>
      <c r="E338" s="33"/>
      <c r="F338" s="29" t="n">
        <f aca="false">Загальна!E323</f>
        <v>0</v>
      </c>
      <c r="G338" s="48"/>
      <c r="H338" s="33"/>
    </row>
    <row r="339" customFormat="false" ht="16.5" hidden="false" customHeight="false" outlineLevel="0" collapsed="false">
      <c r="A339" s="72"/>
      <c r="B339" s="33" t="s">
        <v>348</v>
      </c>
      <c r="C339" s="33" t="n">
        <v>14122</v>
      </c>
      <c r="D339" s="15" t="s">
        <v>27</v>
      </c>
      <c r="E339" s="33"/>
      <c r="F339" s="29" t="n">
        <f aca="false">Загальна!E324</f>
        <v>0</v>
      </c>
      <c r="G339" s="48"/>
      <c r="H339" s="33"/>
    </row>
    <row r="340" customFormat="false" ht="16.5" hidden="false" customHeight="false" outlineLevel="0" collapsed="false">
      <c r="A340" s="72"/>
      <c r="B340" s="33" t="s">
        <v>349</v>
      </c>
      <c r="C340" s="33" t="n">
        <v>14123</v>
      </c>
      <c r="D340" s="15" t="s">
        <v>27</v>
      </c>
      <c r="E340" s="33"/>
      <c r="F340" s="29" t="n">
        <f aca="false">Загальна!E325</f>
        <v>0</v>
      </c>
      <c r="G340" s="48"/>
      <c r="H340" s="33"/>
    </row>
    <row r="341" customFormat="false" ht="16.5" hidden="false" customHeight="false" outlineLevel="0" collapsed="false">
      <c r="A341" s="72"/>
      <c r="B341" s="33" t="s">
        <v>350</v>
      </c>
      <c r="C341" s="33" t="n">
        <v>14124</v>
      </c>
      <c r="D341" s="15" t="s">
        <v>27</v>
      </c>
      <c r="E341" s="33"/>
      <c r="F341" s="29" t="n">
        <f aca="false">Загальна!E326</f>
        <v>0</v>
      </c>
      <c r="G341" s="48"/>
      <c r="H341" s="33"/>
    </row>
    <row r="342" customFormat="false" ht="16.5" hidden="false" customHeight="false" outlineLevel="0" collapsed="false">
      <c r="A342" s="72"/>
      <c r="B342" s="33" t="s">
        <v>351</v>
      </c>
      <c r="C342" s="33" t="n">
        <v>14125</v>
      </c>
      <c r="D342" s="15" t="s">
        <v>27</v>
      </c>
      <c r="E342" s="33"/>
      <c r="F342" s="29" t="n">
        <f aca="false">Загальна!E327</f>
        <v>0</v>
      </c>
      <c r="G342" s="48"/>
      <c r="H342" s="33"/>
    </row>
    <row r="343" customFormat="false" ht="16.5" hidden="false" customHeight="false" outlineLevel="0" collapsed="false">
      <c r="A343" s="72"/>
      <c r="B343" s="33" t="s">
        <v>352</v>
      </c>
      <c r="C343" s="33" t="n">
        <v>14126</v>
      </c>
      <c r="D343" s="15" t="s">
        <v>27</v>
      </c>
      <c r="E343" s="33"/>
      <c r="F343" s="29" t="n">
        <f aca="false">Загальна!E328</f>
        <v>0</v>
      </c>
      <c r="G343" s="48"/>
      <c r="H343" s="33"/>
    </row>
    <row r="344" customFormat="false" ht="16.5" hidden="false" customHeight="false" outlineLevel="0" collapsed="false">
      <c r="A344" s="72"/>
      <c r="B344" s="33" t="s">
        <v>353</v>
      </c>
      <c r="C344" s="33" t="n">
        <v>14127</v>
      </c>
      <c r="D344" s="15" t="s">
        <v>27</v>
      </c>
      <c r="E344" s="33"/>
      <c r="F344" s="29" t="n">
        <f aca="false">Загальна!E329</f>
        <v>0</v>
      </c>
      <c r="G344" s="48"/>
      <c r="H344" s="33"/>
    </row>
    <row r="345" customFormat="false" ht="16.5" hidden="false" customHeight="false" outlineLevel="0" collapsed="false">
      <c r="A345" s="72"/>
      <c r="B345" s="33" t="s">
        <v>354</v>
      </c>
      <c r="C345" s="33" t="n">
        <v>14128</v>
      </c>
      <c r="D345" s="15" t="s">
        <v>27</v>
      </c>
      <c r="E345" s="33"/>
      <c r="F345" s="29" t="n">
        <f aca="false">Загальна!E330</f>
        <v>0</v>
      </c>
      <c r="G345" s="48"/>
      <c r="H345" s="33"/>
    </row>
    <row r="346" customFormat="false" ht="16.5" hidden="false" customHeight="false" outlineLevel="0" collapsed="false">
      <c r="A346" s="72"/>
      <c r="B346" s="33" t="s">
        <v>355</v>
      </c>
      <c r="C346" s="33" t="n">
        <v>14129</v>
      </c>
      <c r="D346" s="15" t="s">
        <v>27</v>
      </c>
      <c r="E346" s="33"/>
      <c r="F346" s="29" t="n">
        <f aca="false">Загальна!E331</f>
        <v>0</v>
      </c>
      <c r="G346" s="48"/>
      <c r="H346" s="33"/>
    </row>
    <row r="347" customFormat="false" ht="16.5" hidden="false" customHeight="false" outlineLevel="0" collapsed="false">
      <c r="A347" s="72"/>
      <c r="B347" s="33" t="s">
        <v>356</v>
      </c>
      <c r="C347" s="33" t="n">
        <v>14131</v>
      </c>
      <c r="D347" s="15" t="s">
        <v>27</v>
      </c>
      <c r="E347" s="33"/>
      <c r="F347" s="29" t="n">
        <f aca="false">Загальна!E332</f>
        <v>0</v>
      </c>
      <c r="G347" s="48"/>
      <c r="H347" s="33"/>
    </row>
    <row r="348" customFormat="false" ht="16.5" hidden="false" customHeight="false" outlineLevel="0" collapsed="false">
      <c r="A348" s="72"/>
      <c r="B348" s="33" t="s">
        <v>357</v>
      </c>
      <c r="C348" s="33" t="n">
        <v>14132</v>
      </c>
      <c r="D348" s="15" t="s">
        <v>27</v>
      </c>
      <c r="E348" s="33"/>
      <c r="F348" s="29" t="n">
        <f aca="false">Загальна!E333</f>
        <v>0</v>
      </c>
      <c r="G348" s="48"/>
      <c r="H348" s="33"/>
    </row>
    <row r="349" customFormat="false" ht="16.5" hidden="false" customHeight="false" outlineLevel="0" collapsed="false">
      <c r="A349" s="72"/>
      <c r="B349" s="33" t="s">
        <v>358</v>
      </c>
      <c r="C349" s="33" t="n">
        <v>14133</v>
      </c>
      <c r="D349" s="15" t="s">
        <v>27</v>
      </c>
      <c r="E349" s="33"/>
      <c r="F349" s="29" t="n">
        <f aca="false">Загальна!E334</f>
        <v>0</v>
      </c>
      <c r="G349" s="48"/>
      <c r="H349" s="33"/>
    </row>
    <row r="350" customFormat="false" ht="16.5" hidden="false" customHeight="false" outlineLevel="0" collapsed="false">
      <c r="A350" s="72"/>
      <c r="B350" s="33" t="s">
        <v>359</v>
      </c>
      <c r="C350" s="33" t="n">
        <v>14134</v>
      </c>
      <c r="D350" s="15" t="s">
        <v>27</v>
      </c>
      <c r="E350" s="33"/>
      <c r="F350" s="29" t="n">
        <f aca="false">Загальна!E335</f>
        <v>0</v>
      </c>
      <c r="G350" s="48"/>
      <c r="H350" s="33"/>
    </row>
    <row r="351" customFormat="false" ht="16.5" hidden="false" customHeight="false" outlineLevel="0" collapsed="false">
      <c r="A351" s="72"/>
      <c r="B351" s="33" t="s">
        <v>360</v>
      </c>
      <c r="C351" s="33" t="n">
        <v>14135</v>
      </c>
      <c r="D351" s="15" t="s">
        <v>27</v>
      </c>
      <c r="E351" s="33"/>
      <c r="F351" s="29" t="n">
        <f aca="false">Загальна!E336</f>
        <v>0</v>
      </c>
      <c r="G351" s="48"/>
      <c r="H351" s="33"/>
    </row>
    <row r="352" customFormat="false" ht="16.5" hidden="false" customHeight="false" outlineLevel="0" collapsed="false">
      <c r="A352" s="72"/>
      <c r="B352" s="33" t="s">
        <v>361</v>
      </c>
      <c r="C352" s="33" t="n">
        <v>14136</v>
      </c>
      <c r="D352" s="15" t="s">
        <v>27</v>
      </c>
      <c r="E352" s="33"/>
      <c r="F352" s="29" t="n">
        <f aca="false">Загальна!E337</f>
        <v>0</v>
      </c>
      <c r="G352" s="48"/>
      <c r="H352" s="33"/>
    </row>
    <row r="353" customFormat="false" ht="16.5" hidden="false" customHeight="false" outlineLevel="0" collapsed="false">
      <c r="A353" s="72"/>
      <c r="B353" s="33" t="s">
        <v>362</v>
      </c>
      <c r="C353" s="33" t="n">
        <v>14137</v>
      </c>
      <c r="D353" s="15" t="s">
        <v>27</v>
      </c>
      <c r="E353" s="33"/>
      <c r="F353" s="29" t="n">
        <f aca="false">Загальна!E338</f>
        <v>0</v>
      </c>
      <c r="G353" s="48"/>
      <c r="H353" s="33"/>
    </row>
    <row r="354" customFormat="false" ht="16.5" hidden="false" customHeight="false" outlineLevel="0" collapsed="false">
      <c r="A354" s="72"/>
      <c r="B354" s="33" t="s">
        <v>363</v>
      </c>
      <c r="C354" s="33" t="n">
        <v>14138</v>
      </c>
      <c r="D354" s="15" t="s">
        <v>27</v>
      </c>
      <c r="E354" s="33"/>
      <c r="F354" s="29" t="n">
        <f aca="false">Загальна!E339</f>
        <v>0</v>
      </c>
      <c r="G354" s="48"/>
      <c r="H354" s="33"/>
    </row>
    <row r="355" customFormat="false" ht="16.5" hidden="false" customHeight="false" outlineLevel="0" collapsed="false">
      <c r="A355" s="72"/>
      <c r="B355" s="33" t="s">
        <v>364</v>
      </c>
      <c r="C355" s="33" t="n">
        <v>14139</v>
      </c>
      <c r="D355" s="15" t="s">
        <v>27</v>
      </c>
      <c r="E355" s="33"/>
      <c r="F355" s="29" t="n">
        <f aca="false">Загальна!E340</f>
        <v>0</v>
      </c>
      <c r="G355" s="48"/>
      <c r="H355" s="33"/>
    </row>
    <row r="356" customFormat="false" ht="16.5" hidden="false" customHeight="false" outlineLevel="0" collapsed="false">
      <c r="A356" s="72"/>
      <c r="B356" s="33" t="s">
        <v>365</v>
      </c>
      <c r="C356" s="33" t="n">
        <v>14141</v>
      </c>
      <c r="D356" s="15" t="s">
        <v>27</v>
      </c>
      <c r="E356" s="33"/>
      <c r="F356" s="29" t="n">
        <f aca="false">Загальна!E341</f>
        <v>0</v>
      </c>
      <c r="G356" s="48"/>
      <c r="H356" s="33"/>
    </row>
    <row r="357" customFormat="false" ht="16.5" hidden="false" customHeight="false" outlineLevel="0" collapsed="false">
      <c r="A357" s="72"/>
      <c r="B357" s="33" t="s">
        <v>366</v>
      </c>
      <c r="C357" s="33" t="n">
        <v>14142</v>
      </c>
      <c r="D357" s="15" t="s">
        <v>27</v>
      </c>
      <c r="E357" s="33"/>
      <c r="F357" s="29" t="n">
        <f aca="false">Загальна!E342</f>
        <v>0</v>
      </c>
      <c r="G357" s="48"/>
      <c r="H357" s="33"/>
    </row>
    <row r="358" customFormat="false" ht="16.5" hidden="false" customHeight="false" outlineLevel="0" collapsed="false">
      <c r="A358" s="72"/>
      <c r="B358" s="33" t="s">
        <v>367</v>
      </c>
      <c r="C358" s="33" t="n">
        <v>14143</v>
      </c>
      <c r="D358" s="15" t="s">
        <v>27</v>
      </c>
      <c r="E358" s="33"/>
      <c r="F358" s="29" t="n">
        <f aca="false">Загальна!E343</f>
        <v>0</v>
      </c>
      <c r="G358" s="48"/>
      <c r="H358" s="33"/>
    </row>
    <row r="359" customFormat="false" ht="16.5" hidden="false" customHeight="false" outlineLevel="0" collapsed="false">
      <c r="A359" s="72"/>
      <c r="B359" s="33" t="s">
        <v>368</v>
      </c>
      <c r="C359" s="33" t="n">
        <v>15001</v>
      </c>
      <c r="D359" s="15" t="s">
        <v>27</v>
      </c>
      <c r="E359" s="33"/>
      <c r="F359" s="29" t="n">
        <f aca="false">Загальна!E344</f>
        <v>0</v>
      </c>
      <c r="G359" s="48"/>
      <c r="H359" s="33"/>
    </row>
    <row r="360" customFormat="false" ht="16.5" hidden="false" customHeight="false" outlineLevel="0" collapsed="false">
      <c r="A360" s="72" t="n">
        <v>28</v>
      </c>
      <c r="B360" s="33" t="s">
        <v>369</v>
      </c>
      <c r="C360" s="33" t="n">
        <v>15003</v>
      </c>
      <c r="D360" s="15" t="s">
        <v>27</v>
      </c>
      <c r="E360" s="33"/>
      <c r="F360" s="29" t="n">
        <f aca="false">Загальна!E345</f>
        <v>0</v>
      </c>
      <c r="G360" s="48"/>
      <c r="H360" s="33"/>
    </row>
    <row r="361" customFormat="false" ht="16.5" hidden="false" customHeight="false" outlineLevel="0" collapsed="false">
      <c r="A361" s="72"/>
      <c r="B361" s="33" t="s">
        <v>370</v>
      </c>
      <c r="C361" s="33" t="n">
        <v>15004</v>
      </c>
      <c r="D361" s="15" t="s">
        <v>27</v>
      </c>
      <c r="E361" s="33"/>
      <c r="F361" s="29" t="n">
        <f aca="false">Загальна!E346</f>
        <v>0</v>
      </c>
      <c r="G361" s="48"/>
      <c r="H361" s="33"/>
    </row>
    <row r="362" customFormat="false" ht="16.5" hidden="false" customHeight="false" outlineLevel="0" collapsed="false">
      <c r="A362" s="72" t="n">
        <v>28</v>
      </c>
      <c r="B362" s="33" t="s">
        <v>371</v>
      </c>
      <c r="C362" s="33" t="n">
        <v>15005</v>
      </c>
      <c r="D362" s="15" t="s">
        <v>27</v>
      </c>
      <c r="E362" s="33"/>
      <c r="F362" s="29" t="n">
        <f aca="false">Загальна!E347</f>
        <v>0.98</v>
      </c>
      <c r="G362" s="48"/>
      <c r="H362" s="33"/>
    </row>
    <row r="363" customFormat="false" ht="16.5" hidden="false" customHeight="false" outlineLevel="0" collapsed="false">
      <c r="A363" s="72"/>
      <c r="B363" s="33" t="s">
        <v>372</v>
      </c>
      <c r="C363" s="33" t="n">
        <v>15006</v>
      </c>
      <c r="D363" s="15" t="s">
        <v>27</v>
      </c>
      <c r="E363" s="33"/>
      <c r="F363" s="29" t="n">
        <f aca="false">Загальна!E348</f>
        <v>0</v>
      </c>
      <c r="G363" s="48"/>
      <c r="H363" s="33"/>
    </row>
    <row r="364" customFormat="false" ht="16.5" hidden="false" customHeight="false" outlineLevel="0" collapsed="false">
      <c r="A364" s="72"/>
      <c r="B364" s="33" t="s">
        <v>373</v>
      </c>
      <c r="C364" s="33" t="n">
        <v>15007</v>
      </c>
      <c r="D364" s="15" t="s">
        <v>27</v>
      </c>
      <c r="E364" s="33"/>
      <c r="F364" s="29" t="n">
        <f aca="false">Загальна!E349</f>
        <v>0</v>
      </c>
      <c r="G364" s="48"/>
      <c r="H364" s="33"/>
    </row>
    <row r="365" customFormat="false" ht="16.5" hidden="false" customHeight="false" outlineLevel="0" collapsed="false">
      <c r="A365" s="72" t="n">
        <v>29</v>
      </c>
      <c r="B365" s="33" t="s">
        <v>374</v>
      </c>
      <c r="C365" s="33" t="n">
        <v>15008</v>
      </c>
      <c r="D365" s="15" t="s">
        <v>27</v>
      </c>
      <c r="E365" s="33"/>
      <c r="F365" s="29" t="n">
        <f aca="false">Загальна!E350</f>
        <v>0</v>
      </c>
      <c r="G365" s="48"/>
      <c r="H365" s="33"/>
    </row>
    <row r="366" customFormat="false" ht="16.5" hidden="false" customHeight="false" outlineLevel="0" collapsed="false">
      <c r="A366" s="72"/>
      <c r="B366" s="33" t="s">
        <v>375</v>
      </c>
      <c r="C366" s="33" t="n">
        <v>15009</v>
      </c>
      <c r="D366" s="15" t="s">
        <v>27</v>
      </c>
      <c r="E366" s="33"/>
      <c r="F366" s="29" t="n">
        <f aca="false">Загальна!E351</f>
        <v>0</v>
      </c>
      <c r="G366" s="48"/>
      <c r="H366" s="33"/>
    </row>
    <row r="367" customFormat="false" ht="16.5" hidden="false" customHeight="false" outlineLevel="0" collapsed="false">
      <c r="A367" s="72" t="n">
        <v>29</v>
      </c>
      <c r="B367" s="33" t="s">
        <v>376</v>
      </c>
      <c r="C367" s="33" t="n">
        <v>15010</v>
      </c>
      <c r="D367" s="15" t="s">
        <v>27</v>
      </c>
      <c r="E367" s="33"/>
      <c r="F367" s="29" t="n">
        <f aca="false">Загальна!E352</f>
        <v>1.65686440677966</v>
      </c>
      <c r="G367" s="48"/>
      <c r="H367" s="33"/>
    </row>
    <row r="368" customFormat="false" ht="16.5" hidden="false" customHeight="false" outlineLevel="0" collapsed="false">
      <c r="A368" s="72" t="n">
        <v>30</v>
      </c>
      <c r="B368" s="33" t="s">
        <v>377</v>
      </c>
      <c r="C368" s="33" t="n">
        <v>15011</v>
      </c>
      <c r="D368" s="15" t="s">
        <v>27</v>
      </c>
      <c r="E368" s="33"/>
      <c r="F368" s="29" t="n">
        <f aca="false">Загальна!E353</f>
        <v>0</v>
      </c>
      <c r="G368" s="48"/>
      <c r="H368" s="33"/>
    </row>
    <row r="369" customFormat="false" ht="16.5" hidden="false" customHeight="false" outlineLevel="0" collapsed="false">
      <c r="A369" s="72"/>
      <c r="B369" s="33" t="s">
        <v>378</v>
      </c>
      <c r="C369" s="33" t="n">
        <v>15012</v>
      </c>
      <c r="D369" s="15" t="s">
        <v>27</v>
      </c>
      <c r="E369" s="33"/>
      <c r="F369" s="29" t="n">
        <f aca="false">Загальна!E354</f>
        <v>0</v>
      </c>
      <c r="G369" s="48"/>
      <c r="H369" s="33"/>
    </row>
    <row r="370" customFormat="false" ht="16.5" hidden="false" customHeight="false" outlineLevel="0" collapsed="false">
      <c r="A370" s="72" t="n">
        <v>30</v>
      </c>
      <c r="B370" s="33" t="s">
        <v>379</v>
      </c>
      <c r="C370" s="33" t="n">
        <v>15013</v>
      </c>
      <c r="D370" s="15" t="s">
        <v>27</v>
      </c>
      <c r="E370" s="33"/>
      <c r="F370" s="29" t="n">
        <f aca="false">Загальна!E355</f>
        <v>2.45</v>
      </c>
      <c r="G370" s="48"/>
      <c r="H370" s="33"/>
    </row>
    <row r="371" customFormat="false" ht="16.5" hidden="false" customHeight="false" outlineLevel="0" collapsed="false">
      <c r="A371" s="72"/>
      <c r="B371" s="33" t="s">
        <v>380</v>
      </c>
      <c r="C371" s="33" t="n">
        <v>15014</v>
      </c>
      <c r="D371" s="15" t="s">
        <v>27</v>
      </c>
      <c r="E371" s="33"/>
      <c r="F371" s="29" t="n">
        <f aca="false">Загальна!E356</f>
        <v>0</v>
      </c>
      <c r="G371" s="48"/>
      <c r="H371" s="33"/>
    </row>
    <row r="372" customFormat="false" ht="16.5" hidden="false" customHeight="false" outlineLevel="0" collapsed="false">
      <c r="A372" s="72"/>
      <c r="B372" s="33" t="s">
        <v>381</v>
      </c>
      <c r="C372" s="33" t="n">
        <v>15015</v>
      </c>
      <c r="D372" s="15" t="s">
        <v>27</v>
      </c>
      <c r="E372" s="33"/>
      <c r="F372" s="29" t="n">
        <f aca="false">Загальна!E357</f>
        <v>0</v>
      </c>
      <c r="G372" s="48"/>
      <c r="H372" s="33"/>
    </row>
    <row r="373" customFormat="false" ht="16.5" hidden="false" customHeight="false" outlineLevel="0" collapsed="false">
      <c r="A373" s="72" t="n">
        <v>31</v>
      </c>
      <c r="B373" s="33" t="s">
        <v>382</v>
      </c>
      <c r="C373" s="33" t="n">
        <v>15017</v>
      </c>
      <c r="D373" s="15" t="s">
        <v>27</v>
      </c>
      <c r="E373" s="33"/>
      <c r="F373" s="29" t="n">
        <f aca="false">Загальна!E358</f>
        <v>4.75050847457627</v>
      </c>
      <c r="G373" s="48"/>
      <c r="H373" s="33"/>
    </row>
    <row r="374" customFormat="false" ht="16.5" hidden="false" customHeight="false" outlineLevel="0" collapsed="false">
      <c r="A374" s="72"/>
      <c r="B374" s="33" t="s">
        <v>383</v>
      </c>
      <c r="C374" s="33" t="n">
        <v>15018</v>
      </c>
      <c r="D374" s="15" t="s">
        <v>27</v>
      </c>
      <c r="E374" s="33"/>
      <c r="F374" s="29" t="n">
        <f aca="false">Загальна!E359</f>
        <v>0</v>
      </c>
      <c r="G374" s="48"/>
      <c r="H374" s="33"/>
    </row>
    <row r="375" customFormat="false" ht="16.5" hidden="false" customHeight="false" outlineLevel="0" collapsed="false">
      <c r="A375" s="72" t="n">
        <v>32</v>
      </c>
      <c r="B375" s="33" t="s">
        <v>384</v>
      </c>
      <c r="C375" s="33" t="n">
        <v>15020</v>
      </c>
      <c r="D375" s="15" t="s">
        <v>27</v>
      </c>
      <c r="E375" s="33"/>
      <c r="F375" s="29" t="n">
        <f aca="false">Загальна!E360</f>
        <v>3.54627118644068</v>
      </c>
      <c r="G375" s="48"/>
      <c r="H375" s="33"/>
    </row>
    <row r="376" customFormat="false" ht="16.5" hidden="false" customHeight="false" outlineLevel="0" collapsed="false">
      <c r="A376" s="72"/>
      <c r="B376" s="33" t="s">
        <v>385</v>
      </c>
      <c r="C376" s="33" t="n">
        <v>15021</v>
      </c>
      <c r="D376" s="15" t="s">
        <v>27</v>
      </c>
      <c r="E376" s="33"/>
      <c r="F376" s="29" t="n">
        <f aca="false">Загальна!E361</f>
        <v>0</v>
      </c>
      <c r="G376" s="48"/>
      <c r="H376" s="33"/>
    </row>
    <row r="377" customFormat="false" ht="16.5" hidden="false" customHeight="false" outlineLevel="0" collapsed="false">
      <c r="A377" s="72"/>
      <c r="B377" s="33" t="s">
        <v>386</v>
      </c>
      <c r="C377" s="33" t="n">
        <v>15022</v>
      </c>
      <c r="D377" s="15" t="s">
        <v>27</v>
      </c>
      <c r="E377" s="33"/>
      <c r="F377" s="29" t="n">
        <f aca="false">Загальна!E362</f>
        <v>0</v>
      </c>
      <c r="G377" s="48"/>
      <c r="H377" s="33"/>
    </row>
    <row r="378" customFormat="false" ht="16.5" hidden="false" customHeight="false" outlineLevel="0" collapsed="false">
      <c r="A378" s="72"/>
      <c r="B378" s="33" t="s">
        <v>387</v>
      </c>
      <c r="C378" s="33" t="n">
        <v>15023</v>
      </c>
      <c r="D378" s="15" t="s">
        <v>27</v>
      </c>
      <c r="E378" s="33"/>
      <c r="F378" s="29" t="n">
        <f aca="false">Загальна!E363</f>
        <v>0</v>
      </c>
      <c r="G378" s="48"/>
      <c r="H378" s="33"/>
    </row>
    <row r="381" customFormat="false" ht="16.5" hidden="false" customHeight="false" outlineLevel="0" collapsed="false">
      <c r="B381" s="0" t="s">
        <v>403</v>
      </c>
      <c r="D381" s="0" t="s">
        <v>404</v>
      </c>
    </row>
    <row r="382" customFormat="false" ht="16.5" hidden="false" customHeight="false" outlineLevel="0" collapsed="false">
      <c r="B382" s="0" t="s">
        <v>405</v>
      </c>
      <c r="C382" s="0" t="s">
        <v>406</v>
      </c>
      <c r="D382" s="0" t="s">
        <v>407</v>
      </c>
    </row>
    <row r="384" customFormat="false" ht="16.5" hidden="false" customHeight="false" outlineLevel="0" collapsed="false">
      <c r="B384" s="0" t="s">
        <v>408</v>
      </c>
    </row>
    <row r="386" customFormat="false" ht="16.5" hidden="false" customHeight="false" outlineLevel="0" collapsed="false">
      <c r="B386" s="0" t="s">
        <v>409</v>
      </c>
    </row>
  </sheetData>
  <autoFilter ref="A17:H378"/>
  <mergeCells count="15">
    <mergeCell ref="A6:H6"/>
    <mergeCell ref="A8:H8"/>
    <mergeCell ref="A9:H9"/>
    <mergeCell ref="C11:D11"/>
    <mergeCell ref="E11:F11"/>
    <mergeCell ref="G11:H11"/>
    <mergeCell ref="C12:D12"/>
    <mergeCell ref="E12:F12"/>
    <mergeCell ref="G12:H12"/>
    <mergeCell ref="C14:D14"/>
    <mergeCell ref="E14:F14"/>
    <mergeCell ref="G14:H14"/>
    <mergeCell ref="C15:D15"/>
    <mergeCell ref="E15:F15"/>
    <mergeCell ref="G15:H15"/>
  </mergeCells>
  <conditionalFormatting sqref="A19:H378">
    <cfRule type="expression" priority="2" aboveAverage="0" equalAverage="0" bottom="0" percent="0" rank="0" text="" dxfId="2">
      <formula>ROW(A19)=CELL("строка")</formula>
    </cfRule>
  </conditionalFormatting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85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H3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8" activeCellId="0" sqref="A8"/>
    </sheetView>
  </sheetViews>
  <sheetFormatPr defaultColWidth="9" defaultRowHeight="16.5" zeroHeight="false" outlineLevelRow="0" outlineLevelCol="0"/>
  <cols>
    <col collapsed="false" customWidth="true" hidden="false" outlineLevel="0" max="1" min="1" style="1" width="12.14"/>
    <col collapsed="false" customWidth="true" hidden="false" outlineLevel="0" max="2" min="2" style="0" width="36.71"/>
    <col collapsed="false" customWidth="true" hidden="false" outlineLevel="0" max="3" min="3" style="0" width="14.57"/>
    <col collapsed="false" customWidth="true" hidden="false" outlineLevel="0" max="4" min="4" style="0" width="5.14"/>
    <col collapsed="false" customWidth="true" hidden="false" outlineLevel="0" max="5" min="5" style="0" width="7"/>
    <col collapsed="false" customWidth="true" hidden="false" outlineLevel="0" max="6" min="6" style="0" width="11.43"/>
    <col collapsed="false" customWidth="true" hidden="false" outlineLevel="0" max="7" min="7" style="2" width="12.29"/>
    <col collapsed="false" customWidth="true" hidden="false" outlineLevel="0" max="8" min="8" style="0" width="12.14"/>
  </cols>
  <sheetData>
    <row r="1" customFormat="false" ht="16.5" hidden="false" customHeight="false" outlineLevel="0" collapsed="false">
      <c r="A1" s="4"/>
      <c r="B1" s="5"/>
      <c r="C1" s="5"/>
      <c r="D1" s="5"/>
      <c r="E1" s="6" t="s">
        <v>0</v>
      </c>
      <c r="F1" s="6"/>
      <c r="G1" s="6"/>
      <c r="H1" s="6"/>
    </row>
    <row r="2" customFormat="false" ht="16.5" hidden="false" customHeight="false" outlineLevel="0" collapsed="false">
      <c r="A2" s="4"/>
      <c r="B2" s="5"/>
      <c r="C2" s="5"/>
      <c r="D2" s="5"/>
      <c r="E2" s="7" t="s">
        <v>1</v>
      </c>
      <c r="F2" s="7"/>
      <c r="G2" s="7"/>
      <c r="H2" s="7"/>
    </row>
    <row r="3" customFormat="false" ht="16.5" hidden="false" customHeight="false" outlineLevel="0" collapsed="false">
      <c r="A3" s="4"/>
      <c r="B3" s="5"/>
      <c r="C3" s="5"/>
      <c r="D3" s="5"/>
      <c r="E3" s="7" t="s">
        <v>2</v>
      </c>
      <c r="F3" s="7"/>
      <c r="G3" s="7"/>
      <c r="H3" s="7"/>
    </row>
    <row r="4" customFormat="false" ht="16.5" hidden="false" customHeight="false" outlineLevel="0" collapsed="false">
      <c r="A4" s="4"/>
      <c r="B4" s="5"/>
      <c r="C4" s="5"/>
      <c r="D4" s="5"/>
      <c r="E4" s="5"/>
      <c r="F4" s="5"/>
      <c r="G4" s="8"/>
      <c r="H4" s="5"/>
    </row>
    <row r="5" customFormat="false" ht="16.5" hidden="false" customHeight="false" outlineLevel="0" collapsed="false">
      <c r="A5" s="4"/>
      <c r="B5" s="5"/>
      <c r="C5" s="5"/>
      <c r="D5" s="5"/>
      <c r="E5" s="5"/>
      <c r="F5" s="5"/>
      <c r="G5" s="8"/>
      <c r="H5" s="5"/>
    </row>
    <row r="6" customFormat="false" ht="16.5" hidden="false" customHeight="false" outlineLevel="0" collapsed="false">
      <c r="A6" s="9" t="s">
        <v>401</v>
      </c>
      <c r="B6" s="9"/>
      <c r="C6" s="9"/>
      <c r="D6" s="9"/>
      <c r="E6" s="9"/>
      <c r="F6" s="9"/>
      <c r="G6" s="9"/>
      <c r="H6" s="9"/>
    </row>
    <row r="7" customFormat="false" ht="16.5" hidden="false" customHeight="false" outlineLevel="0" collapsed="false">
      <c r="A7" s="4"/>
      <c r="B7" s="5"/>
      <c r="C7" s="5"/>
      <c r="D7" s="5"/>
      <c r="E7" s="5"/>
      <c r="F7" s="5"/>
      <c r="G7" s="8"/>
      <c r="H7" s="5"/>
    </row>
    <row r="8" customFormat="false" ht="20.25" hidden="false" customHeight="false" outlineLevel="0" collapsed="false">
      <c r="A8" s="10" t="s">
        <v>410</v>
      </c>
      <c r="B8" s="10"/>
      <c r="C8" s="10"/>
      <c r="D8" s="10"/>
      <c r="E8" s="10"/>
      <c r="F8" s="10"/>
      <c r="G8" s="10"/>
      <c r="H8" s="10"/>
    </row>
    <row r="9" customFormat="false" ht="17.25" hidden="false" customHeight="false" outlineLevel="0" collapsed="false">
      <c r="A9" s="11"/>
      <c r="B9" s="11"/>
      <c r="C9" s="11"/>
      <c r="D9" s="11"/>
      <c r="E9" s="11"/>
      <c r="F9" s="11"/>
      <c r="G9" s="11"/>
      <c r="H9" s="11"/>
    </row>
    <row r="10" customFormat="false" ht="16.5" hidden="false" customHeight="false" outlineLevel="0" collapsed="false">
      <c r="A10" s="4"/>
      <c r="B10" s="5"/>
      <c r="C10" s="5"/>
      <c r="D10" s="5"/>
      <c r="E10" s="5"/>
      <c r="F10" s="5"/>
      <c r="G10" s="8"/>
      <c r="H10" s="5"/>
    </row>
    <row r="11" customFormat="false" ht="33.75" hidden="false" customHeight="true" outlineLevel="0" collapsed="false">
      <c r="A11" s="12" t="s">
        <v>5</v>
      </c>
      <c r="B11" s="13" t="s">
        <v>6</v>
      </c>
      <c r="C11" s="13" t="s">
        <v>7</v>
      </c>
      <c r="D11" s="13"/>
      <c r="E11" s="13" t="s">
        <v>8</v>
      </c>
      <c r="F11" s="13"/>
      <c r="G11" s="14" t="s">
        <v>9</v>
      </c>
      <c r="H11" s="14"/>
    </row>
    <row r="12" customFormat="false" ht="16.5" hidden="false" customHeight="false" outlineLevel="0" collapsed="false">
      <c r="A12" s="15"/>
      <c r="B12" s="16"/>
      <c r="C12" s="15"/>
      <c r="D12" s="15"/>
      <c r="E12" s="15"/>
      <c r="F12" s="15"/>
      <c r="G12" s="17"/>
      <c r="H12" s="17"/>
    </row>
    <row r="13" customFormat="false" ht="16.5" hidden="false" customHeight="false" outlineLevel="0" collapsed="false">
      <c r="A13" s="4"/>
      <c r="B13" s="5"/>
      <c r="C13" s="5"/>
      <c r="D13" s="5"/>
      <c r="E13" s="5"/>
      <c r="F13" s="5"/>
      <c r="G13" s="8"/>
      <c r="H13" s="5"/>
    </row>
    <row r="14" customFormat="false" ht="45" hidden="false" customHeight="true" outlineLevel="0" collapsed="false">
      <c r="A14" s="18" t="s">
        <v>10</v>
      </c>
      <c r="B14" s="12" t="s">
        <v>11</v>
      </c>
      <c r="C14" s="12" t="s">
        <v>389</v>
      </c>
      <c r="D14" s="12"/>
      <c r="E14" s="12" t="s">
        <v>13</v>
      </c>
      <c r="F14" s="12"/>
      <c r="G14" s="14" t="s">
        <v>14</v>
      </c>
      <c r="H14" s="14"/>
    </row>
    <row r="15" customFormat="false" ht="30" hidden="false" customHeight="true" outlineLevel="0" collapsed="false">
      <c r="A15" s="19" t="n">
        <v>45627</v>
      </c>
      <c r="B15" s="12" t="s">
        <v>15</v>
      </c>
      <c r="C15" s="74" t="s">
        <v>391</v>
      </c>
      <c r="D15" s="74"/>
      <c r="E15" s="12"/>
      <c r="F15" s="12"/>
      <c r="G15" s="75" t="s">
        <v>411</v>
      </c>
      <c r="H15" s="75"/>
    </row>
    <row r="16" customFormat="false" ht="16.5" hidden="false" customHeight="false" outlineLevel="0" collapsed="false">
      <c r="A16" s="4"/>
      <c r="B16" s="4"/>
      <c r="C16" s="4"/>
      <c r="D16" s="4"/>
      <c r="E16" s="4"/>
      <c r="F16" s="4"/>
      <c r="G16" s="21"/>
      <c r="H16" s="4"/>
    </row>
    <row r="17" customFormat="false" ht="82.5" hidden="false" customHeight="false" outlineLevel="0" collapsed="false">
      <c r="A17" s="12" t="s">
        <v>19</v>
      </c>
      <c r="B17" s="12" t="s">
        <v>20</v>
      </c>
      <c r="C17" s="22" t="s">
        <v>12</v>
      </c>
      <c r="D17" s="22" t="s">
        <v>21</v>
      </c>
      <c r="E17" s="22" t="s">
        <v>22</v>
      </c>
      <c r="F17" s="22" t="s">
        <v>23</v>
      </c>
      <c r="G17" s="23" t="s">
        <v>24</v>
      </c>
      <c r="H17" s="22" t="s">
        <v>25</v>
      </c>
    </row>
    <row r="18" customFormat="false" ht="16.5" hidden="false" customHeight="false" outlineLevel="0" collapsed="false">
      <c r="A18" s="24" t="n">
        <v>1</v>
      </c>
      <c r="B18" s="24" t="n">
        <v>2</v>
      </c>
      <c r="C18" s="24" t="n">
        <v>3</v>
      </c>
      <c r="D18" s="24" t="n">
        <v>4</v>
      </c>
      <c r="E18" s="24" t="n">
        <v>5</v>
      </c>
      <c r="F18" s="24" t="n">
        <v>6</v>
      </c>
      <c r="G18" s="25" t="n">
        <v>7</v>
      </c>
      <c r="H18" s="24" t="n">
        <v>8</v>
      </c>
    </row>
    <row r="19" customFormat="false" ht="16.5" hidden="true" customHeight="false" outlineLevel="0" collapsed="false">
      <c r="A19" s="68" t="n">
        <v>1</v>
      </c>
      <c r="B19" s="27" t="s">
        <v>26</v>
      </c>
      <c r="C19" s="28" t="n">
        <v>11001</v>
      </c>
      <c r="D19" s="15" t="s">
        <v>27</v>
      </c>
      <c r="E19" s="15"/>
      <c r="F19" s="29" t="n">
        <f aca="false">Загальна!F4</f>
        <v>0</v>
      </c>
      <c r="G19" s="17"/>
      <c r="H19" s="17"/>
    </row>
    <row r="20" customFormat="false" ht="16.5" hidden="true" customHeight="false" outlineLevel="0" collapsed="false">
      <c r="A20" s="69"/>
      <c r="B20" s="35" t="s">
        <v>28</v>
      </c>
      <c r="C20" s="33" t="n">
        <v>11002</v>
      </c>
      <c r="D20" s="15" t="s">
        <v>27</v>
      </c>
      <c r="E20" s="15"/>
      <c r="F20" s="29" t="n">
        <f aca="false">Загальна!F5</f>
        <v>0</v>
      </c>
      <c r="G20" s="17"/>
      <c r="H20" s="17"/>
    </row>
    <row r="21" customFormat="false" ht="16.5" hidden="false" customHeight="false" outlineLevel="0" collapsed="false">
      <c r="A21" s="68" t="n">
        <v>1</v>
      </c>
      <c r="B21" s="35" t="s">
        <v>29</v>
      </c>
      <c r="C21" s="33" t="n">
        <v>11004</v>
      </c>
      <c r="D21" s="15" t="s">
        <v>27</v>
      </c>
      <c r="E21" s="15"/>
      <c r="F21" s="29" t="n">
        <f aca="false">Загальна!F6</f>
        <v>1.86</v>
      </c>
      <c r="G21" s="17"/>
      <c r="H21" s="17"/>
    </row>
    <row r="22" customFormat="false" ht="16.5" hidden="true" customHeight="false" outlineLevel="0" collapsed="false">
      <c r="A22" s="69"/>
      <c r="B22" s="35" t="s">
        <v>30</v>
      </c>
      <c r="C22" s="33" t="n">
        <v>11005</v>
      </c>
      <c r="D22" s="15" t="s">
        <v>27</v>
      </c>
      <c r="E22" s="15"/>
      <c r="F22" s="29" t="n">
        <f aca="false">Загальна!F7</f>
        <v>0</v>
      </c>
      <c r="G22" s="17"/>
      <c r="H22" s="17"/>
    </row>
    <row r="23" customFormat="false" ht="16.5" hidden="true" customHeight="false" outlineLevel="0" collapsed="false">
      <c r="A23" s="68"/>
      <c r="B23" s="35" t="s">
        <v>31</v>
      </c>
      <c r="C23" s="33" t="n">
        <v>11006</v>
      </c>
      <c r="D23" s="15" t="s">
        <v>27</v>
      </c>
      <c r="E23" s="15"/>
      <c r="F23" s="29" t="n">
        <f aca="false">Загальна!F8</f>
        <v>0</v>
      </c>
      <c r="G23" s="17"/>
      <c r="H23" s="17"/>
    </row>
    <row r="24" customFormat="false" ht="16.5" hidden="true" customHeight="false" outlineLevel="0" collapsed="false">
      <c r="A24" s="68"/>
      <c r="B24" s="35" t="s">
        <v>32</v>
      </c>
      <c r="C24" s="33" t="n">
        <v>11007</v>
      </c>
      <c r="D24" s="15" t="s">
        <v>27</v>
      </c>
      <c r="E24" s="15"/>
      <c r="F24" s="29" t="n">
        <f aca="false">Загальна!F9</f>
        <v>0</v>
      </c>
      <c r="G24" s="17"/>
      <c r="H24" s="17"/>
    </row>
    <row r="25" customFormat="false" ht="16.5" hidden="true" customHeight="false" outlineLevel="0" collapsed="false">
      <c r="A25" s="69"/>
      <c r="B25" s="35" t="s">
        <v>33</v>
      </c>
      <c r="C25" s="33" t="n">
        <v>11008</v>
      </c>
      <c r="D25" s="15" t="s">
        <v>27</v>
      </c>
      <c r="E25" s="15"/>
      <c r="F25" s="29" t="n">
        <f aca="false">Загальна!F10</f>
        <v>0</v>
      </c>
      <c r="G25" s="17"/>
      <c r="H25" s="17"/>
    </row>
    <row r="26" customFormat="false" ht="16.5" hidden="true" customHeight="false" outlineLevel="0" collapsed="false">
      <c r="A26" s="69"/>
      <c r="B26" s="35" t="s">
        <v>34</v>
      </c>
      <c r="C26" s="33" t="n">
        <v>11009</v>
      </c>
      <c r="D26" s="15" t="s">
        <v>27</v>
      </c>
      <c r="E26" s="15"/>
      <c r="F26" s="29" t="n">
        <f aca="false">Загальна!F11</f>
        <v>0</v>
      </c>
      <c r="G26" s="17"/>
      <c r="H26" s="17"/>
    </row>
    <row r="27" customFormat="false" ht="16.5" hidden="true" customHeight="false" outlineLevel="0" collapsed="false">
      <c r="A27" s="69" t="n">
        <v>2</v>
      </c>
      <c r="B27" s="35" t="s">
        <v>35</v>
      </c>
      <c r="C27" s="33" t="n">
        <v>11010</v>
      </c>
      <c r="D27" s="15" t="s">
        <v>27</v>
      </c>
      <c r="E27" s="15"/>
      <c r="F27" s="29" t="n">
        <f aca="false">Загальна!F12</f>
        <v>0</v>
      </c>
      <c r="G27" s="17"/>
      <c r="H27" s="17"/>
    </row>
    <row r="28" customFormat="false" ht="16.5" hidden="true" customHeight="false" outlineLevel="0" collapsed="false">
      <c r="A28" s="68"/>
      <c r="B28" s="35" t="s">
        <v>36</v>
      </c>
      <c r="C28" s="33" t="n">
        <v>11011</v>
      </c>
      <c r="D28" s="15" t="s">
        <v>27</v>
      </c>
      <c r="E28" s="15"/>
      <c r="F28" s="29" t="n">
        <f aca="false">Загальна!F13</f>
        <v>0</v>
      </c>
      <c r="G28" s="17"/>
      <c r="H28" s="17"/>
    </row>
    <row r="29" customFormat="false" ht="16.5" hidden="false" customHeight="false" outlineLevel="0" collapsed="false">
      <c r="A29" s="68" t="n">
        <v>2</v>
      </c>
      <c r="B29" s="35" t="s">
        <v>37</v>
      </c>
      <c r="C29" s="33" t="n">
        <v>11012</v>
      </c>
      <c r="D29" s="15" t="s">
        <v>27</v>
      </c>
      <c r="E29" s="15"/>
      <c r="F29" s="29" t="n">
        <f aca="false">Загальна!F14</f>
        <v>1.24</v>
      </c>
      <c r="G29" s="17"/>
      <c r="H29" s="17"/>
    </row>
    <row r="30" customFormat="false" ht="16.5" hidden="true" customHeight="false" outlineLevel="0" collapsed="false">
      <c r="A30" s="68"/>
      <c r="B30" s="35" t="s">
        <v>38</v>
      </c>
      <c r="C30" s="33" t="n">
        <v>11013</v>
      </c>
      <c r="D30" s="15" t="s">
        <v>27</v>
      </c>
      <c r="E30" s="15"/>
      <c r="F30" s="29" t="n">
        <f aca="false">Загальна!F15</f>
        <v>0</v>
      </c>
      <c r="G30" s="17"/>
      <c r="H30" s="17"/>
    </row>
    <row r="31" customFormat="false" ht="16.5" hidden="true" customHeight="false" outlineLevel="0" collapsed="false">
      <c r="A31" s="68"/>
      <c r="B31" s="35" t="s">
        <v>39</v>
      </c>
      <c r="C31" s="33" t="n">
        <v>11014</v>
      </c>
      <c r="D31" s="15" t="s">
        <v>27</v>
      </c>
      <c r="E31" s="15"/>
      <c r="F31" s="29" t="n">
        <f aca="false">Загальна!F16</f>
        <v>0</v>
      </c>
      <c r="G31" s="17"/>
      <c r="H31" s="17"/>
    </row>
    <row r="32" customFormat="false" ht="16.5" hidden="true" customHeight="false" outlineLevel="0" collapsed="false">
      <c r="A32" s="68"/>
      <c r="B32" s="35" t="s">
        <v>40</v>
      </c>
      <c r="C32" s="33" t="n">
        <v>11015</v>
      </c>
      <c r="D32" s="15" t="s">
        <v>27</v>
      </c>
      <c r="E32" s="15"/>
      <c r="F32" s="29" t="n">
        <f aca="false">Загальна!F17</f>
        <v>0</v>
      </c>
      <c r="G32" s="17"/>
      <c r="H32" s="17"/>
    </row>
    <row r="33" customFormat="false" ht="16.5" hidden="true" customHeight="false" outlineLevel="0" collapsed="false">
      <c r="A33" s="68"/>
      <c r="B33" s="35" t="s">
        <v>41</v>
      </c>
      <c r="C33" s="33" t="n">
        <v>11016</v>
      </c>
      <c r="D33" s="15" t="s">
        <v>27</v>
      </c>
      <c r="E33" s="15"/>
      <c r="F33" s="29" t="n">
        <f aca="false">Загальна!F18</f>
        <v>0</v>
      </c>
      <c r="G33" s="17"/>
      <c r="H33" s="17"/>
    </row>
    <row r="34" customFormat="false" ht="16.5" hidden="true" customHeight="false" outlineLevel="0" collapsed="false">
      <c r="A34" s="69"/>
      <c r="B34" s="35" t="s">
        <v>42</v>
      </c>
      <c r="C34" s="33" t="n">
        <v>11017</v>
      </c>
      <c r="D34" s="15" t="s">
        <v>27</v>
      </c>
      <c r="E34" s="15"/>
      <c r="F34" s="29" t="n">
        <f aca="false">Загальна!F19</f>
        <v>0</v>
      </c>
      <c r="G34" s="17"/>
      <c r="H34" s="17"/>
    </row>
    <row r="35" customFormat="false" ht="16.5" hidden="true" customHeight="false" outlineLevel="0" collapsed="false">
      <c r="A35" s="68"/>
      <c r="B35" s="35" t="s">
        <v>43</v>
      </c>
      <c r="C35" s="33" t="n">
        <v>11019</v>
      </c>
      <c r="D35" s="15" t="s">
        <v>27</v>
      </c>
      <c r="E35" s="15"/>
      <c r="F35" s="29" t="n">
        <f aca="false">Загальна!F20</f>
        <v>0</v>
      </c>
      <c r="G35" s="17"/>
      <c r="H35" s="17"/>
    </row>
    <row r="36" customFormat="false" ht="16.5" hidden="true" customHeight="false" outlineLevel="0" collapsed="false">
      <c r="A36" s="68"/>
      <c r="B36" s="35" t="s">
        <v>44</v>
      </c>
      <c r="C36" s="33" t="n">
        <v>11020</v>
      </c>
      <c r="D36" s="15" t="s">
        <v>27</v>
      </c>
      <c r="E36" s="15"/>
      <c r="F36" s="29" t="n">
        <f aca="false">Загальна!F21</f>
        <v>0</v>
      </c>
      <c r="G36" s="17"/>
      <c r="H36" s="17"/>
    </row>
    <row r="37" customFormat="false" ht="16.5" hidden="true" customHeight="false" outlineLevel="0" collapsed="false">
      <c r="A37" s="68"/>
      <c r="B37" s="35" t="s">
        <v>45</v>
      </c>
      <c r="C37" s="33" t="n">
        <v>11021</v>
      </c>
      <c r="D37" s="15" t="s">
        <v>27</v>
      </c>
      <c r="E37" s="15"/>
      <c r="F37" s="29" t="n">
        <f aca="false">Загальна!F22</f>
        <v>0</v>
      </c>
      <c r="G37" s="17"/>
      <c r="H37" s="17"/>
    </row>
    <row r="38" customFormat="false" ht="16.5" hidden="true" customHeight="false" outlineLevel="0" collapsed="false">
      <c r="A38" s="68"/>
      <c r="B38" s="35" t="s">
        <v>46</v>
      </c>
      <c r="C38" s="33" t="n">
        <v>11022</v>
      </c>
      <c r="D38" s="15" t="s">
        <v>27</v>
      </c>
      <c r="E38" s="15"/>
      <c r="F38" s="29" t="n">
        <f aca="false">Загальна!F23</f>
        <v>0</v>
      </c>
      <c r="G38" s="17"/>
      <c r="H38" s="17"/>
    </row>
    <row r="39" customFormat="false" ht="16.5" hidden="true" customHeight="false" outlineLevel="0" collapsed="false">
      <c r="A39" s="68"/>
      <c r="B39" s="35" t="s">
        <v>47</v>
      </c>
      <c r="C39" s="33" t="n">
        <v>11023</v>
      </c>
      <c r="D39" s="15" t="s">
        <v>27</v>
      </c>
      <c r="E39" s="15"/>
      <c r="F39" s="29" t="n">
        <f aca="false">Загальна!F24</f>
        <v>0</v>
      </c>
      <c r="G39" s="17"/>
      <c r="H39" s="17"/>
    </row>
    <row r="40" customFormat="false" ht="16.5" hidden="true" customHeight="false" outlineLevel="0" collapsed="false">
      <c r="A40" s="68" t="n">
        <v>3</v>
      </c>
      <c r="B40" s="35" t="s">
        <v>48</v>
      </c>
      <c r="C40" s="33" t="n">
        <v>11024</v>
      </c>
      <c r="D40" s="15" t="s">
        <v>27</v>
      </c>
      <c r="E40" s="15"/>
      <c r="F40" s="29" t="n">
        <f aca="false">Загальна!F25</f>
        <v>0</v>
      </c>
      <c r="G40" s="17"/>
      <c r="H40" s="17"/>
    </row>
    <row r="41" customFormat="false" ht="16.5" hidden="true" customHeight="false" outlineLevel="0" collapsed="false">
      <c r="A41" s="68" t="n">
        <v>4</v>
      </c>
      <c r="B41" s="35" t="s">
        <v>49</v>
      </c>
      <c r="C41" s="33" t="n">
        <v>11025</v>
      </c>
      <c r="D41" s="15" t="s">
        <v>27</v>
      </c>
      <c r="E41" s="15"/>
      <c r="F41" s="29" t="n">
        <f aca="false">Загальна!F26</f>
        <v>0</v>
      </c>
      <c r="G41" s="17"/>
      <c r="H41" s="17"/>
    </row>
    <row r="42" customFormat="false" ht="16.5" hidden="false" customHeight="false" outlineLevel="0" collapsed="false">
      <c r="A42" s="68" t="n">
        <v>3</v>
      </c>
      <c r="B42" s="35" t="s">
        <v>50</v>
      </c>
      <c r="C42" s="33" t="n">
        <v>11026</v>
      </c>
      <c r="D42" s="15" t="s">
        <v>27</v>
      </c>
      <c r="E42" s="15"/>
      <c r="F42" s="29" t="n">
        <f aca="false">Загальна!F27</f>
        <v>1.24</v>
      </c>
      <c r="G42" s="17"/>
      <c r="H42" s="17"/>
    </row>
    <row r="43" customFormat="false" ht="16.5" hidden="false" customHeight="false" outlineLevel="0" collapsed="false">
      <c r="A43" s="68" t="n">
        <v>4</v>
      </c>
      <c r="B43" s="35" t="s">
        <v>51</v>
      </c>
      <c r="C43" s="33" t="n">
        <v>11028</v>
      </c>
      <c r="D43" s="15" t="s">
        <v>27</v>
      </c>
      <c r="E43" s="15"/>
      <c r="F43" s="29" t="n">
        <f aca="false">Загальна!F28</f>
        <v>0.31</v>
      </c>
      <c r="G43" s="17"/>
      <c r="H43" s="17"/>
    </row>
    <row r="44" customFormat="false" ht="16.5" hidden="true" customHeight="false" outlineLevel="0" collapsed="false">
      <c r="A44" s="68"/>
      <c r="B44" s="35" t="s">
        <v>52</v>
      </c>
      <c r="C44" s="33" t="n">
        <v>11029</v>
      </c>
      <c r="D44" s="15" t="s">
        <v>27</v>
      </c>
      <c r="E44" s="15"/>
      <c r="F44" s="29" t="n">
        <f aca="false">Загальна!F29</f>
        <v>0</v>
      </c>
      <c r="G44" s="17"/>
      <c r="H44" s="17"/>
    </row>
    <row r="45" customFormat="false" ht="16.5" hidden="true" customHeight="false" outlineLevel="0" collapsed="false">
      <c r="A45" s="68"/>
      <c r="B45" s="35" t="s">
        <v>53</v>
      </c>
      <c r="C45" s="33" t="n">
        <v>11030</v>
      </c>
      <c r="D45" s="15" t="s">
        <v>27</v>
      </c>
      <c r="E45" s="15"/>
      <c r="F45" s="29" t="n">
        <f aca="false">Загальна!F30</f>
        <v>0</v>
      </c>
      <c r="G45" s="17"/>
      <c r="H45" s="17"/>
    </row>
    <row r="46" customFormat="false" ht="16.5" hidden="true" customHeight="false" outlineLevel="0" collapsed="false">
      <c r="A46" s="68" t="n">
        <v>5</v>
      </c>
      <c r="B46" s="35" t="s">
        <v>54</v>
      </c>
      <c r="C46" s="33" t="n">
        <v>11031</v>
      </c>
      <c r="D46" s="15" t="s">
        <v>27</v>
      </c>
      <c r="E46" s="15"/>
      <c r="F46" s="29" t="n">
        <f aca="false">Загальна!F31</f>
        <v>0</v>
      </c>
      <c r="G46" s="17"/>
      <c r="H46" s="17"/>
    </row>
    <row r="47" customFormat="false" ht="16.5" hidden="true" customHeight="false" outlineLevel="0" collapsed="false">
      <c r="A47" s="68"/>
      <c r="B47" s="35" t="s">
        <v>55</v>
      </c>
      <c r="C47" s="33" t="n">
        <v>11032</v>
      </c>
      <c r="D47" s="15" t="s">
        <v>27</v>
      </c>
      <c r="E47" s="15"/>
      <c r="F47" s="29" t="n">
        <f aca="false">Загальна!F32</f>
        <v>0</v>
      </c>
      <c r="G47" s="17"/>
      <c r="H47" s="17"/>
    </row>
    <row r="48" customFormat="false" ht="16.5" hidden="false" customHeight="false" outlineLevel="0" collapsed="false">
      <c r="A48" s="68" t="n">
        <v>5</v>
      </c>
      <c r="B48" s="35" t="s">
        <v>56</v>
      </c>
      <c r="C48" s="33" t="n">
        <v>11033</v>
      </c>
      <c r="D48" s="15" t="s">
        <v>27</v>
      </c>
      <c r="E48" s="15"/>
      <c r="F48" s="29" t="n">
        <f aca="false">Загальна!F33</f>
        <v>0.465</v>
      </c>
      <c r="G48" s="17"/>
      <c r="H48" s="17"/>
    </row>
    <row r="49" customFormat="false" ht="16.5" hidden="true" customHeight="false" outlineLevel="0" collapsed="false">
      <c r="A49" s="69"/>
      <c r="B49" s="35" t="s">
        <v>57</v>
      </c>
      <c r="C49" s="33" t="n">
        <v>11034</v>
      </c>
      <c r="D49" s="15" t="s">
        <v>27</v>
      </c>
      <c r="E49" s="15"/>
      <c r="F49" s="29" t="n">
        <f aca="false">Загальна!F34</f>
        <v>0</v>
      </c>
      <c r="G49" s="17"/>
      <c r="H49" s="17"/>
    </row>
    <row r="50" customFormat="false" ht="16.5" hidden="true" customHeight="false" outlineLevel="0" collapsed="false">
      <c r="A50" s="68"/>
      <c r="B50" s="35" t="s">
        <v>58</v>
      </c>
      <c r="C50" s="33" t="n">
        <v>11039</v>
      </c>
      <c r="D50" s="15" t="s">
        <v>27</v>
      </c>
      <c r="E50" s="15"/>
      <c r="F50" s="29" t="n">
        <f aca="false">Загальна!F35</f>
        <v>0</v>
      </c>
      <c r="G50" s="17"/>
      <c r="H50" s="17"/>
    </row>
    <row r="51" customFormat="false" ht="16.5" hidden="true" customHeight="false" outlineLevel="0" collapsed="false">
      <c r="A51" s="68"/>
      <c r="B51" s="35" t="s">
        <v>59</v>
      </c>
      <c r="C51" s="33" t="n">
        <v>11040</v>
      </c>
      <c r="D51" s="15" t="s">
        <v>27</v>
      </c>
      <c r="E51" s="15"/>
      <c r="F51" s="29" t="n">
        <f aca="false">Загальна!F36</f>
        <v>0</v>
      </c>
      <c r="G51" s="17"/>
      <c r="H51" s="17"/>
    </row>
    <row r="52" customFormat="false" ht="16.5" hidden="true" customHeight="false" outlineLevel="0" collapsed="false">
      <c r="A52" s="68" t="n">
        <v>6</v>
      </c>
      <c r="B52" s="35" t="s">
        <v>60</v>
      </c>
      <c r="C52" s="33" t="n">
        <v>11041</v>
      </c>
      <c r="D52" s="15" t="s">
        <v>27</v>
      </c>
      <c r="E52" s="15"/>
      <c r="F52" s="29" t="n">
        <f aca="false">Загальна!F37</f>
        <v>0</v>
      </c>
      <c r="G52" s="17"/>
      <c r="H52" s="17"/>
    </row>
    <row r="53" customFormat="false" ht="16.5" hidden="true" customHeight="false" outlineLevel="0" collapsed="false">
      <c r="A53" s="68"/>
      <c r="B53" s="35" t="s">
        <v>61</v>
      </c>
      <c r="C53" s="33" t="n">
        <v>11042</v>
      </c>
      <c r="D53" s="15" t="s">
        <v>27</v>
      </c>
      <c r="E53" s="15"/>
      <c r="F53" s="29" t="n">
        <f aca="false">Загальна!F38</f>
        <v>0</v>
      </c>
      <c r="G53" s="17"/>
      <c r="H53" s="17"/>
    </row>
    <row r="54" customFormat="false" ht="16.5" hidden="false" customHeight="false" outlineLevel="0" collapsed="false">
      <c r="A54" s="68" t="n">
        <v>6</v>
      </c>
      <c r="B54" s="35" t="s">
        <v>62</v>
      </c>
      <c r="C54" s="33" t="n">
        <v>11043</v>
      </c>
      <c r="D54" s="15" t="s">
        <v>27</v>
      </c>
      <c r="E54" s="15"/>
      <c r="F54" s="29" t="n">
        <f aca="false">Загальна!F39</f>
        <v>0.465</v>
      </c>
      <c r="G54" s="17"/>
      <c r="H54" s="17"/>
    </row>
    <row r="55" customFormat="false" ht="16.5" hidden="true" customHeight="false" outlineLevel="0" collapsed="false">
      <c r="A55" s="68"/>
      <c r="B55" s="35" t="s">
        <v>63</v>
      </c>
      <c r="C55" s="33" t="n">
        <v>11044</v>
      </c>
      <c r="D55" s="15" t="s">
        <v>27</v>
      </c>
      <c r="E55" s="15"/>
      <c r="F55" s="29" t="n">
        <f aca="false">Загальна!F40</f>
        <v>0</v>
      </c>
      <c r="G55" s="17"/>
      <c r="H55" s="17"/>
    </row>
    <row r="56" customFormat="false" ht="16.5" hidden="true" customHeight="false" outlineLevel="0" collapsed="false">
      <c r="A56" s="68"/>
      <c r="B56" s="35" t="s">
        <v>64</v>
      </c>
      <c r="C56" s="33" t="n">
        <v>11045</v>
      </c>
      <c r="D56" s="15" t="s">
        <v>27</v>
      </c>
      <c r="E56" s="15"/>
      <c r="F56" s="29" t="n">
        <f aca="false">Загальна!F41</f>
        <v>0</v>
      </c>
      <c r="G56" s="17"/>
      <c r="H56" s="17"/>
    </row>
    <row r="57" customFormat="false" ht="16.5" hidden="true" customHeight="false" outlineLevel="0" collapsed="false">
      <c r="A57" s="69"/>
      <c r="B57" s="35" t="s">
        <v>65</v>
      </c>
      <c r="C57" s="33" t="n">
        <v>11046</v>
      </c>
      <c r="D57" s="15" t="s">
        <v>27</v>
      </c>
      <c r="E57" s="15"/>
      <c r="F57" s="29" t="n">
        <f aca="false">Загальна!F42</f>
        <v>0</v>
      </c>
      <c r="G57" s="17"/>
      <c r="H57" s="17"/>
    </row>
    <row r="58" customFormat="false" ht="16.5" hidden="true" customHeight="false" outlineLevel="0" collapsed="false">
      <c r="A58" s="68" t="n">
        <v>7</v>
      </c>
      <c r="B58" s="35" t="s">
        <v>66</v>
      </c>
      <c r="C58" s="33" t="n">
        <v>11047</v>
      </c>
      <c r="D58" s="15" t="s">
        <v>27</v>
      </c>
      <c r="E58" s="15"/>
      <c r="F58" s="29" t="n">
        <f aca="false">Загальна!F43</f>
        <v>0</v>
      </c>
      <c r="G58" s="17"/>
      <c r="H58" s="17"/>
    </row>
    <row r="59" customFormat="false" ht="16.5" hidden="true" customHeight="false" outlineLevel="0" collapsed="false">
      <c r="A59" s="69"/>
      <c r="B59" s="35" t="s">
        <v>67</v>
      </c>
      <c r="C59" s="33" t="n">
        <v>11048</v>
      </c>
      <c r="D59" s="15" t="s">
        <v>27</v>
      </c>
      <c r="E59" s="15"/>
      <c r="F59" s="29" t="n">
        <f aca="false">Загальна!F44</f>
        <v>0</v>
      </c>
      <c r="G59" s="17"/>
      <c r="H59" s="17"/>
    </row>
    <row r="60" customFormat="false" ht="16.5" hidden="false" customHeight="false" outlineLevel="0" collapsed="false">
      <c r="A60" s="68" t="n">
        <v>7</v>
      </c>
      <c r="B60" s="35" t="s">
        <v>68</v>
      </c>
      <c r="C60" s="33" t="n">
        <v>11049</v>
      </c>
      <c r="D60" s="15" t="s">
        <v>27</v>
      </c>
      <c r="E60" s="15"/>
      <c r="F60" s="29" t="n">
        <f aca="false">Загальна!F45</f>
        <v>1.705</v>
      </c>
      <c r="G60" s="17"/>
      <c r="H60" s="17"/>
    </row>
    <row r="61" customFormat="false" ht="16.5" hidden="true" customHeight="false" outlineLevel="0" collapsed="false">
      <c r="A61" s="69"/>
      <c r="B61" s="35" t="s">
        <v>69</v>
      </c>
      <c r="C61" s="33" t="n">
        <v>11050</v>
      </c>
      <c r="D61" s="15" t="s">
        <v>27</v>
      </c>
      <c r="E61" s="15"/>
      <c r="F61" s="29" t="n">
        <f aca="false">Загальна!F46</f>
        <v>0</v>
      </c>
      <c r="G61" s="17"/>
      <c r="H61" s="17"/>
    </row>
    <row r="62" customFormat="false" ht="16.5" hidden="true" customHeight="false" outlineLevel="0" collapsed="false">
      <c r="A62" s="68"/>
      <c r="B62" s="35" t="s">
        <v>70</v>
      </c>
      <c r="C62" s="33" t="n">
        <v>11051</v>
      </c>
      <c r="D62" s="15" t="s">
        <v>27</v>
      </c>
      <c r="E62" s="15"/>
      <c r="F62" s="29" t="n">
        <f aca="false">Загальна!F47</f>
        <v>0</v>
      </c>
      <c r="G62" s="17"/>
      <c r="H62" s="17"/>
    </row>
    <row r="63" customFormat="false" ht="16.5" hidden="true" customHeight="false" outlineLevel="0" collapsed="false">
      <c r="A63" s="68"/>
      <c r="B63" s="35" t="s">
        <v>71</v>
      </c>
      <c r="C63" s="33" t="n">
        <v>11052</v>
      </c>
      <c r="D63" s="15" t="s">
        <v>27</v>
      </c>
      <c r="E63" s="15"/>
      <c r="F63" s="29" t="n">
        <f aca="false">Загальна!F48</f>
        <v>0</v>
      </c>
      <c r="G63" s="17"/>
      <c r="H63" s="17"/>
    </row>
    <row r="64" customFormat="false" ht="16.5" hidden="true" customHeight="false" outlineLevel="0" collapsed="false">
      <c r="A64" s="68"/>
      <c r="B64" s="35" t="s">
        <v>72</v>
      </c>
      <c r="C64" s="33" t="n">
        <v>11053</v>
      </c>
      <c r="D64" s="15" t="s">
        <v>27</v>
      </c>
      <c r="E64" s="15"/>
      <c r="F64" s="29" t="n">
        <f aca="false">Загальна!F49</f>
        <v>0</v>
      </c>
      <c r="G64" s="17"/>
      <c r="H64" s="17"/>
    </row>
    <row r="65" customFormat="false" ht="16.5" hidden="true" customHeight="false" outlineLevel="0" collapsed="false">
      <c r="A65" s="68"/>
      <c r="B65" s="35" t="s">
        <v>73</v>
      </c>
      <c r="C65" s="33" t="n">
        <v>11054</v>
      </c>
      <c r="D65" s="15" t="s">
        <v>27</v>
      </c>
      <c r="E65" s="15"/>
      <c r="F65" s="29" t="n">
        <f aca="false">Загальна!F50</f>
        <v>0</v>
      </c>
      <c r="G65" s="17"/>
      <c r="H65" s="17"/>
    </row>
    <row r="66" customFormat="false" ht="16.5" hidden="true" customHeight="false" outlineLevel="0" collapsed="false">
      <c r="A66" s="68"/>
      <c r="B66" s="35" t="s">
        <v>74</v>
      </c>
      <c r="C66" s="33" t="n">
        <v>11055</v>
      </c>
      <c r="D66" s="15" t="s">
        <v>27</v>
      </c>
      <c r="E66" s="15"/>
      <c r="F66" s="29" t="n">
        <f aca="false">Загальна!F51</f>
        <v>0</v>
      </c>
      <c r="G66" s="17"/>
      <c r="H66" s="17"/>
    </row>
    <row r="67" customFormat="false" ht="16.5" hidden="true" customHeight="false" outlineLevel="0" collapsed="false">
      <c r="A67" s="68"/>
      <c r="B67" s="35" t="s">
        <v>75</v>
      </c>
      <c r="C67" s="33" t="n">
        <v>11057</v>
      </c>
      <c r="D67" s="15" t="s">
        <v>27</v>
      </c>
      <c r="E67" s="15"/>
      <c r="F67" s="29" t="n">
        <f aca="false">Загальна!F52</f>
        <v>0</v>
      </c>
      <c r="G67" s="17"/>
      <c r="H67" s="17"/>
    </row>
    <row r="68" customFormat="false" ht="16.5" hidden="true" customHeight="false" outlineLevel="0" collapsed="false">
      <c r="A68" s="68"/>
      <c r="B68" s="35" t="s">
        <v>76</v>
      </c>
      <c r="C68" s="33" t="n">
        <v>11058</v>
      </c>
      <c r="D68" s="15" t="s">
        <v>27</v>
      </c>
      <c r="E68" s="15"/>
      <c r="F68" s="29" t="n">
        <f aca="false">Загальна!F53</f>
        <v>0</v>
      </c>
      <c r="G68" s="17"/>
      <c r="H68" s="17"/>
    </row>
    <row r="69" customFormat="false" ht="16.5" hidden="true" customHeight="false" outlineLevel="0" collapsed="false">
      <c r="A69" s="68"/>
      <c r="B69" s="35" t="s">
        <v>77</v>
      </c>
      <c r="C69" s="33" t="n">
        <v>11059</v>
      </c>
      <c r="D69" s="15" t="s">
        <v>27</v>
      </c>
      <c r="E69" s="15"/>
      <c r="F69" s="29" t="n">
        <f aca="false">Загальна!F54</f>
        <v>0</v>
      </c>
      <c r="G69" s="17"/>
      <c r="H69" s="17"/>
    </row>
    <row r="70" customFormat="false" ht="16.5" hidden="true" customHeight="false" outlineLevel="0" collapsed="false">
      <c r="A70" s="68"/>
      <c r="B70" s="35" t="s">
        <v>78</v>
      </c>
      <c r="C70" s="33" t="n">
        <v>11060</v>
      </c>
      <c r="D70" s="15" t="s">
        <v>27</v>
      </c>
      <c r="E70" s="15"/>
      <c r="F70" s="29" t="n">
        <f aca="false">Загальна!F55</f>
        <v>0</v>
      </c>
      <c r="G70" s="17"/>
      <c r="H70" s="17"/>
    </row>
    <row r="71" customFormat="false" ht="16.5" hidden="true" customHeight="false" outlineLevel="0" collapsed="false">
      <c r="A71" s="68" t="n">
        <v>8</v>
      </c>
      <c r="B71" s="35" t="s">
        <v>79</v>
      </c>
      <c r="C71" s="33" t="n">
        <v>11061</v>
      </c>
      <c r="D71" s="15" t="s">
        <v>27</v>
      </c>
      <c r="E71" s="15"/>
      <c r="F71" s="29" t="n">
        <f aca="false">Загальна!F56</f>
        <v>0</v>
      </c>
      <c r="G71" s="17"/>
      <c r="H71" s="17"/>
    </row>
    <row r="72" customFormat="false" ht="16.5" hidden="true" customHeight="false" outlineLevel="0" collapsed="false">
      <c r="A72" s="68"/>
      <c r="B72" s="35" t="s">
        <v>80</v>
      </c>
      <c r="C72" s="33" t="n">
        <v>11062</v>
      </c>
      <c r="D72" s="15" t="s">
        <v>27</v>
      </c>
      <c r="E72" s="15"/>
      <c r="F72" s="29" t="n">
        <f aca="false">Загальна!F57</f>
        <v>0</v>
      </c>
      <c r="G72" s="17"/>
      <c r="H72" s="17"/>
    </row>
    <row r="73" customFormat="false" ht="16.5" hidden="false" customHeight="false" outlineLevel="0" collapsed="false">
      <c r="A73" s="68" t="n">
        <v>8</v>
      </c>
      <c r="B73" s="35" t="s">
        <v>81</v>
      </c>
      <c r="C73" s="33" t="n">
        <v>11063</v>
      </c>
      <c r="D73" s="15" t="s">
        <v>27</v>
      </c>
      <c r="E73" s="15"/>
      <c r="F73" s="29" t="n">
        <f aca="false">Загальна!F58</f>
        <v>4.65</v>
      </c>
      <c r="G73" s="17"/>
      <c r="H73" s="17"/>
    </row>
    <row r="74" customFormat="false" ht="16.5" hidden="true" customHeight="false" outlineLevel="0" collapsed="false">
      <c r="A74" s="68"/>
      <c r="B74" s="35" t="s">
        <v>82</v>
      </c>
      <c r="C74" s="33" t="n">
        <v>11064</v>
      </c>
      <c r="D74" s="15" t="s">
        <v>27</v>
      </c>
      <c r="E74" s="15"/>
      <c r="F74" s="29" t="n">
        <f aca="false">Загальна!F59</f>
        <v>0</v>
      </c>
      <c r="G74" s="17"/>
      <c r="H74" s="17"/>
    </row>
    <row r="75" customFormat="false" ht="16.5" hidden="true" customHeight="false" outlineLevel="0" collapsed="false">
      <c r="A75" s="68"/>
      <c r="B75" s="35" t="s">
        <v>83</v>
      </c>
      <c r="C75" s="33" t="n">
        <v>11065</v>
      </c>
      <c r="D75" s="15" t="s">
        <v>27</v>
      </c>
      <c r="E75" s="15"/>
      <c r="F75" s="29" t="n">
        <f aca="false">Загальна!F60</f>
        <v>0</v>
      </c>
      <c r="G75" s="17"/>
      <c r="H75" s="17"/>
    </row>
    <row r="76" customFormat="false" ht="16.5" hidden="true" customHeight="false" outlineLevel="0" collapsed="false">
      <c r="A76" s="68"/>
      <c r="B76" s="35" t="s">
        <v>84</v>
      </c>
      <c r="C76" s="33" t="n">
        <v>11201</v>
      </c>
      <c r="D76" s="15" t="s">
        <v>27</v>
      </c>
      <c r="E76" s="15"/>
      <c r="F76" s="29" t="n">
        <f aca="false">Загальна!F61</f>
        <v>0</v>
      </c>
      <c r="G76" s="17"/>
      <c r="H76" s="17"/>
    </row>
    <row r="77" customFormat="false" ht="16.5" hidden="true" customHeight="false" outlineLevel="0" collapsed="false">
      <c r="A77" s="68"/>
      <c r="B77" s="35" t="s">
        <v>85</v>
      </c>
      <c r="C77" s="33" t="n">
        <v>11202</v>
      </c>
      <c r="D77" s="15" t="s">
        <v>27</v>
      </c>
      <c r="E77" s="15"/>
      <c r="F77" s="29" t="n">
        <f aca="false">Загальна!F62</f>
        <v>0</v>
      </c>
      <c r="G77" s="17"/>
      <c r="H77" s="17"/>
    </row>
    <row r="78" customFormat="false" ht="16.5" hidden="true" customHeight="false" outlineLevel="0" collapsed="false">
      <c r="A78" s="69"/>
      <c r="B78" s="35" t="s">
        <v>86</v>
      </c>
      <c r="C78" s="33" t="n">
        <v>11203</v>
      </c>
      <c r="D78" s="15" t="s">
        <v>27</v>
      </c>
      <c r="E78" s="15"/>
      <c r="F78" s="29" t="n">
        <f aca="false">Загальна!F63</f>
        <v>0</v>
      </c>
      <c r="G78" s="17"/>
      <c r="H78" s="17"/>
    </row>
    <row r="79" customFormat="false" ht="16.5" hidden="true" customHeight="false" outlineLevel="0" collapsed="false">
      <c r="A79" s="69"/>
      <c r="B79" s="35" t="s">
        <v>87</v>
      </c>
      <c r="C79" s="33" t="n">
        <v>11204</v>
      </c>
      <c r="D79" s="15" t="s">
        <v>27</v>
      </c>
      <c r="E79" s="15"/>
      <c r="F79" s="29" t="n">
        <f aca="false">Загальна!F64</f>
        <v>0</v>
      </c>
      <c r="G79" s="17"/>
      <c r="H79" s="17"/>
    </row>
    <row r="80" customFormat="false" ht="16.5" hidden="true" customHeight="false" outlineLevel="0" collapsed="false">
      <c r="A80" s="68"/>
      <c r="B80" s="35" t="s">
        <v>88</v>
      </c>
      <c r="C80" s="33" t="n">
        <v>11205</v>
      </c>
      <c r="D80" s="15" t="s">
        <v>27</v>
      </c>
      <c r="E80" s="15"/>
      <c r="F80" s="29" t="n">
        <f aca="false">Загальна!F65</f>
        <v>0</v>
      </c>
      <c r="G80" s="17"/>
      <c r="H80" s="17"/>
    </row>
    <row r="81" customFormat="false" ht="16.5" hidden="true" customHeight="false" outlineLevel="0" collapsed="false">
      <c r="A81" s="68"/>
      <c r="B81" s="35" t="s">
        <v>89</v>
      </c>
      <c r="C81" s="33" t="n">
        <v>11206</v>
      </c>
      <c r="D81" s="15" t="s">
        <v>27</v>
      </c>
      <c r="E81" s="15"/>
      <c r="F81" s="29" t="n">
        <f aca="false">Загальна!F66</f>
        <v>0</v>
      </c>
      <c r="G81" s="17"/>
      <c r="H81" s="17"/>
    </row>
    <row r="82" customFormat="false" ht="16.5" hidden="true" customHeight="false" outlineLevel="0" collapsed="false">
      <c r="A82" s="68"/>
      <c r="B82" s="35" t="s">
        <v>90</v>
      </c>
      <c r="C82" s="33" t="n">
        <v>11208</v>
      </c>
      <c r="D82" s="15" t="s">
        <v>27</v>
      </c>
      <c r="E82" s="15"/>
      <c r="F82" s="29" t="n">
        <f aca="false">Загальна!F67</f>
        <v>0</v>
      </c>
      <c r="G82" s="17"/>
      <c r="H82" s="17"/>
    </row>
    <row r="83" customFormat="false" ht="16.5" hidden="true" customHeight="false" outlineLevel="0" collapsed="false">
      <c r="A83" s="69"/>
      <c r="B83" s="35" t="s">
        <v>91</v>
      </c>
      <c r="C83" s="33" t="n">
        <v>11209</v>
      </c>
      <c r="D83" s="15" t="s">
        <v>27</v>
      </c>
      <c r="E83" s="15"/>
      <c r="F83" s="29" t="n">
        <f aca="false">Загальна!F68</f>
        <v>0</v>
      </c>
      <c r="G83" s="17"/>
      <c r="H83" s="17"/>
    </row>
    <row r="84" customFormat="false" ht="16.5" hidden="true" customHeight="false" outlineLevel="0" collapsed="false">
      <c r="A84" s="68"/>
      <c r="B84" s="35" t="s">
        <v>92</v>
      </c>
      <c r="C84" s="33" t="n">
        <v>11210</v>
      </c>
      <c r="D84" s="15" t="s">
        <v>27</v>
      </c>
      <c r="E84" s="15"/>
      <c r="F84" s="29" t="n">
        <f aca="false">Загальна!F69</f>
        <v>0</v>
      </c>
      <c r="G84" s="17"/>
      <c r="H84" s="17"/>
    </row>
    <row r="85" customFormat="false" ht="16.5" hidden="true" customHeight="false" outlineLevel="0" collapsed="false">
      <c r="A85" s="69"/>
      <c r="B85" s="35" t="s">
        <v>93</v>
      </c>
      <c r="C85" s="33" t="n">
        <v>11211</v>
      </c>
      <c r="D85" s="15" t="s">
        <v>27</v>
      </c>
      <c r="E85" s="15"/>
      <c r="F85" s="29" t="n">
        <f aca="false">Загальна!F70</f>
        <v>0</v>
      </c>
      <c r="G85" s="17"/>
      <c r="H85" s="17"/>
    </row>
    <row r="86" customFormat="false" ht="16.5" hidden="true" customHeight="false" outlineLevel="0" collapsed="false">
      <c r="A86" s="69"/>
      <c r="B86" s="35" t="s">
        <v>94</v>
      </c>
      <c r="C86" s="33" t="n">
        <v>11212</v>
      </c>
      <c r="D86" s="15" t="s">
        <v>27</v>
      </c>
      <c r="E86" s="15"/>
      <c r="F86" s="29" t="n">
        <f aca="false">Загальна!F71</f>
        <v>0</v>
      </c>
      <c r="G86" s="17"/>
      <c r="H86" s="17"/>
    </row>
    <row r="87" customFormat="false" ht="16.5" hidden="true" customHeight="false" outlineLevel="0" collapsed="false">
      <c r="A87" s="68"/>
      <c r="B87" s="35" t="s">
        <v>95</v>
      </c>
      <c r="C87" s="33" t="n">
        <v>11213</v>
      </c>
      <c r="D87" s="15" t="s">
        <v>27</v>
      </c>
      <c r="E87" s="15"/>
      <c r="F87" s="29" t="n">
        <f aca="false">Загальна!F72</f>
        <v>0</v>
      </c>
      <c r="G87" s="17"/>
      <c r="H87" s="17"/>
    </row>
    <row r="88" customFormat="false" ht="16.5" hidden="true" customHeight="false" outlineLevel="0" collapsed="false">
      <c r="A88" s="68"/>
      <c r="B88" s="35" t="s">
        <v>96</v>
      </c>
      <c r="C88" s="33" t="n">
        <v>11214</v>
      </c>
      <c r="D88" s="15" t="s">
        <v>27</v>
      </c>
      <c r="E88" s="15"/>
      <c r="F88" s="29" t="n">
        <f aca="false">Загальна!F73</f>
        <v>0</v>
      </c>
      <c r="G88" s="17"/>
      <c r="H88" s="17"/>
    </row>
    <row r="89" customFormat="false" ht="16.5" hidden="true" customHeight="false" outlineLevel="0" collapsed="false">
      <c r="A89" s="68"/>
      <c r="B89" s="35" t="s">
        <v>97</v>
      </c>
      <c r="C89" s="33" t="n">
        <v>11215</v>
      </c>
      <c r="D89" s="15" t="s">
        <v>27</v>
      </c>
      <c r="E89" s="15"/>
      <c r="F89" s="29" t="n">
        <f aca="false">Загальна!F74</f>
        <v>0</v>
      </c>
      <c r="G89" s="17"/>
      <c r="H89" s="17"/>
    </row>
    <row r="90" customFormat="false" ht="16.5" hidden="true" customHeight="false" outlineLevel="0" collapsed="false">
      <c r="A90" s="68"/>
      <c r="B90" s="35" t="s">
        <v>98</v>
      </c>
      <c r="C90" s="33" t="n">
        <v>11301</v>
      </c>
      <c r="D90" s="15" t="s">
        <v>27</v>
      </c>
      <c r="E90" s="15"/>
      <c r="F90" s="29" t="n">
        <f aca="false">Загальна!F75</f>
        <v>0</v>
      </c>
      <c r="G90" s="17"/>
      <c r="H90" s="17"/>
    </row>
    <row r="91" customFormat="false" ht="16.5" hidden="true" customHeight="false" outlineLevel="0" collapsed="false">
      <c r="A91" s="68"/>
      <c r="B91" s="35" t="s">
        <v>99</v>
      </c>
      <c r="C91" s="33" t="n">
        <v>11302</v>
      </c>
      <c r="D91" s="15" t="s">
        <v>27</v>
      </c>
      <c r="E91" s="15"/>
      <c r="F91" s="29" t="n">
        <f aca="false">Загальна!F76</f>
        <v>0</v>
      </c>
      <c r="G91" s="17"/>
      <c r="H91" s="17"/>
    </row>
    <row r="92" customFormat="false" ht="16.5" hidden="true" customHeight="false" outlineLevel="0" collapsed="false">
      <c r="A92" s="68"/>
      <c r="B92" s="35" t="s">
        <v>100</v>
      </c>
      <c r="C92" s="33" t="n">
        <v>11303</v>
      </c>
      <c r="D92" s="15" t="s">
        <v>27</v>
      </c>
      <c r="E92" s="15"/>
      <c r="F92" s="29" t="n">
        <f aca="false">Загальна!F77</f>
        <v>0</v>
      </c>
      <c r="G92" s="17"/>
      <c r="H92" s="17"/>
    </row>
    <row r="93" customFormat="false" ht="16.5" hidden="true" customHeight="false" outlineLevel="0" collapsed="false">
      <c r="A93" s="68"/>
      <c r="B93" s="35" t="s">
        <v>101</v>
      </c>
      <c r="C93" s="33" t="n">
        <v>11309</v>
      </c>
      <c r="D93" s="15" t="s">
        <v>27</v>
      </c>
      <c r="E93" s="15"/>
      <c r="F93" s="29" t="n">
        <f aca="false">Загальна!F78</f>
        <v>0</v>
      </c>
      <c r="G93" s="17"/>
      <c r="H93" s="17"/>
    </row>
    <row r="94" customFormat="false" ht="16.5" hidden="true" customHeight="false" outlineLevel="0" collapsed="false">
      <c r="A94" s="68"/>
      <c r="B94" s="35" t="s">
        <v>102</v>
      </c>
      <c r="C94" s="33" t="n">
        <v>11310</v>
      </c>
      <c r="D94" s="15" t="s">
        <v>27</v>
      </c>
      <c r="E94" s="15"/>
      <c r="F94" s="29" t="n">
        <f aca="false">Загальна!F79</f>
        <v>0</v>
      </c>
      <c r="G94" s="17"/>
      <c r="H94" s="17"/>
    </row>
    <row r="95" customFormat="false" ht="16.5" hidden="true" customHeight="false" outlineLevel="0" collapsed="false">
      <c r="A95" s="68"/>
      <c r="B95" s="35" t="s">
        <v>103</v>
      </c>
      <c r="C95" s="33" t="n">
        <v>11401</v>
      </c>
      <c r="D95" s="15" t="s">
        <v>27</v>
      </c>
      <c r="E95" s="15"/>
      <c r="F95" s="29" t="n">
        <f aca="false">Загальна!F80</f>
        <v>0</v>
      </c>
      <c r="G95" s="17"/>
      <c r="H95" s="17"/>
    </row>
    <row r="96" customFormat="false" ht="16.5" hidden="true" customHeight="false" outlineLevel="0" collapsed="false">
      <c r="A96" s="68" t="n">
        <v>9</v>
      </c>
      <c r="B96" s="35" t="s">
        <v>104</v>
      </c>
      <c r="C96" s="33" t="n">
        <v>11402</v>
      </c>
      <c r="D96" s="15" t="s">
        <v>27</v>
      </c>
      <c r="E96" s="15"/>
      <c r="F96" s="29" t="n">
        <f aca="false">Загальна!F81</f>
        <v>0</v>
      </c>
      <c r="G96" s="17"/>
      <c r="H96" s="17"/>
    </row>
    <row r="97" customFormat="false" ht="16.5" hidden="true" customHeight="false" outlineLevel="0" collapsed="false">
      <c r="A97" s="68" t="n">
        <v>10</v>
      </c>
      <c r="B97" s="35" t="s">
        <v>105</v>
      </c>
      <c r="C97" s="33" t="n">
        <v>11403</v>
      </c>
      <c r="D97" s="15" t="s">
        <v>27</v>
      </c>
      <c r="E97" s="15"/>
      <c r="F97" s="29" t="n">
        <f aca="false">Загальна!F82</f>
        <v>0</v>
      </c>
      <c r="G97" s="17"/>
      <c r="H97" s="17"/>
    </row>
    <row r="98" customFormat="false" ht="16.5" hidden="false" customHeight="false" outlineLevel="0" collapsed="false">
      <c r="A98" s="68" t="n">
        <v>9</v>
      </c>
      <c r="B98" s="35" t="s">
        <v>106</v>
      </c>
      <c r="C98" s="33" t="n">
        <v>11404</v>
      </c>
      <c r="D98" s="15" t="s">
        <v>27</v>
      </c>
      <c r="E98" s="15"/>
      <c r="F98" s="29" t="n">
        <f aca="false">Загальна!F83</f>
        <v>1.86</v>
      </c>
      <c r="G98" s="17"/>
      <c r="H98" s="17"/>
    </row>
    <row r="99" customFormat="false" ht="16.5" hidden="false" customHeight="false" outlineLevel="0" collapsed="false">
      <c r="A99" s="69" t="n">
        <v>10</v>
      </c>
      <c r="B99" s="35" t="s">
        <v>107</v>
      </c>
      <c r="C99" s="33" t="n">
        <v>11405</v>
      </c>
      <c r="D99" s="15" t="s">
        <v>27</v>
      </c>
      <c r="E99" s="15"/>
      <c r="F99" s="29" t="n">
        <f aca="false">Загальна!F84</f>
        <v>1.86</v>
      </c>
      <c r="G99" s="17"/>
      <c r="H99" s="17"/>
    </row>
    <row r="100" customFormat="false" ht="16.5" hidden="true" customHeight="false" outlineLevel="0" collapsed="false">
      <c r="A100" s="69"/>
      <c r="B100" s="35" t="s">
        <v>108</v>
      </c>
      <c r="C100" s="33" t="n">
        <v>11406</v>
      </c>
      <c r="D100" s="15" t="s">
        <v>27</v>
      </c>
      <c r="E100" s="15"/>
      <c r="F100" s="29" t="n">
        <f aca="false">Загальна!F85</f>
        <v>0</v>
      </c>
      <c r="G100" s="17"/>
      <c r="H100" s="17"/>
    </row>
    <row r="101" customFormat="false" ht="16.5" hidden="true" customHeight="false" outlineLevel="0" collapsed="false">
      <c r="A101" s="68" t="n">
        <v>11</v>
      </c>
      <c r="B101" s="35" t="s">
        <v>109</v>
      </c>
      <c r="C101" s="33" t="n">
        <v>11407</v>
      </c>
      <c r="D101" s="15" t="s">
        <v>27</v>
      </c>
      <c r="E101" s="15"/>
      <c r="F101" s="29" t="n">
        <f aca="false">Загальна!F86</f>
        <v>0</v>
      </c>
      <c r="G101" s="17"/>
      <c r="H101" s="17"/>
    </row>
    <row r="102" customFormat="false" ht="16.5" hidden="true" customHeight="false" outlineLevel="0" collapsed="false">
      <c r="A102" s="68"/>
      <c r="B102" s="35" t="s">
        <v>110</v>
      </c>
      <c r="C102" s="33" t="n">
        <v>11408</v>
      </c>
      <c r="D102" s="15" t="s">
        <v>27</v>
      </c>
      <c r="E102" s="15"/>
      <c r="F102" s="29" t="n">
        <f aca="false">Загальна!F87</f>
        <v>0</v>
      </c>
      <c r="G102" s="17"/>
      <c r="H102" s="17"/>
    </row>
    <row r="103" customFormat="false" ht="16.5" hidden="false" customHeight="false" outlineLevel="0" collapsed="false">
      <c r="A103" s="68" t="n">
        <v>11</v>
      </c>
      <c r="B103" s="35" t="s">
        <v>111</v>
      </c>
      <c r="C103" s="33" t="n">
        <v>11409</v>
      </c>
      <c r="D103" s="15" t="s">
        <v>27</v>
      </c>
      <c r="E103" s="15"/>
      <c r="F103" s="29" t="n">
        <f aca="false">Загальна!F88</f>
        <v>1.86</v>
      </c>
      <c r="G103" s="17"/>
      <c r="H103" s="17"/>
    </row>
    <row r="104" customFormat="false" ht="16.5" hidden="true" customHeight="false" outlineLevel="0" collapsed="false">
      <c r="A104" s="68"/>
      <c r="B104" s="35" t="s">
        <v>112</v>
      </c>
      <c r="C104" s="33" t="n">
        <v>11410</v>
      </c>
      <c r="D104" s="15" t="s">
        <v>27</v>
      </c>
      <c r="E104" s="15"/>
      <c r="F104" s="29" t="n">
        <f aca="false">Загальна!F89</f>
        <v>0</v>
      </c>
      <c r="G104" s="17"/>
      <c r="H104" s="17"/>
    </row>
    <row r="105" customFormat="false" ht="16.5" hidden="true" customHeight="false" outlineLevel="0" collapsed="false">
      <c r="A105" s="68"/>
      <c r="B105" s="35" t="s">
        <v>113</v>
      </c>
      <c r="C105" s="33" t="n">
        <v>11411</v>
      </c>
      <c r="D105" s="15" t="s">
        <v>27</v>
      </c>
      <c r="E105" s="15"/>
      <c r="F105" s="29" t="n">
        <f aca="false">Загальна!F90</f>
        <v>0</v>
      </c>
      <c r="G105" s="17"/>
      <c r="H105" s="17"/>
    </row>
    <row r="106" customFormat="false" ht="16.5" hidden="true" customHeight="false" outlineLevel="0" collapsed="false">
      <c r="A106" s="68"/>
      <c r="B106" s="35" t="s">
        <v>114</v>
      </c>
      <c r="C106" s="33" t="n">
        <v>11412</v>
      </c>
      <c r="D106" s="15" t="s">
        <v>27</v>
      </c>
      <c r="E106" s="15"/>
      <c r="F106" s="29" t="n">
        <f aca="false">Загальна!F91</f>
        <v>0</v>
      </c>
      <c r="G106" s="17"/>
      <c r="H106" s="17"/>
    </row>
    <row r="107" customFormat="false" ht="16.5" hidden="true" customHeight="false" outlineLevel="0" collapsed="false">
      <c r="A107" s="68"/>
      <c r="B107" s="35" t="s">
        <v>115</v>
      </c>
      <c r="C107" s="33" t="n">
        <v>11413</v>
      </c>
      <c r="D107" s="15" t="s">
        <v>27</v>
      </c>
      <c r="E107" s="15"/>
      <c r="F107" s="29" t="n">
        <f aca="false">Загальна!F92</f>
        <v>0</v>
      </c>
      <c r="G107" s="17"/>
      <c r="H107" s="17"/>
    </row>
    <row r="108" customFormat="false" ht="16.5" hidden="true" customHeight="false" outlineLevel="0" collapsed="false">
      <c r="A108" s="68"/>
      <c r="B108" s="35" t="s">
        <v>116</v>
      </c>
      <c r="C108" s="33" t="n">
        <v>11414</v>
      </c>
      <c r="D108" s="15" t="s">
        <v>27</v>
      </c>
      <c r="E108" s="15"/>
      <c r="F108" s="29" t="n">
        <f aca="false">Загальна!F93</f>
        <v>0</v>
      </c>
      <c r="G108" s="17"/>
      <c r="H108" s="17"/>
    </row>
    <row r="109" customFormat="false" ht="16.5" hidden="true" customHeight="false" outlineLevel="0" collapsed="false">
      <c r="A109" s="69"/>
      <c r="B109" s="35" t="s">
        <v>117</v>
      </c>
      <c r="C109" s="33" t="n">
        <v>11415</v>
      </c>
      <c r="D109" s="15" t="s">
        <v>27</v>
      </c>
      <c r="E109" s="15"/>
      <c r="F109" s="29" t="n">
        <f aca="false">Загальна!F94</f>
        <v>0</v>
      </c>
      <c r="G109" s="17"/>
      <c r="H109" s="17"/>
    </row>
    <row r="110" customFormat="false" ht="16.5" hidden="true" customHeight="false" outlineLevel="0" collapsed="false">
      <c r="A110" s="69"/>
      <c r="B110" s="35" t="s">
        <v>118</v>
      </c>
      <c r="C110" s="33" t="n">
        <v>11416</v>
      </c>
      <c r="D110" s="15" t="s">
        <v>27</v>
      </c>
      <c r="E110" s="15"/>
      <c r="F110" s="29" t="n">
        <f aca="false">Загальна!F95</f>
        <v>0</v>
      </c>
      <c r="G110" s="17"/>
      <c r="H110" s="17"/>
    </row>
    <row r="111" customFormat="false" ht="16.5" hidden="true" customHeight="false" outlineLevel="0" collapsed="false">
      <c r="A111" s="68"/>
      <c r="B111" s="35" t="s">
        <v>119</v>
      </c>
      <c r="C111" s="33" t="n">
        <v>11417</v>
      </c>
      <c r="D111" s="15" t="s">
        <v>27</v>
      </c>
      <c r="E111" s="15"/>
      <c r="F111" s="29" t="n">
        <f aca="false">Загальна!F96</f>
        <v>0</v>
      </c>
      <c r="G111" s="17"/>
      <c r="H111" s="17"/>
    </row>
    <row r="112" customFormat="false" ht="16.5" hidden="true" customHeight="false" outlineLevel="0" collapsed="false">
      <c r="A112" s="68"/>
      <c r="B112" s="35" t="s">
        <v>120</v>
      </c>
      <c r="C112" s="33" t="n">
        <v>11419</v>
      </c>
      <c r="D112" s="15" t="s">
        <v>27</v>
      </c>
      <c r="E112" s="15"/>
      <c r="F112" s="29" t="n">
        <f aca="false">Загальна!F97</f>
        <v>0</v>
      </c>
      <c r="G112" s="17"/>
      <c r="H112" s="17"/>
    </row>
    <row r="113" customFormat="false" ht="16.5" hidden="true" customHeight="false" outlineLevel="0" collapsed="false">
      <c r="A113" s="68"/>
      <c r="B113" s="35" t="s">
        <v>121</v>
      </c>
      <c r="C113" s="33" t="n">
        <v>11420</v>
      </c>
      <c r="D113" s="15" t="s">
        <v>27</v>
      </c>
      <c r="E113" s="15"/>
      <c r="F113" s="29" t="n">
        <f aca="false">Загальна!F98</f>
        <v>0</v>
      </c>
      <c r="G113" s="17"/>
      <c r="H113" s="17"/>
    </row>
    <row r="114" customFormat="false" ht="16.5" hidden="true" customHeight="false" outlineLevel="0" collapsed="false">
      <c r="A114" s="68"/>
      <c r="B114" s="35" t="s">
        <v>122</v>
      </c>
      <c r="C114" s="33" t="n">
        <v>11422</v>
      </c>
      <c r="D114" s="15" t="s">
        <v>27</v>
      </c>
      <c r="E114" s="15"/>
      <c r="F114" s="29" t="n">
        <f aca="false">Загальна!F99</f>
        <v>0</v>
      </c>
      <c r="G114" s="17"/>
      <c r="H114" s="17"/>
    </row>
    <row r="115" customFormat="false" ht="16.5" hidden="true" customHeight="false" outlineLevel="0" collapsed="false">
      <c r="A115" s="68"/>
      <c r="B115" s="35" t="s">
        <v>123</v>
      </c>
      <c r="C115" s="33" t="n">
        <v>11423</v>
      </c>
      <c r="D115" s="15" t="s">
        <v>27</v>
      </c>
      <c r="E115" s="15"/>
      <c r="F115" s="29" t="n">
        <f aca="false">Загальна!F100</f>
        <v>0</v>
      </c>
      <c r="G115" s="17"/>
      <c r="H115" s="17"/>
    </row>
    <row r="116" customFormat="false" ht="16.5" hidden="true" customHeight="false" outlineLevel="0" collapsed="false">
      <c r="A116" s="68"/>
      <c r="B116" s="35" t="s">
        <v>124</v>
      </c>
      <c r="C116" s="33" t="n">
        <v>11424</v>
      </c>
      <c r="D116" s="15" t="s">
        <v>27</v>
      </c>
      <c r="E116" s="15"/>
      <c r="F116" s="29" t="n">
        <f aca="false">Загальна!F101</f>
        <v>0</v>
      </c>
      <c r="G116" s="17"/>
      <c r="H116" s="17"/>
    </row>
    <row r="117" customFormat="false" ht="16.5" hidden="true" customHeight="false" outlineLevel="0" collapsed="false">
      <c r="A117" s="70"/>
      <c r="B117" s="35" t="s">
        <v>125</v>
      </c>
      <c r="C117" s="33" t="n">
        <v>11501</v>
      </c>
      <c r="D117" s="38" t="s">
        <v>27</v>
      </c>
      <c r="E117" s="38"/>
      <c r="F117" s="29" t="n">
        <f aca="false">Загальна!F102</f>
        <v>0</v>
      </c>
      <c r="G117" s="17"/>
      <c r="H117" s="17"/>
    </row>
    <row r="118" customFormat="false" ht="16.5" hidden="true" customHeight="false" outlineLevel="0" collapsed="false">
      <c r="A118" s="69"/>
      <c r="B118" s="35" t="s">
        <v>126</v>
      </c>
      <c r="C118" s="33" t="n">
        <v>11502</v>
      </c>
      <c r="D118" s="15" t="s">
        <v>27</v>
      </c>
      <c r="E118" s="39"/>
      <c r="F118" s="29" t="n">
        <f aca="false">Загальна!F103</f>
        <v>0</v>
      </c>
      <c r="G118" s="17"/>
      <c r="H118" s="17"/>
    </row>
    <row r="119" customFormat="false" ht="16.5" hidden="true" customHeight="false" outlineLevel="0" collapsed="false">
      <c r="A119" s="68"/>
      <c r="B119" s="35" t="s">
        <v>127</v>
      </c>
      <c r="C119" s="33" t="n">
        <v>11503</v>
      </c>
      <c r="D119" s="15" t="s">
        <v>27</v>
      </c>
      <c r="E119" s="15"/>
      <c r="F119" s="29" t="n">
        <f aca="false">Загальна!F104</f>
        <v>0</v>
      </c>
      <c r="G119" s="17"/>
      <c r="H119" s="17"/>
    </row>
    <row r="120" customFormat="false" ht="16.5" hidden="true" customHeight="false" outlineLevel="0" collapsed="false">
      <c r="A120" s="68"/>
      <c r="B120" s="35" t="s">
        <v>128</v>
      </c>
      <c r="C120" s="33" t="n">
        <v>11504</v>
      </c>
      <c r="D120" s="15" t="s">
        <v>27</v>
      </c>
      <c r="E120" s="15"/>
      <c r="F120" s="29" t="n">
        <f aca="false">Загальна!F105</f>
        <v>0</v>
      </c>
      <c r="G120" s="17"/>
      <c r="H120" s="17"/>
    </row>
    <row r="121" customFormat="false" ht="16.5" hidden="true" customHeight="false" outlineLevel="0" collapsed="false">
      <c r="A121" s="68" t="n">
        <v>12</v>
      </c>
      <c r="B121" s="35" t="s">
        <v>129</v>
      </c>
      <c r="C121" s="33" t="n">
        <v>11505</v>
      </c>
      <c r="D121" s="15" t="s">
        <v>27</v>
      </c>
      <c r="E121" s="15"/>
      <c r="F121" s="29" t="n">
        <f aca="false">Загальна!F106</f>
        <v>0</v>
      </c>
      <c r="G121" s="17"/>
      <c r="H121" s="17"/>
    </row>
    <row r="122" customFormat="false" ht="16.5" hidden="true" customHeight="false" outlineLevel="0" collapsed="false">
      <c r="A122" s="68"/>
      <c r="B122" s="35" t="s">
        <v>130</v>
      </c>
      <c r="C122" s="33" t="n">
        <v>11602</v>
      </c>
      <c r="D122" s="15" t="s">
        <v>27</v>
      </c>
      <c r="E122" s="15"/>
      <c r="F122" s="29" t="n">
        <f aca="false">Загальна!F107</f>
        <v>0</v>
      </c>
      <c r="G122" s="17"/>
      <c r="H122" s="17"/>
    </row>
    <row r="123" customFormat="false" ht="16.5" hidden="false" customHeight="false" outlineLevel="0" collapsed="false">
      <c r="A123" s="68" t="n">
        <v>12</v>
      </c>
      <c r="B123" s="35" t="s">
        <v>131</v>
      </c>
      <c r="C123" s="33" t="n">
        <v>11603</v>
      </c>
      <c r="D123" s="15" t="s">
        <v>27</v>
      </c>
      <c r="E123" s="15"/>
      <c r="F123" s="29" t="n">
        <f aca="false">Загальна!F108</f>
        <v>0.31</v>
      </c>
      <c r="G123" s="17"/>
      <c r="H123" s="17"/>
    </row>
    <row r="124" customFormat="false" ht="16.5" hidden="true" customHeight="false" outlineLevel="0" collapsed="false">
      <c r="A124" s="68"/>
      <c r="B124" s="35" t="s">
        <v>132</v>
      </c>
      <c r="C124" s="33" t="n">
        <v>11604</v>
      </c>
      <c r="D124" s="15" t="s">
        <v>27</v>
      </c>
      <c r="E124" s="15"/>
      <c r="F124" s="29" t="n">
        <f aca="false">Загальна!F109</f>
        <v>0</v>
      </c>
      <c r="G124" s="17"/>
      <c r="H124" s="17"/>
    </row>
    <row r="125" customFormat="false" ht="16.5" hidden="true" customHeight="false" outlineLevel="0" collapsed="false">
      <c r="A125" s="68" t="n">
        <v>13</v>
      </c>
      <c r="B125" s="35" t="s">
        <v>133</v>
      </c>
      <c r="C125" s="33" t="n">
        <v>11605</v>
      </c>
      <c r="D125" s="15" t="s">
        <v>27</v>
      </c>
      <c r="E125" s="15"/>
      <c r="F125" s="29" t="n">
        <f aca="false">Загальна!F110</f>
        <v>0</v>
      </c>
      <c r="G125" s="17"/>
      <c r="H125" s="17"/>
    </row>
    <row r="126" customFormat="false" ht="16.5" hidden="true" customHeight="false" outlineLevel="0" collapsed="false">
      <c r="A126" s="68"/>
      <c r="B126" s="35" t="s">
        <v>134</v>
      </c>
      <c r="C126" s="33" t="n">
        <v>11606</v>
      </c>
      <c r="D126" s="15" t="s">
        <v>27</v>
      </c>
      <c r="E126" s="15"/>
      <c r="F126" s="29" t="n">
        <f aca="false">Загальна!F111</f>
        <v>0</v>
      </c>
      <c r="G126" s="17"/>
      <c r="H126" s="17"/>
    </row>
    <row r="127" customFormat="false" ht="16.5" hidden="false" customHeight="false" outlineLevel="0" collapsed="false">
      <c r="A127" s="68" t="n">
        <v>13</v>
      </c>
      <c r="B127" s="35" t="s">
        <v>135</v>
      </c>
      <c r="C127" s="33" t="n">
        <v>11607</v>
      </c>
      <c r="D127" s="15" t="s">
        <v>27</v>
      </c>
      <c r="E127" s="15"/>
      <c r="F127" s="29" t="n">
        <f aca="false">Загальна!F112</f>
        <v>0.31</v>
      </c>
      <c r="G127" s="17"/>
      <c r="H127" s="17"/>
    </row>
    <row r="128" customFormat="false" ht="16.5" hidden="true" customHeight="false" outlineLevel="0" collapsed="false">
      <c r="A128" s="68"/>
      <c r="B128" s="35" t="s">
        <v>136</v>
      </c>
      <c r="C128" s="33" t="n">
        <v>11608</v>
      </c>
      <c r="D128" s="15" t="s">
        <v>27</v>
      </c>
      <c r="E128" s="15"/>
      <c r="F128" s="29" t="n">
        <f aca="false">Загальна!F113</f>
        <v>0</v>
      </c>
      <c r="G128" s="17"/>
      <c r="H128" s="17"/>
    </row>
    <row r="129" customFormat="false" ht="16.5" hidden="true" customHeight="false" outlineLevel="0" collapsed="false">
      <c r="A129" s="68"/>
      <c r="B129" s="35" t="s">
        <v>137</v>
      </c>
      <c r="C129" s="33" t="n">
        <v>11609</v>
      </c>
      <c r="D129" s="15" t="s">
        <v>27</v>
      </c>
      <c r="E129" s="15"/>
      <c r="F129" s="29" t="n">
        <f aca="false">Загальна!F114</f>
        <v>0</v>
      </c>
      <c r="G129" s="17"/>
      <c r="H129" s="17"/>
    </row>
    <row r="130" customFormat="false" ht="16.5" hidden="true" customHeight="false" outlineLevel="0" collapsed="false">
      <c r="A130" s="69"/>
      <c r="B130" s="35" t="s">
        <v>138</v>
      </c>
      <c r="C130" s="33" t="n">
        <v>11610</v>
      </c>
      <c r="D130" s="15" t="s">
        <v>27</v>
      </c>
      <c r="E130" s="15"/>
      <c r="F130" s="29" t="n">
        <f aca="false">Загальна!F115</f>
        <v>0</v>
      </c>
      <c r="G130" s="17"/>
      <c r="H130" s="17"/>
    </row>
    <row r="131" customFormat="false" ht="16.5" hidden="true" customHeight="false" outlineLevel="0" collapsed="false">
      <c r="A131" s="68"/>
      <c r="B131" s="35" t="s">
        <v>139</v>
      </c>
      <c r="C131" s="33" t="n">
        <v>11611</v>
      </c>
      <c r="D131" s="15" t="s">
        <v>27</v>
      </c>
      <c r="E131" s="15"/>
      <c r="F131" s="29" t="n">
        <f aca="false">Загальна!F116</f>
        <v>0</v>
      </c>
      <c r="G131" s="17"/>
      <c r="H131" s="17"/>
    </row>
    <row r="132" customFormat="false" ht="16.5" hidden="true" customHeight="false" outlineLevel="0" collapsed="false">
      <c r="A132" s="68" t="n">
        <v>14</v>
      </c>
      <c r="B132" s="35" t="s">
        <v>140</v>
      </c>
      <c r="C132" s="33" t="n">
        <v>11612</v>
      </c>
      <c r="D132" s="15" t="s">
        <v>27</v>
      </c>
      <c r="E132" s="15"/>
      <c r="F132" s="29" t="n">
        <f aca="false">Загальна!F117</f>
        <v>0</v>
      </c>
      <c r="G132" s="17"/>
      <c r="H132" s="17"/>
    </row>
    <row r="133" customFormat="false" ht="16.5" hidden="true" customHeight="false" outlineLevel="0" collapsed="false">
      <c r="A133" s="69"/>
      <c r="B133" s="35" t="s">
        <v>141</v>
      </c>
      <c r="C133" s="33" t="n">
        <v>11613</v>
      </c>
      <c r="D133" s="15" t="s">
        <v>27</v>
      </c>
      <c r="E133" s="15"/>
      <c r="F133" s="29" t="n">
        <f aca="false">Загальна!F118</f>
        <v>0</v>
      </c>
      <c r="G133" s="17"/>
      <c r="H133" s="17"/>
    </row>
    <row r="134" customFormat="false" ht="16.5" hidden="false" customHeight="false" outlineLevel="0" collapsed="false">
      <c r="A134" s="69" t="n">
        <v>14</v>
      </c>
      <c r="B134" s="35" t="s">
        <v>142</v>
      </c>
      <c r="C134" s="33" t="n">
        <v>11614</v>
      </c>
      <c r="D134" s="15" t="s">
        <v>27</v>
      </c>
      <c r="E134" s="15"/>
      <c r="F134" s="29" t="n">
        <f aca="false">Загальна!F119</f>
        <v>0.775</v>
      </c>
      <c r="G134" s="17"/>
      <c r="H134" s="17"/>
    </row>
    <row r="135" customFormat="false" ht="16.5" hidden="true" customHeight="false" outlineLevel="0" collapsed="false">
      <c r="A135" s="69"/>
      <c r="B135" s="35" t="s">
        <v>143</v>
      </c>
      <c r="C135" s="33" t="n">
        <v>11615</v>
      </c>
      <c r="D135" s="15" t="s">
        <v>27</v>
      </c>
      <c r="E135" s="15"/>
      <c r="F135" s="29" t="n">
        <f aca="false">Загальна!F120</f>
        <v>0</v>
      </c>
      <c r="G135" s="17"/>
      <c r="H135" s="17"/>
    </row>
    <row r="136" customFormat="false" ht="16.5" hidden="false" customHeight="false" outlineLevel="0" collapsed="false">
      <c r="A136" s="68" t="n">
        <v>15</v>
      </c>
      <c r="B136" s="35" t="s">
        <v>144</v>
      </c>
      <c r="C136" s="33" t="n">
        <v>11616</v>
      </c>
      <c r="D136" s="15" t="s">
        <v>27</v>
      </c>
      <c r="E136" s="15"/>
      <c r="F136" s="29" t="n">
        <f aca="false">Загальна!F121</f>
        <v>0.031</v>
      </c>
      <c r="G136" s="17"/>
      <c r="H136" s="17"/>
    </row>
    <row r="137" customFormat="false" ht="16.5" hidden="true" customHeight="false" outlineLevel="0" collapsed="false">
      <c r="A137" s="68"/>
      <c r="B137" s="35" t="s">
        <v>145</v>
      </c>
      <c r="C137" s="33" t="n">
        <v>11617</v>
      </c>
      <c r="D137" s="15" t="s">
        <v>27</v>
      </c>
      <c r="E137" s="15"/>
      <c r="F137" s="29" t="n">
        <f aca="false">Загальна!F122</f>
        <v>0</v>
      </c>
      <c r="G137" s="17"/>
      <c r="H137" s="17"/>
    </row>
    <row r="138" customFormat="false" ht="16.5" hidden="true" customHeight="false" outlineLevel="0" collapsed="false">
      <c r="A138" s="69"/>
      <c r="B138" s="35" t="s">
        <v>146</v>
      </c>
      <c r="C138" s="33" t="n">
        <v>11618</v>
      </c>
      <c r="D138" s="15" t="s">
        <v>27</v>
      </c>
      <c r="E138" s="15"/>
      <c r="F138" s="29" t="n">
        <f aca="false">Загальна!F123</f>
        <v>0</v>
      </c>
      <c r="G138" s="17"/>
      <c r="H138" s="17"/>
    </row>
    <row r="139" customFormat="false" ht="16.5" hidden="true" customHeight="false" outlineLevel="0" collapsed="false">
      <c r="A139" s="69"/>
      <c r="B139" s="35" t="s">
        <v>147</v>
      </c>
      <c r="C139" s="33" t="n">
        <v>11619</v>
      </c>
      <c r="D139" s="15" t="s">
        <v>27</v>
      </c>
      <c r="E139" s="15"/>
      <c r="F139" s="29" t="n">
        <f aca="false">Загальна!F124</f>
        <v>0</v>
      </c>
      <c r="G139" s="17"/>
      <c r="H139" s="17"/>
    </row>
    <row r="140" customFormat="false" ht="16.5" hidden="true" customHeight="false" outlineLevel="0" collapsed="false">
      <c r="A140" s="68"/>
      <c r="B140" s="35" t="s">
        <v>148</v>
      </c>
      <c r="C140" s="33" t="n">
        <v>11620</v>
      </c>
      <c r="D140" s="15" t="s">
        <v>27</v>
      </c>
      <c r="E140" s="15"/>
      <c r="F140" s="29" t="n">
        <f aca="false">Загальна!F125</f>
        <v>0</v>
      </c>
      <c r="G140" s="17"/>
      <c r="H140" s="17"/>
    </row>
    <row r="141" customFormat="false" ht="16.5" hidden="true" customHeight="false" outlineLevel="0" collapsed="false">
      <c r="A141" s="68"/>
      <c r="B141" s="35" t="s">
        <v>149</v>
      </c>
      <c r="C141" s="33" t="n">
        <v>11621</v>
      </c>
      <c r="D141" s="15" t="s">
        <v>27</v>
      </c>
      <c r="E141" s="15"/>
      <c r="F141" s="29" t="n">
        <f aca="false">Загальна!F126</f>
        <v>0</v>
      </c>
      <c r="G141" s="17"/>
      <c r="H141" s="17"/>
    </row>
    <row r="142" customFormat="false" ht="16.5" hidden="true" customHeight="false" outlineLevel="0" collapsed="false">
      <c r="A142" s="68"/>
      <c r="B142" s="35" t="s">
        <v>150</v>
      </c>
      <c r="C142" s="33" t="n">
        <v>11622</v>
      </c>
      <c r="D142" s="15" t="s">
        <v>27</v>
      </c>
      <c r="E142" s="15"/>
      <c r="F142" s="29" t="n">
        <f aca="false">Загальна!F127</f>
        <v>0</v>
      </c>
      <c r="G142" s="17"/>
      <c r="H142" s="17"/>
    </row>
    <row r="143" customFormat="false" ht="16.5" hidden="true" customHeight="false" outlineLevel="0" collapsed="false">
      <c r="A143" s="68"/>
      <c r="B143" s="35" t="s">
        <v>151</v>
      </c>
      <c r="C143" s="33" t="n">
        <v>11623</v>
      </c>
      <c r="D143" s="15" t="s">
        <v>27</v>
      </c>
      <c r="E143" s="15"/>
      <c r="F143" s="29" t="n">
        <f aca="false">Загальна!F128</f>
        <v>0</v>
      </c>
      <c r="G143" s="17"/>
      <c r="H143" s="17"/>
    </row>
    <row r="144" customFormat="false" ht="16.5" hidden="true" customHeight="false" outlineLevel="0" collapsed="false">
      <c r="A144" s="68"/>
      <c r="B144" s="35" t="s">
        <v>152</v>
      </c>
      <c r="C144" s="33" t="n">
        <v>11624</v>
      </c>
      <c r="D144" s="15" t="s">
        <v>27</v>
      </c>
      <c r="E144" s="15"/>
      <c r="F144" s="29" t="n">
        <f aca="false">Загальна!F129</f>
        <v>0</v>
      </c>
      <c r="G144" s="17"/>
      <c r="H144" s="17"/>
    </row>
    <row r="145" customFormat="false" ht="16.5" hidden="true" customHeight="false" outlineLevel="0" collapsed="false">
      <c r="A145" s="68"/>
      <c r="B145" s="35" t="s">
        <v>153</v>
      </c>
      <c r="C145" s="33" t="n">
        <v>11625</v>
      </c>
      <c r="D145" s="15" t="s">
        <v>27</v>
      </c>
      <c r="E145" s="15"/>
      <c r="F145" s="29" t="n">
        <f aca="false">Загальна!F130</f>
        <v>0</v>
      </c>
      <c r="G145" s="17"/>
      <c r="H145" s="17"/>
    </row>
    <row r="146" customFormat="false" ht="16.5" hidden="true" customHeight="false" outlineLevel="0" collapsed="false">
      <c r="A146" s="68"/>
      <c r="B146" s="35" t="s">
        <v>154</v>
      </c>
      <c r="C146" s="33" t="n">
        <v>11626</v>
      </c>
      <c r="D146" s="15" t="s">
        <v>27</v>
      </c>
      <c r="E146" s="15"/>
      <c r="F146" s="29" t="n">
        <f aca="false">Загальна!F131</f>
        <v>0</v>
      </c>
      <c r="G146" s="17"/>
      <c r="H146" s="17"/>
    </row>
    <row r="147" customFormat="false" ht="16.5" hidden="true" customHeight="false" outlineLevel="0" collapsed="false">
      <c r="A147" s="68"/>
      <c r="B147" s="35" t="s">
        <v>155</v>
      </c>
      <c r="C147" s="33" t="n">
        <v>11627</v>
      </c>
      <c r="D147" s="15" t="s">
        <v>27</v>
      </c>
      <c r="E147" s="15"/>
      <c r="F147" s="29" t="n">
        <f aca="false">Загальна!F132</f>
        <v>0</v>
      </c>
      <c r="G147" s="17"/>
      <c r="H147" s="17"/>
    </row>
    <row r="148" customFormat="false" ht="16.5" hidden="true" customHeight="false" outlineLevel="0" collapsed="false">
      <c r="A148" s="68"/>
      <c r="B148" s="35" t="s">
        <v>156</v>
      </c>
      <c r="C148" s="33" t="n">
        <v>11628</v>
      </c>
      <c r="D148" s="15" t="s">
        <v>27</v>
      </c>
      <c r="E148" s="15"/>
      <c r="F148" s="29" t="n">
        <f aca="false">Загальна!F133</f>
        <v>0</v>
      </c>
      <c r="G148" s="17"/>
      <c r="H148" s="17"/>
    </row>
    <row r="149" customFormat="false" ht="16.5" hidden="true" customHeight="false" outlineLevel="0" collapsed="false">
      <c r="A149" s="68"/>
      <c r="B149" s="35" t="s">
        <v>157</v>
      </c>
      <c r="C149" s="33" t="n">
        <v>11629</v>
      </c>
      <c r="D149" s="15" t="s">
        <v>27</v>
      </c>
      <c r="E149" s="15"/>
      <c r="F149" s="29" t="n">
        <f aca="false">Загальна!F134</f>
        <v>0</v>
      </c>
      <c r="G149" s="17"/>
      <c r="H149" s="17"/>
    </row>
    <row r="150" customFormat="false" ht="16.5" hidden="true" customHeight="false" outlineLevel="0" collapsed="false">
      <c r="A150" s="68"/>
      <c r="B150" s="35" t="s">
        <v>158</v>
      </c>
      <c r="C150" s="33" t="n">
        <v>11630</v>
      </c>
      <c r="D150" s="15" t="s">
        <v>27</v>
      </c>
      <c r="E150" s="15"/>
      <c r="F150" s="29" t="n">
        <f aca="false">Загальна!F135</f>
        <v>0</v>
      </c>
      <c r="G150" s="17"/>
      <c r="H150" s="17"/>
    </row>
    <row r="151" customFormat="false" ht="16.5" hidden="true" customHeight="false" outlineLevel="0" collapsed="false">
      <c r="A151" s="68"/>
      <c r="B151" s="35" t="s">
        <v>159</v>
      </c>
      <c r="C151" s="33" t="n">
        <v>11631</v>
      </c>
      <c r="D151" s="15" t="s">
        <v>27</v>
      </c>
      <c r="E151" s="15"/>
      <c r="F151" s="29" t="n">
        <f aca="false">Загальна!F136</f>
        <v>0</v>
      </c>
      <c r="G151" s="17"/>
      <c r="H151" s="17"/>
    </row>
    <row r="152" customFormat="false" ht="16.5" hidden="true" customHeight="false" outlineLevel="0" collapsed="false">
      <c r="A152" s="68"/>
      <c r="B152" s="35" t="s">
        <v>160</v>
      </c>
      <c r="C152" s="33" t="n">
        <v>11633</v>
      </c>
      <c r="D152" s="15" t="s">
        <v>27</v>
      </c>
      <c r="E152" s="15"/>
      <c r="F152" s="29" t="n">
        <f aca="false">Загальна!F137</f>
        <v>0</v>
      </c>
      <c r="G152" s="17"/>
      <c r="H152" s="17"/>
    </row>
    <row r="153" customFormat="false" ht="16.5" hidden="true" customHeight="false" outlineLevel="0" collapsed="false">
      <c r="A153" s="69"/>
      <c r="B153" s="35" t="s">
        <v>161</v>
      </c>
      <c r="C153" s="33" t="n">
        <v>11634</v>
      </c>
      <c r="D153" s="15" t="s">
        <v>27</v>
      </c>
      <c r="E153" s="15"/>
      <c r="F153" s="29" t="n">
        <f aca="false">Загальна!F138</f>
        <v>0</v>
      </c>
      <c r="G153" s="17"/>
      <c r="H153" s="17"/>
    </row>
    <row r="154" customFormat="false" ht="16.5" hidden="true" customHeight="false" outlineLevel="0" collapsed="false">
      <c r="A154" s="68"/>
      <c r="B154" s="35" t="s">
        <v>162</v>
      </c>
      <c r="C154" s="33" t="n">
        <v>11635</v>
      </c>
      <c r="D154" s="15" t="s">
        <v>27</v>
      </c>
      <c r="E154" s="15"/>
      <c r="F154" s="29" t="n">
        <f aca="false">Загальна!F139</f>
        <v>0</v>
      </c>
      <c r="G154" s="17"/>
      <c r="H154" s="17"/>
    </row>
    <row r="155" customFormat="false" ht="16.5" hidden="true" customHeight="false" outlineLevel="0" collapsed="false">
      <c r="A155" s="68" t="n">
        <v>16</v>
      </c>
      <c r="B155" s="35" t="s">
        <v>163</v>
      </c>
      <c r="C155" s="33" t="n">
        <v>11636</v>
      </c>
      <c r="D155" s="15" t="s">
        <v>27</v>
      </c>
      <c r="E155" s="15"/>
      <c r="F155" s="29" t="n">
        <f aca="false">Загальна!F140</f>
        <v>0</v>
      </c>
      <c r="G155" s="17"/>
      <c r="H155" s="17"/>
    </row>
    <row r="156" customFormat="false" ht="16.5" hidden="true" customHeight="false" outlineLevel="0" collapsed="false">
      <c r="A156" s="69"/>
      <c r="B156" s="35" t="s">
        <v>164</v>
      </c>
      <c r="C156" s="33" t="n">
        <v>11637</v>
      </c>
      <c r="D156" s="15" t="s">
        <v>27</v>
      </c>
      <c r="E156" s="15"/>
      <c r="F156" s="29" t="n">
        <f aca="false">Загальна!F141</f>
        <v>0</v>
      </c>
      <c r="G156" s="17"/>
      <c r="H156" s="17"/>
    </row>
    <row r="157" customFormat="false" ht="16.5" hidden="false" customHeight="false" outlineLevel="0" collapsed="false">
      <c r="A157" s="69" t="n">
        <v>16</v>
      </c>
      <c r="B157" s="35" t="s">
        <v>165</v>
      </c>
      <c r="C157" s="33" t="n">
        <v>11638</v>
      </c>
      <c r="D157" s="15" t="s">
        <v>27</v>
      </c>
      <c r="E157" s="15"/>
      <c r="F157" s="29" t="n">
        <f aca="false">Загальна!F142</f>
        <v>0.031</v>
      </c>
      <c r="G157" s="17"/>
      <c r="H157" s="17"/>
    </row>
    <row r="158" customFormat="false" ht="16.5" hidden="true" customHeight="false" outlineLevel="0" collapsed="false">
      <c r="A158" s="69"/>
      <c r="B158" s="35" t="s">
        <v>166</v>
      </c>
      <c r="C158" s="33" t="n">
        <v>11639</v>
      </c>
      <c r="D158" s="15" t="s">
        <v>27</v>
      </c>
      <c r="E158" s="15"/>
      <c r="F158" s="29" t="n">
        <f aca="false">Загальна!F143</f>
        <v>0</v>
      </c>
      <c r="G158" s="17"/>
      <c r="H158" s="17"/>
    </row>
    <row r="159" customFormat="false" ht="16.5" hidden="true" customHeight="false" outlineLevel="0" collapsed="false">
      <c r="A159" s="69"/>
      <c r="B159" s="35" t="s">
        <v>167</v>
      </c>
      <c r="C159" s="33" t="n">
        <v>12001</v>
      </c>
      <c r="D159" s="15" t="s">
        <v>27</v>
      </c>
      <c r="E159" s="15"/>
      <c r="F159" s="29" t="n">
        <f aca="false">Загальна!F144</f>
        <v>0</v>
      </c>
      <c r="G159" s="17"/>
      <c r="H159" s="17"/>
    </row>
    <row r="160" customFormat="false" ht="16.5" hidden="true" customHeight="false" outlineLevel="0" collapsed="false">
      <c r="A160" s="68"/>
      <c r="B160" s="35" t="s">
        <v>168</v>
      </c>
      <c r="C160" s="33" t="n">
        <v>12003</v>
      </c>
      <c r="D160" s="15" t="s">
        <v>27</v>
      </c>
      <c r="E160" s="15"/>
      <c r="F160" s="29" t="n">
        <f aca="false">Загальна!F145</f>
        <v>0</v>
      </c>
      <c r="G160" s="17"/>
      <c r="H160" s="17"/>
    </row>
    <row r="161" customFormat="false" ht="16.5" hidden="true" customHeight="false" outlineLevel="0" collapsed="false">
      <c r="A161" s="68"/>
      <c r="B161" s="35" t="s">
        <v>169</v>
      </c>
      <c r="C161" s="33" t="n">
        <v>12004</v>
      </c>
      <c r="D161" s="15" t="s">
        <v>27</v>
      </c>
      <c r="E161" s="15"/>
      <c r="F161" s="29" t="n">
        <f aca="false">Загальна!F146</f>
        <v>0</v>
      </c>
      <c r="G161" s="17"/>
      <c r="H161" s="17"/>
    </row>
    <row r="162" customFormat="false" ht="16.5" hidden="true" customHeight="false" outlineLevel="0" collapsed="false">
      <c r="A162" s="68"/>
      <c r="B162" s="35" t="s">
        <v>170</v>
      </c>
      <c r="C162" s="33" t="n">
        <v>12005</v>
      </c>
      <c r="D162" s="15" t="s">
        <v>27</v>
      </c>
      <c r="E162" s="15"/>
      <c r="F162" s="29" t="n">
        <f aca="false">Загальна!F147</f>
        <v>0</v>
      </c>
      <c r="G162" s="17"/>
      <c r="H162" s="17"/>
    </row>
    <row r="163" customFormat="false" ht="16.5" hidden="true" customHeight="false" outlineLevel="0" collapsed="false">
      <c r="A163" s="68"/>
      <c r="B163" s="35" t="s">
        <v>171</v>
      </c>
      <c r="C163" s="33" t="n">
        <v>12007</v>
      </c>
      <c r="D163" s="15" t="s">
        <v>27</v>
      </c>
      <c r="E163" s="15"/>
      <c r="F163" s="29" t="n">
        <f aca="false">Загальна!F148</f>
        <v>0</v>
      </c>
      <c r="G163" s="17"/>
      <c r="H163" s="17"/>
    </row>
    <row r="164" customFormat="false" ht="16.5" hidden="true" customHeight="false" outlineLevel="0" collapsed="false">
      <c r="A164" s="68"/>
      <c r="B164" s="35" t="s">
        <v>172</v>
      </c>
      <c r="C164" s="33" t="n">
        <v>12008</v>
      </c>
      <c r="D164" s="15" t="s">
        <v>27</v>
      </c>
      <c r="E164" s="15"/>
      <c r="F164" s="29" t="n">
        <f aca="false">Загальна!F149</f>
        <v>0</v>
      </c>
      <c r="G164" s="17"/>
      <c r="H164" s="17"/>
    </row>
    <row r="165" customFormat="false" ht="16.5" hidden="true" customHeight="false" outlineLevel="0" collapsed="false">
      <c r="A165" s="69"/>
      <c r="B165" s="35" t="s">
        <v>173</v>
      </c>
      <c r="C165" s="33" t="n">
        <v>12009</v>
      </c>
      <c r="D165" s="15" t="s">
        <v>27</v>
      </c>
      <c r="E165" s="15"/>
      <c r="F165" s="29" t="n">
        <f aca="false">Загальна!F150</f>
        <v>0</v>
      </c>
      <c r="G165" s="17"/>
      <c r="H165" s="17"/>
    </row>
    <row r="166" customFormat="false" ht="16.5" hidden="true" customHeight="false" outlineLevel="0" collapsed="false">
      <c r="A166" s="69"/>
      <c r="B166" s="35" t="s">
        <v>174</v>
      </c>
      <c r="C166" s="33" t="n">
        <v>12010</v>
      </c>
      <c r="D166" s="15" t="s">
        <v>27</v>
      </c>
      <c r="E166" s="15"/>
      <c r="F166" s="29" t="n">
        <f aca="false">Загальна!F151</f>
        <v>0</v>
      </c>
      <c r="G166" s="17"/>
      <c r="H166" s="17"/>
    </row>
    <row r="167" customFormat="false" ht="16.5" hidden="true" customHeight="false" outlineLevel="0" collapsed="false">
      <c r="A167" s="68"/>
      <c r="B167" s="35" t="s">
        <v>175</v>
      </c>
      <c r="C167" s="33" t="n">
        <v>12011</v>
      </c>
      <c r="D167" s="15" t="s">
        <v>27</v>
      </c>
      <c r="E167" s="15"/>
      <c r="F167" s="29" t="n">
        <f aca="false">Загальна!F152</f>
        <v>0</v>
      </c>
      <c r="G167" s="17"/>
      <c r="H167" s="17"/>
    </row>
    <row r="168" customFormat="false" ht="16.5" hidden="true" customHeight="false" outlineLevel="0" collapsed="false">
      <c r="A168" s="68"/>
      <c r="B168" s="35" t="s">
        <v>176</v>
      </c>
      <c r="C168" s="33" t="n">
        <v>12012</v>
      </c>
      <c r="D168" s="15" t="s">
        <v>27</v>
      </c>
      <c r="E168" s="15"/>
      <c r="F168" s="29" t="n">
        <f aca="false">Загальна!F153</f>
        <v>0</v>
      </c>
      <c r="G168" s="17"/>
      <c r="H168" s="17"/>
    </row>
    <row r="169" customFormat="false" ht="16.5" hidden="true" customHeight="false" outlineLevel="0" collapsed="false">
      <c r="A169" s="68"/>
      <c r="B169" s="35" t="s">
        <v>177</v>
      </c>
      <c r="C169" s="33" t="n">
        <v>12013</v>
      </c>
      <c r="D169" s="15" t="s">
        <v>27</v>
      </c>
      <c r="E169" s="15"/>
      <c r="F169" s="29" t="n">
        <f aca="false">Загальна!F154</f>
        <v>0</v>
      </c>
      <c r="G169" s="17"/>
      <c r="H169" s="17"/>
    </row>
    <row r="170" customFormat="false" ht="16.5" hidden="true" customHeight="false" outlineLevel="0" collapsed="false">
      <c r="A170" s="68"/>
      <c r="B170" s="35" t="s">
        <v>178</v>
      </c>
      <c r="C170" s="33" t="n">
        <v>12014</v>
      </c>
      <c r="D170" s="15" t="s">
        <v>27</v>
      </c>
      <c r="E170" s="15"/>
      <c r="F170" s="29" t="n">
        <f aca="false">Загальна!F155</f>
        <v>0</v>
      </c>
      <c r="G170" s="17"/>
      <c r="H170" s="17"/>
    </row>
    <row r="171" customFormat="false" ht="16.5" hidden="true" customHeight="false" outlineLevel="0" collapsed="false">
      <c r="A171" s="68"/>
      <c r="B171" s="35" t="s">
        <v>179</v>
      </c>
      <c r="C171" s="33" t="n">
        <v>12016</v>
      </c>
      <c r="D171" s="15" t="s">
        <v>27</v>
      </c>
      <c r="E171" s="15"/>
      <c r="F171" s="29" t="n">
        <f aca="false">Загальна!F156</f>
        <v>0</v>
      </c>
      <c r="G171" s="17"/>
      <c r="H171" s="17"/>
    </row>
    <row r="172" customFormat="false" ht="16.5" hidden="true" customHeight="false" outlineLevel="0" collapsed="false">
      <c r="A172" s="68"/>
      <c r="B172" s="35" t="s">
        <v>180</v>
      </c>
      <c r="C172" s="33" t="n">
        <v>12020</v>
      </c>
      <c r="D172" s="15" t="s">
        <v>27</v>
      </c>
      <c r="E172" s="15"/>
      <c r="F172" s="29" t="n">
        <f aca="false">Загальна!F157</f>
        <v>0</v>
      </c>
      <c r="G172" s="17"/>
      <c r="H172" s="17"/>
    </row>
    <row r="173" customFormat="false" ht="16.5" hidden="true" customHeight="false" outlineLevel="0" collapsed="false">
      <c r="A173" s="68"/>
      <c r="B173" s="35" t="s">
        <v>181</v>
      </c>
      <c r="C173" s="33" t="n">
        <v>12022</v>
      </c>
      <c r="D173" s="15" t="s">
        <v>27</v>
      </c>
      <c r="E173" s="15"/>
      <c r="F173" s="29" t="n">
        <f aca="false">Загальна!F158</f>
        <v>0</v>
      </c>
      <c r="G173" s="17"/>
      <c r="H173" s="17"/>
    </row>
    <row r="174" customFormat="false" ht="16.5" hidden="true" customHeight="false" outlineLevel="0" collapsed="false">
      <c r="A174" s="68"/>
      <c r="B174" s="35" t="s">
        <v>182</v>
      </c>
      <c r="C174" s="33" t="n">
        <v>12023</v>
      </c>
      <c r="D174" s="15" t="s">
        <v>27</v>
      </c>
      <c r="E174" s="15"/>
      <c r="F174" s="29" t="n">
        <f aca="false">Загальна!F159</f>
        <v>0</v>
      </c>
      <c r="G174" s="17"/>
      <c r="H174" s="17"/>
    </row>
    <row r="175" customFormat="false" ht="16.5" hidden="true" customHeight="false" outlineLevel="0" collapsed="false">
      <c r="A175" s="68"/>
      <c r="B175" s="35" t="s">
        <v>183</v>
      </c>
      <c r="C175" s="33" t="n">
        <v>12024</v>
      </c>
      <c r="D175" s="15" t="s">
        <v>27</v>
      </c>
      <c r="E175" s="15"/>
      <c r="F175" s="29" t="n">
        <f aca="false">Загальна!F160</f>
        <v>0</v>
      </c>
      <c r="G175" s="17"/>
      <c r="H175" s="17"/>
    </row>
    <row r="176" customFormat="false" ht="16.5" hidden="true" customHeight="false" outlineLevel="0" collapsed="false">
      <c r="A176" s="69" t="n">
        <v>17</v>
      </c>
      <c r="B176" s="35" t="s">
        <v>184</v>
      </c>
      <c r="C176" s="33" t="n">
        <v>12025</v>
      </c>
      <c r="D176" s="15" t="s">
        <v>27</v>
      </c>
      <c r="E176" s="15"/>
      <c r="F176" s="29" t="n">
        <f aca="false">Загальна!F161</f>
        <v>0</v>
      </c>
      <c r="G176" s="17"/>
      <c r="H176" s="17"/>
    </row>
    <row r="177" customFormat="false" ht="16.5" hidden="true" customHeight="false" outlineLevel="0" collapsed="false">
      <c r="A177" s="69"/>
      <c r="B177" s="35" t="s">
        <v>185</v>
      </c>
      <c r="C177" s="33" t="n">
        <v>12026</v>
      </c>
      <c r="D177" s="15" t="s">
        <v>27</v>
      </c>
      <c r="E177" s="15"/>
      <c r="F177" s="29" t="n">
        <f aca="false">Загальна!F162</f>
        <v>0</v>
      </c>
      <c r="G177" s="17"/>
      <c r="H177" s="17"/>
    </row>
    <row r="178" customFormat="false" ht="16.5" hidden="false" customHeight="false" outlineLevel="0" collapsed="false">
      <c r="A178" s="69" t="n">
        <v>17</v>
      </c>
      <c r="B178" s="35" t="s">
        <v>186</v>
      </c>
      <c r="C178" s="33" t="n">
        <v>12028</v>
      </c>
      <c r="D178" s="15" t="s">
        <v>27</v>
      </c>
      <c r="E178" s="15"/>
      <c r="F178" s="29" t="n">
        <f aca="false">Загальна!F163</f>
        <v>6.2</v>
      </c>
      <c r="G178" s="17"/>
      <c r="H178" s="17"/>
    </row>
    <row r="179" customFormat="false" ht="16.5" hidden="true" customHeight="false" outlineLevel="0" collapsed="false">
      <c r="A179" s="71"/>
      <c r="B179" s="33" t="s">
        <v>187</v>
      </c>
      <c r="C179" s="33" t="n">
        <v>12029</v>
      </c>
      <c r="D179" s="15" t="s">
        <v>27</v>
      </c>
      <c r="E179" s="42"/>
      <c r="F179" s="29" t="n">
        <f aca="false">Загальна!F164</f>
        <v>0</v>
      </c>
      <c r="G179" s="43"/>
      <c r="H179" s="43"/>
    </row>
    <row r="180" customFormat="false" ht="16.5" hidden="true" customHeight="false" outlineLevel="0" collapsed="false">
      <c r="A180" s="72"/>
      <c r="B180" s="33" t="s">
        <v>188</v>
      </c>
      <c r="C180" s="33" t="n">
        <v>12030</v>
      </c>
      <c r="D180" s="15" t="s">
        <v>27</v>
      </c>
      <c r="E180" s="33"/>
      <c r="F180" s="29" t="n">
        <f aca="false">Загальна!F165</f>
        <v>0</v>
      </c>
      <c r="G180" s="48"/>
      <c r="H180" s="33"/>
    </row>
    <row r="181" customFormat="false" ht="16.5" hidden="true" customHeight="false" outlineLevel="0" collapsed="false">
      <c r="A181" s="72"/>
      <c r="B181" s="33" t="s">
        <v>189</v>
      </c>
      <c r="C181" s="33" t="n">
        <v>12031</v>
      </c>
      <c r="D181" s="15" t="s">
        <v>27</v>
      </c>
      <c r="E181" s="49"/>
      <c r="F181" s="29" t="n">
        <f aca="false">Загальна!F166</f>
        <v>0</v>
      </c>
      <c r="G181" s="49"/>
      <c r="H181" s="49"/>
    </row>
    <row r="182" customFormat="false" ht="16.5" hidden="true" customHeight="false" outlineLevel="0" collapsed="false">
      <c r="A182" s="72"/>
      <c r="B182" s="33" t="s">
        <v>190</v>
      </c>
      <c r="C182" s="33" t="n">
        <v>12032</v>
      </c>
      <c r="D182" s="15" t="s">
        <v>27</v>
      </c>
      <c r="E182" s="49"/>
      <c r="F182" s="29" t="n">
        <f aca="false">Загальна!F167</f>
        <v>0</v>
      </c>
      <c r="G182" s="49"/>
      <c r="H182" s="49"/>
    </row>
    <row r="183" customFormat="false" ht="16.5" hidden="true" customHeight="false" outlineLevel="0" collapsed="false">
      <c r="A183" s="72"/>
      <c r="B183" s="33" t="s">
        <v>191</v>
      </c>
      <c r="C183" s="33" t="n">
        <v>12033</v>
      </c>
      <c r="D183" s="15" t="s">
        <v>27</v>
      </c>
      <c r="E183" s="49"/>
      <c r="F183" s="29" t="n">
        <f aca="false">Загальна!F168</f>
        <v>0</v>
      </c>
      <c r="G183" s="49"/>
      <c r="H183" s="49"/>
    </row>
    <row r="184" customFormat="false" ht="16.5" hidden="true" customHeight="false" outlineLevel="0" collapsed="false">
      <c r="A184" s="72" t="n">
        <v>18</v>
      </c>
      <c r="B184" s="33" t="s">
        <v>192</v>
      </c>
      <c r="C184" s="33" t="n">
        <v>12034</v>
      </c>
      <c r="D184" s="15" t="s">
        <v>27</v>
      </c>
      <c r="E184" s="49"/>
      <c r="F184" s="29" t="n">
        <f aca="false">Загальна!F169</f>
        <v>0</v>
      </c>
      <c r="G184" s="49"/>
      <c r="H184" s="49"/>
    </row>
    <row r="185" customFormat="false" ht="16.5" hidden="true" customHeight="false" outlineLevel="0" collapsed="false">
      <c r="A185" s="73"/>
      <c r="B185" s="33" t="s">
        <v>193</v>
      </c>
      <c r="C185" s="33" t="n">
        <v>12035</v>
      </c>
      <c r="D185" s="15" t="s">
        <v>27</v>
      </c>
      <c r="E185" s="16"/>
      <c r="F185" s="29" t="n">
        <f aca="false">Загальна!F170</f>
        <v>0</v>
      </c>
      <c r="G185" s="50"/>
      <c r="H185" s="16"/>
    </row>
    <row r="186" customFormat="false" ht="16.5" hidden="false" customHeight="false" outlineLevel="0" collapsed="false">
      <c r="A186" s="68" t="n">
        <v>18</v>
      </c>
      <c r="B186" s="33" t="s">
        <v>194</v>
      </c>
      <c r="C186" s="33" t="n">
        <v>12036</v>
      </c>
      <c r="D186" s="15" t="s">
        <v>27</v>
      </c>
      <c r="E186" s="16"/>
      <c r="F186" s="29" t="n">
        <f aca="false">Загальна!F171</f>
        <v>3.1</v>
      </c>
      <c r="G186" s="50"/>
      <c r="H186" s="16"/>
    </row>
    <row r="187" customFormat="false" ht="16.5" hidden="true" customHeight="false" outlineLevel="0" collapsed="false">
      <c r="A187" s="73"/>
      <c r="B187" s="33" t="s">
        <v>195</v>
      </c>
      <c r="C187" s="33" t="n">
        <v>12037</v>
      </c>
      <c r="D187" s="15" t="s">
        <v>27</v>
      </c>
      <c r="E187" s="16"/>
      <c r="F187" s="29" t="n">
        <f aca="false">Загальна!F172</f>
        <v>0</v>
      </c>
      <c r="G187" s="50"/>
      <c r="H187" s="16"/>
    </row>
    <row r="188" customFormat="false" ht="16.5" hidden="true" customHeight="false" outlineLevel="0" collapsed="false">
      <c r="A188" s="73"/>
      <c r="B188" s="33" t="s">
        <v>196</v>
      </c>
      <c r="C188" s="33" t="n">
        <v>12038</v>
      </c>
      <c r="D188" s="15" t="s">
        <v>27</v>
      </c>
      <c r="E188" s="16"/>
      <c r="F188" s="29" t="n">
        <f aca="false">Загальна!F173</f>
        <v>0</v>
      </c>
      <c r="G188" s="50"/>
      <c r="H188" s="16"/>
    </row>
    <row r="189" customFormat="false" ht="16.5" hidden="true" customHeight="false" outlineLevel="0" collapsed="false">
      <c r="A189" s="72"/>
      <c r="B189" s="33" t="s">
        <v>197</v>
      </c>
      <c r="C189" s="33" t="n">
        <v>12039</v>
      </c>
      <c r="D189" s="15" t="s">
        <v>27</v>
      </c>
      <c r="E189" s="16"/>
      <c r="F189" s="29" t="n">
        <f aca="false">Загальна!F174</f>
        <v>0</v>
      </c>
      <c r="G189" s="50"/>
      <c r="H189" s="16"/>
    </row>
    <row r="190" customFormat="false" ht="16.5" hidden="true" customHeight="false" outlineLevel="0" collapsed="false">
      <c r="A190" s="72"/>
      <c r="B190" s="33" t="s">
        <v>198</v>
      </c>
      <c r="C190" s="33" t="n">
        <v>12040</v>
      </c>
      <c r="D190" s="15" t="s">
        <v>27</v>
      </c>
      <c r="E190" s="49"/>
      <c r="F190" s="29" t="n">
        <f aca="false">Загальна!F175</f>
        <v>0</v>
      </c>
      <c r="G190" s="49"/>
      <c r="H190" s="49"/>
    </row>
    <row r="191" customFormat="false" ht="16.5" hidden="true" customHeight="false" outlineLevel="0" collapsed="false">
      <c r="A191" s="72"/>
      <c r="B191" s="33" t="s">
        <v>199</v>
      </c>
      <c r="C191" s="33" t="n">
        <v>12041</v>
      </c>
      <c r="D191" s="15" t="s">
        <v>27</v>
      </c>
      <c r="E191" s="16"/>
      <c r="F191" s="29" t="n">
        <f aca="false">Загальна!F176</f>
        <v>0</v>
      </c>
      <c r="G191" s="50"/>
      <c r="H191" s="16"/>
    </row>
    <row r="192" customFormat="false" ht="16.5" hidden="true" customHeight="false" outlineLevel="0" collapsed="false">
      <c r="A192" s="72"/>
      <c r="B192" s="33" t="s">
        <v>200</v>
      </c>
      <c r="C192" s="33" t="n">
        <v>12042</v>
      </c>
      <c r="D192" s="15" t="s">
        <v>27</v>
      </c>
      <c r="E192" s="49"/>
      <c r="F192" s="29" t="n">
        <f aca="false">Загальна!F177</f>
        <v>0</v>
      </c>
      <c r="G192" s="49"/>
      <c r="H192" s="49"/>
    </row>
    <row r="193" customFormat="false" ht="16.5" hidden="true" customHeight="false" outlineLevel="0" collapsed="false">
      <c r="A193" s="72"/>
      <c r="B193" s="33" t="s">
        <v>201</v>
      </c>
      <c r="C193" s="33" t="n">
        <v>12043</v>
      </c>
      <c r="D193" s="15" t="s">
        <v>27</v>
      </c>
      <c r="E193" s="33"/>
      <c r="F193" s="29" t="n">
        <f aca="false">Загальна!F178</f>
        <v>0</v>
      </c>
      <c r="G193" s="48"/>
      <c r="H193" s="33"/>
    </row>
    <row r="194" customFormat="false" ht="16.5" hidden="true" customHeight="false" outlineLevel="0" collapsed="false">
      <c r="A194" s="72"/>
      <c r="B194" s="33" t="s">
        <v>202</v>
      </c>
      <c r="C194" s="33" t="n">
        <v>12044</v>
      </c>
      <c r="D194" s="15" t="s">
        <v>27</v>
      </c>
      <c r="E194" s="33"/>
      <c r="F194" s="29" t="n">
        <f aca="false">Загальна!F179</f>
        <v>0</v>
      </c>
      <c r="G194" s="48"/>
      <c r="H194" s="33"/>
    </row>
    <row r="195" customFormat="false" ht="16.5" hidden="true" customHeight="false" outlineLevel="0" collapsed="false">
      <c r="A195" s="72"/>
      <c r="B195" s="33" t="s">
        <v>203</v>
      </c>
      <c r="C195" s="33" t="n">
        <v>12046</v>
      </c>
      <c r="D195" s="15" t="s">
        <v>27</v>
      </c>
      <c r="E195" s="33"/>
      <c r="F195" s="29" t="n">
        <f aca="false">Загальна!F180</f>
        <v>0</v>
      </c>
      <c r="G195" s="48"/>
      <c r="H195" s="33"/>
    </row>
    <row r="196" customFormat="false" ht="16.5" hidden="true" customHeight="false" outlineLevel="0" collapsed="false">
      <c r="A196" s="72" t="n">
        <v>19</v>
      </c>
      <c r="B196" s="33" t="s">
        <v>204</v>
      </c>
      <c r="C196" s="33" t="n">
        <v>12047</v>
      </c>
      <c r="D196" s="15" t="s">
        <v>27</v>
      </c>
      <c r="E196" s="33"/>
      <c r="F196" s="29" t="n">
        <f aca="false">Загальна!F181</f>
        <v>0</v>
      </c>
      <c r="G196" s="48"/>
      <c r="H196" s="33"/>
    </row>
    <row r="197" customFormat="false" ht="16.5" hidden="true" customHeight="false" outlineLevel="0" collapsed="false">
      <c r="A197" s="72"/>
      <c r="B197" s="33" t="s">
        <v>205</v>
      </c>
      <c r="C197" s="33" t="n">
        <v>12049</v>
      </c>
      <c r="D197" s="15" t="s">
        <v>27</v>
      </c>
      <c r="E197" s="33"/>
      <c r="F197" s="29" t="n">
        <f aca="false">Загальна!F182</f>
        <v>0</v>
      </c>
      <c r="G197" s="48"/>
      <c r="H197" s="33"/>
    </row>
    <row r="198" customFormat="false" ht="16.5" hidden="false" customHeight="false" outlineLevel="0" collapsed="false">
      <c r="A198" s="72" t="n">
        <v>19</v>
      </c>
      <c r="B198" s="33" t="s">
        <v>206</v>
      </c>
      <c r="C198" s="33" t="n">
        <v>12051</v>
      </c>
      <c r="D198" s="15" t="s">
        <v>27</v>
      </c>
      <c r="E198" s="33"/>
      <c r="F198" s="29" t="n">
        <f aca="false">Загальна!F183</f>
        <v>0.93</v>
      </c>
      <c r="G198" s="48"/>
      <c r="H198" s="33"/>
    </row>
    <row r="199" customFormat="false" ht="16.5" hidden="true" customHeight="false" outlineLevel="0" collapsed="false">
      <c r="A199" s="72"/>
      <c r="B199" s="33" t="s">
        <v>207</v>
      </c>
      <c r="C199" s="33" t="n">
        <v>12052</v>
      </c>
      <c r="D199" s="15" t="s">
        <v>27</v>
      </c>
      <c r="E199" s="33"/>
      <c r="F199" s="29" t="n">
        <f aca="false">Загальна!F184</f>
        <v>0</v>
      </c>
      <c r="G199" s="48"/>
      <c r="H199" s="33"/>
    </row>
    <row r="200" customFormat="false" ht="16.5" hidden="true" customHeight="false" outlineLevel="0" collapsed="false">
      <c r="A200" s="72"/>
      <c r="B200" s="33" t="s">
        <v>208</v>
      </c>
      <c r="C200" s="33" t="n">
        <v>12054</v>
      </c>
      <c r="D200" s="15" t="s">
        <v>27</v>
      </c>
      <c r="E200" s="33"/>
      <c r="F200" s="29" t="n">
        <f aca="false">Загальна!F185</f>
        <v>0</v>
      </c>
      <c r="G200" s="48"/>
      <c r="H200" s="33"/>
    </row>
    <row r="201" customFormat="false" ht="16.5" hidden="true" customHeight="false" outlineLevel="0" collapsed="false">
      <c r="A201" s="72" t="n">
        <v>20</v>
      </c>
      <c r="B201" s="33" t="s">
        <v>209</v>
      </c>
      <c r="C201" s="33" t="n">
        <v>12055</v>
      </c>
      <c r="D201" s="15" t="s">
        <v>27</v>
      </c>
      <c r="E201" s="33"/>
      <c r="F201" s="29" t="n">
        <f aca="false">Загальна!F186</f>
        <v>0</v>
      </c>
      <c r="G201" s="48"/>
      <c r="H201" s="33"/>
    </row>
    <row r="202" customFormat="false" ht="16.5" hidden="true" customHeight="false" outlineLevel="0" collapsed="false">
      <c r="A202" s="72"/>
      <c r="B202" s="33" t="s">
        <v>210</v>
      </c>
      <c r="C202" s="33" t="n">
        <v>12056</v>
      </c>
      <c r="D202" s="15" t="s">
        <v>211</v>
      </c>
      <c r="E202" s="33"/>
      <c r="F202" s="29" t="n">
        <f aca="false">Загальна!F187</f>
        <v>0</v>
      </c>
      <c r="G202" s="48"/>
      <c r="H202" s="33"/>
    </row>
    <row r="203" customFormat="false" ht="16.5" hidden="false" customHeight="false" outlineLevel="0" collapsed="false">
      <c r="A203" s="72" t="n">
        <v>20</v>
      </c>
      <c r="B203" s="33" t="s">
        <v>212</v>
      </c>
      <c r="C203" s="33" t="n">
        <v>12057</v>
      </c>
      <c r="D203" s="15" t="s">
        <v>211</v>
      </c>
      <c r="E203" s="33"/>
      <c r="F203" s="29" t="n">
        <v>66</v>
      </c>
      <c r="G203" s="48"/>
      <c r="H203" s="33"/>
    </row>
    <row r="204" customFormat="false" ht="16.5" hidden="true" customHeight="false" outlineLevel="0" collapsed="false">
      <c r="A204" s="72"/>
      <c r="B204" s="33" t="s">
        <v>213</v>
      </c>
      <c r="C204" s="33" t="n">
        <v>12058</v>
      </c>
      <c r="D204" s="15" t="s">
        <v>27</v>
      </c>
      <c r="E204" s="33"/>
      <c r="F204" s="29" t="n">
        <f aca="false">Загальна!F189</f>
        <v>0</v>
      </c>
      <c r="G204" s="48"/>
      <c r="H204" s="33"/>
    </row>
    <row r="205" customFormat="false" ht="16.5" hidden="true" customHeight="false" outlineLevel="0" collapsed="false">
      <c r="A205" s="72"/>
      <c r="B205" s="33" t="s">
        <v>214</v>
      </c>
      <c r="C205" s="33" t="n">
        <v>12060</v>
      </c>
      <c r="D205" s="15" t="s">
        <v>27</v>
      </c>
      <c r="E205" s="33"/>
      <c r="F205" s="29" t="n">
        <f aca="false">Загальна!F190</f>
        <v>0</v>
      </c>
      <c r="G205" s="48"/>
      <c r="H205" s="33"/>
    </row>
    <row r="206" customFormat="false" ht="16.5" hidden="true" customHeight="false" outlineLevel="0" collapsed="false">
      <c r="A206" s="72"/>
      <c r="B206" s="33" t="s">
        <v>215</v>
      </c>
      <c r="C206" s="33" t="n">
        <v>12061</v>
      </c>
      <c r="D206" s="15" t="s">
        <v>27</v>
      </c>
      <c r="E206" s="33"/>
      <c r="F206" s="29" t="n">
        <f aca="false">Загальна!F191</f>
        <v>0</v>
      </c>
      <c r="G206" s="48"/>
      <c r="H206" s="33"/>
    </row>
    <row r="207" customFormat="false" ht="16.5" hidden="true" customHeight="false" outlineLevel="0" collapsed="false">
      <c r="A207" s="72"/>
      <c r="B207" s="33" t="s">
        <v>216</v>
      </c>
      <c r="C207" s="33" t="n">
        <v>12062</v>
      </c>
      <c r="D207" s="15" t="s">
        <v>27</v>
      </c>
      <c r="E207" s="33"/>
      <c r="F207" s="29" t="n">
        <f aca="false">Загальна!F192</f>
        <v>0</v>
      </c>
      <c r="G207" s="48"/>
      <c r="H207" s="33"/>
    </row>
    <row r="208" customFormat="false" ht="16.5" hidden="true" customHeight="false" outlineLevel="0" collapsed="false">
      <c r="A208" s="72"/>
      <c r="B208" s="33" t="s">
        <v>217</v>
      </c>
      <c r="C208" s="33" t="n">
        <v>12064</v>
      </c>
      <c r="D208" s="15" t="s">
        <v>27</v>
      </c>
      <c r="E208" s="33"/>
      <c r="F208" s="29" t="n">
        <f aca="false">Загальна!F193</f>
        <v>0</v>
      </c>
      <c r="G208" s="48"/>
      <c r="H208" s="33"/>
    </row>
    <row r="209" customFormat="false" ht="16.5" hidden="true" customHeight="false" outlineLevel="0" collapsed="false">
      <c r="A209" s="72"/>
      <c r="B209" s="33" t="s">
        <v>218</v>
      </c>
      <c r="C209" s="33" t="n">
        <v>12065</v>
      </c>
      <c r="D209" s="15" t="s">
        <v>27</v>
      </c>
      <c r="E209" s="33"/>
      <c r="F209" s="29" t="n">
        <f aca="false">Загальна!F194</f>
        <v>0</v>
      </c>
      <c r="G209" s="48"/>
      <c r="H209" s="33"/>
    </row>
    <row r="210" customFormat="false" ht="16.5" hidden="true" customHeight="false" outlineLevel="0" collapsed="false">
      <c r="A210" s="72"/>
      <c r="B210" s="33" t="s">
        <v>219</v>
      </c>
      <c r="C210" s="33" t="n">
        <v>12066</v>
      </c>
      <c r="D210" s="15" t="s">
        <v>27</v>
      </c>
      <c r="E210" s="33"/>
      <c r="F210" s="29" t="n">
        <f aca="false">Загальна!F195</f>
        <v>0</v>
      </c>
      <c r="G210" s="48"/>
      <c r="H210" s="33"/>
    </row>
    <row r="211" customFormat="false" ht="16.5" hidden="true" customHeight="false" outlineLevel="0" collapsed="false">
      <c r="A211" s="72"/>
      <c r="B211" s="33" t="s">
        <v>220</v>
      </c>
      <c r="C211" s="33" t="n">
        <v>12069</v>
      </c>
      <c r="D211" s="15" t="s">
        <v>27</v>
      </c>
      <c r="E211" s="33"/>
      <c r="F211" s="29" t="n">
        <f aca="false">Загальна!F196</f>
        <v>0</v>
      </c>
      <c r="G211" s="48"/>
      <c r="H211" s="33"/>
    </row>
    <row r="212" customFormat="false" ht="16.5" hidden="true" customHeight="false" outlineLevel="0" collapsed="false">
      <c r="A212" s="72"/>
      <c r="B212" s="33" t="s">
        <v>221</v>
      </c>
      <c r="C212" s="33" t="n">
        <v>12074</v>
      </c>
      <c r="D212" s="15" t="s">
        <v>27</v>
      </c>
      <c r="E212" s="33"/>
      <c r="F212" s="29" t="n">
        <f aca="false">Загальна!F197</f>
        <v>0</v>
      </c>
      <c r="G212" s="48"/>
      <c r="H212" s="33"/>
    </row>
    <row r="213" customFormat="false" ht="16.5" hidden="true" customHeight="false" outlineLevel="0" collapsed="false">
      <c r="A213" s="72"/>
      <c r="B213" s="33" t="s">
        <v>222</v>
      </c>
      <c r="C213" s="33" t="n">
        <v>12075</v>
      </c>
      <c r="D213" s="15" t="s">
        <v>27</v>
      </c>
      <c r="E213" s="33"/>
      <c r="F213" s="29" t="n">
        <f aca="false">Загальна!F198</f>
        <v>0</v>
      </c>
      <c r="G213" s="48"/>
      <c r="H213" s="33"/>
    </row>
    <row r="214" customFormat="false" ht="16.5" hidden="true" customHeight="false" outlineLevel="0" collapsed="false">
      <c r="A214" s="72"/>
      <c r="B214" s="33" t="s">
        <v>223</v>
      </c>
      <c r="C214" s="33" t="n">
        <v>12076</v>
      </c>
      <c r="D214" s="15" t="s">
        <v>27</v>
      </c>
      <c r="E214" s="33"/>
      <c r="F214" s="29" t="n">
        <f aca="false">Загальна!F199</f>
        <v>0</v>
      </c>
      <c r="G214" s="48"/>
      <c r="H214" s="33"/>
    </row>
    <row r="215" customFormat="false" ht="16.5" hidden="true" customHeight="false" outlineLevel="0" collapsed="false">
      <c r="A215" s="72"/>
      <c r="B215" s="33" t="s">
        <v>224</v>
      </c>
      <c r="C215" s="33" t="n">
        <v>12201</v>
      </c>
      <c r="D215" s="15" t="s">
        <v>27</v>
      </c>
      <c r="E215" s="33"/>
      <c r="F215" s="29" t="n">
        <f aca="false">Загальна!F200</f>
        <v>0</v>
      </c>
      <c r="G215" s="48"/>
      <c r="H215" s="33"/>
    </row>
    <row r="216" customFormat="false" ht="16.5" hidden="true" customHeight="false" outlineLevel="0" collapsed="false">
      <c r="A216" s="72"/>
      <c r="B216" s="33" t="s">
        <v>225</v>
      </c>
      <c r="C216" s="33" t="n">
        <v>12202</v>
      </c>
      <c r="D216" s="15" t="s">
        <v>27</v>
      </c>
      <c r="E216" s="33"/>
      <c r="F216" s="29" t="n">
        <f aca="false">Загальна!F201</f>
        <v>0</v>
      </c>
      <c r="G216" s="48"/>
      <c r="H216" s="33"/>
    </row>
    <row r="217" customFormat="false" ht="16.5" hidden="true" customHeight="false" outlineLevel="0" collapsed="false">
      <c r="A217" s="72"/>
      <c r="B217" s="33" t="s">
        <v>226</v>
      </c>
      <c r="C217" s="33" t="n">
        <v>12204</v>
      </c>
      <c r="D217" s="15" t="s">
        <v>27</v>
      </c>
      <c r="E217" s="33"/>
      <c r="F217" s="29" t="n">
        <f aca="false">Загальна!F202</f>
        <v>0</v>
      </c>
      <c r="G217" s="48"/>
      <c r="H217" s="33"/>
    </row>
    <row r="218" customFormat="false" ht="16.5" hidden="true" customHeight="false" outlineLevel="0" collapsed="false">
      <c r="A218" s="72"/>
      <c r="B218" s="33" t="s">
        <v>227</v>
      </c>
      <c r="C218" s="33" t="n">
        <v>12205</v>
      </c>
      <c r="D218" s="15" t="s">
        <v>27</v>
      </c>
      <c r="E218" s="33"/>
      <c r="F218" s="29" t="n">
        <f aca="false">Загальна!F203</f>
        <v>0</v>
      </c>
      <c r="G218" s="48"/>
      <c r="H218" s="33"/>
    </row>
    <row r="219" customFormat="false" ht="16.5" hidden="true" customHeight="false" outlineLevel="0" collapsed="false">
      <c r="A219" s="72"/>
      <c r="B219" s="33" t="s">
        <v>228</v>
      </c>
      <c r="C219" s="33" t="n">
        <v>12208</v>
      </c>
      <c r="D219" s="15" t="s">
        <v>27</v>
      </c>
      <c r="E219" s="33"/>
      <c r="F219" s="29" t="n">
        <f aca="false">Загальна!F204</f>
        <v>0</v>
      </c>
      <c r="G219" s="48"/>
      <c r="H219" s="33"/>
    </row>
    <row r="220" customFormat="false" ht="16.5" hidden="true" customHeight="false" outlineLevel="0" collapsed="false">
      <c r="A220" s="72"/>
      <c r="B220" s="33" t="s">
        <v>229</v>
      </c>
      <c r="C220" s="33" t="n">
        <v>12209</v>
      </c>
      <c r="D220" s="15" t="s">
        <v>27</v>
      </c>
      <c r="E220" s="33"/>
      <c r="F220" s="29" t="n">
        <f aca="false">Загальна!F205</f>
        <v>0</v>
      </c>
      <c r="G220" s="48"/>
      <c r="H220" s="33"/>
    </row>
    <row r="221" customFormat="false" ht="16.5" hidden="true" customHeight="false" outlineLevel="0" collapsed="false">
      <c r="A221" s="72"/>
      <c r="B221" s="33" t="s">
        <v>230</v>
      </c>
      <c r="C221" s="33" t="n">
        <v>12211</v>
      </c>
      <c r="D221" s="15" t="s">
        <v>27</v>
      </c>
      <c r="E221" s="33"/>
      <c r="F221" s="29" t="n">
        <f aca="false">Загальна!F206</f>
        <v>0</v>
      </c>
      <c r="G221" s="48"/>
      <c r="H221" s="33"/>
    </row>
    <row r="222" customFormat="false" ht="16.5" hidden="true" customHeight="false" outlineLevel="0" collapsed="false">
      <c r="A222" s="72"/>
      <c r="B222" s="33" t="s">
        <v>231</v>
      </c>
      <c r="C222" s="33" t="n">
        <v>12213</v>
      </c>
      <c r="D222" s="15" t="s">
        <v>27</v>
      </c>
      <c r="E222" s="33"/>
      <c r="F222" s="29" t="n">
        <f aca="false">Загальна!F207</f>
        <v>0</v>
      </c>
      <c r="G222" s="48"/>
      <c r="H222" s="33"/>
    </row>
    <row r="223" customFormat="false" ht="16.5" hidden="true" customHeight="false" outlineLevel="0" collapsed="false">
      <c r="A223" s="72"/>
      <c r="B223" s="33" t="s">
        <v>232</v>
      </c>
      <c r="C223" s="33" t="n">
        <v>12215</v>
      </c>
      <c r="D223" s="15" t="s">
        <v>27</v>
      </c>
      <c r="E223" s="33"/>
      <c r="F223" s="29" t="n">
        <f aca="false">Загальна!F208</f>
        <v>0</v>
      </c>
      <c r="G223" s="48"/>
      <c r="H223" s="33"/>
    </row>
    <row r="224" customFormat="false" ht="16.5" hidden="true" customHeight="false" outlineLevel="0" collapsed="false">
      <c r="A224" s="72"/>
      <c r="B224" s="33" t="s">
        <v>233</v>
      </c>
      <c r="C224" s="33" t="n">
        <v>12216</v>
      </c>
      <c r="D224" s="15" t="s">
        <v>27</v>
      </c>
      <c r="E224" s="33"/>
      <c r="F224" s="29" t="n">
        <f aca="false">Загальна!F209</f>
        <v>0</v>
      </c>
      <c r="G224" s="48"/>
      <c r="H224" s="33"/>
    </row>
    <row r="225" customFormat="false" ht="16.5" hidden="true" customHeight="false" outlineLevel="0" collapsed="false">
      <c r="A225" s="72"/>
      <c r="B225" s="33" t="s">
        <v>234</v>
      </c>
      <c r="C225" s="33" t="n">
        <v>12217</v>
      </c>
      <c r="D225" s="15" t="s">
        <v>27</v>
      </c>
      <c r="E225" s="33"/>
      <c r="F225" s="29" t="n">
        <f aca="false">Загальна!F210</f>
        <v>0</v>
      </c>
      <c r="G225" s="48"/>
      <c r="H225" s="33"/>
    </row>
    <row r="226" customFormat="false" ht="16.5" hidden="true" customHeight="false" outlineLevel="0" collapsed="false">
      <c r="A226" s="72"/>
      <c r="B226" s="33" t="s">
        <v>235</v>
      </c>
      <c r="C226" s="33" t="n">
        <v>12218</v>
      </c>
      <c r="D226" s="15" t="s">
        <v>27</v>
      </c>
      <c r="E226" s="33"/>
      <c r="F226" s="29" t="n">
        <f aca="false">Загальна!F211</f>
        <v>0</v>
      </c>
      <c r="G226" s="48"/>
      <c r="H226" s="33"/>
    </row>
    <row r="227" customFormat="false" ht="16.5" hidden="true" customHeight="false" outlineLevel="0" collapsed="false">
      <c r="A227" s="72"/>
      <c r="B227" s="33" t="s">
        <v>236</v>
      </c>
      <c r="C227" s="33" t="n">
        <v>12219</v>
      </c>
      <c r="D227" s="15" t="s">
        <v>27</v>
      </c>
      <c r="E227" s="33"/>
      <c r="F227" s="29" t="n">
        <f aca="false">Загальна!F212</f>
        <v>0</v>
      </c>
      <c r="G227" s="48"/>
      <c r="H227" s="33"/>
    </row>
    <row r="228" customFormat="false" ht="16.5" hidden="true" customHeight="false" outlineLevel="0" collapsed="false">
      <c r="A228" s="72"/>
      <c r="B228" s="33" t="s">
        <v>237</v>
      </c>
      <c r="C228" s="33" t="n">
        <v>12221</v>
      </c>
      <c r="D228" s="15" t="s">
        <v>27</v>
      </c>
      <c r="E228" s="33"/>
      <c r="F228" s="29" t="n">
        <f aca="false">Загальна!F213</f>
        <v>0</v>
      </c>
      <c r="G228" s="48"/>
      <c r="H228" s="33"/>
    </row>
    <row r="229" customFormat="false" ht="16.5" hidden="true" customHeight="false" outlineLevel="0" collapsed="false">
      <c r="A229" s="72"/>
      <c r="B229" s="33" t="s">
        <v>238</v>
      </c>
      <c r="C229" s="33" t="n">
        <v>12224</v>
      </c>
      <c r="D229" s="15" t="s">
        <v>27</v>
      </c>
      <c r="E229" s="33"/>
      <c r="F229" s="29" t="n">
        <f aca="false">Загальна!F214</f>
        <v>0</v>
      </c>
      <c r="G229" s="48"/>
      <c r="H229" s="33"/>
    </row>
    <row r="230" customFormat="false" ht="16.5" hidden="true" customHeight="false" outlineLevel="0" collapsed="false">
      <c r="A230" s="72"/>
      <c r="B230" s="33" t="s">
        <v>239</v>
      </c>
      <c r="C230" s="33" t="n">
        <v>12225</v>
      </c>
      <c r="D230" s="15" t="s">
        <v>27</v>
      </c>
      <c r="E230" s="33"/>
      <c r="F230" s="29" t="n">
        <f aca="false">Загальна!F215</f>
        <v>0</v>
      </c>
      <c r="G230" s="48"/>
      <c r="H230" s="33"/>
    </row>
    <row r="231" customFormat="false" ht="16.5" hidden="true" customHeight="false" outlineLevel="0" collapsed="false">
      <c r="A231" s="72"/>
      <c r="B231" s="33" t="s">
        <v>240</v>
      </c>
      <c r="C231" s="33" t="n">
        <v>12226</v>
      </c>
      <c r="D231" s="15" t="s">
        <v>27</v>
      </c>
      <c r="E231" s="33"/>
      <c r="F231" s="29" t="n">
        <f aca="false">Загальна!F216</f>
        <v>0</v>
      </c>
      <c r="G231" s="48"/>
      <c r="H231" s="33"/>
    </row>
    <row r="232" customFormat="false" ht="16.5" hidden="true" customHeight="false" outlineLevel="0" collapsed="false">
      <c r="A232" s="72"/>
      <c r="B232" s="33" t="s">
        <v>241</v>
      </c>
      <c r="C232" s="33" t="n">
        <v>12228</v>
      </c>
      <c r="D232" s="15" t="s">
        <v>27</v>
      </c>
      <c r="E232" s="33"/>
      <c r="F232" s="29" t="n">
        <f aca="false">Загальна!F217</f>
        <v>0</v>
      </c>
      <c r="G232" s="48"/>
      <c r="H232" s="33"/>
    </row>
    <row r="233" customFormat="false" ht="16.5" hidden="true" customHeight="false" outlineLevel="0" collapsed="false">
      <c r="A233" s="72"/>
      <c r="B233" s="33" t="s">
        <v>242</v>
      </c>
      <c r="C233" s="33" t="n">
        <v>12229</v>
      </c>
      <c r="D233" s="15" t="s">
        <v>27</v>
      </c>
      <c r="E233" s="33"/>
      <c r="F233" s="29" t="n">
        <f aca="false">Загальна!F218</f>
        <v>0</v>
      </c>
      <c r="G233" s="48"/>
      <c r="H233" s="33"/>
    </row>
    <row r="234" customFormat="false" ht="16.5" hidden="true" customHeight="false" outlineLevel="0" collapsed="false">
      <c r="A234" s="72"/>
      <c r="B234" s="33" t="s">
        <v>243</v>
      </c>
      <c r="C234" s="33" t="n">
        <v>12231</v>
      </c>
      <c r="D234" s="15" t="s">
        <v>27</v>
      </c>
      <c r="E234" s="33"/>
      <c r="F234" s="29" t="n">
        <f aca="false">Загальна!F219</f>
        <v>0</v>
      </c>
      <c r="G234" s="48"/>
      <c r="H234" s="33"/>
    </row>
    <row r="235" customFormat="false" ht="16.5" hidden="true" customHeight="false" outlineLevel="0" collapsed="false">
      <c r="A235" s="72"/>
      <c r="B235" s="33" t="s">
        <v>244</v>
      </c>
      <c r="C235" s="33" t="n">
        <v>12235</v>
      </c>
      <c r="D235" s="15" t="s">
        <v>27</v>
      </c>
      <c r="E235" s="33"/>
      <c r="F235" s="29" t="n">
        <f aca="false">Загальна!F220</f>
        <v>0</v>
      </c>
      <c r="G235" s="48"/>
      <c r="H235" s="33"/>
    </row>
    <row r="236" customFormat="false" ht="16.5" hidden="true" customHeight="false" outlineLevel="0" collapsed="false">
      <c r="A236" s="72" t="n">
        <v>21</v>
      </c>
      <c r="B236" s="33" t="s">
        <v>245</v>
      </c>
      <c r="C236" s="33" t="n">
        <v>12237</v>
      </c>
      <c r="D236" s="15" t="s">
        <v>27</v>
      </c>
      <c r="E236" s="33"/>
      <c r="F236" s="29" t="n">
        <f aca="false">Загальна!F221</f>
        <v>0</v>
      </c>
      <c r="G236" s="48"/>
      <c r="H236" s="33"/>
    </row>
    <row r="237" customFormat="false" ht="16.5" hidden="true" customHeight="false" outlineLevel="0" collapsed="false">
      <c r="A237" s="72"/>
      <c r="B237" s="33" t="s">
        <v>246</v>
      </c>
      <c r="C237" s="33" t="n">
        <v>12301</v>
      </c>
      <c r="D237" s="15" t="s">
        <v>27</v>
      </c>
      <c r="E237" s="33"/>
      <c r="F237" s="29" t="n">
        <f aca="false">Загальна!F222</f>
        <v>0</v>
      </c>
      <c r="G237" s="48"/>
      <c r="H237" s="33"/>
    </row>
    <row r="238" customFormat="false" ht="16.5" hidden="false" customHeight="false" outlineLevel="0" collapsed="false">
      <c r="A238" s="72" t="n">
        <v>21</v>
      </c>
      <c r="B238" s="33" t="s">
        <v>247</v>
      </c>
      <c r="C238" s="33" t="n">
        <v>12302</v>
      </c>
      <c r="D238" s="15" t="s">
        <v>27</v>
      </c>
      <c r="E238" s="33"/>
      <c r="F238" s="29" t="n">
        <f aca="false">Загальна!F223</f>
        <v>0.31</v>
      </c>
      <c r="G238" s="48"/>
      <c r="H238" s="33"/>
    </row>
    <row r="239" customFormat="false" ht="16.5" hidden="true" customHeight="false" outlineLevel="0" collapsed="false">
      <c r="A239" s="72"/>
      <c r="B239" s="33" t="s">
        <v>248</v>
      </c>
      <c r="C239" s="33" t="n">
        <v>12303</v>
      </c>
      <c r="D239" s="15" t="s">
        <v>27</v>
      </c>
      <c r="E239" s="33"/>
      <c r="F239" s="29" t="n">
        <f aca="false">Загальна!F224</f>
        <v>0</v>
      </c>
      <c r="G239" s="48"/>
      <c r="H239" s="33"/>
    </row>
    <row r="240" customFormat="false" ht="16.5" hidden="true" customHeight="false" outlineLevel="0" collapsed="false">
      <c r="A240" s="72"/>
      <c r="B240" s="33" t="s">
        <v>249</v>
      </c>
      <c r="C240" s="33" t="n">
        <v>12304</v>
      </c>
      <c r="D240" s="15" t="s">
        <v>27</v>
      </c>
      <c r="E240" s="33"/>
      <c r="F240" s="29" t="n">
        <f aca="false">Загальна!F225</f>
        <v>0</v>
      </c>
      <c r="G240" s="48"/>
      <c r="H240" s="33"/>
    </row>
    <row r="241" customFormat="false" ht="16.5" hidden="true" customHeight="false" outlineLevel="0" collapsed="false">
      <c r="A241" s="72" t="n">
        <v>22</v>
      </c>
      <c r="B241" s="33" t="s">
        <v>250</v>
      </c>
      <c r="C241" s="33" t="n">
        <v>12305</v>
      </c>
      <c r="D241" s="15" t="s">
        <v>27</v>
      </c>
      <c r="E241" s="33"/>
      <c r="F241" s="29" t="n">
        <f aca="false">Загальна!F226</f>
        <v>0</v>
      </c>
      <c r="G241" s="48"/>
      <c r="H241" s="33"/>
    </row>
    <row r="242" customFormat="false" ht="16.5" hidden="true" customHeight="false" outlineLevel="0" collapsed="false">
      <c r="A242" s="72"/>
      <c r="B242" s="33" t="s">
        <v>251</v>
      </c>
      <c r="C242" s="33" t="n">
        <v>12306</v>
      </c>
      <c r="D242" s="15" t="s">
        <v>27</v>
      </c>
      <c r="E242" s="33"/>
      <c r="F242" s="29" t="n">
        <f aca="false">Загальна!F227</f>
        <v>0</v>
      </c>
      <c r="G242" s="48"/>
      <c r="H242" s="33"/>
    </row>
    <row r="243" customFormat="false" ht="16.5" hidden="false" customHeight="false" outlineLevel="0" collapsed="false">
      <c r="A243" s="72" t="n">
        <v>22</v>
      </c>
      <c r="B243" s="33" t="s">
        <v>252</v>
      </c>
      <c r="C243" s="33" t="n">
        <v>12307</v>
      </c>
      <c r="D243" s="15" t="s">
        <v>27</v>
      </c>
      <c r="E243" s="33"/>
      <c r="F243" s="29" t="n">
        <f aca="false">Загальна!F228</f>
        <v>0.62</v>
      </c>
      <c r="G243" s="48"/>
      <c r="H243" s="33"/>
    </row>
    <row r="244" customFormat="false" ht="16.5" hidden="true" customHeight="false" outlineLevel="0" collapsed="false">
      <c r="A244" s="72"/>
      <c r="B244" s="33" t="s">
        <v>253</v>
      </c>
      <c r="C244" s="33" t="n">
        <v>12308</v>
      </c>
      <c r="D244" s="15" t="s">
        <v>27</v>
      </c>
      <c r="E244" s="33"/>
      <c r="F244" s="29" t="n">
        <f aca="false">Загальна!F229</f>
        <v>0</v>
      </c>
      <c r="G244" s="48"/>
      <c r="H244" s="33"/>
    </row>
    <row r="245" customFormat="false" ht="16.5" hidden="true" customHeight="false" outlineLevel="0" collapsed="false">
      <c r="A245" s="72"/>
      <c r="B245" s="33" t="s">
        <v>254</v>
      </c>
      <c r="C245" s="33" t="n">
        <v>13001</v>
      </c>
      <c r="D245" s="15" t="s">
        <v>27</v>
      </c>
      <c r="E245" s="33"/>
      <c r="F245" s="29" t="n">
        <f aca="false">Загальна!F230</f>
        <v>0</v>
      </c>
      <c r="G245" s="48"/>
      <c r="H245" s="33"/>
    </row>
    <row r="246" customFormat="false" ht="16.5" hidden="true" customHeight="false" outlineLevel="0" collapsed="false">
      <c r="A246" s="72"/>
      <c r="B246" s="33" t="s">
        <v>255</v>
      </c>
      <c r="C246" s="33" t="n">
        <v>13002</v>
      </c>
      <c r="D246" s="15" t="s">
        <v>27</v>
      </c>
      <c r="E246" s="33"/>
      <c r="F246" s="29" t="n">
        <f aca="false">Загальна!F231</f>
        <v>0</v>
      </c>
      <c r="G246" s="48"/>
      <c r="H246" s="33"/>
    </row>
    <row r="247" customFormat="false" ht="16.5" hidden="true" customHeight="false" outlineLevel="0" collapsed="false">
      <c r="A247" s="72"/>
      <c r="B247" s="33" t="s">
        <v>256</v>
      </c>
      <c r="C247" s="33" t="n">
        <v>13003</v>
      </c>
      <c r="D247" s="15" t="s">
        <v>27</v>
      </c>
      <c r="E247" s="33"/>
      <c r="F247" s="29" t="n">
        <f aca="false">Загальна!F232</f>
        <v>0</v>
      </c>
      <c r="G247" s="48"/>
      <c r="H247" s="33"/>
    </row>
    <row r="248" customFormat="false" ht="16.5" hidden="true" customHeight="false" outlineLevel="0" collapsed="false">
      <c r="A248" s="72"/>
      <c r="B248" s="33" t="s">
        <v>257</v>
      </c>
      <c r="C248" s="33" t="n">
        <v>13004</v>
      </c>
      <c r="D248" s="15" t="s">
        <v>27</v>
      </c>
      <c r="E248" s="33"/>
      <c r="F248" s="29" t="n">
        <f aca="false">Загальна!F233</f>
        <v>0</v>
      </c>
      <c r="G248" s="48"/>
      <c r="H248" s="33"/>
    </row>
    <row r="249" customFormat="false" ht="16.5" hidden="true" customHeight="false" outlineLevel="0" collapsed="false">
      <c r="A249" s="72"/>
      <c r="B249" s="33" t="s">
        <v>258</v>
      </c>
      <c r="C249" s="33" t="n">
        <v>13005</v>
      </c>
      <c r="D249" s="15" t="s">
        <v>27</v>
      </c>
      <c r="E249" s="33"/>
      <c r="F249" s="29" t="n">
        <f aca="false">Загальна!F234</f>
        <v>0</v>
      </c>
      <c r="G249" s="48"/>
      <c r="H249" s="33"/>
    </row>
    <row r="250" customFormat="false" ht="16.5" hidden="true" customHeight="false" outlineLevel="0" collapsed="false">
      <c r="A250" s="72"/>
      <c r="B250" s="33" t="s">
        <v>259</v>
      </c>
      <c r="C250" s="33" t="n">
        <v>13006</v>
      </c>
      <c r="D250" s="15" t="s">
        <v>27</v>
      </c>
      <c r="E250" s="33"/>
      <c r="F250" s="29" t="n">
        <f aca="false">Загальна!F235</f>
        <v>0</v>
      </c>
      <c r="G250" s="48"/>
      <c r="H250" s="33"/>
    </row>
    <row r="251" customFormat="false" ht="16.5" hidden="true" customHeight="false" outlineLevel="0" collapsed="false">
      <c r="A251" s="72"/>
      <c r="B251" s="33" t="s">
        <v>260</v>
      </c>
      <c r="C251" s="33" t="n">
        <v>13007</v>
      </c>
      <c r="D251" s="15" t="s">
        <v>27</v>
      </c>
      <c r="E251" s="33"/>
      <c r="F251" s="29" t="n">
        <f aca="false">Загальна!F236</f>
        <v>0</v>
      </c>
      <c r="G251" s="48"/>
      <c r="H251" s="33"/>
    </row>
    <row r="252" customFormat="false" ht="16.5" hidden="true" customHeight="false" outlineLevel="0" collapsed="false">
      <c r="A252" s="72"/>
      <c r="B252" s="33" t="s">
        <v>261</v>
      </c>
      <c r="C252" s="33" t="n">
        <v>13008</v>
      </c>
      <c r="D252" s="15" t="s">
        <v>27</v>
      </c>
      <c r="E252" s="33"/>
      <c r="F252" s="29" t="n">
        <f aca="false">Загальна!F237</f>
        <v>0</v>
      </c>
      <c r="G252" s="48"/>
      <c r="H252" s="33"/>
    </row>
    <row r="253" customFormat="false" ht="16.5" hidden="true" customHeight="false" outlineLevel="0" collapsed="false">
      <c r="A253" s="72"/>
      <c r="B253" s="33" t="s">
        <v>262</v>
      </c>
      <c r="C253" s="33" t="n">
        <v>13009</v>
      </c>
      <c r="D253" s="15" t="s">
        <v>27</v>
      </c>
      <c r="E253" s="33"/>
      <c r="F253" s="29" t="n">
        <f aca="false">Загальна!F238</f>
        <v>0</v>
      </c>
      <c r="G253" s="48"/>
      <c r="H253" s="33"/>
    </row>
    <row r="254" customFormat="false" ht="16.5" hidden="true" customHeight="false" outlineLevel="0" collapsed="false">
      <c r="A254" s="72"/>
      <c r="B254" s="33" t="s">
        <v>263</v>
      </c>
      <c r="C254" s="33" t="n">
        <v>13010</v>
      </c>
      <c r="D254" s="15" t="s">
        <v>27</v>
      </c>
      <c r="E254" s="33"/>
      <c r="F254" s="29" t="n">
        <f aca="false">Загальна!F239</f>
        <v>0</v>
      </c>
      <c r="G254" s="48"/>
      <c r="H254" s="33"/>
    </row>
    <row r="255" customFormat="false" ht="16.5" hidden="true" customHeight="false" outlineLevel="0" collapsed="false">
      <c r="A255" s="72"/>
      <c r="B255" s="33" t="s">
        <v>264</v>
      </c>
      <c r="C255" s="33" t="n">
        <v>13011</v>
      </c>
      <c r="D255" s="15" t="s">
        <v>27</v>
      </c>
      <c r="E255" s="33"/>
      <c r="F255" s="29" t="n">
        <f aca="false">Загальна!F240</f>
        <v>0</v>
      </c>
      <c r="G255" s="48"/>
      <c r="H255" s="33"/>
    </row>
    <row r="256" customFormat="false" ht="16.5" hidden="true" customHeight="false" outlineLevel="0" collapsed="false">
      <c r="A256" s="72"/>
      <c r="B256" s="33" t="s">
        <v>265</v>
      </c>
      <c r="C256" s="33" t="n">
        <v>13013</v>
      </c>
      <c r="D256" s="15" t="s">
        <v>27</v>
      </c>
      <c r="E256" s="33"/>
      <c r="F256" s="29" t="n">
        <f aca="false">Загальна!F241</f>
        <v>0</v>
      </c>
      <c r="G256" s="48"/>
      <c r="H256" s="33"/>
    </row>
    <row r="257" customFormat="false" ht="16.5" hidden="true" customHeight="false" outlineLevel="0" collapsed="false">
      <c r="A257" s="72"/>
      <c r="B257" s="33" t="s">
        <v>266</v>
      </c>
      <c r="C257" s="33" t="n">
        <v>13015</v>
      </c>
      <c r="D257" s="15" t="s">
        <v>27</v>
      </c>
      <c r="E257" s="33"/>
      <c r="F257" s="29" t="n">
        <f aca="false">Загальна!F242</f>
        <v>0</v>
      </c>
      <c r="G257" s="48"/>
      <c r="H257" s="33"/>
    </row>
    <row r="258" customFormat="false" ht="16.5" hidden="true" customHeight="false" outlineLevel="0" collapsed="false">
      <c r="A258" s="72"/>
      <c r="B258" s="33" t="s">
        <v>267</v>
      </c>
      <c r="C258" s="33" t="n">
        <v>13016</v>
      </c>
      <c r="D258" s="15" t="s">
        <v>27</v>
      </c>
      <c r="E258" s="33"/>
      <c r="F258" s="29" t="n">
        <f aca="false">Загальна!F243</f>
        <v>0</v>
      </c>
      <c r="G258" s="48"/>
      <c r="H258" s="33"/>
    </row>
    <row r="259" customFormat="false" ht="16.5" hidden="true" customHeight="false" outlineLevel="0" collapsed="false">
      <c r="A259" s="72"/>
      <c r="B259" s="33" t="s">
        <v>268</v>
      </c>
      <c r="C259" s="33" t="n">
        <v>13017</v>
      </c>
      <c r="D259" s="15" t="s">
        <v>27</v>
      </c>
      <c r="E259" s="33"/>
      <c r="F259" s="29" t="n">
        <f aca="false">Загальна!F244</f>
        <v>0</v>
      </c>
      <c r="G259" s="48"/>
      <c r="H259" s="33"/>
    </row>
    <row r="260" customFormat="false" ht="16.5" hidden="true" customHeight="false" outlineLevel="0" collapsed="false">
      <c r="A260" s="72"/>
      <c r="B260" s="33" t="s">
        <v>269</v>
      </c>
      <c r="C260" s="33" t="n">
        <v>13018</v>
      </c>
      <c r="D260" s="15" t="s">
        <v>27</v>
      </c>
      <c r="E260" s="33"/>
      <c r="F260" s="29" t="n">
        <f aca="false">Загальна!F245</f>
        <v>0</v>
      </c>
      <c r="G260" s="48"/>
      <c r="H260" s="33"/>
    </row>
    <row r="261" customFormat="false" ht="16.5" hidden="true" customHeight="false" outlineLevel="0" collapsed="false">
      <c r="A261" s="72"/>
      <c r="B261" s="33" t="s">
        <v>270</v>
      </c>
      <c r="C261" s="33" t="n">
        <v>13019</v>
      </c>
      <c r="D261" s="15" t="s">
        <v>27</v>
      </c>
      <c r="E261" s="33"/>
      <c r="F261" s="29" t="n">
        <f aca="false">Загальна!F246</f>
        <v>0</v>
      </c>
      <c r="G261" s="48"/>
      <c r="H261" s="33"/>
    </row>
    <row r="262" customFormat="false" ht="16.5" hidden="true" customHeight="false" outlineLevel="0" collapsed="false">
      <c r="A262" s="72"/>
      <c r="B262" s="33" t="s">
        <v>271</v>
      </c>
      <c r="C262" s="33" t="n">
        <v>13020</v>
      </c>
      <c r="D262" s="15" t="s">
        <v>27</v>
      </c>
      <c r="E262" s="33"/>
      <c r="F262" s="29" t="n">
        <f aca="false">Загальна!F247</f>
        <v>0</v>
      </c>
      <c r="G262" s="48"/>
      <c r="H262" s="33"/>
    </row>
    <row r="263" customFormat="false" ht="16.5" hidden="true" customHeight="false" outlineLevel="0" collapsed="false">
      <c r="A263" s="72"/>
      <c r="B263" s="33" t="s">
        <v>272</v>
      </c>
      <c r="C263" s="33" t="n">
        <v>13021</v>
      </c>
      <c r="D263" s="15" t="s">
        <v>27</v>
      </c>
      <c r="E263" s="33"/>
      <c r="F263" s="29" t="n">
        <f aca="false">Загальна!F248</f>
        <v>0</v>
      </c>
      <c r="G263" s="48"/>
      <c r="H263" s="33"/>
    </row>
    <row r="264" customFormat="false" ht="16.5" hidden="true" customHeight="false" outlineLevel="0" collapsed="false">
      <c r="A264" s="72"/>
      <c r="B264" s="33" t="s">
        <v>273</v>
      </c>
      <c r="C264" s="33" t="n">
        <v>13101</v>
      </c>
      <c r="D264" s="15" t="s">
        <v>27</v>
      </c>
      <c r="E264" s="33"/>
      <c r="F264" s="29" t="n">
        <f aca="false">Загальна!F249</f>
        <v>0</v>
      </c>
      <c r="G264" s="48"/>
      <c r="H264" s="33"/>
    </row>
    <row r="265" customFormat="false" ht="16.5" hidden="true" customHeight="false" outlineLevel="0" collapsed="false">
      <c r="A265" s="72"/>
      <c r="B265" s="33" t="s">
        <v>274</v>
      </c>
      <c r="C265" s="33" t="n">
        <v>13102</v>
      </c>
      <c r="D265" s="15" t="s">
        <v>27</v>
      </c>
      <c r="E265" s="33"/>
      <c r="F265" s="29" t="n">
        <f aca="false">Загальна!F250</f>
        <v>0</v>
      </c>
      <c r="G265" s="48"/>
      <c r="H265" s="33"/>
    </row>
    <row r="266" customFormat="false" ht="16.5" hidden="true" customHeight="false" outlineLevel="0" collapsed="false">
      <c r="A266" s="72"/>
      <c r="B266" s="33" t="s">
        <v>275</v>
      </c>
      <c r="C266" s="33" t="n">
        <v>13104</v>
      </c>
      <c r="D266" s="15" t="s">
        <v>27</v>
      </c>
      <c r="E266" s="33"/>
      <c r="F266" s="29" t="n">
        <f aca="false">Загальна!F251</f>
        <v>0</v>
      </c>
      <c r="G266" s="48"/>
      <c r="H266" s="33"/>
    </row>
    <row r="267" customFormat="false" ht="16.5" hidden="true" customHeight="false" outlineLevel="0" collapsed="false">
      <c r="A267" s="72"/>
      <c r="B267" s="33" t="s">
        <v>276</v>
      </c>
      <c r="C267" s="33" t="n">
        <v>13105</v>
      </c>
      <c r="D267" s="15" t="s">
        <v>27</v>
      </c>
      <c r="E267" s="33"/>
      <c r="F267" s="29" t="n">
        <f aca="false">Загальна!F252</f>
        <v>0</v>
      </c>
      <c r="G267" s="48"/>
      <c r="H267" s="33"/>
    </row>
    <row r="268" customFormat="false" ht="16.5" hidden="true" customHeight="false" outlineLevel="0" collapsed="false">
      <c r="A268" s="72" t="n">
        <v>23</v>
      </c>
      <c r="B268" s="33" t="s">
        <v>277</v>
      </c>
      <c r="C268" s="33" t="n">
        <v>13106</v>
      </c>
      <c r="D268" s="15" t="s">
        <v>27</v>
      </c>
      <c r="E268" s="33"/>
      <c r="F268" s="29" t="n">
        <f aca="false">Загальна!F253</f>
        <v>0</v>
      </c>
      <c r="G268" s="48"/>
      <c r="H268" s="33"/>
    </row>
    <row r="269" customFormat="false" ht="16.5" hidden="true" customHeight="false" outlineLevel="0" collapsed="false">
      <c r="A269" s="72"/>
      <c r="B269" s="33" t="s">
        <v>278</v>
      </c>
      <c r="C269" s="33" t="n">
        <v>13107</v>
      </c>
      <c r="D269" s="15" t="s">
        <v>27</v>
      </c>
      <c r="E269" s="33"/>
      <c r="F269" s="29" t="n">
        <f aca="false">Загальна!F254</f>
        <v>0</v>
      </c>
      <c r="G269" s="48"/>
      <c r="H269" s="33"/>
    </row>
    <row r="270" customFormat="false" ht="16.5" hidden="false" customHeight="false" outlineLevel="0" collapsed="false">
      <c r="A270" s="72" t="n">
        <v>23</v>
      </c>
      <c r="B270" s="33" t="s">
        <v>279</v>
      </c>
      <c r="C270" s="33" t="n">
        <v>13108</v>
      </c>
      <c r="D270" s="15" t="s">
        <v>27</v>
      </c>
      <c r="E270" s="33"/>
      <c r="F270" s="29" t="n">
        <f aca="false">Загальна!F255</f>
        <v>0.775</v>
      </c>
      <c r="G270" s="48"/>
      <c r="H270" s="33"/>
    </row>
    <row r="271" customFormat="false" ht="16.5" hidden="true" customHeight="false" outlineLevel="0" collapsed="false">
      <c r="A271" s="72"/>
      <c r="B271" s="33" t="s">
        <v>280</v>
      </c>
      <c r="C271" s="33" t="n">
        <v>13109</v>
      </c>
      <c r="D271" s="15" t="s">
        <v>27</v>
      </c>
      <c r="E271" s="33"/>
      <c r="F271" s="29" t="n">
        <f aca="false">Загальна!F256</f>
        <v>0</v>
      </c>
      <c r="G271" s="48"/>
      <c r="H271" s="33"/>
    </row>
    <row r="272" customFormat="false" ht="16.5" hidden="true" customHeight="false" outlineLevel="0" collapsed="false">
      <c r="A272" s="72"/>
      <c r="B272" s="33" t="s">
        <v>281</v>
      </c>
      <c r="C272" s="33" t="n">
        <v>13110</v>
      </c>
      <c r="D272" s="15" t="s">
        <v>27</v>
      </c>
      <c r="E272" s="33"/>
      <c r="F272" s="29" t="n">
        <f aca="false">Загальна!F257</f>
        <v>0</v>
      </c>
      <c r="G272" s="48"/>
      <c r="H272" s="33"/>
    </row>
    <row r="273" customFormat="false" ht="16.5" hidden="true" customHeight="false" outlineLevel="0" collapsed="false">
      <c r="A273" s="72"/>
      <c r="B273" s="33" t="s">
        <v>282</v>
      </c>
      <c r="C273" s="33" t="n">
        <v>13111</v>
      </c>
      <c r="D273" s="15" t="s">
        <v>27</v>
      </c>
      <c r="E273" s="33"/>
      <c r="F273" s="29" t="n">
        <f aca="false">Загальна!F258</f>
        <v>0</v>
      </c>
      <c r="G273" s="48"/>
      <c r="H273" s="33"/>
    </row>
    <row r="274" customFormat="false" ht="16.5" hidden="true" customHeight="false" outlineLevel="0" collapsed="false">
      <c r="A274" s="72"/>
      <c r="B274" s="33" t="s">
        <v>283</v>
      </c>
      <c r="C274" s="33" t="n">
        <v>13112</v>
      </c>
      <c r="D274" s="15" t="s">
        <v>27</v>
      </c>
      <c r="E274" s="33"/>
      <c r="F274" s="29" t="n">
        <f aca="false">Загальна!F259</f>
        <v>0</v>
      </c>
      <c r="G274" s="48"/>
      <c r="H274" s="33"/>
    </row>
    <row r="275" customFormat="false" ht="16.5" hidden="true" customHeight="false" outlineLevel="0" collapsed="false">
      <c r="A275" s="72"/>
      <c r="B275" s="33" t="s">
        <v>284</v>
      </c>
      <c r="C275" s="33" t="n">
        <v>13113</v>
      </c>
      <c r="D275" s="15" t="s">
        <v>27</v>
      </c>
      <c r="E275" s="33"/>
      <c r="F275" s="29" t="n">
        <f aca="false">Загальна!F260</f>
        <v>0</v>
      </c>
      <c r="G275" s="48"/>
      <c r="H275" s="33"/>
    </row>
    <row r="276" customFormat="false" ht="16.5" hidden="true" customHeight="false" outlineLevel="0" collapsed="false">
      <c r="A276" s="72"/>
      <c r="B276" s="33" t="s">
        <v>285</v>
      </c>
      <c r="C276" s="33" t="n">
        <v>13114</v>
      </c>
      <c r="D276" s="15" t="s">
        <v>27</v>
      </c>
      <c r="E276" s="33"/>
      <c r="F276" s="29" t="n">
        <f aca="false">Загальна!F261</f>
        <v>0</v>
      </c>
      <c r="G276" s="48"/>
      <c r="H276" s="33"/>
    </row>
    <row r="277" customFormat="false" ht="16.5" hidden="true" customHeight="false" outlineLevel="0" collapsed="false">
      <c r="A277" s="72"/>
      <c r="B277" s="33" t="s">
        <v>286</v>
      </c>
      <c r="C277" s="33" t="n">
        <v>13115</v>
      </c>
      <c r="D277" s="15" t="s">
        <v>27</v>
      </c>
      <c r="E277" s="33"/>
      <c r="F277" s="29" t="n">
        <f aca="false">Загальна!F262</f>
        <v>0</v>
      </c>
      <c r="G277" s="48"/>
      <c r="H277" s="33"/>
    </row>
    <row r="278" customFormat="false" ht="16.5" hidden="true" customHeight="false" outlineLevel="0" collapsed="false">
      <c r="A278" s="72"/>
      <c r="B278" s="33" t="s">
        <v>287</v>
      </c>
      <c r="C278" s="33" t="n">
        <v>13116</v>
      </c>
      <c r="D278" s="15" t="s">
        <v>27</v>
      </c>
      <c r="E278" s="33"/>
      <c r="F278" s="29" t="n">
        <f aca="false">Загальна!F263</f>
        <v>0</v>
      </c>
      <c r="G278" s="48"/>
      <c r="H278" s="33"/>
    </row>
    <row r="279" customFormat="false" ht="16.5" hidden="true" customHeight="false" outlineLevel="0" collapsed="false">
      <c r="A279" s="72"/>
      <c r="B279" s="33" t="s">
        <v>288</v>
      </c>
      <c r="C279" s="33" t="n">
        <v>13117</v>
      </c>
      <c r="D279" s="15" t="s">
        <v>27</v>
      </c>
      <c r="E279" s="33"/>
      <c r="F279" s="29" t="n">
        <f aca="false">Загальна!F264</f>
        <v>0</v>
      </c>
      <c r="G279" s="48"/>
      <c r="H279" s="33"/>
    </row>
    <row r="280" customFormat="false" ht="16.5" hidden="true" customHeight="false" outlineLevel="0" collapsed="false">
      <c r="A280" s="72"/>
      <c r="B280" s="33" t="s">
        <v>289</v>
      </c>
      <c r="C280" s="33" t="n">
        <v>13118</v>
      </c>
      <c r="D280" s="15" t="s">
        <v>27</v>
      </c>
      <c r="E280" s="33"/>
      <c r="F280" s="29" t="n">
        <f aca="false">Загальна!F265</f>
        <v>0</v>
      </c>
      <c r="G280" s="48"/>
      <c r="H280" s="33"/>
    </row>
    <row r="281" customFormat="false" ht="16.5" hidden="true" customHeight="false" outlineLevel="0" collapsed="false">
      <c r="A281" s="72"/>
      <c r="B281" s="33" t="s">
        <v>290</v>
      </c>
      <c r="C281" s="33" t="n">
        <v>13119</v>
      </c>
      <c r="D281" s="15" t="s">
        <v>27</v>
      </c>
      <c r="E281" s="33"/>
      <c r="F281" s="29" t="n">
        <f aca="false">Загальна!F266</f>
        <v>0</v>
      </c>
      <c r="G281" s="48"/>
      <c r="H281" s="33"/>
    </row>
    <row r="282" customFormat="false" ht="16.5" hidden="true" customHeight="false" outlineLevel="0" collapsed="false">
      <c r="A282" s="72"/>
      <c r="B282" s="33" t="s">
        <v>291</v>
      </c>
      <c r="C282" s="33" t="n">
        <v>13120</v>
      </c>
      <c r="D282" s="15" t="s">
        <v>27</v>
      </c>
      <c r="E282" s="33"/>
      <c r="F282" s="29" t="n">
        <f aca="false">Загальна!F267</f>
        <v>0</v>
      </c>
      <c r="G282" s="48"/>
      <c r="H282" s="33"/>
    </row>
    <row r="283" customFormat="false" ht="16.5" hidden="true" customHeight="false" outlineLevel="0" collapsed="false">
      <c r="A283" s="72"/>
      <c r="B283" s="33" t="s">
        <v>292</v>
      </c>
      <c r="C283" s="33" t="n">
        <v>13121</v>
      </c>
      <c r="D283" s="15" t="s">
        <v>27</v>
      </c>
      <c r="E283" s="33"/>
      <c r="F283" s="29" t="n">
        <f aca="false">Загальна!F268</f>
        <v>0</v>
      </c>
      <c r="G283" s="48"/>
      <c r="H283" s="33"/>
    </row>
    <row r="284" customFormat="false" ht="16.5" hidden="true" customHeight="false" outlineLevel="0" collapsed="false">
      <c r="A284" s="72"/>
      <c r="B284" s="33" t="s">
        <v>293</v>
      </c>
      <c r="C284" s="33" t="n">
        <v>13122</v>
      </c>
      <c r="D284" s="15" t="s">
        <v>27</v>
      </c>
      <c r="E284" s="33"/>
      <c r="F284" s="29" t="n">
        <f aca="false">Загальна!F269</f>
        <v>0</v>
      </c>
      <c r="G284" s="48"/>
      <c r="H284" s="33"/>
    </row>
    <row r="285" customFormat="false" ht="16.5" hidden="true" customHeight="false" outlineLevel="0" collapsed="false">
      <c r="A285" s="72"/>
      <c r="B285" s="33" t="s">
        <v>294</v>
      </c>
      <c r="C285" s="33" t="n">
        <v>13123</v>
      </c>
      <c r="D285" s="15" t="s">
        <v>27</v>
      </c>
      <c r="E285" s="33"/>
      <c r="F285" s="29" t="n">
        <f aca="false">Загальна!F270</f>
        <v>0</v>
      </c>
      <c r="G285" s="48"/>
      <c r="H285" s="33"/>
    </row>
    <row r="286" customFormat="false" ht="16.5" hidden="true" customHeight="false" outlineLevel="0" collapsed="false">
      <c r="A286" s="72"/>
      <c r="B286" s="33" t="s">
        <v>295</v>
      </c>
      <c r="C286" s="33" t="n">
        <v>13124</v>
      </c>
      <c r="D286" s="15" t="s">
        <v>27</v>
      </c>
      <c r="E286" s="33"/>
      <c r="F286" s="29" t="n">
        <f aca="false">Загальна!F271</f>
        <v>0</v>
      </c>
      <c r="G286" s="48"/>
      <c r="H286" s="33"/>
    </row>
    <row r="287" customFormat="false" ht="16.5" hidden="true" customHeight="false" outlineLevel="0" collapsed="false">
      <c r="A287" s="72"/>
      <c r="B287" s="33" t="s">
        <v>296</v>
      </c>
      <c r="C287" s="33" t="n">
        <v>13125</v>
      </c>
      <c r="D287" s="15" t="s">
        <v>27</v>
      </c>
      <c r="E287" s="33"/>
      <c r="F287" s="29" t="n">
        <f aca="false">Загальна!F272</f>
        <v>0</v>
      </c>
      <c r="G287" s="48"/>
      <c r="H287" s="33"/>
    </row>
    <row r="288" customFormat="false" ht="16.5" hidden="true" customHeight="false" outlineLevel="0" collapsed="false">
      <c r="A288" s="72"/>
      <c r="B288" s="33" t="s">
        <v>297</v>
      </c>
      <c r="C288" s="33" t="n">
        <v>13126</v>
      </c>
      <c r="D288" s="15" t="s">
        <v>27</v>
      </c>
      <c r="E288" s="33"/>
      <c r="F288" s="29" t="n">
        <f aca="false">Загальна!F273</f>
        <v>0</v>
      </c>
      <c r="G288" s="48"/>
      <c r="H288" s="33"/>
    </row>
    <row r="289" customFormat="false" ht="16.5" hidden="true" customHeight="false" outlineLevel="0" collapsed="false">
      <c r="A289" s="72"/>
      <c r="B289" s="33" t="s">
        <v>298</v>
      </c>
      <c r="C289" s="33" t="n">
        <v>14001</v>
      </c>
      <c r="D289" s="15" t="s">
        <v>27</v>
      </c>
      <c r="E289" s="33"/>
      <c r="F289" s="29" t="n">
        <f aca="false">Загальна!F274</f>
        <v>0</v>
      </c>
      <c r="G289" s="48"/>
      <c r="H289" s="33"/>
    </row>
    <row r="290" customFormat="false" ht="16.5" hidden="true" customHeight="false" outlineLevel="0" collapsed="false">
      <c r="A290" s="72"/>
      <c r="B290" s="33" t="s">
        <v>299</v>
      </c>
      <c r="C290" s="33" t="n">
        <v>14002</v>
      </c>
      <c r="D290" s="15" t="s">
        <v>27</v>
      </c>
      <c r="E290" s="33"/>
      <c r="F290" s="29" t="n">
        <f aca="false">Загальна!F275</f>
        <v>0</v>
      </c>
      <c r="G290" s="48"/>
      <c r="H290" s="33"/>
    </row>
    <row r="291" customFormat="false" ht="16.5" hidden="true" customHeight="false" outlineLevel="0" collapsed="false">
      <c r="A291" s="72"/>
      <c r="B291" s="33" t="s">
        <v>300</v>
      </c>
      <c r="C291" s="33" t="n">
        <v>14003</v>
      </c>
      <c r="D291" s="15" t="s">
        <v>27</v>
      </c>
      <c r="E291" s="33"/>
      <c r="F291" s="29" t="n">
        <f aca="false">Загальна!F276</f>
        <v>0</v>
      </c>
      <c r="G291" s="48"/>
      <c r="H291" s="33"/>
    </row>
    <row r="292" customFormat="false" ht="16.5" hidden="true" customHeight="false" outlineLevel="0" collapsed="false">
      <c r="A292" s="72"/>
      <c r="B292" s="33" t="s">
        <v>301</v>
      </c>
      <c r="C292" s="33" t="n">
        <v>14004</v>
      </c>
      <c r="D292" s="15" t="s">
        <v>27</v>
      </c>
      <c r="E292" s="33"/>
      <c r="F292" s="29" t="n">
        <f aca="false">Загальна!F277</f>
        <v>0</v>
      </c>
      <c r="G292" s="48"/>
      <c r="H292" s="33"/>
    </row>
    <row r="293" customFormat="false" ht="16.5" hidden="true" customHeight="false" outlineLevel="0" collapsed="false">
      <c r="A293" s="72"/>
      <c r="B293" s="33" t="s">
        <v>302</v>
      </c>
      <c r="C293" s="33" t="n">
        <v>14005</v>
      </c>
      <c r="D293" s="15" t="s">
        <v>27</v>
      </c>
      <c r="E293" s="33"/>
      <c r="F293" s="29" t="n">
        <f aca="false">Загальна!F278</f>
        <v>0</v>
      </c>
      <c r="G293" s="48"/>
      <c r="H293" s="33"/>
    </row>
    <row r="294" customFormat="false" ht="16.5" hidden="true" customHeight="false" outlineLevel="0" collapsed="false">
      <c r="A294" s="72"/>
      <c r="B294" s="33" t="s">
        <v>303</v>
      </c>
      <c r="C294" s="33" t="n">
        <v>14006</v>
      </c>
      <c r="D294" s="15" t="s">
        <v>27</v>
      </c>
      <c r="E294" s="33"/>
      <c r="F294" s="29" t="n">
        <f aca="false">Загальна!F279</f>
        <v>0</v>
      </c>
      <c r="G294" s="48"/>
      <c r="H294" s="33"/>
    </row>
    <row r="295" customFormat="false" ht="16.5" hidden="true" customHeight="false" outlineLevel="0" collapsed="false">
      <c r="A295" s="72"/>
      <c r="B295" s="33" t="s">
        <v>304</v>
      </c>
      <c r="C295" s="33" t="n">
        <v>14007</v>
      </c>
      <c r="D295" s="15" t="s">
        <v>27</v>
      </c>
      <c r="E295" s="33"/>
      <c r="F295" s="29" t="n">
        <f aca="false">Загальна!F280</f>
        <v>0</v>
      </c>
      <c r="G295" s="48"/>
      <c r="H295" s="33"/>
    </row>
    <row r="296" customFormat="false" ht="16.5" hidden="true" customHeight="false" outlineLevel="0" collapsed="false">
      <c r="A296" s="72"/>
      <c r="B296" s="33" t="s">
        <v>305</v>
      </c>
      <c r="C296" s="33" t="n">
        <v>14008</v>
      </c>
      <c r="D296" s="15" t="s">
        <v>27</v>
      </c>
      <c r="E296" s="33"/>
      <c r="F296" s="29" t="n">
        <f aca="false">Загальна!F281</f>
        <v>0</v>
      </c>
      <c r="G296" s="48"/>
      <c r="H296" s="33"/>
    </row>
    <row r="297" customFormat="false" ht="16.5" hidden="true" customHeight="false" outlineLevel="0" collapsed="false">
      <c r="A297" s="72"/>
      <c r="B297" s="33" t="s">
        <v>306</v>
      </c>
      <c r="C297" s="33" t="n">
        <v>14010</v>
      </c>
      <c r="D297" s="15" t="s">
        <v>27</v>
      </c>
      <c r="E297" s="33"/>
      <c r="F297" s="29" t="n">
        <f aca="false">Загальна!F282</f>
        <v>0</v>
      </c>
      <c r="G297" s="48"/>
      <c r="H297" s="33"/>
    </row>
    <row r="298" customFormat="false" ht="16.5" hidden="true" customHeight="false" outlineLevel="0" collapsed="false">
      <c r="A298" s="72"/>
      <c r="B298" s="33" t="s">
        <v>307</v>
      </c>
      <c r="C298" s="33" t="n">
        <v>14011</v>
      </c>
      <c r="D298" s="15" t="s">
        <v>27</v>
      </c>
      <c r="E298" s="33"/>
      <c r="F298" s="29" t="n">
        <f aca="false">Загальна!F283</f>
        <v>0</v>
      </c>
      <c r="G298" s="48"/>
      <c r="H298" s="33"/>
    </row>
    <row r="299" customFormat="false" ht="16.5" hidden="true" customHeight="false" outlineLevel="0" collapsed="false">
      <c r="A299" s="72" t="n">
        <v>24</v>
      </c>
      <c r="B299" s="33" t="s">
        <v>308</v>
      </c>
      <c r="C299" s="33" t="n">
        <v>14012</v>
      </c>
      <c r="D299" s="15" t="s">
        <v>27</v>
      </c>
      <c r="E299" s="33"/>
      <c r="F299" s="29" t="n">
        <f aca="false">Загальна!F284</f>
        <v>0</v>
      </c>
      <c r="G299" s="48"/>
      <c r="H299" s="33"/>
    </row>
    <row r="300" customFormat="false" ht="16.5" hidden="true" customHeight="false" outlineLevel="0" collapsed="false">
      <c r="A300" s="72"/>
      <c r="B300" s="33" t="s">
        <v>309</v>
      </c>
      <c r="C300" s="33" t="n">
        <v>14013</v>
      </c>
      <c r="D300" s="15" t="s">
        <v>27</v>
      </c>
      <c r="E300" s="33"/>
      <c r="F300" s="29" t="n">
        <f aca="false">Загальна!F285</f>
        <v>0</v>
      </c>
      <c r="G300" s="48"/>
      <c r="H300" s="33"/>
    </row>
    <row r="301" customFormat="false" ht="16.5" hidden="false" customHeight="false" outlineLevel="0" collapsed="false">
      <c r="A301" s="72" t="n">
        <v>24</v>
      </c>
      <c r="B301" s="33" t="s">
        <v>310</v>
      </c>
      <c r="C301" s="33" t="n">
        <v>14015</v>
      </c>
      <c r="D301" s="15" t="s">
        <v>27</v>
      </c>
      <c r="E301" s="33"/>
      <c r="F301" s="29" t="n">
        <f aca="false">Загальна!F286</f>
        <v>0.155</v>
      </c>
      <c r="G301" s="48"/>
      <c r="H301" s="33"/>
    </row>
    <row r="302" customFormat="false" ht="16.5" hidden="true" customHeight="false" outlineLevel="0" collapsed="false">
      <c r="A302" s="72"/>
      <c r="B302" s="33" t="s">
        <v>311</v>
      </c>
      <c r="C302" s="33" t="n">
        <v>14016</v>
      </c>
      <c r="D302" s="15" t="s">
        <v>27</v>
      </c>
      <c r="E302" s="33"/>
      <c r="F302" s="29" t="n">
        <f aca="false">Загальна!F287</f>
        <v>0</v>
      </c>
      <c r="G302" s="48"/>
      <c r="H302" s="33"/>
    </row>
    <row r="303" customFormat="false" ht="16.5" hidden="true" customHeight="false" outlineLevel="0" collapsed="false">
      <c r="A303" s="72"/>
      <c r="B303" s="33" t="s">
        <v>312</v>
      </c>
      <c r="C303" s="33" t="n">
        <v>14017</v>
      </c>
      <c r="D303" s="15" t="s">
        <v>27</v>
      </c>
      <c r="E303" s="33"/>
      <c r="F303" s="29" t="n">
        <f aca="false">Загальна!F288</f>
        <v>0</v>
      </c>
      <c r="G303" s="48"/>
      <c r="H303" s="33"/>
    </row>
    <row r="304" customFormat="false" ht="16.5" hidden="true" customHeight="false" outlineLevel="0" collapsed="false">
      <c r="A304" s="72"/>
      <c r="B304" s="33" t="s">
        <v>313</v>
      </c>
      <c r="C304" s="33" t="n">
        <v>14018</v>
      </c>
      <c r="D304" s="15" t="s">
        <v>27</v>
      </c>
      <c r="E304" s="33"/>
      <c r="F304" s="29" t="n">
        <f aca="false">Загальна!F289</f>
        <v>0</v>
      </c>
      <c r="G304" s="48"/>
      <c r="H304" s="33"/>
    </row>
    <row r="305" customFormat="false" ht="16.5" hidden="true" customHeight="false" outlineLevel="0" collapsed="false">
      <c r="A305" s="72"/>
      <c r="B305" s="33" t="s">
        <v>314</v>
      </c>
      <c r="C305" s="33" t="n">
        <v>14020</v>
      </c>
      <c r="D305" s="15" t="s">
        <v>27</v>
      </c>
      <c r="E305" s="33"/>
      <c r="F305" s="29" t="n">
        <f aca="false">Загальна!F290</f>
        <v>0</v>
      </c>
      <c r="G305" s="48"/>
      <c r="H305" s="33"/>
    </row>
    <row r="306" customFormat="false" ht="16.5" hidden="true" customHeight="false" outlineLevel="0" collapsed="false">
      <c r="A306" s="72" t="n">
        <v>25</v>
      </c>
      <c r="B306" s="33" t="s">
        <v>315</v>
      </c>
      <c r="C306" s="33" t="n">
        <v>14022</v>
      </c>
      <c r="D306" s="15" t="s">
        <v>27</v>
      </c>
      <c r="E306" s="33"/>
      <c r="F306" s="29" t="n">
        <f aca="false">Загальна!F291</f>
        <v>0</v>
      </c>
      <c r="G306" s="48"/>
      <c r="H306" s="33"/>
    </row>
    <row r="307" customFormat="false" ht="16.5" hidden="true" customHeight="false" outlineLevel="0" collapsed="false">
      <c r="A307" s="72"/>
      <c r="B307" s="33" t="s">
        <v>316</v>
      </c>
      <c r="C307" s="33" t="n">
        <v>14024</v>
      </c>
      <c r="D307" s="15" t="s">
        <v>27</v>
      </c>
      <c r="E307" s="33"/>
      <c r="F307" s="29" t="n">
        <f aca="false">Загальна!F292</f>
        <v>0</v>
      </c>
      <c r="G307" s="48"/>
      <c r="H307" s="33"/>
    </row>
    <row r="308" customFormat="false" ht="16.5" hidden="false" customHeight="false" outlineLevel="0" collapsed="false">
      <c r="A308" s="72" t="n">
        <v>25</v>
      </c>
      <c r="B308" s="33" t="s">
        <v>317</v>
      </c>
      <c r="C308" s="33" t="n">
        <v>14025</v>
      </c>
      <c r="D308" s="15" t="s">
        <v>27</v>
      </c>
      <c r="E308" s="33"/>
      <c r="F308" s="29" t="n">
        <f aca="false">Загальна!F293</f>
        <v>1.86</v>
      </c>
      <c r="G308" s="48"/>
      <c r="H308" s="33"/>
    </row>
    <row r="309" customFormat="false" ht="16.5" hidden="true" customHeight="false" outlineLevel="0" collapsed="false">
      <c r="A309" s="72"/>
      <c r="B309" s="33" t="s">
        <v>318</v>
      </c>
      <c r="C309" s="33" t="n">
        <v>14026</v>
      </c>
      <c r="D309" s="15" t="s">
        <v>27</v>
      </c>
      <c r="E309" s="33"/>
      <c r="F309" s="29" t="n">
        <f aca="false">Загальна!F294</f>
        <v>0</v>
      </c>
      <c r="G309" s="48"/>
      <c r="H309" s="33"/>
    </row>
    <row r="310" customFormat="false" ht="16.5" hidden="true" customHeight="false" outlineLevel="0" collapsed="false">
      <c r="A310" s="72"/>
      <c r="B310" s="33" t="s">
        <v>319</v>
      </c>
      <c r="C310" s="33" t="n">
        <v>14027</v>
      </c>
      <c r="D310" s="15" t="s">
        <v>27</v>
      </c>
      <c r="E310" s="33"/>
      <c r="F310" s="29" t="n">
        <f aca="false">Загальна!F295</f>
        <v>0</v>
      </c>
      <c r="G310" s="48"/>
      <c r="H310" s="33"/>
    </row>
    <row r="311" customFormat="false" ht="16.5" hidden="true" customHeight="false" outlineLevel="0" collapsed="false">
      <c r="A311" s="72" t="n">
        <v>26</v>
      </c>
      <c r="B311" s="33" t="s">
        <v>320</v>
      </c>
      <c r="C311" s="33" t="n">
        <v>14028</v>
      </c>
      <c r="D311" s="15" t="s">
        <v>27</v>
      </c>
      <c r="E311" s="33"/>
      <c r="F311" s="29" t="n">
        <f aca="false">Загальна!F296</f>
        <v>0</v>
      </c>
      <c r="G311" s="48"/>
      <c r="H311" s="33"/>
    </row>
    <row r="312" customFormat="false" ht="16.5" hidden="true" customHeight="false" outlineLevel="0" collapsed="false">
      <c r="A312" s="72"/>
      <c r="B312" s="33" t="s">
        <v>321</v>
      </c>
      <c r="C312" s="33" t="n">
        <v>14029</v>
      </c>
      <c r="D312" s="15" t="s">
        <v>27</v>
      </c>
      <c r="E312" s="33"/>
      <c r="F312" s="29" t="n">
        <f aca="false">Загальна!F297</f>
        <v>0</v>
      </c>
      <c r="G312" s="48"/>
      <c r="H312" s="33"/>
    </row>
    <row r="313" customFormat="false" ht="16.5" hidden="false" customHeight="false" outlineLevel="0" collapsed="false">
      <c r="A313" s="72" t="n">
        <v>26</v>
      </c>
      <c r="B313" s="33" t="s">
        <v>322</v>
      </c>
      <c r="C313" s="33" t="n">
        <v>14030</v>
      </c>
      <c r="D313" s="15" t="s">
        <v>27</v>
      </c>
      <c r="E313" s="33"/>
      <c r="F313" s="29" t="n">
        <f aca="false">Загальна!F298</f>
        <v>0.031</v>
      </c>
      <c r="G313" s="48"/>
      <c r="H313" s="33"/>
    </row>
    <row r="314" customFormat="false" ht="16.5" hidden="true" customHeight="false" outlineLevel="0" collapsed="false">
      <c r="A314" s="72"/>
      <c r="B314" s="33" t="s">
        <v>323</v>
      </c>
      <c r="C314" s="33" t="n">
        <v>14031</v>
      </c>
      <c r="D314" s="15" t="s">
        <v>27</v>
      </c>
      <c r="E314" s="33"/>
      <c r="F314" s="29" t="n">
        <f aca="false">Загальна!F299</f>
        <v>0</v>
      </c>
      <c r="G314" s="48"/>
      <c r="H314" s="33"/>
    </row>
    <row r="315" customFormat="false" ht="16.5" hidden="true" customHeight="false" outlineLevel="0" collapsed="false">
      <c r="A315" s="72"/>
      <c r="B315" s="33" t="s">
        <v>324</v>
      </c>
      <c r="C315" s="33" t="n">
        <v>14032</v>
      </c>
      <c r="D315" s="15" t="s">
        <v>27</v>
      </c>
      <c r="E315" s="33"/>
      <c r="F315" s="29" t="n">
        <f aca="false">Загальна!F300</f>
        <v>0</v>
      </c>
      <c r="G315" s="48"/>
      <c r="H315" s="33"/>
    </row>
    <row r="316" customFormat="false" ht="16.5" hidden="true" customHeight="false" outlineLevel="0" collapsed="false">
      <c r="A316" s="72"/>
      <c r="B316" s="33" t="s">
        <v>325</v>
      </c>
      <c r="C316" s="33" t="n">
        <v>14035</v>
      </c>
      <c r="D316" s="15" t="s">
        <v>27</v>
      </c>
      <c r="E316" s="33"/>
      <c r="F316" s="29" t="n">
        <f aca="false">Загальна!F301</f>
        <v>0</v>
      </c>
      <c r="G316" s="48"/>
      <c r="H316" s="33"/>
    </row>
    <row r="317" customFormat="false" ht="16.5" hidden="true" customHeight="false" outlineLevel="0" collapsed="false">
      <c r="A317" s="72"/>
      <c r="B317" s="33" t="s">
        <v>326</v>
      </c>
      <c r="C317" s="33" t="n">
        <v>14036</v>
      </c>
      <c r="D317" s="15" t="s">
        <v>27</v>
      </c>
      <c r="E317" s="33"/>
      <c r="F317" s="29" t="n">
        <f aca="false">Загальна!F302</f>
        <v>0</v>
      </c>
      <c r="G317" s="48"/>
      <c r="H317" s="33"/>
    </row>
    <row r="318" customFormat="false" ht="16.5" hidden="true" customHeight="false" outlineLevel="0" collapsed="false">
      <c r="A318" s="72"/>
      <c r="B318" s="33" t="s">
        <v>327</v>
      </c>
      <c r="C318" s="33" t="n">
        <v>14037</v>
      </c>
      <c r="D318" s="15" t="s">
        <v>27</v>
      </c>
      <c r="E318" s="33"/>
      <c r="F318" s="29" t="n">
        <f aca="false">Загальна!F303</f>
        <v>0</v>
      </c>
      <c r="G318" s="48"/>
      <c r="H318" s="33"/>
    </row>
    <row r="319" customFormat="false" ht="16.5" hidden="true" customHeight="false" outlineLevel="0" collapsed="false">
      <c r="A319" s="72"/>
      <c r="B319" s="33" t="s">
        <v>328</v>
      </c>
      <c r="C319" s="33" t="n">
        <v>14101</v>
      </c>
      <c r="D319" s="15" t="s">
        <v>27</v>
      </c>
      <c r="E319" s="33"/>
      <c r="F319" s="29" t="n">
        <f aca="false">Загальна!F304</f>
        <v>0</v>
      </c>
      <c r="G319" s="48"/>
      <c r="H319" s="33"/>
    </row>
    <row r="320" customFormat="false" ht="16.5" hidden="true" customHeight="false" outlineLevel="0" collapsed="false">
      <c r="A320" s="72"/>
      <c r="B320" s="33" t="s">
        <v>329</v>
      </c>
      <c r="C320" s="33" t="n">
        <v>14102</v>
      </c>
      <c r="D320" s="15" t="s">
        <v>27</v>
      </c>
      <c r="E320" s="33"/>
      <c r="F320" s="29" t="n">
        <f aca="false">Загальна!F305</f>
        <v>0</v>
      </c>
      <c r="G320" s="48"/>
      <c r="H320" s="33"/>
    </row>
    <row r="321" customFormat="false" ht="16.5" hidden="true" customHeight="false" outlineLevel="0" collapsed="false">
      <c r="A321" s="72"/>
      <c r="B321" s="33" t="s">
        <v>330</v>
      </c>
      <c r="C321" s="33" t="n">
        <v>14103</v>
      </c>
      <c r="D321" s="15" t="s">
        <v>27</v>
      </c>
      <c r="E321" s="33"/>
      <c r="F321" s="29" t="n">
        <f aca="false">Загальна!F306</f>
        <v>0</v>
      </c>
      <c r="G321" s="48"/>
      <c r="H321" s="33"/>
    </row>
    <row r="322" customFormat="false" ht="16.5" hidden="true" customHeight="false" outlineLevel="0" collapsed="false">
      <c r="A322" s="72"/>
      <c r="B322" s="33" t="s">
        <v>331</v>
      </c>
      <c r="C322" s="33" t="n">
        <v>14104</v>
      </c>
      <c r="D322" s="15" t="s">
        <v>27</v>
      </c>
      <c r="E322" s="33"/>
      <c r="F322" s="29" t="n">
        <f aca="false">Загальна!F307</f>
        <v>0</v>
      </c>
      <c r="G322" s="48"/>
      <c r="H322" s="33"/>
    </row>
    <row r="323" customFormat="false" ht="16.5" hidden="true" customHeight="false" outlineLevel="0" collapsed="false">
      <c r="A323" s="72"/>
      <c r="B323" s="33" t="s">
        <v>332</v>
      </c>
      <c r="C323" s="33" t="n">
        <v>14105</v>
      </c>
      <c r="D323" s="15" t="s">
        <v>27</v>
      </c>
      <c r="E323" s="33"/>
      <c r="F323" s="29" t="n">
        <f aca="false">Загальна!F308</f>
        <v>0</v>
      </c>
      <c r="G323" s="48"/>
      <c r="H323" s="33"/>
    </row>
    <row r="324" customFormat="false" ht="16.5" hidden="true" customHeight="false" outlineLevel="0" collapsed="false">
      <c r="A324" s="72"/>
      <c r="B324" s="33" t="s">
        <v>333</v>
      </c>
      <c r="C324" s="33" t="n">
        <v>14106</v>
      </c>
      <c r="D324" s="15" t="s">
        <v>27</v>
      </c>
      <c r="E324" s="33"/>
      <c r="F324" s="29" t="n">
        <f aca="false">Загальна!F309</f>
        <v>0</v>
      </c>
      <c r="G324" s="48"/>
      <c r="H324" s="33"/>
    </row>
    <row r="325" customFormat="false" ht="16.5" hidden="true" customHeight="false" outlineLevel="0" collapsed="false">
      <c r="A325" s="72"/>
      <c r="B325" s="33" t="s">
        <v>334</v>
      </c>
      <c r="C325" s="33" t="n">
        <v>14107</v>
      </c>
      <c r="D325" s="15" t="s">
        <v>27</v>
      </c>
      <c r="E325" s="33"/>
      <c r="F325" s="29" t="n">
        <f aca="false">Загальна!F310</f>
        <v>0</v>
      </c>
      <c r="G325" s="48"/>
      <c r="H325" s="33"/>
    </row>
    <row r="326" customFormat="false" ht="16.5" hidden="true" customHeight="false" outlineLevel="0" collapsed="false">
      <c r="A326" s="72"/>
      <c r="B326" s="33" t="s">
        <v>335</v>
      </c>
      <c r="C326" s="33" t="n">
        <v>14108</v>
      </c>
      <c r="D326" s="15" t="s">
        <v>27</v>
      </c>
      <c r="E326" s="33"/>
      <c r="F326" s="29" t="n">
        <f aca="false">Загальна!F311</f>
        <v>0</v>
      </c>
      <c r="G326" s="48"/>
      <c r="H326" s="33"/>
    </row>
    <row r="327" customFormat="false" ht="16.5" hidden="true" customHeight="false" outlineLevel="0" collapsed="false">
      <c r="A327" s="72"/>
      <c r="B327" s="33" t="s">
        <v>336</v>
      </c>
      <c r="C327" s="33" t="n">
        <v>14109</v>
      </c>
      <c r="D327" s="15" t="s">
        <v>27</v>
      </c>
      <c r="E327" s="33"/>
      <c r="F327" s="29" t="n">
        <f aca="false">Загальна!F312</f>
        <v>0</v>
      </c>
      <c r="G327" s="48"/>
      <c r="H327" s="33"/>
    </row>
    <row r="328" customFormat="false" ht="16.5" hidden="true" customHeight="false" outlineLevel="0" collapsed="false">
      <c r="A328" s="72"/>
      <c r="B328" s="33" t="s">
        <v>337</v>
      </c>
      <c r="C328" s="33" t="n">
        <v>14110</v>
      </c>
      <c r="D328" s="15" t="s">
        <v>27</v>
      </c>
      <c r="E328" s="33"/>
      <c r="F328" s="29" t="n">
        <f aca="false">Загальна!F313</f>
        <v>0</v>
      </c>
      <c r="G328" s="48"/>
      <c r="H328" s="33"/>
    </row>
    <row r="329" customFormat="false" ht="16.5" hidden="true" customHeight="false" outlineLevel="0" collapsed="false">
      <c r="A329" s="72"/>
      <c r="B329" s="33" t="s">
        <v>338</v>
      </c>
      <c r="C329" s="33" t="n">
        <v>14111</v>
      </c>
      <c r="D329" s="15" t="s">
        <v>27</v>
      </c>
      <c r="E329" s="33"/>
      <c r="F329" s="29" t="n">
        <f aca="false">Загальна!F314</f>
        <v>0</v>
      </c>
      <c r="G329" s="48"/>
      <c r="H329" s="33"/>
    </row>
    <row r="330" customFormat="false" ht="16.5" hidden="true" customHeight="false" outlineLevel="0" collapsed="false">
      <c r="A330" s="72"/>
      <c r="B330" s="33" t="s">
        <v>339</v>
      </c>
      <c r="C330" s="33" t="n">
        <v>14112</v>
      </c>
      <c r="D330" s="15" t="s">
        <v>27</v>
      </c>
      <c r="E330" s="33"/>
      <c r="F330" s="29" t="n">
        <f aca="false">Загальна!F315</f>
        <v>0</v>
      </c>
      <c r="G330" s="48"/>
      <c r="H330" s="33"/>
    </row>
    <row r="331" customFormat="false" ht="16.5" hidden="true" customHeight="false" outlineLevel="0" collapsed="false">
      <c r="A331" s="72"/>
      <c r="B331" s="33" t="s">
        <v>340</v>
      </c>
      <c r="C331" s="33" t="n">
        <v>14113</v>
      </c>
      <c r="D331" s="15" t="s">
        <v>27</v>
      </c>
      <c r="E331" s="33"/>
      <c r="F331" s="29" t="n">
        <f aca="false">Загальна!F316</f>
        <v>0</v>
      </c>
      <c r="G331" s="48"/>
      <c r="H331" s="33"/>
    </row>
    <row r="332" customFormat="false" ht="16.5" hidden="true" customHeight="false" outlineLevel="0" collapsed="false">
      <c r="A332" s="72"/>
      <c r="B332" s="33" t="s">
        <v>341</v>
      </c>
      <c r="C332" s="33" t="n">
        <v>14114</v>
      </c>
      <c r="D332" s="15" t="s">
        <v>27</v>
      </c>
      <c r="E332" s="33"/>
      <c r="F332" s="29" t="n">
        <f aca="false">Загальна!F317</f>
        <v>0</v>
      </c>
      <c r="G332" s="48"/>
      <c r="H332" s="33"/>
    </row>
    <row r="333" customFormat="false" ht="16.5" hidden="true" customHeight="false" outlineLevel="0" collapsed="false">
      <c r="A333" s="72"/>
      <c r="B333" s="33" t="s">
        <v>342</v>
      </c>
      <c r="C333" s="33" t="n">
        <v>14115</v>
      </c>
      <c r="D333" s="15" t="s">
        <v>27</v>
      </c>
      <c r="E333" s="33"/>
      <c r="F333" s="29" t="n">
        <f aca="false">Загальна!F318</f>
        <v>0</v>
      </c>
      <c r="G333" s="48"/>
      <c r="H333" s="33"/>
    </row>
    <row r="334" customFormat="false" ht="16.5" hidden="true" customHeight="false" outlineLevel="0" collapsed="false">
      <c r="A334" s="72" t="n">
        <v>27</v>
      </c>
      <c r="B334" s="33" t="s">
        <v>343</v>
      </c>
      <c r="C334" s="33" t="n">
        <v>14116</v>
      </c>
      <c r="D334" s="15" t="s">
        <v>27</v>
      </c>
      <c r="E334" s="33"/>
      <c r="F334" s="29" t="n">
        <f aca="false">Загальна!F319</f>
        <v>0</v>
      </c>
      <c r="G334" s="48"/>
      <c r="H334" s="33"/>
    </row>
    <row r="335" customFormat="false" ht="16.5" hidden="true" customHeight="false" outlineLevel="0" collapsed="false">
      <c r="A335" s="72"/>
      <c r="B335" s="33" t="s">
        <v>344</v>
      </c>
      <c r="C335" s="33" t="n">
        <v>14117</v>
      </c>
      <c r="D335" s="15" t="s">
        <v>27</v>
      </c>
      <c r="E335" s="33"/>
      <c r="F335" s="29" t="n">
        <f aca="false">Загальна!F320</f>
        <v>0</v>
      </c>
      <c r="G335" s="48"/>
      <c r="H335" s="33"/>
    </row>
    <row r="336" customFormat="false" ht="16.5" hidden="false" customHeight="false" outlineLevel="0" collapsed="false">
      <c r="A336" s="72" t="n">
        <v>27</v>
      </c>
      <c r="B336" s="33" t="s">
        <v>345</v>
      </c>
      <c r="C336" s="33" t="n">
        <v>14118</v>
      </c>
      <c r="D336" s="15" t="s">
        <v>27</v>
      </c>
      <c r="E336" s="33"/>
      <c r="F336" s="29" t="n">
        <f aca="false">Загальна!F321</f>
        <v>0.155</v>
      </c>
      <c r="G336" s="48"/>
      <c r="H336" s="33"/>
    </row>
    <row r="337" customFormat="false" ht="16.5" hidden="true" customHeight="false" outlineLevel="0" collapsed="false">
      <c r="A337" s="72"/>
      <c r="B337" s="33" t="s">
        <v>346</v>
      </c>
      <c r="C337" s="33" t="n">
        <v>14120</v>
      </c>
      <c r="D337" s="15" t="s">
        <v>27</v>
      </c>
      <c r="E337" s="33"/>
      <c r="F337" s="29" t="n">
        <f aca="false">Загальна!F322</f>
        <v>0</v>
      </c>
      <c r="G337" s="48"/>
      <c r="H337" s="33"/>
    </row>
    <row r="338" customFormat="false" ht="16.5" hidden="true" customHeight="false" outlineLevel="0" collapsed="false">
      <c r="A338" s="72"/>
      <c r="B338" s="33" t="s">
        <v>347</v>
      </c>
      <c r="C338" s="33" t="n">
        <v>14121</v>
      </c>
      <c r="D338" s="15" t="s">
        <v>27</v>
      </c>
      <c r="E338" s="33"/>
      <c r="F338" s="29" t="n">
        <f aca="false">Загальна!F323</f>
        <v>0</v>
      </c>
      <c r="G338" s="48"/>
      <c r="H338" s="33"/>
    </row>
    <row r="339" customFormat="false" ht="16.5" hidden="true" customHeight="false" outlineLevel="0" collapsed="false">
      <c r="A339" s="72"/>
      <c r="B339" s="33" t="s">
        <v>348</v>
      </c>
      <c r="C339" s="33" t="n">
        <v>14122</v>
      </c>
      <c r="D339" s="15" t="s">
        <v>27</v>
      </c>
      <c r="E339" s="33"/>
      <c r="F339" s="29" t="n">
        <f aca="false">Загальна!F324</f>
        <v>0</v>
      </c>
      <c r="G339" s="48"/>
      <c r="H339" s="33"/>
    </row>
    <row r="340" customFormat="false" ht="16.5" hidden="true" customHeight="false" outlineLevel="0" collapsed="false">
      <c r="A340" s="72"/>
      <c r="B340" s="33" t="s">
        <v>349</v>
      </c>
      <c r="C340" s="33" t="n">
        <v>14123</v>
      </c>
      <c r="D340" s="15" t="s">
        <v>27</v>
      </c>
      <c r="E340" s="33"/>
      <c r="F340" s="29" t="n">
        <f aca="false">Загальна!F325</f>
        <v>0</v>
      </c>
      <c r="G340" s="48"/>
      <c r="H340" s="33"/>
    </row>
    <row r="341" customFormat="false" ht="16.5" hidden="true" customHeight="false" outlineLevel="0" collapsed="false">
      <c r="A341" s="72"/>
      <c r="B341" s="33" t="s">
        <v>350</v>
      </c>
      <c r="C341" s="33" t="n">
        <v>14124</v>
      </c>
      <c r="D341" s="15" t="s">
        <v>27</v>
      </c>
      <c r="E341" s="33"/>
      <c r="F341" s="29" t="n">
        <f aca="false">Загальна!F326</f>
        <v>0</v>
      </c>
      <c r="G341" s="48"/>
      <c r="H341" s="33"/>
    </row>
    <row r="342" customFormat="false" ht="16.5" hidden="true" customHeight="false" outlineLevel="0" collapsed="false">
      <c r="A342" s="72"/>
      <c r="B342" s="33" t="s">
        <v>351</v>
      </c>
      <c r="C342" s="33" t="n">
        <v>14125</v>
      </c>
      <c r="D342" s="15" t="s">
        <v>27</v>
      </c>
      <c r="E342" s="33"/>
      <c r="F342" s="29" t="n">
        <f aca="false">Загальна!F327</f>
        <v>0</v>
      </c>
      <c r="G342" s="48"/>
      <c r="H342" s="33"/>
    </row>
    <row r="343" customFormat="false" ht="16.5" hidden="true" customHeight="false" outlineLevel="0" collapsed="false">
      <c r="A343" s="72"/>
      <c r="B343" s="33" t="s">
        <v>352</v>
      </c>
      <c r="C343" s="33" t="n">
        <v>14126</v>
      </c>
      <c r="D343" s="15" t="s">
        <v>27</v>
      </c>
      <c r="E343" s="33"/>
      <c r="F343" s="29" t="n">
        <f aca="false">Загальна!F328</f>
        <v>0</v>
      </c>
      <c r="G343" s="48"/>
      <c r="H343" s="33"/>
    </row>
    <row r="344" customFormat="false" ht="16.5" hidden="true" customHeight="false" outlineLevel="0" collapsed="false">
      <c r="A344" s="72"/>
      <c r="B344" s="33" t="s">
        <v>353</v>
      </c>
      <c r="C344" s="33" t="n">
        <v>14127</v>
      </c>
      <c r="D344" s="15" t="s">
        <v>27</v>
      </c>
      <c r="E344" s="33"/>
      <c r="F344" s="29" t="n">
        <f aca="false">Загальна!F329</f>
        <v>0</v>
      </c>
      <c r="G344" s="48"/>
      <c r="H344" s="33"/>
    </row>
    <row r="345" customFormat="false" ht="16.5" hidden="true" customHeight="false" outlineLevel="0" collapsed="false">
      <c r="A345" s="72"/>
      <c r="B345" s="33" t="s">
        <v>354</v>
      </c>
      <c r="C345" s="33" t="n">
        <v>14128</v>
      </c>
      <c r="D345" s="15" t="s">
        <v>27</v>
      </c>
      <c r="E345" s="33"/>
      <c r="F345" s="29" t="n">
        <f aca="false">Загальна!F330</f>
        <v>0</v>
      </c>
      <c r="G345" s="48"/>
      <c r="H345" s="33"/>
    </row>
    <row r="346" customFormat="false" ht="16.5" hidden="true" customHeight="false" outlineLevel="0" collapsed="false">
      <c r="A346" s="72"/>
      <c r="B346" s="33" t="s">
        <v>355</v>
      </c>
      <c r="C346" s="33" t="n">
        <v>14129</v>
      </c>
      <c r="D346" s="15" t="s">
        <v>27</v>
      </c>
      <c r="E346" s="33"/>
      <c r="F346" s="29" t="n">
        <f aca="false">Загальна!F331</f>
        <v>0</v>
      </c>
      <c r="G346" s="48"/>
      <c r="H346" s="33"/>
    </row>
    <row r="347" customFormat="false" ht="16.5" hidden="true" customHeight="false" outlineLevel="0" collapsed="false">
      <c r="A347" s="72"/>
      <c r="B347" s="33" t="s">
        <v>356</v>
      </c>
      <c r="C347" s="33" t="n">
        <v>14131</v>
      </c>
      <c r="D347" s="15" t="s">
        <v>27</v>
      </c>
      <c r="E347" s="33"/>
      <c r="F347" s="29" t="n">
        <f aca="false">Загальна!F332</f>
        <v>0</v>
      </c>
      <c r="G347" s="48"/>
      <c r="H347" s="33"/>
    </row>
    <row r="348" customFormat="false" ht="16.5" hidden="true" customHeight="false" outlineLevel="0" collapsed="false">
      <c r="A348" s="72"/>
      <c r="B348" s="33" t="s">
        <v>357</v>
      </c>
      <c r="C348" s="33" t="n">
        <v>14132</v>
      </c>
      <c r="D348" s="15" t="s">
        <v>27</v>
      </c>
      <c r="E348" s="33"/>
      <c r="F348" s="29" t="n">
        <f aca="false">Загальна!F333</f>
        <v>0</v>
      </c>
      <c r="G348" s="48"/>
      <c r="H348" s="33"/>
    </row>
    <row r="349" customFormat="false" ht="16.5" hidden="true" customHeight="false" outlineLevel="0" collapsed="false">
      <c r="A349" s="72"/>
      <c r="B349" s="33" t="s">
        <v>358</v>
      </c>
      <c r="C349" s="33" t="n">
        <v>14133</v>
      </c>
      <c r="D349" s="15" t="s">
        <v>27</v>
      </c>
      <c r="E349" s="33"/>
      <c r="F349" s="29" t="n">
        <f aca="false">Загальна!F334</f>
        <v>0</v>
      </c>
      <c r="G349" s="48"/>
      <c r="H349" s="33"/>
    </row>
    <row r="350" customFormat="false" ht="16.5" hidden="true" customHeight="false" outlineLevel="0" collapsed="false">
      <c r="A350" s="72"/>
      <c r="B350" s="33" t="s">
        <v>359</v>
      </c>
      <c r="C350" s="33" t="n">
        <v>14134</v>
      </c>
      <c r="D350" s="15" t="s">
        <v>27</v>
      </c>
      <c r="E350" s="33"/>
      <c r="F350" s="29" t="n">
        <f aca="false">Загальна!F335</f>
        <v>0</v>
      </c>
      <c r="G350" s="48"/>
      <c r="H350" s="33"/>
    </row>
    <row r="351" customFormat="false" ht="16.5" hidden="true" customHeight="false" outlineLevel="0" collapsed="false">
      <c r="A351" s="72"/>
      <c r="B351" s="33" t="s">
        <v>360</v>
      </c>
      <c r="C351" s="33" t="n">
        <v>14135</v>
      </c>
      <c r="D351" s="15" t="s">
        <v>27</v>
      </c>
      <c r="E351" s="33"/>
      <c r="F351" s="29" t="n">
        <f aca="false">Загальна!F336</f>
        <v>0</v>
      </c>
      <c r="G351" s="48"/>
      <c r="H351" s="33"/>
    </row>
    <row r="352" customFormat="false" ht="16.5" hidden="true" customHeight="false" outlineLevel="0" collapsed="false">
      <c r="A352" s="72"/>
      <c r="B352" s="33" t="s">
        <v>361</v>
      </c>
      <c r="C352" s="33" t="n">
        <v>14136</v>
      </c>
      <c r="D352" s="15" t="s">
        <v>27</v>
      </c>
      <c r="E352" s="33"/>
      <c r="F352" s="29" t="n">
        <f aca="false">Загальна!F337</f>
        <v>0</v>
      </c>
      <c r="G352" s="48"/>
      <c r="H352" s="33"/>
    </row>
    <row r="353" customFormat="false" ht="16.5" hidden="true" customHeight="false" outlineLevel="0" collapsed="false">
      <c r="A353" s="72"/>
      <c r="B353" s="33" t="s">
        <v>362</v>
      </c>
      <c r="C353" s="33" t="n">
        <v>14137</v>
      </c>
      <c r="D353" s="15" t="s">
        <v>27</v>
      </c>
      <c r="E353" s="33"/>
      <c r="F353" s="29" t="n">
        <f aca="false">Загальна!F338</f>
        <v>0</v>
      </c>
      <c r="G353" s="48"/>
      <c r="H353" s="33"/>
    </row>
    <row r="354" customFormat="false" ht="16.5" hidden="true" customHeight="false" outlineLevel="0" collapsed="false">
      <c r="A354" s="72"/>
      <c r="B354" s="33" t="s">
        <v>363</v>
      </c>
      <c r="C354" s="33" t="n">
        <v>14138</v>
      </c>
      <c r="D354" s="15" t="s">
        <v>27</v>
      </c>
      <c r="E354" s="33"/>
      <c r="F354" s="29" t="n">
        <f aca="false">Загальна!F339</f>
        <v>0</v>
      </c>
      <c r="G354" s="48"/>
      <c r="H354" s="33"/>
    </row>
    <row r="355" customFormat="false" ht="16.5" hidden="true" customHeight="false" outlineLevel="0" collapsed="false">
      <c r="A355" s="72"/>
      <c r="B355" s="33" t="s">
        <v>364</v>
      </c>
      <c r="C355" s="33" t="n">
        <v>14139</v>
      </c>
      <c r="D355" s="15" t="s">
        <v>27</v>
      </c>
      <c r="E355" s="33"/>
      <c r="F355" s="29" t="n">
        <f aca="false">Загальна!F340</f>
        <v>0</v>
      </c>
      <c r="G355" s="48"/>
      <c r="H355" s="33"/>
    </row>
    <row r="356" customFormat="false" ht="16.5" hidden="true" customHeight="false" outlineLevel="0" collapsed="false">
      <c r="A356" s="72"/>
      <c r="B356" s="33" t="s">
        <v>365</v>
      </c>
      <c r="C356" s="33" t="n">
        <v>14141</v>
      </c>
      <c r="D356" s="15" t="s">
        <v>27</v>
      </c>
      <c r="E356" s="33"/>
      <c r="F356" s="29" t="n">
        <f aca="false">Загальна!F341</f>
        <v>0</v>
      </c>
      <c r="G356" s="48"/>
      <c r="H356" s="33"/>
    </row>
    <row r="357" customFormat="false" ht="16.5" hidden="true" customHeight="false" outlineLevel="0" collapsed="false">
      <c r="A357" s="72"/>
      <c r="B357" s="33" t="s">
        <v>366</v>
      </c>
      <c r="C357" s="33" t="n">
        <v>14142</v>
      </c>
      <c r="D357" s="15" t="s">
        <v>27</v>
      </c>
      <c r="E357" s="33"/>
      <c r="F357" s="29" t="n">
        <f aca="false">Загальна!F342</f>
        <v>0</v>
      </c>
      <c r="G357" s="48"/>
      <c r="H357" s="33"/>
    </row>
    <row r="358" customFormat="false" ht="16.5" hidden="true" customHeight="false" outlineLevel="0" collapsed="false">
      <c r="A358" s="72"/>
      <c r="B358" s="33" t="s">
        <v>367</v>
      </c>
      <c r="C358" s="33" t="n">
        <v>14143</v>
      </c>
      <c r="D358" s="15" t="s">
        <v>27</v>
      </c>
      <c r="E358" s="33"/>
      <c r="F358" s="29" t="n">
        <f aca="false">Загальна!F343</f>
        <v>0</v>
      </c>
      <c r="G358" s="48"/>
      <c r="H358" s="33"/>
    </row>
    <row r="359" customFormat="false" ht="16.5" hidden="true" customHeight="false" outlineLevel="0" collapsed="false">
      <c r="A359" s="72"/>
      <c r="B359" s="33" t="s">
        <v>368</v>
      </c>
      <c r="C359" s="33" t="n">
        <v>15001</v>
      </c>
      <c r="D359" s="15" t="s">
        <v>27</v>
      </c>
      <c r="E359" s="33"/>
      <c r="F359" s="29" t="n">
        <f aca="false">Загальна!F344</f>
        <v>0</v>
      </c>
      <c r="G359" s="48"/>
      <c r="H359" s="33"/>
    </row>
    <row r="360" customFormat="false" ht="16.5" hidden="true" customHeight="false" outlineLevel="0" collapsed="false">
      <c r="A360" s="72" t="n">
        <v>28</v>
      </c>
      <c r="B360" s="33" t="s">
        <v>369</v>
      </c>
      <c r="C360" s="33" t="n">
        <v>15003</v>
      </c>
      <c r="D360" s="15" t="s">
        <v>27</v>
      </c>
      <c r="E360" s="33"/>
      <c r="F360" s="29" t="n">
        <f aca="false">Загальна!F345</f>
        <v>0</v>
      </c>
      <c r="G360" s="48"/>
      <c r="H360" s="33"/>
    </row>
    <row r="361" customFormat="false" ht="16.5" hidden="true" customHeight="false" outlineLevel="0" collapsed="false">
      <c r="A361" s="72"/>
      <c r="B361" s="33" t="s">
        <v>370</v>
      </c>
      <c r="C361" s="33" t="n">
        <v>15004</v>
      </c>
      <c r="D361" s="15" t="s">
        <v>27</v>
      </c>
      <c r="E361" s="33"/>
      <c r="F361" s="29" t="n">
        <f aca="false">Загальна!F346</f>
        <v>0</v>
      </c>
      <c r="G361" s="48"/>
      <c r="H361" s="33"/>
    </row>
    <row r="362" customFormat="false" ht="16.5" hidden="false" customHeight="false" outlineLevel="0" collapsed="false">
      <c r="A362" s="72" t="n">
        <v>28</v>
      </c>
      <c r="B362" s="33" t="s">
        <v>371</v>
      </c>
      <c r="C362" s="33" t="n">
        <v>15005</v>
      </c>
      <c r="D362" s="15" t="s">
        <v>27</v>
      </c>
      <c r="E362" s="33"/>
      <c r="F362" s="29" t="n">
        <f aca="false">Загальна!F347</f>
        <v>0.62</v>
      </c>
      <c r="G362" s="48"/>
      <c r="H362" s="33"/>
    </row>
    <row r="363" customFormat="false" ht="16.5" hidden="true" customHeight="false" outlineLevel="0" collapsed="false">
      <c r="A363" s="72"/>
      <c r="B363" s="33" t="s">
        <v>372</v>
      </c>
      <c r="C363" s="33" t="n">
        <v>15006</v>
      </c>
      <c r="D363" s="15" t="s">
        <v>27</v>
      </c>
      <c r="E363" s="33"/>
      <c r="F363" s="29" t="n">
        <f aca="false">Загальна!F348</f>
        <v>0</v>
      </c>
      <c r="G363" s="48"/>
      <c r="H363" s="33"/>
    </row>
    <row r="364" customFormat="false" ht="16.5" hidden="true" customHeight="false" outlineLevel="0" collapsed="false">
      <c r="A364" s="72"/>
      <c r="B364" s="33" t="s">
        <v>373</v>
      </c>
      <c r="C364" s="33" t="n">
        <v>15007</v>
      </c>
      <c r="D364" s="15" t="s">
        <v>27</v>
      </c>
      <c r="E364" s="33"/>
      <c r="F364" s="29" t="n">
        <f aca="false">Загальна!F349</f>
        <v>0</v>
      </c>
      <c r="G364" s="48"/>
      <c r="H364" s="33"/>
    </row>
    <row r="365" customFormat="false" ht="16.5" hidden="true" customHeight="false" outlineLevel="0" collapsed="false">
      <c r="A365" s="72" t="n">
        <v>29</v>
      </c>
      <c r="B365" s="33" t="s">
        <v>374</v>
      </c>
      <c r="C365" s="33" t="n">
        <v>15008</v>
      </c>
      <c r="D365" s="15" t="s">
        <v>27</v>
      </c>
      <c r="E365" s="33"/>
      <c r="F365" s="29" t="n">
        <f aca="false">Загальна!F350</f>
        <v>0</v>
      </c>
      <c r="G365" s="48"/>
      <c r="H365" s="33"/>
    </row>
    <row r="366" customFormat="false" ht="16.5" hidden="true" customHeight="false" outlineLevel="0" collapsed="false">
      <c r="A366" s="72"/>
      <c r="B366" s="33" t="s">
        <v>375</v>
      </c>
      <c r="C366" s="33" t="n">
        <v>15009</v>
      </c>
      <c r="D366" s="15" t="s">
        <v>27</v>
      </c>
      <c r="E366" s="33"/>
      <c r="F366" s="29" t="n">
        <f aca="false">Загальна!F351</f>
        <v>0</v>
      </c>
      <c r="G366" s="48"/>
      <c r="H366" s="33"/>
    </row>
    <row r="367" customFormat="false" ht="16.5" hidden="false" customHeight="false" outlineLevel="0" collapsed="false">
      <c r="A367" s="72" t="n">
        <v>29</v>
      </c>
      <c r="B367" s="33" t="s">
        <v>376</v>
      </c>
      <c r="C367" s="33" t="n">
        <v>15010</v>
      </c>
      <c r="D367" s="15" t="s">
        <v>27</v>
      </c>
      <c r="E367" s="33"/>
      <c r="F367" s="29" t="n">
        <f aca="false">Загальна!F352</f>
        <v>1.04822033898305</v>
      </c>
      <c r="G367" s="48"/>
      <c r="H367" s="33"/>
    </row>
    <row r="368" customFormat="false" ht="16.5" hidden="true" customHeight="false" outlineLevel="0" collapsed="false">
      <c r="A368" s="72" t="n">
        <v>30</v>
      </c>
      <c r="B368" s="33" t="s">
        <v>377</v>
      </c>
      <c r="C368" s="33" t="n">
        <v>15011</v>
      </c>
      <c r="D368" s="15" t="s">
        <v>27</v>
      </c>
      <c r="E368" s="33"/>
      <c r="F368" s="29" t="n">
        <f aca="false">Загальна!F353</f>
        <v>0</v>
      </c>
      <c r="G368" s="48"/>
      <c r="H368" s="33"/>
    </row>
    <row r="369" customFormat="false" ht="16.5" hidden="true" customHeight="false" outlineLevel="0" collapsed="false">
      <c r="A369" s="72"/>
      <c r="B369" s="33" t="s">
        <v>378</v>
      </c>
      <c r="C369" s="33" t="n">
        <v>15012</v>
      </c>
      <c r="D369" s="15" t="s">
        <v>27</v>
      </c>
      <c r="E369" s="33"/>
      <c r="F369" s="29" t="n">
        <f aca="false">Загальна!F354</f>
        <v>0</v>
      </c>
      <c r="G369" s="48"/>
      <c r="H369" s="33"/>
    </row>
    <row r="370" customFormat="false" ht="16.5" hidden="false" customHeight="false" outlineLevel="0" collapsed="false">
      <c r="A370" s="72" t="n">
        <v>30</v>
      </c>
      <c r="B370" s="33" t="s">
        <v>379</v>
      </c>
      <c r="C370" s="33" t="n">
        <v>15013</v>
      </c>
      <c r="D370" s="15" t="s">
        <v>27</v>
      </c>
      <c r="E370" s="33"/>
      <c r="F370" s="29" t="n">
        <f aca="false">Загальна!F355</f>
        <v>1.55</v>
      </c>
      <c r="G370" s="48"/>
      <c r="H370" s="33"/>
    </row>
    <row r="371" customFormat="false" ht="16.5" hidden="true" customHeight="false" outlineLevel="0" collapsed="false">
      <c r="A371" s="72"/>
      <c r="B371" s="33" t="s">
        <v>380</v>
      </c>
      <c r="C371" s="33" t="n">
        <v>15014</v>
      </c>
      <c r="D371" s="15" t="s">
        <v>27</v>
      </c>
      <c r="E371" s="33"/>
      <c r="F371" s="29" t="n">
        <f aca="false">Загальна!F356</f>
        <v>0</v>
      </c>
      <c r="G371" s="48"/>
      <c r="H371" s="33"/>
    </row>
    <row r="372" customFormat="false" ht="16.5" hidden="true" customHeight="false" outlineLevel="0" collapsed="false">
      <c r="A372" s="72"/>
      <c r="B372" s="33" t="s">
        <v>381</v>
      </c>
      <c r="C372" s="33" t="n">
        <v>15015</v>
      </c>
      <c r="D372" s="15" t="s">
        <v>27</v>
      </c>
      <c r="E372" s="33"/>
      <c r="F372" s="29" t="n">
        <f aca="false">Загальна!F357</f>
        <v>0</v>
      </c>
      <c r="G372" s="48"/>
      <c r="H372" s="33"/>
    </row>
    <row r="373" customFormat="false" ht="16.5" hidden="false" customHeight="false" outlineLevel="0" collapsed="false">
      <c r="A373" s="72" t="n">
        <v>31</v>
      </c>
      <c r="B373" s="33" t="s">
        <v>382</v>
      </c>
      <c r="C373" s="33" t="n">
        <v>15017</v>
      </c>
      <c r="D373" s="15" t="s">
        <v>27</v>
      </c>
      <c r="E373" s="33"/>
      <c r="F373" s="29" t="n">
        <f aca="false">Загальна!F358</f>
        <v>3.00542372881356</v>
      </c>
      <c r="G373" s="48"/>
      <c r="H373" s="33"/>
    </row>
    <row r="374" customFormat="false" ht="16.5" hidden="true" customHeight="false" outlineLevel="0" collapsed="false">
      <c r="A374" s="72"/>
      <c r="B374" s="33" t="s">
        <v>383</v>
      </c>
      <c r="C374" s="33" t="n">
        <v>15018</v>
      </c>
      <c r="D374" s="15" t="s">
        <v>27</v>
      </c>
      <c r="E374" s="33"/>
      <c r="F374" s="29" t="n">
        <f aca="false">Загальна!F359</f>
        <v>0</v>
      </c>
      <c r="G374" s="48"/>
      <c r="H374" s="33"/>
    </row>
    <row r="375" customFormat="false" ht="16.5" hidden="false" customHeight="false" outlineLevel="0" collapsed="false">
      <c r="A375" s="72" t="n">
        <v>32</v>
      </c>
      <c r="B375" s="33" t="s">
        <v>384</v>
      </c>
      <c r="C375" s="33" t="n">
        <v>15020</v>
      </c>
      <c r="D375" s="15" t="s">
        <v>27</v>
      </c>
      <c r="E375" s="33"/>
      <c r="F375" s="29" t="n">
        <f aca="false">Загальна!F360</f>
        <v>2.2435593220339</v>
      </c>
      <c r="G375" s="48"/>
      <c r="H375" s="33"/>
    </row>
    <row r="376" customFormat="false" ht="16.5" hidden="true" customHeight="false" outlineLevel="0" collapsed="false">
      <c r="A376" s="72"/>
      <c r="B376" s="33" t="s">
        <v>385</v>
      </c>
      <c r="C376" s="33" t="n">
        <v>15021</v>
      </c>
      <c r="D376" s="15" t="s">
        <v>27</v>
      </c>
      <c r="E376" s="33"/>
      <c r="F376" s="29" t="n">
        <f aca="false">Загальна!F361</f>
        <v>0</v>
      </c>
      <c r="G376" s="48"/>
      <c r="H376" s="33"/>
    </row>
    <row r="377" customFormat="false" ht="16.5" hidden="true" customHeight="false" outlineLevel="0" collapsed="false">
      <c r="A377" s="72"/>
      <c r="B377" s="33" t="s">
        <v>386</v>
      </c>
      <c r="C377" s="33" t="n">
        <v>15022</v>
      </c>
      <c r="D377" s="15" t="s">
        <v>27</v>
      </c>
      <c r="E377" s="33"/>
      <c r="F377" s="29" t="n">
        <f aca="false">Загальна!F362</f>
        <v>0</v>
      </c>
      <c r="G377" s="48"/>
      <c r="H377" s="33"/>
    </row>
    <row r="378" customFormat="false" ht="16.5" hidden="true" customHeight="false" outlineLevel="0" collapsed="false">
      <c r="A378" s="72"/>
      <c r="B378" s="33" t="s">
        <v>387</v>
      </c>
      <c r="C378" s="33" t="n">
        <v>15023</v>
      </c>
      <c r="D378" s="15" t="s">
        <v>27</v>
      </c>
      <c r="E378" s="33"/>
      <c r="F378" s="29" t="n">
        <f aca="false">Загальна!F363</f>
        <v>0</v>
      </c>
      <c r="G378" s="48"/>
      <c r="H378" s="33"/>
    </row>
    <row r="380" customFormat="false" ht="16.5" hidden="false" customHeight="false" outlineLevel="0" collapsed="false">
      <c r="B380" s="0" t="s">
        <v>412</v>
      </c>
      <c r="C380" s="0" t="s">
        <v>391</v>
      </c>
    </row>
    <row r="382" customFormat="false" ht="16.5" hidden="false" customHeight="false" outlineLevel="0" collapsed="false">
      <c r="B382" s="0" t="s">
        <v>413</v>
      </c>
      <c r="C382" s="0" t="s">
        <v>414</v>
      </c>
    </row>
  </sheetData>
  <autoFilter ref="A17:H378">
    <filterColumn colId="5">
      <filters>
        <filter val="0.590"/>
        <filter val="2.950"/>
        <filter val="0.295"/>
        <filter val="0.998"/>
        <filter val="2.860"/>
        <filter val="1.623"/>
        <filter val="4.425"/>
        <filter val="0.030"/>
        <filter val="1.770"/>
        <filter val="1.475"/>
        <filter val="2.135"/>
        <filter val="0.738"/>
        <filter val="1.180"/>
        <filter val="5.900"/>
        <filter val="66.500"/>
        <filter val="0.443"/>
        <filter val="0.885"/>
        <filter val="6"/>
        <filter val="0.148"/>
      </filters>
    </filterColumn>
  </autoFilter>
  <mergeCells count="15">
    <mergeCell ref="A6:H6"/>
    <mergeCell ref="A8:H8"/>
    <mergeCell ref="A9:H9"/>
    <mergeCell ref="C11:D11"/>
    <mergeCell ref="E11:F11"/>
    <mergeCell ref="G11:H11"/>
    <mergeCell ref="C12:D12"/>
    <mergeCell ref="E12:F12"/>
    <mergeCell ref="G12:H12"/>
    <mergeCell ref="C14:D14"/>
    <mergeCell ref="E14:F14"/>
    <mergeCell ref="G14:H14"/>
    <mergeCell ref="C15:D15"/>
    <mergeCell ref="E15:F15"/>
    <mergeCell ref="G15:H15"/>
  </mergeCells>
  <conditionalFormatting sqref="B380">
    <cfRule type="expression" priority="2" aboveAverage="0" equalAverage="0" bottom="0" percent="0" rank="0" text="" dxfId="2">
      <formula>ROW(B380)=CELL("строка")</formula>
    </cfRule>
  </conditionalFormatting>
  <conditionalFormatting sqref="A19:A378">
    <cfRule type="expression" priority="3" aboveAverage="0" equalAverage="0" bottom="0" percent="0" rank="0" text="" dxfId="2">
      <formula>ROW(A19)=CELL("строка")</formula>
    </cfRule>
  </conditionalFormatting>
  <conditionalFormatting sqref="B19:H378">
    <cfRule type="expression" priority="4" aboveAverage="0" equalAverage="0" bottom="0" percent="0" rank="0" text="" dxfId="2">
      <formula>ROW(B19)=CELL("строка")</formula>
    </cfRule>
  </conditionalFormatting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85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H3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8" activeCellId="0" sqref="A8"/>
    </sheetView>
  </sheetViews>
  <sheetFormatPr defaultColWidth="9" defaultRowHeight="16.5" zeroHeight="false" outlineLevelRow="0" outlineLevelCol="0"/>
  <cols>
    <col collapsed="false" customWidth="true" hidden="false" outlineLevel="0" max="1" min="1" style="1" width="12.14"/>
    <col collapsed="false" customWidth="true" hidden="false" outlineLevel="0" max="2" min="2" style="0" width="36.71"/>
    <col collapsed="false" customWidth="true" hidden="false" outlineLevel="0" max="3" min="3" style="0" width="14.57"/>
    <col collapsed="false" customWidth="true" hidden="false" outlineLevel="0" max="4" min="4" style="0" width="5.14"/>
    <col collapsed="false" customWidth="true" hidden="false" outlineLevel="0" max="5" min="5" style="0" width="7"/>
    <col collapsed="false" customWidth="true" hidden="false" outlineLevel="0" max="6" min="6" style="0" width="11.43"/>
    <col collapsed="false" customWidth="true" hidden="false" outlineLevel="0" max="7" min="7" style="2" width="12.29"/>
    <col collapsed="false" customWidth="true" hidden="false" outlineLevel="0" max="8" min="8" style="0" width="12.14"/>
  </cols>
  <sheetData>
    <row r="1" customFormat="false" ht="16.5" hidden="false" customHeight="false" outlineLevel="0" collapsed="false">
      <c r="A1" s="4"/>
      <c r="B1" s="5"/>
      <c r="C1" s="5"/>
      <c r="D1" s="5"/>
      <c r="E1" s="6" t="s">
        <v>0</v>
      </c>
      <c r="F1" s="6"/>
      <c r="G1" s="6"/>
      <c r="H1" s="6"/>
    </row>
    <row r="2" customFormat="false" ht="16.5" hidden="false" customHeight="false" outlineLevel="0" collapsed="false">
      <c r="A2" s="4"/>
      <c r="B2" s="5"/>
      <c r="C2" s="5"/>
      <c r="D2" s="5"/>
      <c r="E2" s="7" t="s">
        <v>1</v>
      </c>
      <c r="F2" s="7"/>
      <c r="G2" s="7"/>
      <c r="H2" s="7"/>
    </row>
    <row r="3" customFormat="false" ht="16.5" hidden="false" customHeight="false" outlineLevel="0" collapsed="false">
      <c r="A3" s="4"/>
      <c r="B3" s="5"/>
      <c r="C3" s="5"/>
      <c r="D3" s="5"/>
      <c r="E3" s="7" t="s">
        <v>2</v>
      </c>
      <c r="F3" s="7"/>
      <c r="G3" s="7"/>
      <c r="H3" s="7"/>
    </row>
    <row r="4" customFormat="false" ht="16.5" hidden="false" customHeight="false" outlineLevel="0" collapsed="false">
      <c r="A4" s="4"/>
      <c r="B4" s="5"/>
      <c r="C4" s="5"/>
      <c r="D4" s="5"/>
      <c r="E4" s="5"/>
      <c r="F4" s="5"/>
      <c r="G4" s="8"/>
      <c r="H4" s="5"/>
    </row>
    <row r="5" customFormat="false" ht="16.5" hidden="false" customHeight="false" outlineLevel="0" collapsed="false">
      <c r="A5" s="4"/>
      <c r="B5" s="5"/>
      <c r="C5" s="5"/>
      <c r="D5" s="5"/>
      <c r="E5" s="5"/>
      <c r="F5" s="5"/>
      <c r="G5" s="8"/>
      <c r="H5" s="5"/>
    </row>
    <row r="6" customFormat="false" ht="16.5" hidden="false" customHeight="false" outlineLevel="0" collapsed="false">
      <c r="A6" s="9" t="s">
        <v>401</v>
      </c>
      <c r="B6" s="9"/>
      <c r="C6" s="9"/>
      <c r="D6" s="9"/>
      <c r="E6" s="9"/>
      <c r="F6" s="9"/>
      <c r="G6" s="9"/>
      <c r="H6" s="9"/>
    </row>
    <row r="7" customFormat="false" ht="16.5" hidden="false" customHeight="false" outlineLevel="0" collapsed="false">
      <c r="A7" s="4"/>
      <c r="B7" s="5"/>
      <c r="C7" s="5"/>
      <c r="D7" s="5"/>
      <c r="E7" s="5"/>
      <c r="F7" s="5"/>
      <c r="G7" s="8"/>
      <c r="H7" s="5"/>
    </row>
    <row r="8" customFormat="false" ht="20.25" hidden="false" customHeight="false" outlineLevel="0" collapsed="false">
      <c r="A8" s="10" t="s">
        <v>410</v>
      </c>
      <c r="B8" s="10"/>
      <c r="C8" s="10"/>
      <c r="D8" s="10"/>
      <c r="E8" s="10"/>
      <c r="F8" s="10"/>
      <c r="G8" s="10"/>
      <c r="H8" s="10"/>
    </row>
    <row r="9" customFormat="false" ht="17.25" hidden="false" customHeight="false" outlineLevel="0" collapsed="false">
      <c r="A9" s="11"/>
      <c r="B9" s="11"/>
      <c r="C9" s="11"/>
      <c r="D9" s="11"/>
      <c r="E9" s="11"/>
      <c r="F9" s="11"/>
      <c r="G9" s="11"/>
      <c r="H9" s="11"/>
    </row>
    <row r="10" customFormat="false" ht="16.5" hidden="false" customHeight="false" outlineLevel="0" collapsed="false">
      <c r="A10" s="4"/>
      <c r="B10" s="5"/>
      <c r="C10" s="5"/>
      <c r="D10" s="5"/>
      <c r="E10" s="5"/>
      <c r="F10" s="5"/>
      <c r="G10" s="8"/>
      <c r="H10" s="5"/>
    </row>
    <row r="11" customFormat="false" ht="33.75" hidden="false" customHeight="true" outlineLevel="0" collapsed="false">
      <c r="A11" s="12" t="s">
        <v>5</v>
      </c>
      <c r="B11" s="13" t="s">
        <v>6</v>
      </c>
      <c r="C11" s="13" t="s">
        <v>7</v>
      </c>
      <c r="D11" s="13"/>
      <c r="E11" s="13" t="s">
        <v>8</v>
      </c>
      <c r="F11" s="13"/>
      <c r="G11" s="14" t="s">
        <v>9</v>
      </c>
      <c r="H11" s="14"/>
    </row>
    <row r="12" customFormat="false" ht="16.5" hidden="false" customHeight="false" outlineLevel="0" collapsed="false">
      <c r="A12" s="15"/>
      <c r="B12" s="16"/>
      <c r="C12" s="15"/>
      <c r="D12" s="15"/>
      <c r="E12" s="15"/>
      <c r="F12" s="15"/>
      <c r="G12" s="17"/>
      <c r="H12" s="17"/>
    </row>
    <row r="13" customFormat="false" ht="16.5" hidden="false" customHeight="false" outlineLevel="0" collapsed="false">
      <c r="A13" s="4"/>
      <c r="B13" s="5"/>
      <c r="C13" s="5"/>
      <c r="D13" s="5"/>
      <c r="E13" s="5"/>
      <c r="F13" s="5"/>
      <c r="G13" s="8"/>
      <c r="H13" s="5"/>
    </row>
    <row r="14" customFormat="false" ht="45" hidden="false" customHeight="true" outlineLevel="0" collapsed="false">
      <c r="A14" s="18" t="s">
        <v>10</v>
      </c>
      <c r="B14" s="12" t="s">
        <v>11</v>
      </c>
      <c r="C14" s="12" t="s">
        <v>12</v>
      </c>
      <c r="D14" s="12"/>
      <c r="E14" s="12" t="s">
        <v>13</v>
      </c>
      <c r="F14" s="12"/>
      <c r="G14" s="14" t="s">
        <v>14</v>
      </c>
      <c r="H14" s="14"/>
    </row>
    <row r="15" customFormat="false" ht="30" hidden="false" customHeight="true" outlineLevel="0" collapsed="false">
      <c r="A15" s="19" t="n">
        <v>45627</v>
      </c>
      <c r="B15" s="12" t="s">
        <v>15</v>
      </c>
      <c r="C15" s="74" t="s">
        <v>415</v>
      </c>
      <c r="D15" s="74"/>
      <c r="E15" s="12"/>
      <c r="F15" s="12"/>
      <c r="G15" s="75" t="s">
        <v>416</v>
      </c>
      <c r="H15" s="75"/>
    </row>
    <row r="16" customFormat="false" ht="16.5" hidden="false" customHeight="false" outlineLevel="0" collapsed="false">
      <c r="A16" s="4"/>
      <c r="B16" s="4"/>
      <c r="C16" s="4"/>
      <c r="D16" s="4"/>
      <c r="E16" s="4"/>
      <c r="F16" s="4"/>
      <c r="G16" s="21"/>
      <c r="H16" s="4"/>
    </row>
    <row r="17" customFormat="false" ht="82.5" hidden="false" customHeight="false" outlineLevel="0" collapsed="false">
      <c r="A17" s="12" t="s">
        <v>19</v>
      </c>
      <c r="B17" s="12" t="s">
        <v>20</v>
      </c>
      <c r="C17" s="22" t="s">
        <v>12</v>
      </c>
      <c r="D17" s="22" t="s">
        <v>21</v>
      </c>
      <c r="E17" s="22" t="s">
        <v>22</v>
      </c>
      <c r="F17" s="22" t="s">
        <v>23</v>
      </c>
      <c r="G17" s="23" t="s">
        <v>24</v>
      </c>
      <c r="H17" s="22" t="s">
        <v>25</v>
      </c>
    </row>
    <row r="18" customFormat="false" ht="16.5" hidden="false" customHeight="false" outlineLevel="0" collapsed="false">
      <c r="A18" s="24" t="n">
        <v>1</v>
      </c>
      <c r="B18" s="24" t="n">
        <v>2</v>
      </c>
      <c r="C18" s="24" t="n">
        <v>3</v>
      </c>
      <c r="D18" s="24" t="n">
        <v>4</v>
      </c>
      <c r="E18" s="24" t="n">
        <v>5</v>
      </c>
      <c r="F18" s="24" t="n">
        <v>6</v>
      </c>
      <c r="G18" s="25" t="n">
        <v>7</v>
      </c>
      <c r="H18" s="24" t="n">
        <v>8</v>
      </c>
    </row>
    <row r="19" customFormat="false" ht="16.5" hidden="true" customHeight="false" outlineLevel="0" collapsed="false">
      <c r="A19" s="68" t="n">
        <v>1</v>
      </c>
      <c r="B19" s="27" t="s">
        <v>26</v>
      </c>
      <c r="C19" s="28" t="n">
        <v>11001</v>
      </c>
      <c r="D19" s="15" t="s">
        <v>27</v>
      </c>
      <c r="E19" s="15"/>
      <c r="F19" s="29" t="n">
        <f aca="false">Загальна!G4</f>
        <v>0</v>
      </c>
      <c r="G19" s="17"/>
      <c r="H19" s="17"/>
    </row>
    <row r="20" customFormat="false" ht="16.5" hidden="true" customHeight="false" outlineLevel="0" collapsed="false">
      <c r="A20" s="69"/>
      <c r="B20" s="35" t="s">
        <v>28</v>
      </c>
      <c r="C20" s="33" t="n">
        <v>11002</v>
      </c>
      <c r="D20" s="15" t="s">
        <v>27</v>
      </c>
      <c r="E20" s="15"/>
      <c r="F20" s="29" t="n">
        <f aca="false">Загальна!G5</f>
        <v>0</v>
      </c>
      <c r="G20" s="17"/>
      <c r="H20" s="17"/>
    </row>
    <row r="21" customFormat="false" ht="16.5" hidden="false" customHeight="false" outlineLevel="0" collapsed="false">
      <c r="A21" s="68" t="n">
        <v>1</v>
      </c>
      <c r="B21" s="35" t="s">
        <v>29</v>
      </c>
      <c r="C21" s="33" t="n">
        <v>11004</v>
      </c>
      <c r="D21" s="15" t="s">
        <v>27</v>
      </c>
      <c r="E21" s="15"/>
      <c r="F21" s="29" t="n">
        <f aca="false">Загальна!G6</f>
        <v>2.28</v>
      </c>
      <c r="G21" s="17"/>
      <c r="H21" s="17"/>
    </row>
    <row r="22" customFormat="false" ht="16.5" hidden="true" customHeight="false" outlineLevel="0" collapsed="false">
      <c r="A22" s="69"/>
      <c r="B22" s="35" t="s">
        <v>30</v>
      </c>
      <c r="C22" s="33" t="n">
        <v>11005</v>
      </c>
      <c r="D22" s="15" t="s">
        <v>27</v>
      </c>
      <c r="E22" s="15"/>
      <c r="F22" s="29" t="n">
        <f aca="false">Загальна!G7</f>
        <v>0</v>
      </c>
      <c r="G22" s="17"/>
      <c r="H22" s="17"/>
    </row>
    <row r="23" customFormat="false" ht="16.5" hidden="true" customHeight="false" outlineLevel="0" collapsed="false">
      <c r="A23" s="68"/>
      <c r="B23" s="35" t="s">
        <v>31</v>
      </c>
      <c r="C23" s="33" t="n">
        <v>11006</v>
      </c>
      <c r="D23" s="15" t="s">
        <v>27</v>
      </c>
      <c r="E23" s="15"/>
      <c r="F23" s="29" t="n">
        <f aca="false">Загальна!G8</f>
        <v>0</v>
      </c>
      <c r="G23" s="17"/>
      <c r="H23" s="17"/>
    </row>
    <row r="24" customFormat="false" ht="16.5" hidden="true" customHeight="false" outlineLevel="0" collapsed="false">
      <c r="A24" s="68"/>
      <c r="B24" s="35" t="s">
        <v>32</v>
      </c>
      <c r="C24" s="33" t="n">
        <v>11007</v>
      </c>
      <c r="D24" s="15" t="s">
        <v>27</v>
      </c>
      <c r="E24" s="15"/>
      <c r="F24" s="29" t="n">
        <f aca="false">Загальна!G9</f>
        <v>0</v>
      </c>
      <c r="G24" s="17"/>
      <c r="H24" s="17"/>
    </row>
    <row r="25" customFormat="false" ht="16.5" hidden="true" customHeight="false" outlineLevel="0" collapsed="false">
      <c r="A25" s="69"/>
      <c r="B25" s="35" t="s">
        <v>33</v>
      </c>
      <c r="C25" s="33" t="n">
        <v>11008</v>
      </c>
      <c r="D25" s="15" t="s">
        <v>27</v>
      </c>
      <c r="E25" s="15"/>
      <c r="F25" s="29" t="n">
        <f aca="false">Загальна!G10</f>
        <v>0</v>
      </c>
      <c r="G25" s="17"/>
      <c r="H25" s="17"/>
    </row>
    <row r="26" customFormat="false" ht="16.5" hidden="true" customHeight="false" outlineLevel="0" collapsed="false">
      <c r="A26" s="69"/>
      <c r="B26" s="35" t="s">
        <v>34</v>
      </c>
      <c r="C26" s="33" t="n">
        <v>11009</v>
      </c>
      <c r="D26" s="15" t="s">
        <v>27</v>
      </c>
      <c r="E26" s="15"/>
      <c r="F26" s="29" t="n">
        <f aca="false">Загальна!G11</f>
        <v>0</v>
      </c>
      <c r="G26" s="17"/>
      <c r="H26" s="17"/>
    </row>
    <row r="27" customFormat="false" ht="16.5" hidden="true" customHeight="false" outlineLevel="0" collapsed="false">
      <c r="A27" s="69" t="n">
        <v>2</v>
      </c>
      <c r="B27" s="35" t="s">
        <v>35</v>
      </c>
      <c r="C27" s="33" t="n">
        <v>11010</v>
      </c>
      <c r="D27" s="15" t="s">
        <v>27</v>
      </c>
      <c r="E27" s="15"/>
      <c r="F27" s="29" t="n">
        <f aca="false">Загальна!G12</f>
        <v>0</v>
      </c>
      <c r="G27" s="17"/>
      <c r="H27" s="17"/>
    </row>
    <row r="28" customFormat="false" ht="16.5" hidden="true" customHeight="false" outlineLevel="0" collapsed="false">
      <c r="A28" s="68"/>
      <c r="B28" s="35" t="s">
        <v>36</v>
      </c>
      <c r="C28" s="33" t="n">
        <v>11011</v>
      </c>
      <c r="D28" s="15" t="s">
        <v>27</v>
      </c>
      <c r="E28" s="15"/>
      <c r="F28" s="29" t="n">
        <f aca="false">Загальна!G13</f>
        <v>0</v>
      </c>
      <c r="G28" s="17"/>
      <c r="H28" s="17"/>
    </row>
    <row r="29" customFormat="false" ht="16.5" hidden="false" customHeight="false" outlineLevel="0" collapsed="false">
      <c r="A29" s="68" t="n">
        <v>2</v>
      </c>
      <c r="B29" s="35" t="s">
        <v>37</v>
      </c>
      <c r="C29" s="33" t="n">
        <v>11012</v>
      </c>
      <c r="D29" s="15" t="s">
        <v>27</v>
      </c>
      <c r="E29" s="15"/>
      <c r="F29" s="29" t="n">
        <f aca="false">Загальна!G14</f>
        <v>1.52</v>
      </c>
      <c r="G29" s="17"/>
      <c r="H29" s="17"/>
    </row>
    <row r="30" customFormat="false" ht="16.5" hidden="true" customHeight="false" outlineLevel="0" collapsed="false">
      <c r="A30" s="68"/>
      <c r="B30" s="35" t="s">
        <v>38</v>
      </c>
      <c r="C30" s="33" t="n">
        <v>11013</v>
      </c>
      <c r="D30" s="15" t="s">
        <v>27</v>
      </c>
      <c r="E30" s="15"/>
      <c r="F30" s="29" t="n">
        <f aca="false">Загальна!G15</f>
        <v>0</v>
      </c>
      <c r="G30" s="17"/>
      <c r="H30" s="17"/>
    </row>
    <row r="31" customFormat="false" ht="16.5" hidden="true" customHeight="false" outlineLevel="0" collapsed="false">
      <c r="A31" s="68"/>
      <c r="B31" s="35" t="s">
        <v>39</v>
      </c>
      <c r="C31" s="33" t="n">
        <v>11014</v>
      </c>
      <c r="D31" s="15" t="s">
        <v>27</v>
      </c>
      <c r="E31" s="15"/>
      <c r="F31" s="29" t="n">
        <f aca="false">Загальна!G16</f>
        <v>0</v>
      </c>
      <c r="G31" s="17"/>
      <c r="H31" s="17"/>
    </row>
    <row r="32" customFormat="false" ht="16.5" hidden="true" customHeight="false" outlineLevel="0" collapsed="false">
      <c r="A32" s="68"/>
      <c r="B32" s="35" t="s">
        <v>40</v>
      </c>
      <c r="C32" s="33" t="n">
        <v>11015</v>
      </c>
      <c r="D32" s="15" t="s">
        <v>27</v>
      </c>
      <c r="E32" s="15"/>
      <c r="F32" s="29" t="n">
        <f aca="false">Загальна!G17</f>
        <v>0</v>
      </c>
      <c r="G32" s="17"/>
      <c r="H32" s="17"/>
    </row>
    <row r="33" customFormat="false" ht="16.5" hidden="true" customHeight="false" outlineLevel="0" collapsed="false">
      <c r="A33" s="68"/>
      <c r="B33" s="35" t="s">
        <v>41</v>
      </c>
      <c r="C33" s="33" t="n">
        <v>11016</v>
      </c>
      <c r="D33" s="15" t="s">
        <v>27</v>
      </c>
      <c r="E33" s="15"/>
      <c r="F33" s="29" t="n">
        <f aca="false">Загальна!G18</f>
        <v>0</v>
      </c>
      <c r="G33" s="17"/>
      <c r="H33" s="17"/>
    </row>
    <row r="34" customFormat="false" ht="16.5" hidden="true" customHeight="false" outlineLevel="0" collapsed="false">
      <c r="A34" s="69"/>
      <c r="B34" s="35" t="s">
        <v>42</v>
      </c>
      <c r="C34" s="33" t="n">
        <v>11017</v>
      </c>
      <c r="D34" s="15" t="s">
        <v>27</v>
      </c>
      <c r="E34" s="15"/>
      <c r="F34" s="29" t="n">
        <f aca="false">Загальна!G19</f>
        <v>0</v>
      </c>
      <c r="G34" s="17"/>
      <c r="H34" s="17"/>
    </row>
    <row r="35" customFormat="false" ht="16.5" hidden="true" customHeight="false" outlineLevel="0" collapsed="false">
      <c r="A35" s="68"/>
      <c r="B35" s="35" t="s">
        <v>43</v>
      </c>
      <c r="C35" s="33" t="n">
        <v>11019</v>
      </c>
      <c r="D35" s="15" t="s">
        <v>27</v>
      </c>
      <c r="E35" s="15"/>
      <c r="F35" s="29" t="n">
        <f aca="false">Загальна!G20</f>
        <v>0</v>
      </c>
      <c r="G35" s="17"/>
      <c r="H35" s="17"/>
    </row>
    <row r="36" customFormat="false" ht="16.5" hidden="true" customHeight="false" outlineLevel="0" collapsed="false">
      <c r="A36" s="68"/>
      <c r="B36" s="35" t="s">
        <v>44</v>
      </c>
      <c r="C36" s="33" t="n">
        <v>11020</v>
      </c>
      <c r="D36" s="15" t="s">
        <v>27</v>
      </c>
      <c r="E36" s="15"/>
      <c r="F36" s="29" t="n">
        <f aca="false">Загальна!G21</f>
        <v>0</v>
      </c>
      <c r="G36" s="17"/>
      <c r="H36" s="17"/>
    </row>
    <row r="37" customFormat="false" ht="16.5" hidden="true" customHeight="false" outlineLevel="0" collapsed="false">
      <c r="A37" s="68"/>
      <c r="B37" s="35" t="s">
        <v>45</v>
      </c>
      <c r="C37" s="33" t="n">
        <v>11021</v>
      </c>
      <c r="D37" s="15" t="s">
        <v>27</v>
      </c>
      <c r="E37" s="15"/>
      <c r="F37" s="29" t="n">
        <f aca="false">Загальна!G22</f>
        <v>0</v>
      </c>
      <c r="G37" s="17"/>
      <c r="H37" s="17"/>
    </row>
    <row r="38" customFormat="false" ht="16.5" hidden="true" customHeight="false" outlineLevel="0" collapsed="false">
      <c r="A38" s="68"/>
      <c r="B38" s="35" t="s">
        <v>46</v>
      </c>
      <c r="C38" s="33" t="n">
        <v>11022</v>
      </c>
      <c r="D38" s="15" t="s">
        <v>27</v>
      </c>
      <c r="E38" s="15"/>
      <c r="F38" s="29" t="n">
        <f aca="false">Загальна!G23</f>
        <v>0</v>
      </c>
      <c r="G38" s="17"/>
      <c r="H38" s="17"/>
    </row>
    <row r="39" customFormat="false" ht="16.5" hidden="true" customHeight="false" outlineLevel="0" collapsed="false">
      <c r="A39" s="68"/>
      <c r="B39" s="35" t="s">
        <v>47</v>
      </c>
      <c r="C39" s="33" t="n">
        <v>11023</v>
      </c>
      <c r="D39" s="15" t="s">
        <v>27</v>
      </c>
      <c r="E39" s="15"/>
      <c r="F39" s="29" t="n">
        <f aca="false">Загальна!G24</f>
        <v>0</v>
      </c>
      <c r="G39" s="17"/>
      <c r="H39" s="17"/>
    </row>
    <row r="40" customFormat="false" ht="16.5" hidden="true" customHeight="false" outlineLevel="0" collapsed="false">
      <c r="A40" s="68" t="n">
        <v>3</v>
      </c>
      <c r="B40" s="35" t="s">
        <v>48</v>
      </c>
      <c r="C40" s="33" t="n">
        <v>11024</v>
      </c>
      <c r="D40" s="15" t="s">
        <v>27</v>
      </c>
      <c r="E40" s="15"/>
      <c r="F40" s="29" t="n">
        <f aca="false">Загальна!G25</f>
        <v>0</v>
      </c>
      <c r="G40" s="17"/>
      <c r="H40" s="17"/>
    </row>
    <row r="41" customFormat="false" ht="16.5" hidden="true" customHeight="false" outlineLevel="0" collapsed="false">
      <c r="A41" s="68" t="n">
        <v>4</v>
      </c>
      <c r="B41" s="35" t="s">
        <v>49</v>
      </c>
      <c r="C41" s="33" t="n">
        <v>11025</v>
      </c>
      <c r="D41" s="15" t="s">
        <v>27</v>
      </c>
      <c r="E41" s="15"/>
      <c r="F41" s="29" t="n">
        <f aca="false">Загальна!G26</f>
        <v>0</v>
      </c>
      <c r="G41" s="17"/>
      <c r="H41" s="17"/>
    </row>
    <row r="42" customFormat="false" ht="16.5" hidden="false" customHeight="false" outlineLevel="0" collapsed="false">
      <c r="A42" s="68" t="n">
        <v>3</v>
      </c>
      <c r="B42" s="35" t="s">
        <v>50</v>
      </c>
      <c r="C42" s="33" t="n">
        <v>11026</v>
      </c>
      <c r="D42" s="15" t="s">
        <v>27</v>
      </c>
      <c r="E42" s="15"/>
      <c r="F42" s="29" t="n">
        <f aca="false">Загальна!G27</f>
        <v>1.52</v>
      </c>
      <c r="G42" s="17"/>
      <c r="H42" s="17"/>
    </row>
    <row r="43" customFormat="false" ht="16.5" hidden="false" customHeight="false" outlineLevel="0" collapsed="false">
      <c r="A43" s="68" t="n">
        <v>4</v>
      </c>
      <c r="B43" s="35" t="s">
        <v>51</v>
      </c>
      <c r="C43" s="33" t="n">
        <v>11028</v>
      </c>
      <c r="D43" s="15" t="s">
        <v>27</v>
      </c>
      <c r="E43" s="15"/>
      <c r="F43" s="29" t="n">
        <f aca="false">Загальна!G28</f>
        <v>0.38</v>
      </c>
      <c r="G43" s="17"/>
      <c r="H43" s="17"/>
    </row>
    <row r="44" customFormat="false" ht="16.5" hidden="true" customHeight="false" outlineLevel="0" collapsed="false">
      <c r="A44" s="68"/>
      <c r="B44" s="35" t="s">
        <v>52</v>
      </c>
      <c r="C44" s="33" t="n">
        <v>11029</v>
      </c>
      <c r="D44" s="15" t="s">
        <v>27</v>
      </c>
      <c r="E44" s="15"/>
      <c r="F44" s="29" t="n">
        <f aca="false">Загальна!G29</f>
        <v>0</v>
      </c>
      <c r="G44" s="17"/>
      <c r="H44" s="17"/>
    </row>
    <row r="45" customFormat="false" ht="16.5" hidden="true" customHeight="false" outlineLevel="0" collapsed="false">
      <c r="A45" s="68"/>
      <c r="B45" s="35" t="s">
        <v>53</v>
      </c>
      <c r="C45" s="33" t="n">
        <v>11030</v>
      </c>
      <c r="D45" s="15" t="s">
        <v>27</v>
      </c>
      <c r="E45" s="15"/>
      <c r="F45" s="29" t="n">
        <f aca="false">Загальна!G30</f>
        <v>0</v>
      </c>
      <c r="G45" s="17"/>
      <c r="H45" s="17"/>
    </row>
    <row r="46" customFormat="false" ht="16.5" hidden="true" customHeight="false" outlineLevel="0" collapsed="false">
      <c r="A46" s="68" t="n">
        <v>5</v>
      </c>
      <c r="B46" s="35" t="s">
        <v>54</v>
      </c>
      <c r="C46" s="33" t="n">
        <v>11031</v>
      </c>
      <c r="D46" s="15" t="s">
        <v>27</v>
      </c>
      <c r="E46" s="15"/>
      <c r="F46" s="29" t="n">
        <f aca="false">Загальна!G31</f>
        <v>0</v>
      </c>
      <c r="G46" s="17"/>
      <c r="H46" s="17"/>
    </row>
    <row r="47" customFormat="false" ht="16.5" hidden="true" customHeight="false" outlineLevel="0" collapsed="false">
      <c r="A47" s="68"/>
      <c r="B47" s="35" t="s">
        <v>55</v>
      </c>
      <c r="C47" s="33" t="n">
        <v>11032</v>
      </c>
      <c r="D47" s="15" t="s">
        <v>27</v>
      </c>
      <c r="E47" s="15"/>
      <c r="F47" s="29" t="n">
        <f aca="false">Загальна!G32</f>
        <v>0</v>
      </c>
      <c r="G47" s="17"/>
      <c r="H47" s="17"/>
    </row>
    <row r="48" customFormat="false" ht="16.5" hidden="false" customHeight="false" outlineLevel="0" collapsed="false">
      <c r="A48" s="68" t="n">
        <v>5</v>
      </c>
      <c r="B48" s="35" t="s">
        <v>56</v>
      </c>
      <c r="C48" s="33" t="n">
        <v>11033</v>
      </c>
      <c r="D48" s="15" t="s">
        <v>27</v>
      </c>
      <c r="E48" s="15"/>
      <c r="F48" s="29" t="n">
        <f aca="false">Загальна!G33</f>
        <v>0.57</v>
      </c>
      <c r="G48" s="17"/>
      <c r="H48" s="17"/>
    </row>
    <row r="49" customFormat="false" ht="16.5" hidden="true" customHeight="false" outlineLevel="0" collapsed="false">
      <c r="A49" s="69"/>
      <c r="B49" s="35" t="s">
        <v>57</v>
      </c>
      <c r="C49" s="33" t="n">
        <v>11034</v>
      </c>
      <c r="D49" s="15" t="s">
        <v>27</v>
      </c>
      <c r="E49" s="15"/>
      <c r="F49" s="29" t="n">
        <f aca="false">Загальна!G34</f>
        <v>0</v>
      </c>
      <c r="G49" s="17"/>
      <c r="H49" s="17"/>
    </row>
    <row r="50" customFormat="false" ht="16.5" hidden="true" customHeight="false" outlineLevel="0" collapsed="false">
      <c r="A50" s="68"/>
      <c r="B50" s="35" t="s">
        <v>58</v>
      </c>
      <c r="C50" s="33" t="n">
        <v>11039</v>
      </c>
      <c r="D50" s="15" t="s">
        <v>27</v>
      </c>
      <c r="E50" s="15"/>
      <c r="F50" s="29" t="n">
        <f aca="false">Загальна!G35</f>
        <v>0</v>
      </c>
      <c r="G50" s="17"/>
      <c r="H50" s="17"/>
    </row>
    <row r="51" customFormat="false" ht="16.5" hidden="true" customHeight="false" outlineLevel="0" collapsed="false">
      <c r="A51" s="68"/>
      <c r="B51" s="35" t="s">
        <v>59</v>
      </c>
      <c r="C51" s="33" t="n">
        <v>11040</v>
      </c>
      <c r="D51" s="15" t="s">
        <v>27</v>
      </c>
      <c r="E51" s="15"/>
      <c r="F51" s="29" t="n">
        <f aca="false">Загальна!G36</f>
        <v>0</v>
      </c>
      <c r="G51" s="17"/>
      <c r="H51" s="17"/>
    </row>
    <row r="52" customFormat="false" ht="16.5" hidden="true" customHeight="false" outlineLevel="0" collapsed="false">
      <c r="A52" s="68" t="n">
        <v>6</v>
      </c>
      <c r="B52" s="35" t="s">
        <v>60</v>
      </c>
      <c r="C52" s="33" t="n">
        <v>11041</v>
      </c>
      <c r="D52" s="15" t="s">
        <v>27</v>
      </c>
      <c r="E52" s="15"/>
      <c r="F52" s="29" t="n">
        <f aca="false">Загальна!G37</f>
        <v>0</v>
      </c>
      <c r="G52" s="17"/>
      <c r="H52" s="17"/>
    </row>
    <row r="53" customFormat="false" ht="16.5" hidden="true" customHeight="false" outlineLevel="0" collapsed="false">
      <c r="A53" s="68"/>
      <c r="B53" s="35" t="s">
        <v>61</v>
      </c>
      <c r="C53" s="33" t="n">
        <v>11042</v>
      </c>
      <c r="D53" s="15" t="s">
        <v>27</v>
      </c>
      <c r="E53" s="15"/>
      <c r="F53" s="29" t="n">
        <f aca="false">Загальна!G38</f>
        <v>0</v>
      </c>
      <c r="G53" s="17"/>
      <c r="H53" s="17"/>
    </row>
    <row r="54" customFormat="false" ht="16.5" hidden="false" customHeight="false" outlineLevel="0" collapsed="false">
      <c r="A54" s="68" t="n">
        <v>6</v>
      </c>
      <c r="B54" s="35" t="s">
        <v>62</v>
      </c>
      <c r="C54" s="33" t="n">
        <v>11043</v>
      </c>
      <c r="D54" s="15" t="s">
        <v>27</v>
      </c>
      <c r="E54" s="15"/>
      <c r="F54" s="29" t="n">
        <f aca="false">Загальна!G39</f>
        <v>0.57</v>
      </c>
      <c r="G54" s="17"/>
      <c r="H54" s="17"/>
    </row>
    <row r="55" customFormat="false" ht="16.5" hidden="true" customHeight="false" outlineLevel="0" collapsed="false">
      <c r="A55" s="68"/>
      <c r="B55" s="35" t="s">
        <v>63</v>
      </c>
      <c r="C55" s="33" t="n">
        <v>11044</v>
      </c>
      <c r="D55" s="15" t="s">
        <v>27</v>
      </c>
      <c r="E55" s="15"/>
      <c r="F55" s="29" t="n">
        <f aca="false">Загальна!G40</f>
        <v>0</v>
      </c>
      <c r="G55" s="17"/>
      <c r="H55" s="17"/>
    </row>
    <row r="56" customFormat="false" ht="16.5" hidden="true" customHeight="false" outlineLevel="0" collapsed="false">
      <c r="A56" s="68"/>
      <c r="B56" s="35" t="s">
        <v>64</v>
      </c>
      <c r="C56" s="33" t="n">
        <v>11045</v>
      </c>
      <c r="D56" s="15" t="s">
        <v>27</v>
      </c>
      <c r="E56" s="15"/>
      <c r="F56" s="29" t="n">
        <f aca="false">Загальна!G41</f>
        <v>0</v>
      </c>
      <c r="G56" s="17"/>
      <c r="H56" s="17"/>
    </row>
    <row r="57" customFormat="false" ht="16.5" hidden="true" customHeight="false" outlineLevel="0" collapsed="false">
      <c r="A57" s="69"/>
      <c r="B57" s="35" t="s">
        <v>65</v>
      </c>
      <c r="C57" s="33" t="n">
        <v>11046</v>
      </c>
      <c r="D57" s="15" t="s">
        <v>27</v>
      </c>
      <c r="E57" s="15"/>
      <c r="F57" s="29" t="n">
        <f aca="false">Загальна!G42</f>
        <v>0</v>
      </c>
      <c r="G57" s="17"/>
      <c r="H57" s="17"/>
    </row>
    <row r="58" customFormat="false" ht="16.5" hidden="true" customHeight="false" outlineLevel="0" collapsed="false">
      <c r="A58" s="68" t="n">
        <v>7</v>
      </c>
      <c r="B58" s="35" t="s">
        <v>66</v>
      </c>
      <c r="C58" s="33" t="n">
        <v>11047</v>
      </c>
      <c r="D58" s="15" t="s">
        <v>27</v>
      </c>
      <c r="E58" s="15"/>
      <c r="F58" s="29" t="n">
        <f aca="false">Загальна!G43</f>
        <v>0</v>
      </c>
      <c r="G58" s="17"/>
      <c r="H58" s="17"/>
    </row>
    <row r="59" customFormat="false" ht="16.5" hidden="true" customHeight="false" outlineLevel="0" collapsed="false">
      <c r="A59" s="69"/>
      <c r="B59" s="35" t="s">
        <v>67</v>
      </c>
      <c r="C59" s="33" t="n">
        <v>11048</v>
      </c>
      <c r="D59" s="15" t="s">
        <v>27</v>
      </c>
      <c r="E59" s="15"/>
      <c r="F59" s="29" t="n">
        <f aca="false">Загальна!G44</f>
        <v>0</v>
      </c>
      <c r="G59" s="17"/>
      <c r="H59" s="17"/>
    </row>
    <row r="60" customFormat="false" ht="16.5" hidden="false" customHeight="false" outlineLevel="0" collapsed="false">
      <c r="A60" s="68" t="n">
        <v>7</v>
      </c>
      <c r="B60" s="35" t="s">
        <v>68</v>
      </c>
      <c r="C60" s="33" t="n">
        <v>11049</v>
      </c>
      <c r="D60" s="15" t="s">
        <v>27</v>
      </c>
      <c r="E60" s="15"/>
      <c r="F60" s="29" t="n">
        <f aca="false">Загальна!G45</f>
        <v>2.09</v>
      </c>
      <c r="G60" s="17"/>
      <c r="H60" s="17"/>
    </row>
    <row r="61" customFormat="false" ht="16.5" hidden="true" customHeight="false" outlineLevel="0" collapsed="false">
      <c r="A61" s="69"/>
      <c r="B61" s="35" t="s">
        <v>69</v>
      </c>
      <c r="C61" s="33" t="n">
        <v>11050</v>
      </c>
      <c r="D61" s="15" t="s">
        <v>27</v>
      </c>
      <c r="E61" s="15"/>
      <c r="F61" s="29" t="n">
        <f aca="false">Загальна!G46</f>
        <v>0</v>
      </c>
      <c r="G61" s="17"/>
      <c r="H61" s="17"/>
    </row>
    <row r="62" customFormat="false" ht="16.5" hidden="true" customHeight="false" outlineLevel="0" collapsed="false">
      <c r="A62" s="68"/>
      <c r="B62" s="35" t="s">
        <v>70</v>
      </c>
      <c r="C62" s="33" t="n">
        <v>11051</v>
      </c>
      <c r="D62" s="15" t="s">
        <v>27</v>
      </c>
      <c r="E62" s="15"/>
      <c r="F62" s="29" t="n">
        <f aca="false">Загальна!G47</f>
        <v>0</v>
      </c>
      <c r="G62" s="17"/>
      <c r="H62" s="17"/>
    </row>
    <row r="63" customFormat="false" ht="16.5" hidden="true" customHeight="false" outlineLevel="0" collapsed="false">
      <c r="A63" s="68"/>
      <c r="B63" s="35" t="s">
        <v>71</v>
      </c>
      <c r="C63" s="33" t="n">
        <v>11052</v>
      </c>
      <c r="D63" s="15" t="s">
        <v>27</v>
      </c>
      <c r="E63" s="15"/>
      <c r="F63" s="29" t="n">
        <f aca="false">Загальна!G48</f>
        <v>0</v>
      </c>
      <c r="G63" s="17"/>
      <c r="H63" s="17"/>
    </row>
    <row r="64" customFormat="false" ht="16.5" hidden="true" customHeight="false" outlineLevel="0" collapsed="false">
      <c r="A64" s="68"/>
      <c r="B64" s="35" t="s">
        <v>72</v>
      </c>
      <c r="C64" s="33" t="n">
        <v>11053</v>
      </c>
      <c r="D64" s="15" t="s">
        <v>27</v>
      </c>
      <c r="E64" s="15"/>
      <c r="F64" s="29" t="n">
        <f aca="false">Загальна!G49</f>
        <v>0</v>
      </c>
      <c r="G64" s="17"/>
      <c r="H64" s="17"/>
    </row>
    <row r="65" customFormat="false" ht="16.5" hidden="true" customHeight="false" outlineLevel="0" collapsed="false">
      <c r="A65" s="68"/>
      <c r="B65" s="35" t="s">
        <v>73</v>
      </c>
      <c r="C65" s="33" t="n">
        <v>11054</v>
      </c>
      <c r="D65" s="15" t="s">
        <v>27</v>
      </c>
      <c r="E65" s="15"/>
      <c r="F65" s="29" t="n">
        <f aca="false">Загальна!G50</f>
        <v>0</v>
      </c>
      <c r="G65" s="17"/>
      <c r="H65" s="17"/>
    </row>
    <row r="66" customFormat="false" ht="16.5" hidden="true" customHeight="false" outlineLevel="0" collapsed="false">
      <c r="A66" s="68"/>
      <c r="B66" s="35" t="s">
        <v>74</v>
      </c>
      <c r="C66" s="33" t="n">
        <v>11055</v>
      </c>
      <c r="D66" s="15" t="s">
        <v>27</v>
      </c>
      <c r="E66" s="15"/>
      <c r="F66" s="29" t="n">
        <f aca="false">Загальна!G51</f>
        <v>0</v>
      </c>
      <c r="G66" s="17"/>
      <c r="H66" s="17"/>
    </row>
    <row r="67" customFormat="false" ht="16.5" hidden="true" customHeight="false" outlineLevel="0" collapsed="false">
      <c r="A67" s="68"/>
      <c r="B67" s="35" t="s">
        <v>75</v>
      </c>
      <c r="C67" s="33" t="n">
        <v>11057</v>
      </c>
      <c r="D67" s="15" t="s">
        <v>27</v>
      </c>
      <c r="E67" s="15"/>
      <c r="F67" s="29" t="n">
        <f aca="false">Загальна!G52</f>
        <v>0</v>
      </c>
      <c r="G67" s="17"/>
      <c r="H67" s="17"/>
    </row>
    <row r="68" customFormat="false" ht="16.5" hidden="true" customHeight="false" outlineLevel="0" collapsed="false">
      <c r="A68" s="68"/>
      <c r="B68" s="35" t="s">
        <v>76</v>
      </c>
      <c r="C68" s="33" t="n">
        <v>11058</v>
      </c>
      <c r="D68" s="15" t="s">
        <v>27</v>
      </c>
      <c r="E68" s="15"/>
      <c r="F68" s="29" t="n">
        <f aca="false">Загальна!G53</f>
        <v>0</v>
      </c>
      <c r="G68" s="17"/>
      <c r="H68" s="17"/>
    </row>
    <row r="69" customFormat="false" ht="16.5" hidden="true" customHeight="false" outlineLevel="0" collapsed="false">
      <c r="A69" s="68"/>
      <c r="B69" s="35" t="s">
        <v>77</v>
      </c>
      <c r="C69" s="33" t="n">
        <v>11059</v>
      </c>
      <c r="D69" s="15" t="s">
        <v>27</v>
      </c>
      <c r="E69" s="15"/>
      <c r="F69" s="29" t="n">
        <f aca="false">Загальна!G54</f>
        <v>0</v>
      </c>
      <c r="G69" s="17"/>
      <c r="H69" s="17"/>
    </row>
    <row r="70" customFormat="false" ht="16.5" hidden="true" customHeight="false" outlineLevel="0" collapsed="false">
      <c r="A70" s="68"/>
      <c r="B70" s="35" t="s">
        <v>78</v>
      </c>
      <c r="C70" s="33" t="n">
        <v>11060</v>
      </c>
      <c r="D70" s="15" t="s">
        <v>27</v>
      </c>
      <c r="E70" s="15"/>
      <c r="F70" s="29" t="n">
        <f aca="false">Загальна!G55</f>
        <v>0</v>
      </c>
      <c r="G70" s="17"/>
      <c r="H70" s="17"/>
    </row>
    <row r="71" customFormat="false" ht="16.5" hidden="true" customHeight="false" outlineLevel="0" collapsed="false">
      <c r="A71" s="68" t="n">
        <v>8</v>
      </c>
      <c r="B71" s="35" t="s">
        <v>79</v>
      </c>
      <c r="C71" s="33" t="n">
        <v>11061</v>
      </c>
      <c r="D71" s="15" t="s">
        <v>27</v>
      </c>
      <c r="E71" s="15"/>
      <c r="F71" s="29" t="n">
        <f aca="false">Загальна!G56</f>
        <v>0</v>
      </c>
      <c r="G71" s="17"/>
      <c r="H71" s="17"/>
    </row>
    <row r="72" customFormat="false" ht="16.5" hidden="true" customHeight="false" outlineLevel="0" collapsed="false">
      <c r="A72" s="68"/>
      <c r="B72" s="35" t="s">
        <v>80</v>
      </c>
      <c r="C72" s="33" t="n">
        <v>11062</v>
      </c>
      <c r="D72" s="15" t="s">
        <v>27</v>
      </c>
      <c r="E72" s="15"/>
      <c r="F72" s="29" t="n">
        <f aca="false">Загальна!G57</f>
        <v>0</v>
      </c>
      <c r="G72" s="17"/>
      <c r="H72" s="17"/>
    </row>
    <row r="73" customFormat="false" ht="16.5" hidden="false" customHeight="false" outlineLevel="0" collapsed="false">
      <c r="A73" s="68" t="n">
        <v>8</v>
      </c>
      <c r="B73" s="35" t="s">
        <v>81</v>
      </c>
      <c r="C73" s="33" t="n">
        <v>11063</v>
      </c>
      <c r="D73" s="15" t="s">
        <v>27</v>
      </c>
      <c r="E73" s="15"/>
      <c r="F73" s="29" t="n">
        <f aca="false">Загальна!G58</f>
        <v>5.7</v>
      </c>
      <c r="G73" s="17"/>
      <c r="H73" s="17"/>
    </row>
    <row r="74" customFormat="false" ht="16.5" hidden="true" customHeight="false" outlineLevel="0" collapsed="false">
      <c r="A74" s="68"/>
      <c r="B74" s="35" t="s">
        <v>82</v>
      </c>
      <c r="C74" s="33" t="n">
        <v>11064</v>
      </c>
      <c r="D74" s="15" t="s">
        <v>27</v>
      </c>
      <c r="E74" s="15"/>
      <c r="F74" s="29" t="n">
        <f aca="false">Загальна!G59</f>
        <v>0</v>
      </c>
      <c r="G74" s="17"/>
      <c r="H74" s="17"/>
    </row>
    <row r="75" customFormat="false" ht="16.5" hidden="true" customHeight="false" outlineLevel="0" collapsed="false">
      <c r="A75" s="68"/>
      <c r="B75" s="35" t="s">
        <v>83</v>
      </c>
      <c r="C75" s="33" t="n">
        <v>11065</v>
      </c>
      <c r="D75" s="15" t="s">
        <v>27</v>
      </c>
      <c r="E75" s="15"/>
      <c r="F75" s="29" t="n">
        <f aca="false">Загальна!G60</f>
        <v>0</v>
      </c>
      <c r="G75" s="17"/>
      <c r="H75" s="17"/>
    </row>
    <row r="76" customFormat="false" ht="16.5" hidden="true" customHeight="false" outlineLevel="0" collapsed="false">
      <c r="A76" s="68"/>
      <c r="B76" s="35" t="s">
        <v>84</v>
      </c>
      <c r="C76" s="33" t="n">
        <v>11201</v>
      </c>
      <c r="D76" s="15" t="s">
        <v>27</v>
      </c>
      <c r="E76" s="15"/>
      <c r="F76" s="29" t="n">
        <f aca="false">Загальна!G61</f>
        <v>0</v>
      </c>
      <c r="G76" s="17"/>
      <c r="H76" s="17"/>
    </row>
    <row r="77" customFormat="false" ht="16.5" hidden="true" customHeight="false" outlineLevel="0" collapsed="false">
      <c r="A77" s="68"/>
      <c r="B77" s="35" t="s">
        <v>85</v>
      </c>
      <c r="C77" s="33" t="n">
        <v>11202</v>
      </c>
      <c r="D77" s="15" t="s">
        <v>27</v>
      </c>
      <c r="E77" s="15"/>
      <c r="F77" s="29" t="n">
        <f aca="false">Загальна!G62</f>
        <v>0</v>
      </c>
      <c r="G77" s="17"/>
      <c r="H77" s="17"/>
    </row>
    <row r="78" customFormat="false" ht="16.5" hidden="true" customHeight="false" outlineLevel="0" collapsed="false">
      <c r="A78" s="69"/>
      <c r="B78" s="35" t="s">
        <v>86</v>
      </c>
      <c r="C78" s="33" t="n">
        <v>11203</v>
      </c>
      <c r="D78" s="15" t="s">
        <v>27</v>
      </c>
      <c r="E78" s="15"/>
      <c r="F78" s="29" t="n">
        <f aca="false">Загальна!G63</f>
        <v>0</v>
      </c>
      <c r="G78" s="17"/>
      <c r="H78" s="17"/>
    </row>
    <row r="79" customFormat="false" ht="16.5" hidden="true" customHeight="false" outlineLevel="0" collapsed="false">
      <c r="A79" s="69"/>
      <c r="B79" s="35" t="s">
        <v>87</v>
      </c>
      <c r="C79" s="33" t="n">
        <v>11204</v>
      </c>
      <c r="D79" s="15" t="s">
        <v>27</v>
      </c>
      <c r="E79" s="15"/>
      <c r="F79" s="29" t="n">
        <f aca="false">Загальна!G64</f>
        <v>0</v>
      </c>
      <c r="G79" s="17"/>
      <c r="H79" s="17"/>
    </row>
    <row r="80" customFormat="false" ht="16.5" hidden="true" customHeight="false" outlineLevel="0" collapsed="false">
      <c r="A80" s="68"/>
      <c r="B80" s="35" t="s">
        <v>88</v>
      </c>
      <c r="C80" s="33" t="n">
        <v>11205</v>
      </c>
      <c r="D80" s="15" t="s">
        <v>27</v>
      </c>
      <c r="E80" s="15"/>
      <c r="F80" s="29" t="n">
        <f aca="false">Загальна!G65</f>
        <v>0</v>
      </c>
      <c r="G80" s="17"/>
      <c r="H80" s="17"/>
    </row>
    <row r="81" customFormat="false" ht="16.5" hidden="true" customHeight="false" outlineLevel="0" collapsed="false">
      <c r="A81" s="68"/>
      <c r="B81" s="35" t="s">
        <v>89</v>
      </c>
      <c r="C81" s="33" t="n">
        <v>11206</v>
      </c>
      <c r="D81" s="15" t="s">
        <v>27</v>
      </c>
      <c r="E81" s="15"/>
      <c r="F81" s="29" t="n">
        <f aca="false">Загальна!G66</f>
        <v>0</v>
      </c>
      <c r="G81" s="17"/>
      <c r="H81" s="17"/>
    </row>
    <row r="82" customFormat="false" ht="16.5" hidden="true" customHeight="false" outlineLevel="0" collapsed="false">
      <c r="A82" s="68"/>
      <c r="B82" s="35" t="s">
        <v>90</v>
      </c>
      <c r="C82" s="33" t="n">
        <v>11208</v>
      </c>
      <c r="D82" s="15" t="s">
        <v>27</v>
      </c>
      <c r="E82" s="15"/>
      <c r="F82" s="29" t="n">
        <f aca="false">Загальна!G67</f>
        <v>0</v>
      </c>
      <c r="G82" s="17"/>
      <c r="H82" s="17"/>
    </row>
    <row r="83" customFormat="false" ht="16.5" hidden="true" customHeight="false" outlineLevel="0" collapsed="false">
      <c r="A83" s="69"/>
      <c r="B83" s="35" t="s">
        <v>91</v>
      </c>
      <c r="C83" s="33" t="n">
        <v>11209</v>
      </c>
      <c r="D83" s="15" t="s">
        <v>27</v>
      </c>
      <c r="E83" s="15"/>
      <c r="F83" s="29" t="n">
        <f aca="false">Загальна!G68</f>
        <v>0</v>
      </c>
      <c r="G83" s="17"/>
      <c r="H83" s="17"/>
    </row>
    <row r="84" customFormat="false" ht="16.5" hidden="true" customHeight="false" outlineLevel="0" collapsed="false">
      <c r="A84" s="68"/>
      <c r="B84" s="35" t="s">
        <v>92</v>
      </c>
      <c r="C84" s="33" t="n">
        <v>11210</v>
      </c>
      <c r="D84" s="15" t="s">
        <v>27</v>
      </c>
      <c r="E84" s="15"/>
      <c r="F84" s="29" t="n">
        <f aca="false">Загальна!G69</f>
        <v>0</v>
      </c>
      <c r="G84" s="17"/>
      <c r="H84" s="17"/>
    </row>
    <row r="85" customFormat="false" ht="16.5" hidden="true" customHeight="false" outlineLevel="0" collapsed="false">
      <c r="A85" s="69"/>
      <c r="B85" s="35" t="s">
        <v>93</v>
      </c>
      <c r="C85" s="33" t="n">
        <v>11211</v>
      </c>
      <c r="D85" s="15" t="s">
        <v>27</v>
      </c>
      <c r="E85" s="15"/>
      <c r="F85" s="29" t="n">
        <f aca="false">Загальна!G70</f>
        <v>0</v>
      </c>
      <c r="G85" s="17"/>
      <c r="H85" s="17"/>
    </row>
    <row r="86" customFormat="false" ht="16.5" hidden="true" customHeight="false" outlineLevel="0" collapsed="false">
      <c r="A86" s="69"/>
      <c r="B86" s="35" t="s">
        <v>94</v>
      </c>
      <c r="C86" s="33" t="n">
        <v>11212</v>
      </c>
      <c r="D86" s="15" t="s">
        <v>27</v>
      </c>
      <c r="E86" s="15"/>
      <c r="F86" s="29" t="n">
        <f aca="false">Загальна!G71</f>
        <v>0</v>
      </c>
      <c r="G86" s="17"/>
      <c r="H86" s="17"/>
    </row>
    <row r="87" customFormat="false" ht="16.5" hidden="true" customHeight="false" outlineLevel="0" collapsed="false">
      <c r="A87" s="68"/>
      <c r="B87" s="35" t="s">
        <v>95</v>
      </c>
      <c r="C87" s="33" t="n">
        <v>11213</v>
      </c>
      <c r="D87" s="15" t="s">
        <v>27</v>
      </c>
      <c r="E87" s="15"/>
      <c r="F87" s="29" t="n">
        <f aca="false">Загальна!G72</f>
        <v>0</v>
      </c>
      <c r="G87" s="17"/>
      <c r="H87" s="17"/>
    </row>
    <row r="88" customFormat="false" ht="16.5" hidden="true" customHeight="false" outlineLevel="0" collapsed="false">
      <c r="A88" s="68"/>
      <c r="B88" s="35" t="s">
        <v>96</v>
      </c>
      <c r="C88" s="33" t="n">
        <v>11214</v>
      </c>
      <c r="D88" s="15" t="s">
        <v>27</v>
      </c>
      <c r="E88" s="15"/>
      <c r="F88" s="29" t="n">
        <f aca="false">Загальна!G73</f>
        <v>0</v>
      </c>
      <c r="G88" s="17"/>
      <c r="H88" s="17"/>
    </row>
    <row r="89" customFormat="false" ht="16.5" hidden="true" customHeight="false" outlineLevel="0" collapsed="false">
      <c r="A89" s="68"/>
      <c r="B89" s="35" t="s">
        <v>97</v>
      </c>
      <c r="C89" s="33" t="n">
        <v>11215</v>
      </c>
      <c r="D89" s="15" t="s">
        <v>27</v>
      </c>
      <c r="E89" s="15"/>
      <c r="F89" s="29" t="n">
        <f aca="false">Загальна!G74</f>
        <v>0</v>
      </c>
      <c r="G89" s="17"/>
      <c r="H89" s="17"/>
    </row>
    <row r="90" customFormat="false" ht="16.5" hidden="true" customHeight="false" outlineLevel="0" collapsed="false">
      <c r="A90" s="68"/>
      <c r="B90" s="35" t="s">
        <v>98</v>
      </c>
      <c r="C90" s="33" t="n">
        <v>11301</v>
      </c>
      <c r="D90" s="15" t="s">
        <v>27</v>
      </c>
      <c r="E90" s="15"/>
      <c r="F90" s="29" t="n">
        <f aca="false">Загальна!G75</f>
        <v>0</v>
      </c>
      <c r="G90" s="17"/>
      <c r="H90" s="17"/>
    </row>
    <row r="91" customFormat="false" ht="16.5" hidden="true" customHeight="false" outlineLevel="0" collapsed="false">
      <c r="A91" s="68"/>
      <c r="B91" s="35" t="s">
        <v>99</v>
      </c>
      <c r="C91" s="33" t="n">
        <v>11302</v>
      </c>
      <c r="D91" s="15" t="s">
        <v>27</v>
      </c>
      <c r="E91" s="15"/>
      <c r="F91" s="29" t="n">
        <f aca="false">Загальна!G76</f>
        <v>0</v>
      </c>
      <c r="G91" s="17"/>
      <c r="H91" s="17"/>
    </row>
    <row r="92" customFormat="false" ht="16.5" hidden="true" customHeight="false" outlineLevel="0" collapsed="false">
      <c r="A92" s="68"/>
      <c r="B92" s="35" t="s">
        <v>100</v>
      </c>
      <c r="C92" s="33" t="n">
        <v>11303</v>
      </c>
      <c r="D92" s="15" t="s">
        <v>27</v>
      </c>
      <c r="E92" s="15"/>
      <c r="F92" s="29" t="n">
        <f aca="false">Загальна!G77</f>
        <v>0</v>
      </c>
      <c r="G92" s="17"/>
      <c r="H92" s="17"/>
    </row>
    <row r="93" customFormat="false" ht="16.5" hidden="true" customHeight="false" outlineLevel="0" collapsed="false">
      <c r="A93" s="68"/>
      <c r="B93" s="35" t="s">
        <v>101</v>
      </c>
      <c r="C93" s="33" t="n">
        <v>11309</v>
      </c>
      <c r="D93" s="15" t="s">
        <v>27</v>
      </c>
      <c r="E93" s="15"/>
      <c r="F93" s="29" t="n">
        <f aca="false">Загальна!G78</f>
        <v>0</v>
      </c>
      <c r="G93" s="17"/>
      <c r="H93" s="17"/>
    </row>
    <row r="94" customFormat="false" ht="16.5" hidden="true" customHeight="false" outlineLevel="0" collapsed="false">
      <c r="A94" s="68"/>
      <c r="B94" s="35" t="s">
        <v>102</v>
      </c>
      <c r="C94" s="33" t="n">
        <v>11310</v>
      </c>
      <c r="D94" s="15" t="s">
        <v>27</v>
      </c>
      <c r="E94" s="15"/>
      <c r="F94" s="29" t="n">
        <f aca="false">Загальна!G79</f>
        <v>0</v>
      </c>
      <c r="G94" s="17"/>
      <c r="H94" s="17"/>
    </row>
    <row r="95" customFormat="false" ht="16.5" hidden="true" customHeight="false" outlineLevel="0" collapsed="false">
      <c r="A95" s="68"/>
      <c r="B95" s="35" t="s">
        <v>103</v>
      </c>
      <c r="C95" s="33" t="n">
        <v>11401</v>
      </c>
      <c r="D95" s="15" t="s">
        <v>27</v>
      </c>
      <c r="E95" s="15"/>
      <c r="F95" s="29" t="n">
        <f aca="false">Загальна!G80</f>
        <v>0</v>
      </c>
      <c r="G95" s="17"/>
      <c r="H95" s="17"/>
    </row>
    <row r="96" customFormat="false" ht="16.5" hidden="true" customHeight="false" outlineLevel="0" collapsed="false">
      <c r="A96" s="68" t="n">
        <v>9</v>
      </c>
      <c r="B96" s="35" t="s">
        <v>104</v>
      </c>
      <c r="C96" s="33" t="n">
        <v>11402</v>
      </c>
      <c r="D96" s="15" t="s">
        <v>27</v>
      </c>
      <c r="E96" s="15"/>
      <c r="F96" s="29" t="n">
        <f aca="false">Загальна!G81</f>
        <v>0</v>
      </c>
      <c r="G96" s="17"/>
      <c r="H96" s="17"/>
    </row>
    <row r="97" customFormat="false" ht="16.5" hidden="true" customHeight="false" outlineLevel="0" collapsed="false">
      <c r="A97" s="68" t="n">
        <v>10</v>
      </c>
      <c r="B97" s="35" t="s">
        <v>105</v>
      </c>
      <c r="C97" s="33" t="n">
        <v>11403</v>
      </c>
      <c r="D97" s="15" t="s">
        <v>27</v>
      </c>
      <c r="E97" s="15"/>
      <c r="F97" s="29" t="n">
        <f aca="false">Загальна!G82</f>
        <v>0</v>
      </c>
      <c r="G97" s="17"/>
      <c r="H97" s="17"/>
    </row>
    <row r="98" customFormat="false" ht="16.5" hidden="false" customHeight="false" outlineLevel="0" collapsed="false">
      <c r="A98" s="68" t="n">
        <v>9</v>
      </c>
      <c r="B98" s="35" t="s">
        <v>106</v>
      </c>
      <c r="C98" s="33" t="n">
        <v>11404</v>
      </c>
      <c r="D98" s="15" t="s">
        <v>27</v>
      </c>
      <c r="E98" s="15"/>
      <c r="F98" s="29" t="n">
        <f aca="false">Загальна!G83</f>
        <v>2.28</v>
      </c>
      <c r="G98" s="17"/>
      <c r="H98" s="17"/>
    </row>
    <row r="99" customFormat="false" ht="16.5" hidden="false" customHeight="false" outlineLevel="0" collapsed="false">
      <c r="A99" s="69" t="n">
        <v>10</v>
      </c>
      <c r="B99" s="35" t="s">
        <v>107</v>
      </c>
      <c r="C99" s="33" t="n">
        <v>11405</v>
      </c>
      <c r="D99" s="15" t="s">
        <v>27</v>
      </c>
      <c r="E99" s="15"/>
      <c r="F99" s="29" t="n">
        <f aca="false">Загальна!G84</f>
        <v>2.28</v>
      </c>
      <c r="G99" s="17"/>
      <c r="H99" s="17"/>
    </row>
    <row r="100" customFormat="false" ht="16.5" hidden="true" customHeight="false" outlineLevel="0" collapsed="false">
      <c r="A100" s="69"/>
      <c r="B100" s="35" t="s">
        <v>108</v>
      </c>
      <c r="C100" s="33" t="n">
        <v>11406</v>
      </c>
      <c r="D100" s="15" t="s">
        <v>27</v>
      </c>
      <c r="E100" s="15"/>
      <c r="F100" s="29" t="n">
        <f aca="false">Загальна!G85</f>
        <v>0</v>
      </c>
      <c r="G100" s="17"/>
      <c r="H100" s="17"/>
    </row>
    <row r="101" customFormat="false" ht="16.5" hidden="true" customHeight="false" outlineLevel="0" collapsed="false">
      <c r="A101" s="68" t="n">
        <v>11</v>
      </c>
      <c r="B101" s="35" t="s">
        <v>109</v>
      </c>
      <c r="C101" s="33" t="n">
        <v>11407</v>
      </c>
      <c r="D101" s="15" t="s">
        <v>27</v>
      </c>
      <c r="E101" s="15"/>
      <c r="F101" s="29" t="n">
        <f aca="false">Загальна!G86</f>
        <v>0</v>
      </c>
      <c r="G101" s="17"/>
      <c r="H101" s="17"/>
    </row>
    <row r="102" customFormat="false" ht="16.5" hidden="true" customHeight="false" outlineLevel="0" collapsed="false">
      <c r="A102" s="68"/>
      <c r="B102" s="35" t="s">
        <v>110</v>
      </c>
      <c r="C102" s="33" t="n">
        <v>11408</v>
      </c>
      <c r="D102" s="15" t="s">
        <v>27</v>
      </c>
      <c r="E102" s="15"/>
      <c r="F102" s="29" t="n">
        <f aca="false">Загальна!G87</f>
        <v>0</v>
      </c>
      <c r="G102" s="17"/>
      <c r="H102" s="17"/>
    </row>
    <row r="103" customFormat="false" ht="16.5" hidden="false" customHeight="false" outlineLevel="0" collapsed="false">
      <c r="A103" s="68" t="n">
        <v>11</v>
      </c>
      <c r="B103" s="35" t="s">
        <v>111</v>
      </c>
      <c r="C103" s="33" t="n">
        <v>11409</v>
      </c>
      <c r="D103" s="15" t="s">
        <v>27</v>
      </c>
      <c r="E103" s="15"/>
      <c r="F103" s="29" t="n">
        <f aca="false">Загальна!G88</f>
        <v>2.28</v>
      </c>
      <c r="G103" s="17"/>
      <c r="H103" s="17"/>
    </row>
    <row r="104" customFormat="false" ht="16.5" hidden="true" customHeight="false" outlineLevel="0" collapsed="false">
      <c r="A104" s="68"/>
      <c r="B104" s="35" t="s">
        <v>112</v>
      </c>
      <c r="C104" s="33" t="n">
        <v>11410</v>
      </c>
      <c r="D104" s="15" t="s">
        <v>27</v>
      </c>
      <c r="E104" s="15"/>
      <c r="F104" s="29" t="n">
        <f aca="false">Загальна!G89</f>
        <v>0</v>
      </c>
      <c r="G104" s="17"/>
      <c r="H104" s="17"/>
    </row>
    <row r="105" customFormat="false" ht="16.5" hidden="true" customHeight="false" outlineLevel="0" collapsed="false">
      <c r="A105" s="68"/>
      <c r="B105" s="35" t="s">
        <v>113</v>
      </c>
      <c r="C105" s="33" t="n">
        <v>11411</v>
      </c>
      <c r="D105" s="15" t="s">
        <v>27</v>
      </c>
      <c r="E105" s="15"/>
      <c r="F105" s="29" t="n">
        <f aca="false">Загальна!G90</f>
        <v>0</v>
      </c>
      <c r="G105" s="17"/>
      <c r="H105" s="17"/>
    </row>
    <row r="106" customFormat="false" ht="16.5" hidden="true" customHeight="false" outlineLevel="0" collapsed="false">
      <c r="A106" s="68"/>
      <c r="B106" s="35" t="s">
        <v>114</v>
      </c>
      <c r="C106" s="33" t="n">
        <v>11412</v>
      </c>
      <c r="D106" s="15" t="s">
        <v>27</v>
      </c>
      <c r="E106" s="15"/>
      <c r="F106" s="29" t="n">
        <f aca="false">Загальна!G91</f>
        <v>0</v>
      </c>
      <c r="G106" s="17"/>
      <c r="H106" s="17"/>
    </row>
    <row r="107" customFormat="false" ht="16.5" hidden="true" customHeight="false" outlineLevel="0" collapsed="false">
      <c r="A107" s="68"/>
      <c r="B107" s="35" t="s">
        <v>115</v>
      </c>
      <c r="C107" s="33" t="n">
        <v>11413</v>
      </c>
      <c r="D107" s="15" t="s">
        <v>27</v>
      </c>
      <c r="E107" s="15"/>
      <c r="F107" s="29" t="n">
        <f aca="false">Загальна!G92</f>
        <v>0</v>
      </c>
      <c r="G107" s="17"/>
      <c r="H107" s="17"/>
    </row>
    <row r="108" customFormat="false" ht="16.5" hidden="true" customHeight="false" outlineLevel="0" collapsed="false">
      <c r="A108" s="68"/>
      <c r="B108" s="35" t="s">
        <v>116</v>
      </c>
      <c r="C108" s="33" t="n">
        <v>11414</v>
      </c>
      <c r="D108" s="15" t="s">
        <v>27</v>
      </c>
      <c r="E108" s="15"/>
      <c r="F108" s="29" t="n">
        <f aca="false">Загальна!G93</f>
        <v>0</v>
      </c>
      <c r="G108" s="17"/>
      <c r="H108" s="17"/>
    </row>
    <row r="109" customFormat="false" ht="16.5" hidden="true" customHeight="false" outlineLevel="0" collapsed="false">
      <c r="A109" s="69"/>
      <c r="B109" s="35" t="s">
        <v>117</v>
      </c>
      <c r="C109" s="33" t="n">
        <v>11415</v>
      </c>
      <c r="D109" s="15" t="s">
        <v>27</v>
      </c>
      <c r="E109" s="15"/>
      <c r="F109" s="29" t="n">
        <f aca="false">Загальна!G94</f>
        <v>0</v>
      </c>
      <c r="G109" s="17"/>
      <c r="H109" s="17"/>
    </row>
    <row r="110" customFormat="false" ht="16.5" hidden="true" customHeight="false" outlineLevel="0" collapsed="false">
      <c r="A110" s="69"/>
      <c r="B110" s="35" t="s">
        <v>118</v>
      </c>
      <c r="C110" s="33" t="n">
        <v>11416</v>
      </c>
      <c r="D110" s="15" t="s">
        <v>27</v>
      </c>
      <c r="E110" s="15"/>
      <c r="F110" s="29" t="n">
        <f aca="false">Загальна!G95</f>
        <v>0</v>
      </c>
      <c r="G110" s="17"/>
      <c r="H110" s="17"/>
    </row>
    <row r="111" customFormat="false" ht="16.5" hidden="true" customHeight="false" outlineLevel="0" collapsed="false">
      <c r="A111" s="68"/>
      <c r="B111" s="35" t="s">
        <v>119</v>
      </c>
      <c r="C111" s="33" t="n">
        <v>11417</v>
      </c>
      <c r="D111" s="15" t="s">
        <v>27</v>
      </c>
      <c r="E111" s="15"/>
      <c r="F111" s="29" t="n">
        <f aca="false">Загальна!G96</f>
        <v>0</v>
      </c>
      <c r="G111" s="17"/>
      <c r="H111" s="17"/>
    </row>
    <row r="112" customFormat="false" ht="16.5" hidden="true" customHeight="false" outlineLevel="0" collapsed="false">
      <c r="A112" s="68"/>
      <c r="B112" s="35" t="s">
        <v>120</v>
      </c>
      <c r="C112" s="33" t="n">
        <v>11419</v>
      </c>
      <c r="D112" s="15" t="s">
        <v>27</v>
      </c>
      <c r="E112" s="15"/>
      <c r="F112" s="29" t="n">
        <f aca="false">Загальна!G97</f>
        <v>0</v>
      </c>
      <c r="G112" s="17"/>
      <c r="H112" s="17"/>
    </row>
    <row r="113" customFormat="false" ht="16.5" hidden="true" customHeight="false" outlineLevel="0" collapsed="false">
      <c r="A113" s="68"/>
      <c r="B113" s="35" t="s">
        <v>121</v>
      </c>
      <c r="C113" s="33" t="n">
        <v>11420</v>
      </c>
      <c r="D113" s="15" t="s">
        <v>27</v>
      </c>
      <c r="E113" s="15"/>
      <c r="F113" s="29" t="n">
        <f aca="false">Загальна!G98</f>
        <v>0</v>
      </c>
      <c r="G113" s="17"/>
      <c r="H113" s="17"/>
    </row>
    <row r="114" customFormat="false" ht="16.5" hidden="true" customHeight="false" outlineLevel="0" collapsed="false">
      <c r="A114" s="68"/>
      <c r="B114" s="35" t="s">
        <v>122</v>
      </c>
      <c r="C114" s="33" t="n">
        <v>11422</v>
      </c>
      <c r="D114" s="15" t="s">
        <v>27</v>
      </c>
      <c r="E114" s="15"/>
      <c r="F114" s="29" t="n">
        <f aca="false">Загальна!G99</f>
        <v>0</v>
      </c>
      <c r="G114" s="17"/>
      <c r="H114" s="17"/>
    </row>
    <row r="115" customFormat="false" ht="16.5" hidden="true" customHeight="false" outlineLevel="0" collapsed="false">
      <c r="A115" s="68"/>
      <c r="B115" s="35" t="s">
        <v>123</v>
      </c>
      <c r="C115" s="33" t="n">
        <v>11423</v>
      </c>
      <c r="D115" s="15" t="s">
        <v>27</v>
      </c>
      <c r="E115" s="15"/>
      <c r="F115" s="29" t="n">
        <f aca="false">Загальна!G100</f>
        <v>0</v>
      </c>
      <c r="G115" s="17"/>
      <c r="H115" s="17"/>
    </row>
    <row r="116" customFormat="false" ht="16.5" hidden="true" customHeight="false" outlineLevel="0" collapsed="false">
      <c r="A116" s="68"/>
      <c r="B116" s="35" t="s">
        <v>124</v>
      </c>
      <c r="C116" s="33" t="n">
        <v>11424</v>
      </c>
      <c r="D116" s="15" t="s">
        <v>27</v>
      </c>
      <c r="E116" s="15"/>
      <c r="F116" s="29" t="n">
        <f aca="false">Загальна!G101</f>
        <v>0</v>
      </c>
      <c r="G116" s="17"/>
      <c r="H116" s="17"/>
    </row>
    <row r="117" customFormat="false" ht="16.5" hidden="true" customHeight="false" outlineLevel="0" collapsed="false">
      <c r="A117" s="70"/>
      <c r="B117" s="35" t="s">
        <v>125</v>
      </c>
      <c r="C117" s="33" t="n">
        <v>11501</v>
      </c>
      <c r="D117" s="38" t="s">
        <v>27</v>
      </c>
      <c r="E117" s="38"/>
      <c r="F117" s="29" t="n">
        <f aca="false">Загальна!G102</f>
        <v>0</v>
      </c>
      <c r="G117" s="17"/>
      <c r="H117" s="17"/>
    </row>
    <row r="118" customFormat="false" ht="16.5" hidden="true" customHeight="false" outlineLevel="0" collapsed="false">
      <c r="A118" s="69"/>
      <c r="B118" s="35" t="s">
        <v>126</v>
      </c>
      <c r="C118" s="33" t="n">
        <v>11502</v>
      </c>
      <c r="D118" s="15" t="s">
        <v>27</v>
      </c>
      <c r="E118" s="39"/>
      <c r="F118" s="29" t="n">
        <f aca="false">Загальна!G103</f>
        <v>0</v>
      </c>
      <c r="G118" s="17"/>
      <c r="H118" s="17"/>
    </row>
    <row r="119" customFormat="false" ht="16.5" hidden="true" customHeight="false" outlineLevel="0" collapsed="false">
      <c r="A119" s="68"/>
      <c r="B119" s="35" t="s">
        <v>127</v>
      </c>
      <c r="C119" s="33" t="n">
        <v>11503</v>
      </c>
      <c r="D119" s="15" t="s">
        <v>27</v>
      </c>
      <c r="E119" s="15"/>
      <c r="F119" s="29" t="n">
        <f aca="false">Загальна!G104</f>
        <v>0</v>
      </c>
      <c r="G119" s="17"/>
      <c r="H119" s="17"/>
    </row>
    <row r="120" customFormat="false" ht="16.5" hidden="true" customHeight="false" outlineLevel="0" collapsed="false">
      <c r="A120" s="68"/>
      <c r="B120" s="35" t="s">
        <v>128</v>
      </c>
      <c r="C120" s="33" t="n">
        <v>11504</v>
      </c>
      <c r="D120" s="15" t="s">
        <v>27</v>
      </c>
      <c r="E120" s="15"/>
      <c r="F120" s="29" t="n">
        <f aca="false">Загальна!G105</f>
        <v>0</v>
      </c>
      <c r="G120" s="17"/>
      <c r="H120" s="17"/>
    </row>
    <row r="121" customFormat="false" ht="16.5" hidden="true" customHeight="false" outlineLevel="0" collapsed="false">
      <c r="A121" s="68" t="n">
        <v>12</v>
      </c>
      <c r="B121" s="35" t="s">
        <v>129</v>
      </c>
      <c r="C121" s="33" t="n">
        <v>11505</v>
      </c>
      <c r="D121" s="15" t="s">
        <v>27</v>
      </c>
      <c r="E121" s="15"/>
      <c r="F121" s="29" t="n">
        <f aca="false">Загальна!G106</f>
        <v>0</v>
      </c>
      <c r="G121" s="17"/>
      <c r="H121" s="17"/>
    </row>
    <row r="122" customFormat="false" ht="16.5" hidden="true" customHeight="false" outlineLevel="0" collapsed="false">
      <c r="A122" s="68"/>
      <c r="B122" s="35" t="s">
        <v>130</v>
      </c>
      <c r="C122" s="33" t="n">
        <v>11602</v>
      </c>
      <c r="D122" s="15" t="s">
        <v>27</v>
      </c>
      <c r="E122" s="15"/>
      <c r="F122" s="29" t="n">
        <f aca="false">Загальна!G107</f>
        <v>0</v>
      </c>
      <c r="G122" s="17"/>
      <c r="H122" s="17"/>
    </row>
    <row r="123" customFormat="false" ht="16.5" hidden="false" customHeight="false" outlineLevel="0" collapsed="false">
      <c r="A123" s="68" t="n">
        <v>12</v>
      </c>
      <c r="B123" s="35" t="s">
        <v>131</v>
      </c>
      <c r="C123" s="33" t="n">
        <v>11603</v>
      </c>
      <c r="D123" s="15" t="s">
        <v>27</v>
      </c>
      <c r="E123" s="15"/>
      <c r="F123" s="29" t="n">
        <f aca="false">Загальна!G108</f>
        <v>0.38</v>
      </c>
      <c r="G123" s="17"/>
      <c r="H123" s="17"/>
    </row>
    <row r="124" customFormat="false" ht="16.5" hidden="true" customHeight="false" outlineLevel="0" collapsed="false">
      <c r="A124" s="68"/>
      <c r="B124" s="35" t="s">
        <v>132</v>
      </c>
      <c r="C124" s="33" t="n">
        <v>11604</v>
      </c>
      <c r="D124" s="15" t="s">
        <v>27</v>
      </c>
      <c r="E124" s="15"/>
      <c r="F124" s="29" t="n">
        <f aca="false">Загальна!G109</f>
        <v>0</v>
      </c>
      <c r="G124" s="17"/>
      <c r="H124" s="17"/>
    </row>
    <row r="125" customFormat="false" ht="16.5" hidden="true" customHeight="false" outlineLevel="0" collapsed="false">
      <c r="A125" s="68" t="n">
        <v>13</v>
      </c>
      <c r="B125" s="35" t="s">
        <v>133</v>
      </c>
      <c r="C125" s="33" t="n">
        <v>11605</v>
      </c>
      <c r="D125" s="15" t="s">
        <v>27</v>
      </c>
      <c r="E125" s="15"/>
      <c r="F125" s="29" t="n">
        <f aca="false">Загальна!G110</f>
        <v>0</v>
      </c>
      <c r="G125" s="17"/>
      <c r="H125" s="17"/>
    </row>
    <row r="126" customFormat="false" ht="16.5" hidden="true" customHeight="false" outlineLevel="0" collapsed="false">
      <c r="A126" s="68"/>
      <c r="B126" s="35" t="s">
        <v>134</v>
      </c>
      <c r="C126" s="33" t="n">
        <v>11606</v>
      </c>
      <c r="D126" s="15" t="s">
        <v>27</v>
      </c>
      <c r="E126" s="15"/>
      <c r="F126" s="29" t="n">
        <f aca="false">Загальна!G111</f>
        <v>0</v>
      </c>
      <c r="G126" s="17"/>
      <c r="H126" s="17"/>
    </row>
    <row r="127" customFormat="false" ht="16.5" hidden="false" customHeight="false" outlineLevel="0" collapsed="false">
      <c r="A127" s="68" t="n">
        <v>13</v>
      </c>
      <c r="B127" s="35" t="s">
        <v>135</v>
      </c>
      <c r="C127" s="33" t="n">
        <v>11607</v>
      </c>
      <c r="D127" s="15" t="s">
        <v>27</v>
      </c>
      <c r="E127" s="15"/>
      <c r="F127" s="29" t="n">
        <f aca="false">Загальна!G112</f>
        <v>0.38</v>
      </c>
      <c r="G127" s="17"/>
      <c r="H127" s="17"/>
    </row>
    <row r="128" customFormat="false" ht="16.5" hidden="true" customHeight="false" outlineLevel="0" collapsed="false">
      <c r="A128" s="68"/>
      <c r="B128" s="35" t="s">
        <v>136</v>
      </c>
      <c r="C128" s="33" t="n">
        <v>11608</v>
      </c>
      <c r="D128" s="15" t="s">
        <v>27</v>
      </c>
      <c r="E128" s="15"/>
      <c r="F128" s="29" t="n">
        <f aca="false">Загальна!G113</f>
        <v>0</v>
      </c>
      <c r="G128" s="17"/>
      <c r="H128" s="17"/>
    </row>
    <row r="129" customFormat="false" ht="16.5" hidden="true" customHeight="false" outlineLevel="0" collapsed="false">
      <c r="A129" s="68"/>
      <c r="B129" s="35" t="s">
        <v>137</v>
      </c>
      <c r="C129" s="33" t="n">
        <v>11609</v>
      </c>
      <c r="D129" s="15" t="s">
        <v>27</v>
      </c>
      <c r="E129" s="15"/>
      <c r="F129" s="29" t="n">
        <f aca="false">Загальна!G114</f>
        <v>0</v>
      </c>
      <c r="G129" s="17"/>
      <c r="H129" s="17"/>
    </row>
    <row r="130" customFormat="false" ht="16.5" hidden="true" customHeight="false" outlineLevel="0" collapsed="false">
      <c r="A130" s="69"/>
      <c r="B130" s="35" t="s">
        <v>138</v>
      </c>
      <c r="C130" s="33" t="n">
        <v>11610</v>
      </c>
      <c r="D130" s="15" t="s">
        <v>27</v>
      </c>
      <c r="E130" s="15"/>
      <c r="F130" s="29" t="n">
        <f aca="false">Загальна!G115</f>
        <v>0</v>
      </c>
      <c r="G130" s="17"/>
      <c r="H130" s="17"/>
    </row>
    <row r="131" customFormat="false" ht="16.5" hidden="true" customHeight="false" outlineLevel="0" collapsed="false">
      <c r="A131" s="68"/>
      <c r="B131" s="35" t="s">
        <v>139</v>
      </c>
      <c r="C131" s="33" t="n">
        <v>11611</v>
      </c>
      <c r="D131" s="15" t="s">
        <v>27</v>
      </c>
      <c r="E131" s="15"/>
      <c r="F131" s="29" t="n">
        <f aca="false">Загальна!G116</f>
        <v>0</v>
      </c>
      <c r="G131" s="17"/>
      <c r="H131" s="17"/>
    </row>
    <row r="132" customFormat="false" ht="16.5" hidden="true" customHeight="false" outlineLevel="0" collapsed="false">
      <c r="A132" s="68" t="n">
        <v>14</v>
      </c>
      <c r="B132" s="35" t="s">
        <v>140</v>
      </c>
      <c r="C132" s="33" t="n">
        <v>11612</v>
      </c>
      <c r="D132" s="15" t="s">
        <v>27</v>
      </c>
      <c r="E132" s="15"/>
      <c r="F132" s="29" t="n">
        <f aca="false">Загальна!G117</f>
        <v>0</v>
      </c>
      <c r="G132" s="17"/>
      <c r="H132" s="17"/>
    </row>
    <row r="133" customFormat="false" ht="16.5" hidden="true" customHeight="false" outlineLevel="0" collapsed="false">
      <c r="A133" s="69"/>
      <c r="B133" s="35" t="s">
        <v>141</v>
      </c>
      <c r="C133" s="33" t="n">
        <v>11613</v>
      </c>
      <c r="D133" s="15" t="s">
        <v>27</v>
      </c>
      <c r="E133" s="15"/>
      <c r="F133" s="29" t="n">
        <f aca="false">Загальна!G118</f>
        <v>0</v>
      </c>
      <c r="G133" s="17"/>
      <c r="H133" s="17"/>
    </row>
    <row r="134" customFormat="false" ht="16.5" hidden="false" customHeight="false" outlineLevel="0" collapsed="false">
      <c r="A134" s="69" t="n">
        <v>14</v>
      </c>
      <c r="B134" s="35" t="s">
        <v>142</v>
      </c>
      <c r="C134" s="33" t="n">
        <v>11614</v>
      </c>
      <c r="D134" s="15" t="s">
        <v>27</v>
      </c>
      <c r="E134" s="15"/>
      <c r="F134" s="29" t="n">
        <f aca="false">Загальна!G119</f>
        <v>0.95</v>
      </c>
      <c r="G134" s="17"/>
      <c r="H134" s="17"/>
    </row>
    <row r="135" customFormat="false" ht="16.5" hidden="true" customHeight="false" outlineLevel="0" collapsed="false">
      <c r="A135" s="69"/>
      <c r="B135" s="35" t="s">
        <v>143</v>
      </c>
      <c r="C135" s="33" t="n">
        <v>11615</v>
      </c>
      <c r="D135" s="15" t="s">
        <v>27</v>
      </c>
      <c r="E135" s="15"/>
      <c r="F135" s="29" t="n">
        <f aca="false">Загальна!G120</f>
        <v>0</v>
      </c>
      <c r="G135" s="17"/>
      <c r="H135" s="17"/>
    </row>
    <row r="136" customFormat="false" ht="16.5" hidden="false" customHeight="false" outlineLevel="0" collapsed="false">
      <c r="A136" s="68" t="n">
        <v>15</v>
      </c>
      <c r="B136" s="35" t="s">
        <v>144</v>
      </c>
      <c r="C136" s="33" t="n">
        <v>11616</v>
      </c>
      <c r="D136" s="15" t="s">
        <v>27</v>
      </c>
      <c r="E136" s="15"/>
      <c r="F136" s="29" t="n">
        <f aca="false">Загальна!G121</f>
        <v>0.038</v>
      </c>
      <c r="G136" s="17"/>
      <c r="H136" s="17"/>
    </row>
    <row r="137" customFormat="false" ht="16.5" hidden="true" customHeight="false" outlineLevel="0" collapsed="false">
      <c r="A137" s="68"/>
      <c r="B137" s="35" t="s">
        <v>145</v>
      </c>
      <c r="C137" s="33" t="n">
        <v>11617</v>
      </c>
      <c r="D137" s="15" t="s">
        <v>27</v>
      </c>
      <c r="E137" s="15"/>
      <c r="F137" s="29" t="n">
        <f aca="false">Загальна!G122</f>
        <v>0</v>
      </c>
      <c r="G137" s="17"/>
      <c r="H137" s="17"/>
    </row>
    <row r="138" customFormat="false" ht="16.5" hidden="true" customHeight="false" outlineLevel="0" collapsed="false">
      <c r="A138" s="69"/>
      <c r="B138" s="35" t="s">
        <v>146</v>
      </c>
      <c r="C138" s="33" t="n">
        <v>11618</v>
      </c>
      <c r="D138" s="15" t="s">
        <v>27</v>
      </c>
      <c r="E138" s="15"/>
      <c r="F138" s="29" t="n">
        <f aca="false">Загальна!G123</f>
        <v>0</v>
      </c>
      <c r="G138" s="17"/>
      <c r="H138" s="17"/>
    </row>
    <row r="139" customFormat="false" ht="16.5" hidden="true" customHeight="false" outlineLevel="0" collapsed="false">
      <c r="A139" s="69"/>
      <c r="B139" s="35" t="s">
        <v>147</v>
      </c>
      <c r="C139" s="33" t="n">
        <v>11619</v>
      </c>
      <c r="D139" s="15" t="s">
        <v>27</v>
      </c>
      <c r="E139" s="15"/>
      <c r="F139" s="29" t="n">
        <f aca="false">Загальна!G124</f>
        <v>0</v>
      </c>
      <c r="G139" s="17"/>
      <c r="H139" s="17"/>
    </row>
    <row r="140" customFormat="false" ht="16.5" hidden="true" customHeight="false" outlineLevel="0" collapsed="false">
      <c r="A140" s="68"/>
      <c r="B140" s="35" t="s">
        <v>148</v>
      </c>
      <c r="C140" s="33" t="n">
        <v>11620</v>
      </c>
      <c r="D140" s="15" t="s">
        <v>27</v>
      </c>
      <c r="E140" s="15"/>
      <c r="F140" s="29" t="n">
        <f aca="false">Загальна!G125</f>
        <v>0</v>
      </c>
      <c r="G140" s="17"/>
      <c r="H140" s="17"/>
    </row>
    <row r="141" customFormat="false" ht="16.5" hidden="true" customHeight="false" outlineLevel="0" collapsed="false">
      <c r="A141" s="68"/>
      <c r="B141" s="35" t="s">
        <v>149</v>
      </c>
      <c r="C141" s="33" t="n">
        <v>11621</v>
      </c>
      <c r="D141" s="15" t="s">
        <v>27</v>
      </c>
      <c r="E141" s="15"/>
      <c r="F141" s="29" t="n">
        <f aca="false">Загальна!G126</f>
        <v>0</v>
      </c>
      <c r="G141" s="17"/>
      <c r="H141" s="17"/>
    </row>
    <row r="142" customFormat="false" ht="16.5" hidden="true" customHeight="false" outlineLevel="0" collapsed="false">
      <c r="A142" s="68"/>
      <c r="B142" s="35" t="s">
        <v>150</v>
      </c>
      <c r="C142" s="33" t="n">
        <v>11622</v>
      </c>
      <c r="D142" s="15" t="s">
        <v>27</v>
      </c>
      <c r="E142" s="15"/>
      <c r="F142" s="29" t="n">
        <f aca="false">Загальна!G127</f>
        <v>0</v>
      </c>
      <c r="G142" s="17"/>
      <c r="H142" s="17"/>
    </row>
    <row r="143" customFormat="false" ht="16.5" hidden="true" customHeight="false" outlineLevel="0" collapsed="false">
      <c r="A143" s="68"/>
      <c r="B143" s="35" t="s">
        <v>151</v>
      </c>
      <c r="C143" s="33" t="n">
        <v>11623</v>
      </c>
      <c r="D143" s="15" t="s">
        <v>27</v>
      </c>
      <c r="E143" s="15"/>
      <c r="F143" s="29" t="n">
        <f aca="false">Загальна!G128</f>
        <v>0</v>
      </c>
      <c r="G143" s="17"/>
      <c r="H143" s="17"/>
    </row>
    <row r="144" customFormat="false" ht="16.5" hidden="true" customHeight="false" outlineLevel="0" collapsed="false">
      <c r="A144" s="68"/>
      <c r="B144" s="35" t="s">
        <v>152</v>
      </c>
      <c r="C144" s="33" t="n">
        <v>11624</v>
      </c>
      <c r="D144" s="15" t="s">
        <v>27</v>
      </c>
      <c r="E144" s="15"/>
      <c r="F144" s="29" t="n">
        <f aca="false">Загальна!G129</f>
        <v>0</v>
      </c>
      <c r="G144" s="17"/>
      <c r="H144" s="17"/>
    </row>
    <row r="145" customFormat="false" ht="16.5" hidden="true" customHeight="false" outlineLevel="0" collapsed="false">
      <c r="A145" s="68"/>
      <c r="B145" s="35" t="s">
        <v>153</v>
      </c>
      <c r="C145" s="33" t="n">
        <v>11625</v>
      </c>
      <c r="D145" s="15" t="s">
        <v>27</v>
      </c>
      <c r="E145" s="15"/>
      <c r="F145" s="29" t="n">
        <f aca="false">Загальна!G130</f>
        <v>0</v>
      </c>
      <c r="G145" s="17"/>
      <c r="H145" s="17"/>
    </row>
    <row r="146" customFormat="false" ht="16.5" hidden="true" customHeight="false" outlineLevel="0" collapsed="false">
      <c r="A146" s="68"/>
      <c r="B146" s="35" t="s">
        <v>154</v>
      </c>
      <c r="C146" s="33" t="n">
        <v>11626</v>
      </c>
      <c r="D146" s="15" t="s">
        <v>27</v>
      </c>
      <c r="E146" s="15"/>
      <c r="F146" s="29" t="n">
        <f aca="false">Загальна!G131</f>
        <v>0</v>
      </c>
      <c r="G146" s="17"/>
      <c r="H146" s="17"/>
    </row>
    <row r="147" customFormat="false" ht="16.5" hidden="true" customHeight="false" outlineLevel="0" collapsed="false">
      <c r="A147" s="68"/>
      <c r="B147" s="35" t="s">
        <v>155</v>
      </c>
      <c r="C147" s="33" t="n">
        <v>11627</v>
      </c>
      <c r="D147" s="15" t="s">
        <v>27</v>
      </c>
      <c r="E147" s="15"/>
      <c r="F147" s="29" t="n">
        <f aca="false">Загальна!G132</f>
        <v>0</v>
      </c>
      <c r="G147" s="17"/>
      <c r="H147" s="17"/>
    </row>
    <row r="148" customFormat="false" ht="16.5" hidden="true" customHeight="false" outlineLevel="0" collapsed="false">
      <c r="A148" s="68"/>
      <c r="B148" s="35" t="s">
        <v>156</v>
      </c>
      <c r="C148" s="33" t="n">
        <v>11628</v>
      </c>
      <c r="D148" s="15" t="s">
        <v>27</v>
      </c>
      <c r="E148" s="15"/>
      <c r="F148" s="29" t="n">
        <f aca="false">Загальна!G133</f>
        <v>0</v>
      </c>
      <c r="G148" s="17"/>
      <c r="H148" s="17"/>
    </row>
    <row r="149" customFormat="false" ht="16.5" hidden="true" customHeight="false" outlineLevel="0" collapsed="false">
      <c r="A149" s="68"/>
      <c r="B149" s="35" t="s">
        <v>157</v>
      </c>
      <c r="C149" s="33" t="n">
        <v>11629</v>
      </c>
      <c r="D149" s="15" t="s">
        <v>27</v>
      </c>
      <c r="E149" s="15"/>
      <c r="F149" s="29" t="n">
        <f aca="false">Загальна!G134</f>
        <v>0</v>
      </c>
      <c r="G149" s="17"/>
      <c r="H149" s="17"/>
    </row>
    <row r="150" customFormat="false" ht="16.5" hidden="true" customHeight="false" outlineLevel="0" collapsed="false">
      <c r="A150" s="68"/>
      <c r="B150" s="35" t="s">
        <v>158</v>
      </c>
      <c r="C150" s="33" t="n">
        <v>11630</v>
      </c>
      <c r="D150" s="15" t="s">
        <v>27</v>
      </c>
      <c r="E150" s="15"/>
      <c r="F150" s="29" t="n">
        <f aca="false">Загальна!G135</f>
        <v>0</v>
      </c>
      <c r="G150" s="17"/>
      <c r="H150" s="17"/>
    </row>
    <row r="151" customFormat="false" ht="16.5" hidden="true" customHeight="false" outlineLevel="0" collapsed="false">
      <c r="A151" s="68"/>
      <c r="B151" s="35" t="s">
        <v>159</v>
      </c>
      <c r="C151" s="33" t="n">
        <v>11631</v>
      </c>
      <c r="D151" s="15" t="s">
        <v>27</v>
      </c>
      <c r="E151" s="15"/>
      <c r="F151" s="29" t="n">
        <f aca="false">Загальна!G136</f>
        <v>0</v>
      </c>
      <c r="G151" s="17"/>
      <c r="H151" s="17"/>
    </row>
    <row r="152" customFormat="false" ht="16.5" hidden="true" customHeight="false" outlineLevel="0" collapsed="false">
      <c r="A152" s="68"/>
      <c r="B152" s="35" t="s">
        <v>160</v>
      </c>
      <c r="C152" s="33" t="n">
        <v>11633</v>
      </c>
      <c r="D152" s="15" t="s">
        <v>27</v>
      </c>
      <c r="E152" s="15"/>
      <c r="F152" s="29" t="n">
        <f aca="false">Загальна!G137</f>
        <v>0</v>
      </c>
      <c r="G152" s="17"/>
      <c r="H152" s="17"/>
    </row>
    <row r="153" customFormat="false" ht="16.5" hidden="true" customHeight="false" outlineLevel="0" collapsed="false">
      <c r="A153" s="69"/>
      <c r="B153" s="35" t="s">
        <v>161</v>
      </c>
      <c r="C153" s="33" t="n">
        <v>11634</v>
      </c>
      <c r="D153" s="15" t="s">
        <v>27</v>
      </c>
      <c r="E153" s="15"/>
      <c r="F153" s="29" t="n">
        <f aca="false">Загальна!G138</f>
        <v>0</v>
      </c>
      <c r="G153" s="17"/>
      <c r="H153" s="17"/>
    </row>
    <row r="154" customFormat="false" ht="16.5" hidden="true" customHeight="false" outlineLevel="0" collapsed="false">
      <c r="A154" s="68"/>
      <c r="B154" s="35" t="s">
        <v>162</v>
      </c>
      <c r="C154" s="33" t="n">
        <v>11635</v>
      </c>
      <c r="D154" s="15" t="s">
        <v>27</v>
      </c>
      <c r="E154" s="15"/>
      <c r="F154" s="29" t="n">
        <f aca="false">Загальна!G139</f>
        <v>0</v>
      </c>
      <c r="G154" s="17"/>
      <c r="H154" s="17"/>
    </row>
    <row r="155" customFormat="false" ht="16.5" hidden="true" customHeight="false" outlineLevel="0" collapsed="false">
      <c r="A155" s="68" t="n">
        <v>16</v>
      </c>
      <c r="B155" s="35" t="s">
        <v>163</v>
      </c>
      <c r="C155" s="33" t="n">
        <v>11636</v>
      </c>
      <c r="D155" s="15" t="s">
        <v>27</v>
      </c>
      <c r="E155" s="15"/>
      <c r="F155" s="29" t="n">
        <f aca="false">Загальна!G140</f>
        <v>0</v>
      </c>
      <c r="G155" s="17"/>
      <c r="H155" s="17"/>
    </row>
    <row r="156" customFormat="false" ht="16.5" hidden="true" customHeight="false" outlineLevel="0" collapsed="false">
      <c r="A156" s="69"/>
      <c r="B156" s="35" t="s">
        <v>164</v>
      </c>
      <c r="C156" s="33" t="n">
        <v>11637</v>
      </c>
      <c r="D156" s="15" t="s">
        <v>27</v>
      </c>
      <c r="E156" s="15"/>
      <c r="F156" s="29" t="n">
        <f aca="false">Загальна!G141</f>
        <v>0</v>
      </c>
      <c r="G156" s="17"/>
      <c r="H156" s="17"/>
    </row>
    <row r="157" customFormat="false" ht="16.5" hidden="false" customHeight="false" outlineLevel="0" collapsed="false">
      <c r="A157" s="69" t="n">
        <v>16</v>
      </c>
      <c r="B157" s="35" t="s">
        <v>165</v>
      </c>
      <c r="C157" s="33" t="n">
        <v>11638</v>
      </c>
      <c r="D157" s="15" t="s">
        <v>27</v>
      </c>
      <c r="E157" s="15"/>
      <c r="F157" s="29" t="n">
        <f aca="false">Загальна!G142</f>
        <v>0.038</v>
      </c>
      <c r="G157" s="17"/>
      <c r="H157" s="17"/>
    </row>
    <row r="158" customFormat="false" ht="16.5" hidden="true" customHeight="false" outlineLevel="0" collapsed="false">
      <c r="A158" s="69"/>
      <c r="B158" s="35" t="s">
        <v>166</v>
      </c>
      <c r="C158" s="33" t="n">
        <v>11639</v>
      </c>
      <c r="D158" s="15" t="s">
        <v>27</v>
      </c>
      <c r="E158" s="15"/>
      <c r="F158" s="29" t="n">
        <f aca="false">Загальна!G143</f>
        <v>0</v>
      </c>
      <c r="G158" s="17"/>
      <c r="H158" s="17"/>
    </row>
    <row r="159" customFormat="false" ht="16.5" hidden="true" customHeight="false" outlineLevel="0" collapsed="false">
      <c r="A159" s="69"/>
      <c r="B159" s="35" t="s">
        <v>167</v>
      </c>
      <c r="C159" s="33" t="n">
        <v>12001</v>
      </c>
      <c r="D159" s="15" t="s">
        <v>27</v>
      </c>
      <c r="E159" s="15"/>
      <c r="F159" s="29" t="n">
        <f aca="false">Загальна!G144</f>
        <v>0</v>
      </c>
      <c r="G159" s="17"/>
      <c r="H159" s="17"/>
    </row>
    <row r="160" customFormat="false" ht="16.5" hidden="true" customHeight="false" outlineLevel="0" collapsed="false">
      <c r="A160" s="68"/>
      <c r="B160" s="35" t="s">
        <v>168</v>
      </c>
      <c r="C160" s="33" t="n">
        <v>12003</v>
      </c>
      <c r="D160" s="15" t="s">
        <v>27</v>
      </c>
      <c r="E160" s="15"/>
      <c r="F160" s="29" t="n">
        <f aca="false">Загальна!G145</f>
        <v>0</v>
      </c>
      <c r="G160" s="17"/>
      <c r="H160" s="17"/>
    </row>
    <row r="161" customFormat="false" ht="16.5" hidden="true" customHeight="false" outlineLevel="0" collapsed="false">
      <c r="A161" s="68"/>
      <c r="B161" s="35" t="s">
        <v>169</v>
      </c>
      <c r="C161" s="33" t="n">
        <v>12004</v>
      </c>
      <c r="D161" s="15" t="s">
        <v>27</v>
      </c>
      <c r="E161" s="15"/>
      <c r="F161" s="29" t="n">
        <f aca="false">Загальна!G146</f>
        <v>0</v>
      </c>
      <c r="G161" s="17"/>
      <c r="H161" s="17"/>
    </row>
    <row r="162" customFormat="false" ht="16.5" hidden="true" customHeight="false" outlineLevel="0" collapsed="false">
      <c r="A162" s="68"/>
      <c r="B162" s="35" t="s">
        <v>170</v>
      </c>
      <c r="C162" s="33" t="n">
        <v>12005</v>
      </c>
      <c r="D162" s="15" t="s">
        <v>27</v>
      </c>
      <c r="E162" s="15"/>
      <c r="F162" s="29" t="n">
        <f aca="false">Загальна!G147</f>
        <v>0</v>
      </c>
      <c r="G162" s="17"/>
      <c r="H162" s="17"/>
    </row>
    <row r="163" customFormat="false" ht="16.5" hidden="true" customHeight="false" outlineLevel="0" collapsed="false">
      <c r="A163" s="68"/>
      <c r="B163" s="35" t="s">
        <v>171</v>
      </c>
      <c r="C163" s="33" t="n">
        <v>12007</v>
      </c>
      <c r="D163" s="15" t="s">
        <v>27</v>
      </c>
      <c r="E163" s="15"/>
      <c r="F163" s="29" t="n">
        <f aca="false">Загальна!G148</f>
        <v>0</v>
      </c>
      <c r="G163" s="17"/>
      <c r="H163" s="17"/>
    </row>
    <row r="164" customFormat="false" ht="16.5" hidden="true" customHeight="false" outlineLevel="0" collapsed="false">
      <c r="A164" s="68"/>
      <c r="B164" s="35" t="s">
        <v>172</v>
      </c>
      <c r="C164" s="33" t="n">
        <v>12008</v>
      </c>
      <c r="D164" s="15" t="s">
        <v>27</v>
      </c>
      <c r="E164" s="15"/>
      <c r="F164" s="29" t="n">
        <f aca="false">Загальна!G149</f>
        <v>0</v>
      </c>
      <c r="G164" s="17"/>
      <c r="H164" s="17"/>
    </row>
    <row r="165" customFormat="false" ht="16.5" hidden="true" customHeight="false" outlineLevel="0" collapsed="false">
      <c r="A165" s="69"/>
      <c r="B165" s="35" t="s">
        <v>173</v>
      </c>
      <c r="C165" s="33" t="n">
        <v>12009</v>
      </c>
      <c r="D165" s="15" t="s">
        <v>27</v>
      </c>
      <c r="E165" s="15"/>
      <c r="F165" s="29" t="n">
        <f aca="false">Загальна!G150</f>
        <v>0</v>
      </c>
      <c r="G165" s="17"/>
      <c r="H165" s="17"/>
    </row>
    <row r="166" customFormat="false" ht="16.5" hidden="true" customHeight="false" outlineLevel="0" collapsed="false">
      <c r="A166" s="69"/>
      <c r="B166" s="35" t="s">
        <v>174</v>
      </c>
      <c r="C166" s="33" t="n">
        <v>12010</v>
      </c>
      <c r="D166" s="15" t="s">
        <v>27</v>
      </c>
      <c r="E166" s="15"/>
      <c r="F166" s="29" t="n">
        <f aca="false">Загальна!G151</f>
        <v>0</v>
      </c>
      <c r="G166" s="17"/>
      <c r="H166" s="17"/>
    </row>
    <row r="167" customFormat="false" ht="16.5" hidden="true" customHeight="false" outlineLevel="0" collapsed="false">
      <c r="A167" s="68"/>
      <c r="B167" s="35" t="s">
        <v>175</v>
      </c>
      <c r="C167" s="33" t="n">
        <v>12011</v>
      </c>
      <c r="D167" s="15" t="s">
        <v>27</v>
      </c>
      <c r="E167" s="15"/>
      <c r="F167" s="29" t="n">
        <f aca="false">Загальна!G152</f>
        <v>0</v>
      </c>
      <c r="G167" s="17"/>
      <c r="H167" s="17"/>
    </row>
    <row r="168" customFormat="false" ht="16.5" hidden="true" customHeight="false" outlineLevel="0" collapsed="false">
      <c r="A168" s="68"/>
      <c r="B168" s="35" t="s">
        <v>176</v>
      </c>
      <c r="C168" s="33" t="n">
        <v>12012</v>
      </c>
      <c r="D168" s="15" t="s">
        <v>27</v>
      </c>
      <c r="E168" s="15"/>
      <c r="F168" s="29" t="n">
        <f aca="false">Загальна!G153</f>
        <v>0</v>
      </c>
      <c r="G168" s="17"/>
      <c r="H168" s="17"/>
    </row>
    <row r="169" customFormat="false" ht="16.5" hidden="true" customHeight="false" outlineLevel="0" collapsed="false">
      <c r="A169" s="68"/>
      <c r="B169" s="35" t="s">
        <v>177</v>
      </c>
      <c r="C169" s="33" t="n">
        <v>12013</v>
      </c>
      <c r="D169" s="15" t="s">
        <v>27</v>
      </c>
      <c r="E169" s="15"/>
      <c r="F169" s="29" t="n">
        <f aca="false">Загальна!G154</f>
        <v>0</v>
      </c>
      <c r="G169" s="17"/>
      <c r="H169" s="17"/>
    </row>
    <row r="170" customFormat="false" ht="16.5" hidden="true" customHeight="false" outlineLevel="0" collapsed="false">
      <c r="A170" s="68"/>
      <c r="B170" s="35" t="s">
        <v>178</v>
      </c>
      <c r="C170" s="33" t="n">
        <v>12014</v>
      </c>
      <c r="D170" s="15" t="s">
        <v>27</v>
      </c>
      <c r="E170" s="15"/>
      <c r="F170" s="29" t="n">
        <f aca="false">Загальна!G155</f>
        <v>0</v>
      </c>
      <c r="G170" s="17"/>
      <c r="H170" s="17"/>
    </row>
    <row r="171" customFormat="false" ht="16.5" hidden="true" customHeight="false" outlineLevel="0" collapsed="false">
      <c r="A171" s="68"/>
      <c r="B171" s="35" t="s">
        <v>179</v>
      </c>
      <c r="C171" s="33" t="n">
        <v>12016</v>
      </c>
      <c r="D171" s="15" t="s">
        <v>27</v>
      </c>
      <c r="E171" s="15"/>
      <c r="F171" s="29" t="n">
        <f aca="false">Загальна!G156</f>
        <v>0</v>
      </c>
      <c r="G171" s="17"/>
      <c r="H171" s="17"/>
    </row>
    <row r="172" customFormat="false" ht="16.5" hidden="true" customHeight="false" outlineLevel="0" collapsed="false">
      <c r="A172" s="68"/>
      <c r="B172" s="35" t="s">
        <v>180</v>
      </c>
      <c r="C172" s="33" t="n">
        <v>12020</v>
      </c>
      <c r="D172" s="15" t="s">
        <v>27</v>
      </c>
      <c r="E172" s="15"/>
      <c r="F172" s="29" t="n">
        <f aca="false">Загальна!G157</f>
        <v>0</v>
      </c>
      <c r="G172" s="17"/>
      <c r="H172" s="17"/>
    </row>
    <row r="173" customFormat="false" ht="16.5" hidden="true" customHeight="false" outlineLevel="0" collapsed="false">
      <c r="A173" s="68"/>
      <c r="B173" s="35" t="s">
        <v>181</v>
      </c>
      <c r="C173" s="33" t="n">
        <v>12022</v>
      </c>
      <c r="D173" s="15" t="s">
        <v>27</v>
      </c>
      <c r="E173" s="15"/>
      <c r="F173" s="29" t="n">
        <f aca="false">Загальна!G158</f>
        <v>0</v>
      </c>
      <c r="G173" s="17"/>
      <c r="H173" s="17"/>
    </row>
    <row r="174" customFormat="false" ht="16.5" hidden="true" customHeight="false" outlineLevel="0" collapsed="false">
      <c r="A174" s="68"/>
      <c r="B174" s="35" t="s">
        <v>182</v>
      </c>
      <c r="C174" s="33" t="n">
        <v>12023</v>
      </c>
      <c r="D174" s="15" t="s">
        <v>27</v>
      </c>
      <c r="E174" s="15"/>
      <c r="F174" s="29" t="n">
        <f aca="false">Загальна!G159</f>
        <v>0</v>
      </c>
      <c r="G174" s="17"/>
      <c r="H174" s="17"/>
    </row>
    <row r="175" customFormat="false" ht="16.5" hidden="true" customHeight="false" outlineLevel="0" collapsed="false">
      <c r="A175" s="68"/>
      <c r="B175" s="35" t="s">
        <v>183</v>
      </c>
      <c r="C175" s="33" t="n">
        <v>12024</v>
      </c>
      <c r="D175" s="15" t="s">
        <v>27</v>
      </c>
      <c r="E175" s="15"/>
      <c r="F175" s="29" t="n">
        <f aca="false">Загальна!G160</f>
        <v>0</v>
      </c>
      <c r="G175" s="17"/>
      <c r="H175" s="17"/>
    </row>
    <row r="176" customFormat="false" ht="16.5" hidden="true" customHeight="false" outlineLevel="0" collapsed="false">
      <c r="A176" s="69" t="n">
        <v>17</v>
      </c>
      <c r="B176" s="35" t="s">
        <v>184</v>
      </c>
      <c r="C176" s="33" t="n">
        <v>12025</v>
      </c>
      <c r="D176" s="15" t="s">
        <v>27</v>
      </c>
      <c r="E176" s="15"/>
      <c r="F176" s="29" t="n">
        <f aca="false">Загальна!G161</f>
        <v>0</v>
      </c>
      <c r="G176" s="17"/>
      <c r="H176" s="17"/>
    </row>
    <row r="177" customFormat="false" ht="16.5" hidden="true" customHeight="false" outlineLevel="0" collapsed="false">
      <c r="A177" s="69"/>
      <c r="B177" s="35" t="s">
        <v>185</v>
      </c>
      <c r="C177" s="33" t="n">
        <v>12026</v>
      </c>
      <c r="D177" s="15" t="s">
        <v>27</v>
      </c>
      <c r="E177" s="15"/>
      <c r="F177" s="29" t="n">
        <f aca="false">Загальна!G162</f>
        <v>0</v>
      </c>
      <c r="G177" s="17"/>
      <c r="H177" s="17"/>
    </row>
    <row r="178" customFormat="false" ht="16.5" hidden="false" customHeight="false" outlineLevel="0" collapsed="false">
      <c r="A178" s="69" t="n">
        <v>17</v>
      </c>
      <c r="B178" s="35" t="s">
        <v>186</v>
      </c>
      <c r="C178" s="33" t="n">
        <v>12028</v>
      </c>
      <c r="D178" s="15" t="s">
        <v>27</v>
      </c>
      <c r="E178" s="15"/>
      <c r="F178" s="29" t="n">
        <f aca="false">Загальна!G163</f>
        <v>7.6</v>
      </c>
      <c r="G178" s="17"/>
      <c r="H178" s="17"/>
    </row>
    <row r="179" customFormat="false" ht="16.5" hidden="true" customHeight="false" outlineLevel="0" collapsed="false">
      <c r="A179" s="71"/>
      <c r="B179" s="33" t="s">
        <v>187</v>
      </c>
      <c r="C179" s="33" t="n">
        <v>12029</v>
      </c>
      <c r="D179" s="15" t="s">
        <v>27</v>
      </c>
      <c r="E179" s="42"/>
      <c r="F179" s="29" t="n">
        <f aca="false">Загальна!G164</f>
        <v>0</v>
      </c>
      <c r="G179" s="43"/>
      <c r="H179" s="43"/>
    </row>
    <row r="180" customFormat="false" ht="16.5" hidden="true" customHeight="false" outlineLevel="0" collapsed="false">
      <c r="A180" s="72"/>
      <c r="B180" s="33" t="s">
        <v>188</v>
      </c>
      <c r="C180" s="33" t="n">
        <v>12030</v>
      </c>
      <c r="D180" s="15" t="s">
        <v>27</v>
      </c>
      <c r="E180" s="33"/>
      <c r="F180" s="29" t="n">
        <f aca="false">Загальна!G165</f>
        <v>0</v>
      </c>
      <c r="G180" s="48"/>
      <c r="H180" s="33"/>
    </row>
    <row r="181" customFormat="false" ht="16.5" hidden="true" customHeight="false" outlineLevel="0" collapsed="false">
      <c r="A181" s="72"/>
      <c r="B181" s="33" t="s">
        <v>189</v>
      </c>
      <c r="C181" s="33" t="n">
        <v>12031</v>
      </c>
      <c r="D181" s="15" t="s">
        <v>27</v>
      </c>
      <c r="E181" s="49"/>
      <c r="F181" s="29" t="n">
        <f aca="false">Загальна!G166</f>
        <v>0</v>
      </c>
      <c r="G181" s="49"/>
      <c r="H181" s="49"/>
    </row>
    <row r="182" customFormat="false" ht="16.5" hidden="true" customHeight="false" outlineLevel="0" collapsed="false">
      <c r="A182" s="72"/>
      <c r="B182" s="33" t="s">
        <v>190</v>
      </c>
      <c r="C182" s="33" t="n">
        <v>12032</v>
      </c>
      <c r="D182" s="15" t="s">
        <v>27</v>
      </c>
      <c r="E182" s="49"/>
      <c r="F182" s="29" t="n">
        <f aca="false">Загальна!G167</f>
        <v>0</v>
      </c>
      <c r="G182" s="49"/>
      <c r="H182" s="49"/>
    </row>
    <row r="183" customFormat="false" ht="16.5" hidden="true" customHeight="false" outlineLevel="0" collapsed="false">
      <c r="A183" s="72"/>
      <c r="B183" s="33" t="s">
        <v>191</v>
      </c>
      <c r="C183" s="33" t="n">
        <v>12033</v>
      </c>
      <c r="D183" s="15" t="s">
        <v>27</v>
      </c>
      <c r="E183" s="49"/>
      <c r="F183" s="29" t="n">
        <f aca="false">Загальна!G168</f>
        <v>0</v>
      </c>
      <c r="G183" s="49"/>
      <c r="H183" s="49"/>
    </row>
    <row r="184" customFormat="false" ht="16.5" hidden="true" customHeight="false" outlineLevel="0" collapsed="false">
      <c r="A184" s="72" t="n">
        <v>18</v>
      </c>
      <c r="B184" s="33" t="s">
        <v>192</v>
      </c>
      <c r="C184" s="33" t="n">
        <v>12034</v>
      </c>
      <c r="D184" s="15" t="s">
        <v>27</v>
      </c>
      <c r="E184" s="49"/>
      <c r="F184" s="29" t="n">
        <f aca="false">Загальна!G169</f>
        <v>0</v>
      </c>
      <c r="G184" s="49"/>
      <c r="H184" s="49"/>
    </row>
    <row r="185" customFormat="false" ht="16.5" hidden="true" customHeight="false" outlineLevel="0" collapsed="false">
      <c r="A185" s="73"/>
      <c r="B185" s="33" t="s">
        <v>193</v>
      </c>
      <c r="C185" s="33" t="n">
        <v>12035</v>
      </c>
      <c r="D185" s="15" t="s">
        <v>27</v>
      </c>
      <c r="E185" s="16"/>
      <c r="F185" s="29" t="n">
        <f aca="false">Загальна!G170</f>
        <v>0</v>
      </c>
      <c r="G185" s="50"/>
      <c r="H185" s="16"/>
    </row>
    <row r="186" customFormat="false" ht="16.5" hidden="false" customHeight="false" outlineLevel="0" collapsed="false">
      <c r="A186" s="68" t="n">
        <v>18</v>
      </c>
      <c r="B186" s="33" t="s">
        <v>194</v>
      </c>
      <c r="C186" s="33" t="n">
        <v>12036</v>
      </c>
      <c r="D186" s="15" t="s">
        <v>27</v>
      </c>
      <c r="E186" s="16"/>
      <c r="F186" s="29" t="n">
        <f aca="false">Загальна!G171</f>
        <v>3.8</v>
      </c>
      <c r="G186" s="50"/>
      <c r="H186" s="16"/>
    </row>
    <row r="187" customFormat="false" ht="16.5" hidden="true" customHeight="false" outlineLevel="0" collapsed="false">
      <c r="A187" s="73"/>
      <c r="B187" s="33" t="s">
        <v>195</v>
      </c>
      <c r="C187" s="33" t="n">
        <v>12037</v>
      </c>
      <c r="D187" s="15" t="s">
        <v>27</v>
      </c>
      <c r="E187" s="16"/>
      <c r="F187" s="29" t="n">
        <f aca="false">Загальна!G172</f>
        <v>0</v>
      </c>
      <c r="G187" s="50"/>
      <c r="H187" s="16"/>
    </row>
    <row r="188" customFormat="false" ht="16.5" hidden="true" customHeight="false" outlineLevel="0" collapsed="false">
      <c r="A188" s="73"/>
      <c r="B188" s="33" t="s">
        <v>196</v>
      </c>
      <c r="C188" s="33" t="n">
        <v>12038</v>
      </c>
      <c r="D188" s="15" t="s">
        <v>27</v>
      </c>
      <c r="E188" s="16"/>
      <c r="F188" s="29" t="n">
        <f aca="false">Загальна!G173</f>
        <v>0</v>
      </c>
      <c r="G188" s="50"/>
      <c r="H188" s="16"/>
    </row>
    <row r="189" customFormat="false" ht="16.5" hidden="true" customHeight="false" outlineLevel="0" collapsed="false">
      <c r="A189" s="72"/>
      <c r="B189" s="33" t="s">
        <v>197</v>
      </c>
      <c r="C189" s="33" t="n">
        <v>12039</v>
      </c>
      <c r="D189" s="15" t="s">
        <v>27</v>
      </c>
      <c r="E189" s="16"/>
      <c r="F189" s="29" t="n">
        <f aca="false">Загальна!G174</f>
        <v>0</v>
      </c>
      <c r="G189" s="50"/>
      <c r="H189" s="16"/>
    </row>
    <row r="190" customFormat="false" ht="16.5" hidden="true" customHeight="false" outlineLevel="0" collapsed="false">
      <c r="A190" s="72"/>
      <c r="B190" s="33" t="s">
        <v>198</v>
      </c>
      <c r="C190" s="33" t="n">
        <v>12040</v>
      </c>
      <c r="D190" s="15" t="s">
        <v>27</v>
      </c>
      <c r="E190" s="49"/>
      <c r="F190" s="29" t="n">
        <f aca="false">Загальна!G175</f>
        <v>0</v>
      </c>
      <c r="G190" s="49"/>
      <c r="H190" s="49"/>
    </row>
    <row r="191" customFormat="false" ht="16.5" hidden="true" customHeight="false" outlineLevel="0" collapsed="false">
      <c r="A191" s="72"/>
      <c r="B191" s="33" t="s">
        <v>199</v>
      </c>
      <c r="C191" s="33" t="n">
        <v>12041</v>
      </c>
      <c r="D191" s="15" t="s">
        <v>27</v>
      </c>
      <c r="E191" s="16"/>
      <c r="F191" s="29" t="n">
        <f aca="false">Загальна!G176</f>
        <v>0</v>
      </c>
      <c r="G191" s="50"/>
      <c r="H191" s="16"/>
    </row>
    <row r="192" customFormat="false" ht="16.5" hidden="true" customHeight="false" outlineLevel="0" collapsed="false">
      <c r="A192" s="72"/>
      <c r="B192" s="33" t="s">
        <v>200</v>
      </c>
      <c r="C192" s="33" t="n">
        <v>12042</v>
      </c>
      <c r="D192" s="15" t="s">
        <v>27</v>
      </c>
      <c r="E192" s="49"/>
      <c r="F192" s="29" t="n">
        <f aca="false">Загальна!G177</f>
        <v>0</v>
      </c>
      <c r="G192" s="49"/>
      <c r="H192" s="49"/>
    </row>
    <row r="193" customFormat="false" ht="16.5" hidden="true" customHeight="false" outlineLevel="0" collapsed="false">
      <c r="A193" s="72"/>
      <c r="B193" s="33" t="s">
        <v>201</v>
      </c>
      <c r="C193" s="33" t="n">
        <v>12043</v>
      </c>
      <c r="D193" s="15" t="s">
        <v>27</v>
      </c>
      <c r="E193" s="33"/>
      <c r="F193" s="29" t="n">
        <f aca="false">Загальна!G178</f>
        <v>0</v>
      </c>
      <c r="G193" s="48"/>
      <c r="H193" s="33"/>
    </row>
    <row r="194" customFormat="false" ht="16.5" hidden="true" customHeight="false" outlineLevel="0" collapsed="false">
      <c r="A194" s="72"/>
      <c r="B194" s="33" t="s">
        <v>202</v>
      </c>
      <c r="C194" s="33" t="n">
        <v>12044</v>
      </c>
      <c r="D194" s="15" t="s">
        <v>27</v>
      </c>
      <c r="E194" s="33"/>
      <c r="F194" s="29" t="n">
        <f aca="false">Загальна!G179</f>
        <v>0</v>
      </c>
      <c r="G194" s="48"/>
      <c r="H194" s="33"/>
    </row>
    <row r="195" customFormat="false" ht="16.5" hidden="true" customHeight="false" outlineLevel="0" collapsed="false">
      <c r="A195" s="72"/>
      <c r="B195" s="33" t="s">
        <v>203</v>
      </c>
      <c r="C195" s="33" t="n">
        <v>12046</v>
      </c>
      <c r="D195" s="15" t="s">
        <v>27</v>
      </c>
      <c r="E195" s="33"/>
      <c r="F195" s="29" t="n">
        <f aca="false">Загальна!G180</f>
        <v>0</v>
      </c>
      <c r="G195" s="48"/>
      <c r="H195" s="33"/>
    </row>
    <row r="196" customFormat="false" ht="16.5" hidden="true" customHeight="false" outlineLevel="0" collapsed="false">
      <c r="A196" s="72" t="n">
        <v>19</v>
      </c>
      <c r="B196" s="33" t="s">
        <v>204</v>
      </c>
      <c r="C196" s="33" t="n">
        <v>12047</v>
      </c>
      <c r="D196" s="15" t="s">
        <v>27</v>
      </c>
      <c r="E196" s="33"/>
      <c r="F196" s="29" t="n">
        <f aca="false">Загальна!G181</f>
        <v>0</v>
      </c>
      <c r="G196" s="48"/>
      <c r="H196" s="33"/>
    </row>
    <row r="197" customFormat="false" ht="16.5" hidden="true" customHeight="false" outlineLevel="0" collapsed="false">
      <c r="A197" s="72"/>
      <c r="B197" s="33" t="s">
        <v>205</v>
      </c>
      <c r="C197" s="33" t="n">
        <v>12049</v>
      </c>
      <c r="D197" s="15" t="s">
        <v>27</v>
      </c>
      <c r="E197" s="33"/>
      <c r="F197" s="29" t="n">
        <f aca="false">Загальна!G182</f>
        <v>0</v>
      </c>
      <c r="G197" s="48"/>
      <c r="H197" s="33"/>
    </row>
    <row r="198" customFormat="false" ht="16.5" hidden="false" customHeight="false" outlineLevel="0" collapsed="false">
      <c r="A198" s="72" t="n">
        <v>19</v>
      </c>
      <c r="B198" s="33" t="s">
        <v>206</v>
      </c>
      <c r="C198" s="33" t="n">
        <v>12051</v>
      </c>
      <c r="D198" s="15" t="s">
        <v>27</v>
      </c>
      <c r="E198" s="33"/>
      <c r="F198" s="29" t="n">
        <f aca="false">Загальна!G183</f>
        <v>1.14</v>
      </c>
      <c r="G198" s="48"/>
      <c r="H198" s="33"/>
    </row>
    <row r="199" customFormat="false" ht="16.5" hidden="true" customHeight="false" outlineLevel="0" collapsed="false">
      <c r="A199" s="72"/>
      <c r="B199" s="33" t="s">
        <v>207</v>
      </c>
      <c r="C199" s="33" t="n">
        <v>12052</v>
      </c>
      <c r="D199" s="15" t="s">
        <v>27</v>
      </c>
      <c r="E199" s="33"/>
      <c r="F199" s="29" t="n">
        <f aca="false">Загальна!G184</f>
        <v>0</v>
      </c>
      <c r="G199" s="48"/>
      <c r="H199" s="33"/>
    </row>
    <row r="200" customFormat="false" ht="16.5" hidden="true" customHeight="false" outlineLevel="0" collapsed="false">
      <c r="A200" s="72"/>
      <c r="B200" s="33" t="s">
        <v>208</v>
      </c>
      <c r="C200" s="33" t="n">
        <v>12054</v>
      </c>
      <c r="D200" s="15" t="s">
        <v>27</v>
      </c>
      <c r="E200" s="33"/>
      <c r="F200" s="29" t="n">
        <f aca="false">Загальна!G185</f>
        <v>0</v>
      </c>
      <c r="G200" s="48"/>
      <c r="H200" s="33"/>
    </row>
    <row r="201" customFormat="false" ht="16.5" hidden="true" customHeight="false" outlineLevel="0" collapsed="false">
      <c r="A201" s="72" t="n">
        <v>20</v>
      </c>
      <c r="B201" s="33" t="s">
        <v>209</v>
      </c>
      <c r="C201" s="33" t="n">
        <v>12055</v>
      </c>
      <c r="D201" s="15" t="s">
        <v>27</v>
      </c>
      <c r="E201" s="33"/>
      <c r="F201" s="29" t="n">
        <f aca="false">Загальна!G186</f>
        <v>0</v>
      </c>
      <c r="G201" s="48"/>
      <c r="H201" s="33"/>
    </row>
    <row r="202" customFormat="false" ht="16.5" hidden="true" customHeight="false" outlineLevel="0" collapsed="false">
      <c r="A202" s="72"/>
      <c r="B202" s="33" t="s">
        <v>210</v>
      </c>
      <c r="C202" s="33" t="n">
        <v>12056</v>
      </c>
      <c r="D202" s="15" t="s">
        <v>211</v>
      </c>
      <c r="E202" s="33"/>
      <c r="F202" s="29" t="n">
        <f aca="false">Загальна!G187</f>
        <v>0</v>
      </c>
      <c r="G202" s="48"/>
      <c r="H202" s="33"/>
    </row>
    <row r="203" customFormat="false" ht="16.5" hidden="false" customHeight="false" outlineLevel="0" collapsed="false">
      <c r="A203" s="72" t="n">
        <v>20</v>
      </c>
      <c r="B203" s="33" t="s">
        <v>212</v>
      </c>
      <c r="C203" s="33" t="n">
        <v>12057</v>
      </c>
      <c r="D203" s="15" t="s">
        <v>211</v>
      </c>
      <c r="E203" s="33"/>
      <c r="F203" s="29" t="n">
        <v>82</v>
      </c>
      <c r="G203" s="48"/>
      <c r="H203" s="33"/>
    </row>
    <row r="204" customFormat="false" ht="16.5" hidden="true" customHeight="false" outlineLevel="0" collapsed="false">
      <c r="A204" s="72"/>
      <c r="B204" s="33" t="s">
        <v>213</v>
      </c>
      <c r="C204" s="33" t="n">
        <v>12058</v>
      </c>
      <c r="D204" s="15" t="s">
        <v>27</v>
      </c>
      <c r="E204" s="33"/>
      <c r="F204" s="29" t="n">
        <f aca="false">Загальна!G189</f>
        <v>0</v>
      </c>
      <c r="G204" s="48"/>
      <c r="H204" s="33"/>
    </row>
    <row r="205" customFormat="false" ht="16.5" hidden="true" customHeight="false" outlineLevel="0" collapsed="false">
      <c r="A205" s="72"/>
      <c r="B205" s="33" t="s">
        <v>214</v>
      </c>
      <c r="C205" s="33" t="n">
        <v>12060</v>
      </c>
      <c r="D205" s="15" t="s">
        <v>27</v>
      </c>
      <c r="E205" s="33"/>
      <c r="F205" s="29" t="n">
        <f aca="false">Загальна!G190</f>
        <v>0</v>
      </c>
      <c r="G205" s="48"/>
      <c r="H205" s="33"/>
    </row>
    <row r="206" customFormat="false" ht="16.5" hidden="true" customHeight="false" outlineLevel="0" collapsed="false">
      <c r="A206" s="72"/>
      <c r="B206" s="33" t="s">
        <v>215</v>
      </c>
      <c r="C206" s="33" t="n">
        <v>12061</v>
      </c>
      <c r="D206" s="15" t="s">
        <v>27</v>
      </c>
      <c r="E206" s="33"/>
      <c r="F206" s="29" t="n">
        <f aca="false">Загальна!G191</f>
        <v>0</v>
      </c>
      <c r="G206" s="48"/>
      <c r="H206" s="33"/>
    </row>
    <row r="207" customFormat="false" ht="16.5" hidden="true" customHeight="false" outlineLevel="0" collapsed="false">
      <c r="A207" s="72"/>
      <c r="B207" s="33" t="s">
        <v>216</v>
      </c>
      <c r="C207" s="33" t="n">
        <v>12062</v>
      </c>
      <c r="D207" s="15" t="s">
        <v>27</v>
      </c>
      <c r="E207" s="33"/>
      <c r="F207" s="29" t="n">
        <f aca="false">Загальна!G192</f>
        <v>0</v>
      </c>
      <c r="G207" s="48"/>
      <c r="H207" s="33"/>
    </row>
    <row r="208" customFormat="false" ht="16.5" hidden="true" customHeight="false" outlineLevel="0" collapsed="false">
      <c r="A208" s="72"/>
      <c r="B208" s="33" t="s">
        <v>217</v>
      </c>
      <c r="C208" s="33" t="n">
        <v>12064</v>
      </c>
      <c r="D208" s="15" t="s">
        <v>27</v>
      </c>
      <c r="E208" s="33"/>
      <c r="F208" s="29" t="n">
        <f aca="false">Загальна!G193</f>
        <v>0</v>
      </c>
      <c r="G208" s="48"/>
      <c r="H208" s="33"/>
    </row>
    <row r="209" customFormat="false" ht="16.5" hidden="true" customHeight="false" outlineLevel="0" collapsed="false">
      <c r="A209" s="72"/>
      <c r="B209" s="33" t="s">
        <v>218</v>
      </c>
      <c r="C209" s="33" t="n">
        <v>12065</v>
      </c>
      <c r="D209" s="15" t="s">
        <v>27</v>
      </c>
      <c r="E209" s="33"/>
      <c r="F209" s="29" t="n">
        <f aca="false">Загальна!G194</f>
        <v>0</v>
      </c>
      <c r="G209" s="48"/>
      <c r="H209" s="33"/>
    </row>
    <row r="210" customFormat="false" ht="16.5" hidden="true" customHeight="false" outlineLevel="0" collapsed="false">
      <c r="A210" s="72"/>
      <c r="B210" s="33" t="s">
        <v>219</v>
      </c>
      <c r="C210" s="33" t="n">
        <v>12066</v>
      </c>
      <c r="D210" s="15" t="s">
        <v>27</v>
      </c>
      <c r="E210" s="33"/>
      <c r="F210" s="29" t="n">
        <f aca="false">Загальна!G195</f>
        <v>0</v>
      </c>
      <c r="G210" s="48"/>
      <c r="H210" s="33"/>
    </row>
    <row r="211" customFormat="false" ht="16.5" hidden="true" customHeight="false" outlineLevel="0" collapsed="false">
      <c r="A211" s="72"/>
      <c r="B211" s="33" t="s">
        <v>220</v>
      </c>
      <c r="C211" s="33" t="n">
        <v>12069</v>
      </c>
      <c r="D211" s="15" t="s">
        <v>27</v>
      </c>
      <c r="E211" s="33"/>
      <c r="F211" s="29" t="n">
        <f aca="false">Загальна!G196</f>
        <v>0</v>
      </c>
      <c r="G211" s="48"/>
      <c r="H211" s="33"/>
    </row>
    <row r="212" customFormat="false" ht="16.5" hidden="true" customHeight="false" outlineLevel="0" collapsed="false">
      <c r="A212" s="72"/>
      <c r="B212" s="33" t="s">
        <v>221</v>
      </c>
      <c r="C212" s="33" t="n">
        <v>12074</v>
      </c>
      <c r="D212" s="15" t="s">
        <v>27</v>
      </c>
      <c r="E212" s="33"/>
      <c r="F212" s="29" t="n">
        <f aca="false">Загальна!G197</f>
        <v>0</v>
      </c>
      <c r="G212" s="48"/>
      <c r="H212" s="33"/>
    </row>
    <row r="213" customFormat="false" ht="16.5" hidden="true" customHeight="false" outlineLevel="0" collapsed="false">
      <c r="A213" s="72"/>
      <c r="B213" s="33" t="s">
        <v>222</v>
      </c>
      <c r="C213" s="33" t="n">
        <v>12075</v>
      </c>
      <c r="D213" s="15" t="s">
        <v>27</v>
      </c>
      <c r="E213" s="33"/>
      <c r="F213" s="29" t="n">
        <f aca="false">Загальна!G198</f>
        <v>0</v>
      </c>
      <c r="G213" s="48"/>
      <c r="H213" s="33"/>
    </row>
    <row r="214" customFormat="false" ht="16.5" hidden="true" customHeight="false" outlineLevel="0" collapsed="false">
      <c r="A214" s="72"/>
      <c r="B214" s="33" t="s">
        <v>223</v>
      </c>
      <c r="C214" s="33" t="n">
        <v>12076</v>
      </c>
      <c r="D214" s="15" t="s">
        <v>27</v>
      </c>
      <c r="E214" s="33"/>
      <c r="F214" s="29" t="n">
        <f aca="false">Загальна!G199</f>
        <v>0</v>
      </c>
      <c r="G214" s="48"/>
      <c r="H214" s="33"/>
    </row>
    <row r="215" customFormat="false" ht="16.5" hidden="true" customHeight="false" outlineLevel="0" collapsed="false">
      <c r="A215" s="72"/>
      <c r="B215" s="33" t="s">
        <v>224</v>
      </c>
      <c r="C215" s="33" t="n">
        <v>12201</v>
      </c>
      <c r="D215" s="15" t="s">
        <v>27</v>
      </c>
      <c r="E215" s="33"/>
      <c r="F215" s="29" t="n">
        <f aca="false">Загальна!G200</f>
        <v>0</v>
      </c>
      <c r="G215" s="48"/>
      <c r="H215" s="33"/>
    </row>
    <row r="216" customFormat="false" ht="16.5" hidden="true" customHeight="false" outlineLevel="0" collapsed="false">
      <c r="A216" s="72"/>
      <c r="B216" s="33" t="s">
        <v>225</v>
      </c>
      <c r="C216" s="33" t="n">
        <v>12202</v>
      </c>
      <c r="D216" s="15" t="s">
        <v>27</v>
      </c>
      <c r="E216" s="33"/>
      <c r="F216" s="29" t="n">
        <f aca="false">Загальна!G201</f>
        <v>0</v>
      </c>
      <c r="G216" s="48"/>
      <c r="H216" s="33"/>
    </row>
    <row r="217" customFormat="false" ht="16.5" hidden="true" customHeight="false" outlineLevel="0" collapsed="false">
      <c r="A217" s="72"/>
      <c r="B217" s="33" t="s">
        <v>226</v>
      </c>
      <c r="C217" s="33" t="n">
        <v>12204</v>
      </c>
      <c r="D217" s="15" t="s">
        <v>27</v>
      </c>
      <c r="E217" s="33"/>
      <c r="F217" s="29" t="n">
        <f aca="false">Загальна!G202</f>
        <v>0</v>
      </c>
      <c r="G217" s="48"/>
      <c r="H217" s="33"/>
    </row>
    <row r="218" customFormat="false" ht="16.5" hidden="true" customHeight="false" outlineLevel="0" collapsed="false">
      <c r="A218" s="72"/>
      <c r="B218" s="33" t="s">
        <v>227</v>
      </c>
      <c r="C218" s="33" t="n">
        <v>12205</v>
      </c>
      <c r="D218" s="15" t="s">
        <v>27</v>
      </c>
      <c r="E218" s="33"/>
      <c r="F218" s="29" t="n">
        <f aca="false">Загальна!G203</f>
        <v>0</v>
      </c>
      <c r="G218" s="48"/>
      <c r="H218" s="33"/>
    </row>
    <row r="219" customFormat="false" ht="16.5" hidden="true" customHeight="false" outlineLevel="0" collapsed="false">
      <c r="A219" s="72"/>
      <c r="B219" s="33" t="s">
        <v>228</v>
      </c>
      <c r="C219" s="33" t="n">
        <v>12208</v>
      </c>
      <c r="D219" s="15" t="s">
        <v>27</v>
      </c>
      <c r="E219" s="33"/>
      <c r="F219" s="29" t="n">
        <f aca="false">Загальна!G204</f>
        <v>0</v>
      </c>
      <c r="G219" s="48"/>
      <c r="H219" s="33"/>
    </row>
    <row r="220" customFormat="false" ht="16.5" hidden="true" customHeight="false" outlineLevel="0" collapsed="false">
      <c r="A220" s="72"/>
      <c r="B220" s="33" t="s">
        <v>229</v>
      </c>
      <c r="C220" s="33" t="n">
        <v>12209</v>
      </c>
      <c r="D220" s="15" t="s">
        <v>27</v>
      </c>
      <c r="E220" s="33"/>
      <c r="F220" s="29" t="n">
        <f aca="false">Загальна!G205</f>
        <v>0</v>
      </c>
      <c r="G220" s="48"/>
      <c r="H220" s="33"/>
    </row>
    <row r="221" customFormat="false" ht="16.5" hidden="true" customHeight="false" outlineLevel="0" collapsed="false">
      <c r="A221" s="72"/>
      <c r="B221" s="33" t="s">
        <v>230</v>
      </c>
      <c r="C221" s="33" t="n">
        <v>12211</v>
      </c>
      <c r="D221" s="15" t="s">
        <v>27</v>
      </c>
      <c r="E221" s="33"/>
      <c r="F221" s="29" t="n">
        <f aca="false">Загальна!G206</f>
        <v>0</v>
      </c>
      <c r="G221" s="48"/>
      <c r="H221" s="33"/>
    </row>
    <row r="222" customFormat="false" ht="16.5" hidden="true" customHeight="false" outlineLevel="0" collapsed="false">
      <c r="A222" s="72"/>
      <c r="B222" s="33" t="s">
        <v>231</v>
      </c>
      <c r="C222" s="33" t="n">
        <v>12213</v>
      </c>
      <c r="D222" s="15" t="s">
        <v>27</v>
      </c>
      <c r="E222" s="33"/>
      <c r="F222" s="29" t="n">
        <f aca="false">Загальна!G207</f>
        <v>0</v>
      </c>
      <c r="G222" s="48"/>
      <c r="H222" s="33"/>
    </row>
    <row r="223" customFormat="false" ht="16.5" hidden="true" customHeight="false" outlineLevel="0" collapsed="false">
      <c r="A223" s="72"/>
      <c r="B223" s="33" t="s">
        <v>232</v>
      </c>
      <c r="C223" s="33" t="n">
        <v>12215</v>
      </c>
      <c r="D223" s="15" t="s">
        <v>27</v>
      </c>
      <c r="E223" s="33"/>
      <c r="F223" s="29" t="n">
        <f aca="false">Загальна!G208</f>
        <v>0</v>
      </c>
      <c r="G223" s="48"/>
      <c r="H223" s="33"/>
    </row>
    <row r="224" customFormat="false" ht="16.5" hidden="true" customHeight="false" outlineLevel="0" collapsed="false">
      <c r="A224" s="72"/>
      <c r="B224" s="33" t="s">
        <v>233</v>
      </c>
      <c r="C224" s="33" t="n">
        <v>12216</v>
      </c>
      <c r="D224" s="15" t="s">
        <v>27</v>
      </c>
      <c r="E224" s="33"/>
      <c r="F224" s="29" t="n">
        <f aca="false">Загальна!G209</f>
        <v>0</v>
      </c>
      <c r="G224" s="48"/>
      <c r="H224" s="33"/>
    </row>
    <row r="225" customFormat="false" ht="16.5" hidden="true" customHeight="false" outlineLevel="0" collapsed="false">
      <c r="A225" s="72"/>
      <c r="B225" s="33" t="s">
        <v>234</v>
      </c>
      <c r="C225" s="33" t="n">
        <v>12217</v>
      </c>
      <c r="D225" s="15" t="s">
        <v>27</v>
      </c>
      <c r="E225" s="33"/>
      <c r="F225" s="29" t="n">
        <f aca="false">Загальна!G210</f>
        <v>0</v>
      </c>
      <c r="G225" s="48"/>
      <c r="H225" s="33"/>
    </row>
    <row r="226" customFormat="false" ht="16.5" hidden="true" customHeight="false" outlineLevel="0" collapsed="false">
      <c r="A226" s="72"/>
      <c r="B226" s="33" t="s">
        <v>235</v>
      </c>
      <c r="C226" s="33" t="n">
        <v>12218</v>
      </c>
      <c r="D226" s="15" t="s">
        <v>27</v>
      </c>
      <c r="E226" s="33"/>
      <c r="F226" s="29" t="n">
        <f aca="false">Загальна!G211</f>
        <v>0</v>
      </c>
      <c r="G226" s="48"/>
      <c r="H226" s="33"/>
    </row>
    <row r="227" customFormat="false" ht="16.5" hidden="true" customHeight="false" outlineLevel="0" collapsed="false">
      <c r="A227" s="72"/>
      <c r="B227" s="33" t="s">
        <v>236</v>
      </c>
      <c r="C227" s="33" t="n">
        <v>12219</v>
      </c>
      <c r="D227" s="15" t="s">
        <v>27</v>
      </c>
      <c r="E227" s="33"/>
      <c r="F227" s="29" t="n">
        <f aca="false">Загальна!G212</f>
        <v>0</v>
      </c>
      <c r="G227" s="48"/>
      <c r="H227" s="33"/>
    </row>
    <row r="228" customFormat="false" ht="16.5" hidden="true" customHeight="false" outlineLevel="0" collapsed="false">
      <c r="A228" s="72"/>
      <c r="B228" s="33" t="s">
        <v>237</v>
      </c>
      <c r="C228" s="33" t="n">
        <v>12221</v>
      </c>
      <c r="D228" s="15" t="s">
        <v>27</v>
      </c>
      <c r="E228" s="33"/>
      <c r="F228" s="29" t="n">
        <f aca="false">Загальна!G213</f>
        <v>0</v>
      </c>
      <c r="G228" s="48"/>
      <c r="H228" s="33"/>
    </row>
    <row r="229" customFormat="false" ht="16.5" hidden="true" customHeight="false" outlineLevel="0" collapsed="false">
      <c r="A229" s="72"/>
      <c r="B229" s="33" t="s">
        <v>238</v>
      </c>
      <c r="C229" s="33" t="n">
        <v>12224</v>
      </c>
      <c r="D229" s="15" t="s">
        <v>27</v>
      </c>
      <c r="E229" s="33"/>
      <c r="F229" s="29" t="n">
        <f aca="false">Загальна!G214</f>
        <v>0</v>
      </c>
      <c r="G229" s="48"/>
      <c r="H229" s="33"/>
    </row>
    <row r="230" customFormat="false" ht="16.5" hidden="true" customHeight="false" outlineLevel="0" collapsed="false">
      <c r="A230" s="72"/>
      <c r="B230" s="33" t="s">
        <v>239</v>
      </c>
      <c r="C230" s="33" t="n">
        <v>12225</v>
      </c>
      <c r="D230" s="15" t="s">
        <v>27</v>
      </c>
      <c r="E230" s="33"/>
      <c r="F230" s="29" t="n">
        <f aca="false">Загальна!G215</f>
        <v>0</v>
      </c>
      <c r="G230" s="48"/>
      <c r="H230" s="33"/>
    </row>
    <row r="231" customFormat="false" ht="16.5" hidden="true" customHeight="false" outlineLevel="0" collapsed="false">
      <c r="A231" s="72"/>
      <c r="B231" s="33" t="s">
        <v>240</v>
      </c>
      <c r="C231" s="33" t="n">
        <v>12226</v>
      </c>
      <c r="D231" s="15" t="s">
        <v>27</v>
      </c>
      <c r="E231" s="33"/>
      <c r="F231" s="29" t="n">
        <f aca="false">Загальна!G216</f>
        <v>0</v>
      </c>
      <c r="G231" s="48"/>
      <c r="H231" s="33"/>
    </row>
    <row r="232" customFormat="false" ht="16.5" hidden="true" customHeight="false" outlineLevel="0" collapsed="false">
      <c r="A232" s="72"/>
      <c r="B232" s="33" t="s">
        <v>241</v>
      </c>
      <c r="C232" s="33" t="n">
        <v>12228</v>
      </c>
      <c r="D232" s="15" t="s">
        <v>27</v>
      </c>
      <c r="E232" s="33"/>
      <c r="F232" s="29" t="n">
        <f aca="false">Загальна!G217</f>
        <v>0</v>
      </c>
      <c r="G232" s="48"/>
      <c r="H232" s="33"/>
    </row>
    <row r="233" customFormat="false" ht="16.5" hidden="true" customHeight="false" outlineLevel="0" collapsed="false">
      <c r="A233" s="72"/>
      <c r="B233" s="33" t="s">
        <v>242</v>
      </c>
      <c r="C233" s="33" t="n">
        <v>12229</v>
      </c>
      <c r="D233" s="15" t="s">
        <v>27</v>
      </c>
      <c r="E233" s="33"/>
      <c r="F233" s="29" t="n">
        <f aca="false">Загальна!G218</f>
        <v>0</v>
      </c>
      <c r="G233" s="48"/>
      <c r="H233" s="33"/>
    </row>
    <row r="234" customFormat="false" ht="16.5" hidden="true" customHeight="false" outlineLevel="0" collapsed="false">
      <c r="A234" s="72"/>
      <c r="B234" s="33" t="s">
        <v>243</v>
      </c>
      <c r="C234" s="33" t="n">
        <v>12231</v>
      </c>
      <c r="D234" s="15" t="s">
        <v>27</v>
      </c>
      <c r="E234" s="33"/>
      <c r="F234" s="29" t="n">
        <f aca="false">Загальна!G219</f>
        <v>0</v>
      </c>
      <c r="G234" s="48"/>
      <c r="H234" s="33"/>
    </row>
    <row r="235" customFormat="false" ht="16.5" hidden="true" customHeight="false" outlineLevel="0" collapsed="false">
      <c r="A235" s="72"/>
      <c r="B235" s="33" t="s">
        <v>244</v>
      </c>
      <c r="C235" s="33" t="n">
        <v>12235</v>
      </c>
      <c r="D235" s="15" t="s">
        <v>27</v>
      </c>
      <c r="E235" s="33"/>
      <c r="F235" s="29" t="n">
        <f aca="false">Загальна!G220</f>
        <v>0</v>
      </c>
      <c r="G235" s="48"/>
      <c r="H235" s="33"/>
    </row>
    <row r="236" customFormat="false" ht="16.5" hidden="true" customHeight="false" outlineLevel="0" collapsed="false">
      <c r="A236" s="72" t="n">
        <v>21</v>
      </c>
      <c r="B236" s="33" t="s">
        <v>245</v>
      </c>
      <c r="C236" s="33" t="n">
        <v>12237</v>
      </c>
      <c r="D236" s="15" t="s">
        <v>27</v>
      </c>
      <c r="E236" s="33"/>
      <c r="F236" s="29" t="n">
        <f aca="false">Загальна!G221</f>
        <v>0</v>
      </c>
      <c r="G236" s="48"/>
      <c r="H236" s="33"/>
    </row>
    <row r="237" customFormat="false" ht="16.5" hidden="true" customHeight="false" outlineLevel="0" collapsed="false">
      <c r="A237" s="72"/>
      <c r="B237" s="33" t="s">
        <v>246</v>
      </c>
      <c r="C237" s="33" t="n">
        <v>12301</v>
      </c>
      <c r="D237" s="15" t="s">
        <v>27</v>
      </c>
      <c r="E237" s="33"/>
      <c r="F237" s="29" t="n">
        <f aca="false">Загальна!G222</f>
        <v>0</v>
      </c>
      <c r="G237" s="48"/>
      <c r="H237" s="33"/>
    </row>
    <row r="238" customFormat="false" ht="16.5" hidden="false" customHeight="false" outlineLevel="0" collapsed="false">
      <c r="A238" s="72" t="n">
        <v>21</v>
      </c>
      <c r="B238" s="33" t="s">
        <v>247</v>
      </c>
      <c r="C238" s="33" t="n">
        <v>12302</v>
      </c>
      <c r="D238" s="15" t="s">
        <v>27</v>
      </c>
      <c r="E238" s="33"/>
      <c r="F238" s="29" t="n">
        <f aca="false">Загальна!G223</f>
        <v>0.38</v>
      </c>
      <c r="G238" s="48"/>
      <c r="H238" s="33"/>
    </row>
    <row r="239" customFormat="false" ht="16.5" hidden="true" customHeight="false" outlineLevel="0" collapsed="false">
      <c r="A239" s="72"/>
      <c r="B239" s="33" t="s">
        <v>248</v>
      </c>
      <c r="C239" s="33" t="n">
        <v>12303</v>
      </c>
      <c r="D239" s="15" t="s">
        <v>27</v>
      </c>
      <c r="E239" s="33"/>
      <c r="F239" s="29" t="n">
        <f aca="false">Загальна!G224</f>
        <v>0</v>
      </c>
      <c r="G239" s="48"/>
      <c r="H239" s="33"/>
    </row>
    <row r="240" customFormat="false" ht="16.5" hidden="true" customHeight="false" outlineLevel="0" collapsed="false">
      <c r="A240" s="72"/>
      <c r="B240" s="33" t="s">
        <v>249</v>
      </c>
      <c r="C240" s="33" t="n">
        <v>12304</v>
      </c>
      <c r="D240" s="15" t="s">
        <v>27</v>
      </c>
      <c r="E240" s="33"/>
      <c r="F240" s="29" t="n">
        <f aca="false">Загальна!G225</f>
        <v>0</v>
      </c>
      <c r="G240" s="48"/>
      <c r="H240" s="33"/>
    </row>
    <row r="241" customFormat="false" ht="16.5" hidden="true" customHeight="false" outlineLevel="0" collapsed="false">
      <c r="A241" s="72" t="n">
        <v>22</v>
      </c>
      <c r="B241" s="33" t="s">
        <v>250</v>
      </c>
      <c r="C241" s="33" t="n">
        <v>12305</v>
      </c>
      <c r="D241" s="15" t="s">
        <v>27</v>
      </c>
      <c r="E241" s="33"/>
      <c r="F241" s="29" t="n">
        <f aca="false">Загальна!G226</f>
        <v>0</v>
      </c>
      <c r="G241" s="48"/>
      <c r="H241" s="33"/>
    </row>
    <row r="242" customFormat="false" ht="16.5" hidden="true" customHeight="false" outlineLevel="0" collapsed="false">
      <c r="A242" s="72"/>
      <c r="B242" s="33" t="s">
        <v>251</v>
      </c>
      <c r="C242" s="33" t="n">
        <v>12306</v>
      </c>
      <c r="D242" s="15" t="s">
        <v>27</v>
      </c>
      <c r="E242" s="33"/>
      <c r="F242" s="29" t="n">
        <f aca="false">Загальна!G227</f>
        <v>0</v>
      </c>
      <c r="G242" s="48"/>
      <c r="H242" s="33"/>
    </row>
    <row r="243" customFormat="false" ht="16.5" hidden="false" customHeight="false" outlineLevel="0" collapsed="false">
      <c r="A243" s="72" t="n">
        <v>22</v>
      </c>
      <c r="B243" s="33" t="s">
        <v>252</v>
      </c>
      <c r="C243" s="33" t="n">
        <v>12307</v>
      </c>
      <c r="D243" s="15" t="s">
        <v>27</v>
      </c>
      <c r="E243" s="33"/>
      <c r="F243" s="29" t="n">
        <f aca="false">Загальна!G228</f>
        <v>0.76</v>
      </c>
      <c r="G243" s="48"/>
      <c r="H243" s="33"/>
    </row>
    <row r="244" customFormat="false" ht="16.5" hidden="true" customHeight="false" outlineLevel="0" collapsed="false">
      <c r="A244" s="72"/>
      <c r="B244" s="33" t="s">
        <v>253</v>
      </c>
      <c r="C244" s="33" t="n">
        <v>12308</v>
      </c>
      <c r="D244" s="15" t="s">
        <v>27</v>
      </c>
      <c r="E244" s="33"/>
      <c r="F244" s="29" t="n">
        <f aca="false">Загальна!G229</f>
        <v>0</v>
      </c>
      <c r="G244" s="48"/>
      <c r="H244" s="33"/>
    </row>
    <row r="245" customFormat="false" ht="16.5" hidden="true" customHeight="false" outlineLevel="0" collapsed="false">
      <c r="A245" s="72"/>
      <c r="B245" s="33" t="s">
        <v>254</v>
      </c>
      <c r="C245" s="33" t="n">
        <v>13001</v>
      </c>
      <c r="D245" s="15" t="s">
        <v>27</v>
      </c>
      <c r="E245" s="33"/>
      <c r="F245" s="29" t="n">
        <f aca="false">Загальна!G230</f>
        <v>0</v>
      </c>
      <c r="G245" s="48"/>
      <c r="H245" s="33"/>
    </row>
    <row r="246" customFormat="false" ht="16.5" hidden="true" customHeight="false" outlineLevel="0" collapsed="false">
      <c r="A246" s="72"/>
      <c r="B246" s="33" t="s">
        <v>255</v>
      </c>
      <c r="C246" s="33" t="n">
        <v>13002</v>
      </c>
      <c r="D246" s="15" t="s">
        <v>27</v>
      </c>
      <c r="E246" s="33"/>
      <c r="F246" s="29" t="n">
        <f aca="false">Загальна!G231</f>
        <v>0</v>
      </c>
      <c r="G246" s="48"/>
      <c r="H246" s="33"/>
    </row>
    <row r="247" customFormat="false" ht="16.5" hidden="true" customHeight="false" outlineLevel="0" collapsed="false">
      <c r="A247" s="72"/>
      <c r="B247" s="33" t="s">
        <v>256</v>
      </c>
      <c r="C247" s="33" t="n">
        <v>13003</v>
      </c>
      <c r="D247" s="15" t="s">
        <v>27</v>
      </c>
      <c r="E247" s="33"/>
      <c r="F247" s="29" t="n">
        <f aca="false">Загальна!G232</f>
        <v>0</v>
      </c>
      <c r="G247" s="48"/>
      <c r="H247" s="33"/>
    </row>
    <row r="248" customFormat="false" ht="16.5" hidden="true" customHeight="false" outlineLevel="0" collapsed="false">
      <c r="A248" s="72"/>
      <c r="B248" s="33" t="s">
        <v>257</v>
      </c>
      <c r="C248" s="33" t="n">
        <v>13004</v>
      </c>
      <c r="D248" s="15" t="s">
        <v>27</v>
      </c>
      <c r="E248" s="33"/>
      <c r="F248" s="29" t="n">
        <f aca="false">Загальна!G233</f>
        <v>0</v>
      </c>
      <c r="G248" s="48"/>
      <c r="H248" s="33"/>
    </row>
    <row r="249" customFormat="false" ht="16.5" hidden="true" customHeight="false" outlineLevel="0" collapsed="false">
      <c r="A249" s="72"/>
      <c r="B249" s="33" t="s">
        <v>258</v>
      </c>
      <c r="C249" s="33" t="n">
        <v>13005</v>
      </c>
      <c r="D249" s="15" t="s">
        <v>27</v>
      </c>
      <c r="E249" s="33"/>
      <c r="F249" s="29" t="n">
        <f aca="false">Загальна!G234</f>
        <v>0</v>
      </c>
      <c r="G249" s="48"/>
      <c r="H249" s="33"/>
    </row>
    <row r="250" customFormat="false" ht="16.5" hidden="true" customHeight="false" outlineLevel="0" collapsed="false">
      <c r="A250" s="72"/>
      <c r="B250" s="33" t="s">
        <v>259</v>
      </c>
      <c r="C250" s="33" t="n">
        <v>13006</v>
      </c>
      <c r="D250" s="15" t="s">
        <v>27</v>
      </c>
      <c r="E250" s="33"/>
      <c r="F250" s="29" t="n">
        <f aca="false">Загальна!G235</f>
        <v>0</v>
      </c>
      <c r="G250" s="48"/>
      <c r="H250" s="33"/>
    </row>
    <row r="251" customFormat="false" ht="16.5" hidden="true" customHeight="false" outlineLevel="0" collapsed="false">
      <c r="A251" s="72"/>
      <c r="B251" s="33" t="s">
        <v>260</v>
      </c>
      <c r="C251" s="33" t="n">
        <v>13007</v>
      </c>
      <c r="D251" s="15" t="s">
        <v>27</v>
      </c>
      <c r="E251" s="33"/>
      <c r="F251" s="29" t="n">
        <f aca="false">Загальна!G236</f>
        <v>0</v>
      </c>
      <c r="G251" s="48"/>
      <c r="H251" s="33"/>
    </row>
    <row r="252" customFormat="false" ht="16.5" hidden="true" customHeight="false" outlineLevel="0" collapsed="false">
      <c r="A252" s="72"/>
      <c r="B252" s="33" t="s">
        <v>261</v>
      </c>
      <c r="C252" s="33" t="n">
        <v>13008</v>
      </c>
      <c r="D252" s="15" t="s">
        <v>27</v>
      </c>
      <c r="E252" s="33"/>
      <c r="F252" s="29" t="n">
        <f aca="false">Загальна!G237</f>
        <v>0</v>
      </c>
      <c r="G252" s="48"/>
      <c r="H252" s="33"/>
    </row>
    <row r="253" customFormat="false" ht="16.5" hidden="true" customHeight="false" outlineLevel="0" collapsed="false">
      <c r="A253" s="72"/>
      <c r="B253" s="33" t="s">
        <v>262</v>
      </c>
      <c r="C253" s="33" t="n">
        <v>13009</v>
      </c>
      <c r="D253" s="15" t="s">
        <v>27</v>
      </c>
      <c r="E253" s="33"/>
      <c r="F253" s="29" t="n">
        <f aca="false">Загальна!G238</f>
        <v>0</v>
      </c>
      <c r="G253" s="48"/>
      <c r="H253" s="33"/>
    </row>
    <row r="254" customFormat="false" ht="16.5" hidden="true" customHeight="false" outlineLevel="0" collapsed="false">
      <c r="A254" s="72"/>
      <c r="B254" s="33" t="s">
        <v>263</v>
      </c>
      <c r="C254" s="33" t="n">
        <v>13010</v>
      </c>
      <c r="D254" s="15" t="s">
        <v>27</v>
      </c>
      <c r="E254" s="33"/>
      <c r="F254" s="29" t="n">
        <f aca="false">Загальна!G239</f>
        <v>0</v>
      </c>
      <c r="G254" s="48"/>
      <c r="H254" s="33"/>
    </row>
    <row r="255" customFormat="false" ht="16.5" hidden="true" customHeight="false" outlineLevel="0" collapsed="false">
      <c r="A255" s="72"/>
      <c r="B255" s="33" t="s">
        <v>264</v>
      </c>
      <c r="C255" s="33" t="n">
        <v>13011</v>
      </c>
      <c r="D255" s="15" t="s">
        <v>27</v>
      </c>
      <c r="E255" s="33"/>
      <c r="F255" s="29" t="n">
        <f aca="false">Загальна!G240</f>
        <v>0</v>
      </c>
      <c r="G255" s="48"/>
      <c r="H255" s="33"/>
    </row>
    <row r="256" customFormat="false" ht="16.5" hidden="true" customHeight="false" outlineLevel="0" collapsed="false">
      <c r="A256" s="72"/>
      <c r="B256" s="33" t="s">
        <v>265</v>
      </c>
      <c r="C256" s="33" t="n">
        <v>13013</v>
      </c>
      <c r="D256" s="15" t="s">
        <v>27</v>
      </c>
      <c r="E256" s="33"/>
      <c r="F256" s="29" t="n">
        <f aca="false">Загальна!G241</f>
        <v>0</v>
      </c>
      <c r="G256" s="48"/>
      <c r="H256" s="33"/>
    </row>
    <row r="257" customFormat="false" ht="16.5" hidden="true" customHeight="false" outlineLevel="0" collapsed="false">
      <c r="A257" s="72"/>
      <c r="B257" s="33" t="s">
        <v>266</v>
      </c>
      <c r="C257" s="33" t="n">
        <v>13015</v>
      </c>
      <c r="D257" s="15" t="s">
        <v>27</v>
      </c>
      <c r="E257" s="33"/>
      <c r="F257" s="29" t="n">
        <f aca="false">Загальна!G242</f>
        <v>0</v>
      </c>
      <c r="G257" s="48"/>
      <c r="H257" s="33"/>
    </row>
    <row r="258" customFormat="false" ht="16.5" hidden="true" customHeight="false" outlineLevel="0" collapsed="false">
      <c r="A258" s="72"/>
      <c r="B258" s="33" t="s">
        <v>267</v>
      </c>
      <c r="C258" s="33" t="n">
        <v>13016</v>
      </c>
      <c r="D258" s="15" t="s">
        <v>27</v>
      </c>
      <c r="E258" s="33"/>
      <c r="F258" s="29" t="n">
        <f aca="false">Загальна!G243</f>
        <v>0</v>
      </c>
      <c r="G258" s="48"/>
      <c r="H258" s="33"/>
    </row>
    <row r="259" customFormat="false" ht="16.5" hidden="true" customHeight="false" outlineLevel="0" collapsed="false">
      <c r="A259" s="72"/>
      <c r="B259" s="33" t="s">
        <v>268</v>
      </c>
      <c r="C259" s="33" t="n">
        <v>13017</v>
      </c>
      <c r="D259" s="15" t="s">
        <v>27</v>
      </c>
      <c r="E259" s="33"/>
      <c r="F259" s="29" t="n">
        <f aca="false">Загальна!G244</f>
        <v>0</v>
      </c>
      <c r="G259" s="48"/>
      <c r="H259" s="33"/>
    </row>
    <row r="260" customFormat="false" ht="16.5" hidden="true" customHeight="false" outlineLevel="0" collapsed="false">
      <c r="A260" s="72"/>
      <c r="B260" s="33" t="s">
        <v>269</v>
      </c>
      <c r="C260" s="33" t="n">
        <v>13018</v>
      </c>
      <c r="D260" s="15" t="s">
        <v>27</v>
      </c>
      <c r="E260" s="33"/>
      <c r="F260" s="29" t="n">
        <f aca="false">Загальна!G245</f>
        <v>0</v>
      </c>
      <c r="G260" s="48"/>
      <c r="H260" s="33"/>
    </row>
    <row r="261" customFormat="false" ht="16.5" hidden="true" customHeight="false" outlineLevel="0" collapsed="false">
      <c r="A261" s="72"/>
      <c r="B261" s="33" t="s">
        <v>270</v>
      </c>
      <c r="C261" s="33" t="n">
        <v>13019</v>
      </c>
      <c r="D261" s="15" t="s">
        <v>27</v>
      </c>
      <c r="E261" s="33"/>
      <c r="F261" s="29" t="n">
        <f aca="false">Загальна!G246</f>
        <v>0</v>
      </c>
      <c r="G261" s="48"/>
      <c r="H261" s="33"/>
    </row>
    <row r="262" customFormat="false" ht="16.5" hidden="true" customHeight="false" outlineLevel="0" collapsed="false">
      <c r="A262" s="72"/>
      <c r="B262" s="33" t="s">
        <v>271</v>
      </c>
      <c r="C262" s="33" t="n">
        <v>13020</v>
      </c>
      <c r="D262" s="15" t="s">
        <v>27</v>
      </c>
      <c r="E262" s="33"/>
      <c r="F262" s="29" t="n">
        <f aca="false">Загальна!G247</f>
        <v>0</v>
      </c>
      <c r="G262" s="48"/>
      <c r="H262" s="33"/>
    </row>
    <row r="263" customFormat="false" ht="16.5" hidden="true" customHeight="false" outlineLevel="0" collapsed="false">
      <c r="A263" s="72"/>
      <c r="B263" s="33" t="s">
        <v>272</v>
      </c>
      <c r="C263" s="33" t="n">
        <v>13021</v>
      </c>
      <c r="D263" s="15" t="s">
        <v>27</v>
      </c>
      <c r="E263" s="33"/>
      <c r="F263" s="29" t="n">
        <f aca="false">Загальна!G248</f>
        <v>0</v>
      </c>
      <c r="G263" s="48"/>
      <c r="H263" s="33"/>
    </row>
    <row r="264" customFormat="false" ht="16.5" hidden="true" customHeight="false" outlineLevel="0" collapsed="false">
      <c r="A264" s="72"/>
      <c r="B264" s="33" t="s">
        <v>273</v>
      </c>
      <c r="C264" s="33" t="n">
        <v>13101</v>
      </c>
      <c r="D264" s="15" t="s">
        <v>27</v>
      </c>
      <c r="E264" s="33"/>
      <c r="F264" s="29" t="n">
        <f aca="false">Загальна!G249</f>
        <v>0</v>
      </c>
      <c r="G264" s="48"/>
      <c r="H264" s="33"/>
    </row>
    <row r="265" customFormat="false" ht="16.5" hidden="true" customHeight="false" outlineLevel="0" collapsed="false">
      <c r="A265" s="72"/>
      <c r="B265" s="33" t="s">
        <v>274</v>
      </c>
      <c r="C265" s="33" t="n">
        <v>13102</v>
      </c>
      <c r="D265" s="15" t="s">
        <v>27</v>
      </c>
      <c r="E265" s="33"/>
      <c r="F265" s="29" t="n">
        <f aca="false">Загальна!G250</f>
        <v>0</v>
      </c>
      <c r="G265" s="48"/>
      <c r="H265" s="33"/>
    </row>
    <row r="266" customFormat="false" ht="16.5" hidden="true" customHeight="false" outlineLevel="0" collapsed="false">
      <c r="A266" s="72"/>
      <c r="B266" s="33" t="s">
        <v>275</v>
      </c>
      <c r="C266" s="33" t="n">
        <v>13104</v>
      </c>
      <c r="D266" s="15" t="s">
        <v>27</v>
      </c>
      <c r="E266" s="33"/>
      <c r="F266" s="29" t="n">
        <f aca="false">Загальна!G251</f>
        <v>0</v>
      </c>
      <c r="G266" s="48"/>
      <c r="H266" s="33"/>
    </row>
    <row r="267" customFormat="false" ht="16.5" hidden="true" customHeight="false" outlineLevel="0" collapsed="false">
      <c r="A267" s="72"/>
      <c r="B267" s="33" t="s">
        <v>276</v>
      </c>
      <c r="C267" s="33" t="n">
        <v>13105</v>
      </c>
      <c r="D267" s="15" t="s">
        <v>27</v>
      </c>
      <c r="E267" s="33"/>
      <c r="F267" s="29" t="n">
        <f aca="false">Загальна!G252</f>
        <v>0</v>
      </c>
      <c r="G267" s="48"/>
      <c r="H267" s="33"/>
    </row>
    <row r="268" customFormat="false" ht="16.5" hidden="true" customHeight="false" outlineLevel="0" collapsed="false">
      <c r="A268" s="72" t="n">
        <v>23</v>
      </c>
      <c r="B268" s="33" t="s">
        <v>277</v>
      </c>
      <c r="C268" s="33" t="n">
        <v>13106</v>
      </c>
      <c r="D268" s="15" t="s">
        <v>27</v>
      </c>
      <c r="E268" s="33"/>
      <c r="F268" s="29" t="n">
        <f aca="false">Загальна!G253</f>
        <v>0</v>
      </c>
      <c r="G268" s="48"/>
      <c r="H268" s="33"/>
    </row>
    <row r="269" customFormat="false" ht="16.5" hidden="true" customHeight="false" outlineLevel="0" collapsed="false">
      <c r="A269" s="72"/>
      <c r="B269" s="33" t="s">
        <v>278</v>
      </c>
      <c r="C269" s="33" t="n">
        <v>13107</v>
      </c>
      <c r="D269" s="15" t="s">
        <v>27</v>
      </c>
      <c r="E269" s="33"/>
      <c r="F269" s="29" t="n">
        <f aca="false">Загальна!G254</f>
        <v>0</v>
      </c>
      <c r="G269" s="48"/>
      <c r="H269" s="33"/>
    </row>
    <row r="270" customFormat="false" ht="16.5" hidden="false" customHeight="false" outlineLevel="0" collapsed="false">
      <c r="A270" s="72" t="n">
        <v>23</v>
      </c>
      <c r="B270" s="33" t="s">
        <v>279</v>
      </c>
      <c r="C270" s="33" t="n">
        <v>13108</v>
      </c>
      <c r="D270" s="15" t="s">
        <v>27</v>
      </c>
      <c r="E270" s="33"/>
      <c r="F270" s="29" t="n">
        <f aca="false">Загальна!G255</f>
        <v>0.95</v>
      </c>
      <c r="G270" s="48"/>
      <c r="H270" s="33"/>
    </row>
    <row r="271" customFormat="false" ht="16.5" hidden="true" customHeight="false" outlineLevel="0" collapsed="false">
      <c r="A271" s="72"/>
      <c r="B271" s="33" t="s">
        <v>280</v>
      </c>
      <c r="C271" s="33" t="n">
        <v>13109</v>
      </c>
      <c r="D271" s="15" t="s">
        <v>27</v>
      </c>
      <c r="E271" s="33"/>
      <c r="F271" s="29" t="n">
        <f aca="false">Загальна!G256</f>
        <v>0</v>
      </c>
      <c r="G271" s="48"/>
      <c r="H271" s="33"/>
    </row>
    <row r="272" customFormat="false" ht="16.5" hidden="true" customHeight="false" outlineLevel="0" collapsed="false">
      <c r="A272" s="72"/>
      <c r="B272" s="33" t="s">
        <v>281</v>
      </c>
      <c r="C272" s="33" t="n">
        <v>13110</v>
      </c>
      <c r="D272" s="15" t="s">
        <v>27</v>
      </c>
      <c r="E272" s="33"/>
      <c r="F272" s="29" t="n">
        <f aca="false">Загальна!G257</f>
        <v>0</v>
      </c>
      <c r="G272" s="48"/>
      <c r="H272" s="33"/>
    </row>
    <row r="273" customFormat="false" ht="16.5" hidden="true" customHeight="false" outlineLevel="0" collapsed="false">
      <c r="A273" s="72"/>
      <c r="B273" s="33" t="s">
        <v>282</v>
      </c>
      <c r="C273" s="33" t="n">
        <v>13111</v>
      </c>
      <c r="D273" s="15" t="s">
        <v>27</v>
      </c>
      <c r="E273" s="33"/>
      <c r="F273" s="29" t="n">
        <f aca="false">Загальна!G258</f>
        <v>0</v>
      </c>
      <c r="G273" s="48"/>
      <c r="H273" s="33"/>
    </row>
    <row r="274" customFormat="false" ht="16.5" hidden="true" customHeight="false" outlineLevel="0" collapsed="false">
      <c r="A274" s="72"/>
      <c r="B274" s="33" t="s">
        <v>283</v>
      </c>
      <c r="C274" s="33" t="n">
        <v>13112</v>
      </c>
      <c r="D274" s="15" t="s">
        <v>27</v>
      </c>
      <c r="E274" s="33"/>
      <c r="F274" s="29" t="n">
        <f aca="false">Загальна!G259</f>
        <v>0</v>
      </c>
      <c r="G274" s="48"/>
      <c r="H274" s="33"/>
    </row>
    <row r="275" customFormat="false" ht="16.5" hidden="true" customHeight="false" outlineLevel="0" collapsed="false">
      <c r="A275" s="72"/>
      <c r="B275" s="33" t="s">
        <v>284</v>
      </c>
      <c r="C275" s="33" t="n">
        <v>13113</v>
      </c>
      <c r="D275" s="15" t="s">
        <v>27</v>
      </c>
      <c r="E275" s="33"/>
      <c r="F275" s="29" t="n">
        <f aca="false">Загальна!G260</f>
        <v>0</v>
      </c>
      <c r="G275" s="48"/>
      <c r="H275" s="33"/>
    </row>
    <row r="276" customFormat="false" ht="16.5" hidden="true" customHeight="false" outlineLevel="0" collapsed="false">
      <c r="A276" s="72"/>
      <c r="B276" s="33" t="s">
        <v>285</v>
      </c>
      <c r="C276" s="33" t="n">
        <v>13114</v>
      </c>
      <c r="D276" s="15" t="s">
        <v>27</v>
      </c>
      <c r="E276" s="33"/>
      <c r="F276" s="29" t="n">
        <f aca="false">Загальна!G261</f>
        <v>0</v>
      </c>
      <c r="G276" s="48"/>
      <c r="H276" s="33"/>
    </row>
    <row r="277" customFormat="false" ht="16.5" hidden="true" customHeight="false" outlineLevel="0" collapsed="false">
      <c r="A277" s="72"/>
      <c r="B277" s="33" t="s">
        <v>286</v>
      </c>
      <c r="C277" s="33" t="n">
        <v>13115</v>
      </c>
      <c r="D277" s="15" t="s">
        <v>27</v>
      </c>
      <c r="E277" s="33"/>
      <c r="F277" s="29" t="n">
        <f aca="false">Загальна!G262</f>
        <v>0</v>
      </c>
      <c r="G277" s="48"/>
      <c r="H277" s="33"/>
    </row>
    <row r="278" customFormat="false" ht="16.5" hidden="true" customHeight="false" outlineLevel="0" collapsed="false">
      <c r="A278" s="72"/>
      <c r="B278" s="33" t="s">
        <v>287</v>
      </c>
      <c r="C278" s="33" t="n">
        <v>13116</v>
      </c>
      <c r="D278" s="15" t="s">
        <v>27</v>
      </c>
      <c r="E278" s="33"/>
      <c r="F278" s="29" t="n">
        <f aca="false">Загальна!G263</f>
        <v>0</v>
      </c>
      <c r="G278" s="48"/>
      <c r="H278" s="33"/>
    </row>
    <row r="279" customFormat="false" ht="16.5" hidden="true" customHeight="false" outlineLevel="0" collapsed="false">
      <c r="A279" s="72"/>
      <c r="B279" s="33" t="s">
        <v>288</v>
      </c>
      <c r="C279" s="33" t="n">
        <v>13117</v>
      </c>
      <c r="D279" s="15" t="s">
        <v>27</v>
      </c>
      <c r="E279" s="33"/>
      <c r="F279" s="29" t="n">
        <f aca="false">Загальна!G264</f>
        <v>0</v>
      </c>
      <c r="G279" s="48"/>
      <c r="H279" s="33"/>
    </row>
    <row r="280" customFormat="false" ht="16.5" hidden="true" customHeight="false" outlineLevel="0" collapsed="false">
      <c r="A280" s="72"/>
      <c r="B280" s="33" t="s">
        <v>289</v>
      </c>
      <c r="C280" s="33" t="n">
        <v>13118</v>
      </c>
      <c r="D280" s="15" t="s">
        <v>27</v>
      </c>
      <c r="E280" s="33"/>
      <c r="F280" s="29" t="n">
        <f aca="false">Загальна!G265</f>
        <v>0</v>
      </c>
      <c r="G280" s="48"/>
      <c r="H280" s="33"/>
    </row>
    <row r="281" customFormat="false" ht="16.5" hidden="true" customHeight="false" outlineLevel="0" collapsed="false">
      <c r="A281" s="72"/>
      <c r="B281" s="33" t="s">
        <v>290</v>
      </c>
      <c r="C281" s="33" t="n">
        <v>13119</v>
      </c>
      <c r="D281" s="15" t="s">
        <v>27</v>
      </c>
      <c r="E281" s="33"/>
      <c r="F281" s="29" t="n">
        <f aca="false">Загальна!G266</f>
        <v>0</v>
      </c>
      <c r="G281" s="48"/>
      <c r="H281" s="33"/>
    </row>
    <row r="282" customFormat="false" ht="16.5" hidden="true" customHeight="false" outlineLevel="0" collapsed="false">
      <c r="A282" s="72"/>
      <c r="B282" s="33" t="s">
        <v>291</v>
      </c>
      <c r="C282" s="33" t="n">
        <v>13120</v>
      </c>
      <c r="D282" s="15" t="s">
        <v>27</v>
      </c>
      <c r="E282" s="33"/>
      <c r="F282" s="29" t="n">
        <f aca="false">Загальна!G267</f>
        <v>0</v>
      </c>
      <c r="G282" s="48"/>
      <c r="H282" s="33"/>
    </row>
    <row r="283" customFormat="false" ht="16.5" hidden="true" customHeight="false" outlineLevel="0" collapsed="false">
      <c r="A283" s="72"/>
      <c r="B283" s="33" t="s">
        <v>292</v>
      </c>
      <c r="C283" s="33" t="n">
        <v>13121</v>
      </c>
      <c r="D283" s="15" t="s">
        <v>27</v>
      </c>
      <c r="E283" s="33"/>
      <c r="F283" s="29" t="n">
        <f aca="false">Загальна!G268</f>
        <v>0</v>
      </c>
      <c r="G283" s="48"/>
      <c r="H283" s="33"/>
    </row>
    <row r="284" customFormat="false" ht="16.5" hidden="true" customHeight="false" outlineLevel="0" collapsed="false">
      <c r="A284" s="72"/>
      <c r="B284" s="33" t="s">
        <v>293</v>
      </c>
      <c r="C284" s="33" t="n">
        <v>13122</v>
      </c>
      <c r="D284" s="15" t="s">
        <v>27</v>
      </c>
      <c r="E284" s="33"/>
      <c r="F284" s="29" t="n">
        <f aca="false">Загальна!G269</f>
        <v>0</v>
      </c>
      <c r="G284" s="48"/>
      <c r="H284" s="33"/>
    </row>
    <row r="285" customFormat="false" ht="16.5" hidden="true" customHeight="false" outlineLevel="0" collapsed="false">
      <c r="A285" s="72"/>
      <c r="B285" s="33" t="s">
        <v>294</v>
      </c>
      <c r="C285" s="33" t="n">
        <v>13123</v>
      </c>
      <c r="D285" s="15" t="s">
        <v>27</v>
      </c>
      <c r="E285" s="33"/>
      <c r="F285" s="29" t="n">
        <f aca="false">Загальна!G270</f>
        <v>0</v>
      </c>
      <c r="G285" s="48"/>
      <c r="H285" s="33"/>
    </row>
    <row r="286" customFormat="false" ht="16.5" hidden="true" customHeight="false" outlineLevel="0" collapsed="false">
      <c r="A286" s="72"/>
      <c r="B286" s="33" t="s">
        <v>295</v>
      </c>
      <c r="C286" s="33" t="n">
        <v>13124</v>
      </c>
      <c r="D286" s="15" t="s">
        <v>27</v>
      </c>
      <c r="E286" s="33"/>
      <c r="F286" s="29" t="n">
        <f aca="false">Загальна!G271</f>
        <v>0</v>
      </c>
      <c r="G286" s="48"/>
      <c r="H286" s="33"/>
    </row>
    <row r="287" customFormat="false" ht="16.5" hidden="true" customHeight="false" outlineLevel="0" collapsed="false">
      <c r="A287" s="72"/>
      <c r="B287" s="33" t="s">
        <v>296</v>
      </c>
      <c r="C287" s="33" t="n">
        <v>13125</v>
      </c>
      <c r="D287" s="15" t="s">
        <v>27</v>
      </c>
      <c r="E287" s="33"/>
      <c r="F287" s="29" t="n">
        <f aca="false">Загальна!G272</f>
        <v>0</v>
      </c>
      <c r="G287" s="48"/>
      <c r="H287" s="33"/>
    </row>
    <row r="288" customFormat="false" ht="16.5" hidden="true" customHeight="false" outlineLevel="0" collapsed="false">
      <c r="A288" s="72"/>
      <c r="B288" s="33" t="s">
        <v>297</v>
      </c>
      <c r="C288" s="33" t="n">
        <v>13126</v>
      </c>
      <c r="D288" s="15" t="s">
        <v>27</v>
      </c>
      <c r="E288" s="33"/>
      <c r="F288" s="29" t="n">
        <f aca="false">Загальна!G273</f>
        <v>0</v>
      </c>
      <c r="G288" s="48"/>
      <c r="H288" s="33"/>
    </row>
    <row r="289" customFormat="false" ht="16.5" hidden="true" customHeight="false" outlineLevel="0" collapsed="false">
      <c r="A289" s="72"/>
      <c r="B289" s="33" t="s">
        <v>298</v>
      </c>
      <c r="C289" s="33" t="n">
        <v>14001</v>
      </c>
      <c r="D289" s="15" t="s">
        <v>27</v>
      </c>
      <c r="E289" s="33"/>
      <c r="F289" s="29" t="n">
        <f aca="false">Загальна!G274</f>
        <v>0</v>
      </c>
      <c r="G289" s="48"/>
      <c r="H289" s="33"/>
    </row>
    <row r="290" customFormat="false" ht="16.5" hidden="true" customHeight="false" outlineLevel="0" collapsed="false">
      <c r="A290" s="72"/>
      <c r="B290" s="33" t="s">
        <v>299</v>
      </c>
      <c r="C290" s="33" t="n">
        <v>14002</v>
      </c>
      <c r="D290" s="15" t="s">
        <v>27</v>
      </c>
      <c r="E290" s="33"/>
      <c r="F290" s="29" t="n">
        <f aca="false">Загальна!G275</f>
        <v>0</v>
      </c>
      <c r="G290" s="48"/>
      <c r="H290" s="33"/>
    </row>
    <row r="291" customFormat="false" ht="16.5" hidden="true" customHeight="false" outlineLevel="0" collapsed="false">
      <c r="A291" s="72"/>
      <c r="B291" s="33" t="s">
        <v>300</v>
      </c>
      <c r="C291" s="33" t="n">
        <v>14003</v>
      </c>
      <c r="D291" s="15" t="s">
        <v>27</v>
      </c>
      <c r="E291" s="33"/>
      <c r="F291" s="29" t="n">
        <f aca="false">Загальна!G276</f>
        <v>0</v>
      </c>
      <c r="G291" s="48"/>
      <c r="H291" s="33"/>
    </row>
    <row r="292" customFormat="false" ht="16.5" hidden="true" customHeight="false" outlineLevel="0" collapsed="false">
      <c r="A292" s="72"/>
      <c r="B292" s="33" t="s">
        <v>301</v>
      </c>
      <c r="C292" s="33" t="n">
        <v>14004</v>
      </c>
      <c r="D292" s="15" t="s">
        <v>27</v>
      </c>
      <c r="E292" s="33"/>
      <c r="F292" s="29" t="n">
        <f aca="false">Загальна!G277</f>
        <v>0</v>
      </c>
      <c r="G292" s="48"/>
      <c r="H292" s="33"/>
    </row>
    <row r="293" customFormat="false" ht="16.5" hidden="true" customHeight="false" outlineLevel="0" collapsed="false">
      <c r="A293" s="72"/>
      <c r="B293" s="33" t="s">
        <v>302</v>
      </c>
      <c r="C293" s="33" t="n">
        <v>14005</v>
      </c>
      <c r="D293" s="15" t="s">
        <v>27</v>
      </c>
      <c r="E293" s="33"/>
      <c r="F293" s="29" t="n">
        <f aca="false">Загальна!G278</f>
        <v>0</v>
      </c>
      <c r="G293" s="48"/>
      <c r="H293" s="33"/>
    </row>
    <row r="294" customFormat="false" ht="16.5" hidden="true" customHeight="false" outlineLevel="0" collapsed="false">
      <c r="A294" s="72"/>
      <c r="B294" s="33" t="s">
        <v>303</v>
      </c>
      <c r="C294" s="33" t="n">
        <v>14006</v>
      </c>
      <c r="D294" s="15" t="s">
        <v>27</v>
      </c>
      <c r="E294" s="33"/>
      <c r="F294" s="29" t="n">
        <f aca="false">Загальна!G279</f>
        <v>0</v>
      </c>
      <c r="G294" s="48"/>
      <c r="H294" s="33"/>
    </row>
    <row r="295" customFormat="false" ht="16.5" hidden="true" customHeight="false" outlineLevel="0" collapsed="false">
      <c r="A295" s="72"/>
      <c r="B295" s="33" t="s">
        <v>304</v>
      </c>
      <c r="C295" s="33" t="n">
        <v>14007</v>
      </c>
      <c r="D295" s="15" t="s">
        <v>27</v>
      </c>
      <c r="E295" s="33"/>
      <c r="F295" s="29" t="n">
        <f aca="false">Загальна!G280</f>
        <v>0</v>
      </c>
      <c r="G295" s="48"/>
      <c r="H295" s="33"/>
    </row>
    <row r="296" customFormat="false" ht="16.5" hidden="true" customHeight="false" outlineLevel="0" collapsed="false">
      <c r="A296" s="72"/>
      <c r="B296" s="33" t="s">
        <v>305</v>
      </c>
      <c r="C296" s="33" t="n">
        <v>14008</v>
      </c>
      <c r="D296" s="15" t="s">
        <v>27</v>
      </c>
      <c r="E296" s="33"/>
      <c r="F296" s="29" t="n">
        <f aca="false">Загальна!G281</f>
        <v>0</v>
      </c>
      <c r="G296" s="48"/>
      <c r="H296" s="33"/>
    </row>
    <row r="297" customFormat="false" ht="16.5" hidden="true" customHeight="false" outlineLevel="0" collapsed="false">
      <c r="A297" s="72"/>
      <c r="B297" s="33" t="s">
        <v>306</v>
      </c>
      <c r="C297" s="33" t="n">
        <v>14010</v>
      </c>
      <c r="D297" s="15" t="s">
        <v>27</v>
      </c>
      <c r="E297" s="33"/>
      <c r="F297" s="29" t="n">
        <f aca="false">Загальна!G282</f>
        <v>0</v>
      </c>
      <c r="G297" s="48"/>
      <c r="H297" s="33"/>
    </row>
    <row r="298" customFormat="false" ht="16.5" hidden="true" customHeight="false" outlineLevel="0" collapsed="false">
      <c r="A298" s="72"/>
      <c r="B298" s="33" t="s">
        <v>307</v>
      </c>
      <c r="C298" s="33" t="n">
        <v>14011</v>
      </c>
      <c r="D298" s="15" t="s">
        <v>27</v>
      </c>
      <c r="E298" s="33"/>
      <c r="F298" s="29" t="n">
        <f aca="false">Загальна!G283</f>
        <v>0</v>
      </c>
      <c r="G298" s="48"/>
      <c r="H298" s="33"/>
    </row>
    <row r="299" customFormat="false" ht="16.5" hidden="true" customHeight="false" outlineLevel="0" collapsed="false">
      <c r="A299" s="72" t="n">
        <v>24</v>
      </c>
      <c r="B299" s="33" t="s">
        <v>308</v>
      </c>
      <c r="C299" s="33" t="n">
        <v>14012</v>
      </c>
      <c r="D299" s="15" t="s">
        <v>27</v>
      </c>
      <c r="E299" s="33"/>
      <c r="F299" s="29" t="n">
        <f aca="false">Загальна!G284</f>
        <v>0</v>
      </c>
      <c r="G299" s="48"/>
      <c r="H299" s="33"/>
    </row>
    <row r="300" customFormat="false" ht="16.5" hidden="true" customHeight="false" outlineLevel="0" collapsed="false">
      <c r="A300" s="72"/>
      <c r="B300" s="33" t="s">
        <v>309</v>
      </c>
      <c r="C300" s="33" t="n">
        <v>14013</v>
      </c>
      <c r="D300" s="15" t="s">
        <v>27</v>
      </c>
      <c r="E300" s="33"/>
      <c r="F300" s="29" t="n">
        <f aca="false">Загальна!G285</f>
        <v>0</v>
      </c>
      <c r="G300" s="48"/>
      <c r="H300" s="33"/>
    </row>
    <row r="301" customFormat="false" ht="16.5" hidden="false" customHeight="false" outlineLevel="0" collapsed="false">
      <c r="A301" s="72" t="n">
        <v>24</v>
      </c>
      <c r="B301" s="33" t="s">
        <v>310</v>
      </c>
      <c r="C301" s="33" t="n">
        <v>14015</v>
      </c>
      <c r="D301" s="15" t="s">
        <v>27</v>
      </c>
      <c r="E301" s="33"/>
      <c r="F301" s="29" t="n">
        <f aca="false">Загальна!G286</f>
        <v>0.19</v>
      </c>
      <c r="G301" s="48"/>
      <c r="H301" s="33"/>
    </row>
    <row r="302" customFormat="false" ht="16.5" hidden="true" customHeight="false" outlineLevel="0" collapsed="false">
      <c r="A302" s="72"/>
      <c r="B302" s="33" t="s">
        <v>311</v>
      </c>
      <c r="C302" s="33" t="n">
        <v>14016</v>
      </c>
      <c r="D302" s="15" t="s">
        <v>27</v>
      </c>
      <c r="E302" s="33"/>
      <c r="F302" s="29" t="n">
        <f aca="false">Загальна!G287</f>
        <v>0</v>
      </c>
      <c r="G302" s="48"/>
      <c r="H302" s="33"/>
    </row>
    <row r="303" customFormat="false" ht="16.5" hidden="true" customHeight="false" outlineLevel="0" collapsed="false">
      <c r="A303" s="72"/>
      <c r="B303" s="33" t="s">
        <v>312</v>
      </c>
      <c r="C303" s="33" t="n">
        <v>14017</v>
      </c>
      <c r="D303" s="15" t="s">
        <v>27</v>
      </c>
      <c r="E303" s="33"/>
      <c r="F303" s="29" t="n">
        <f aca="false">Загальна!G288</f>
        <v>0</v>
      </c>
      <c r="G303" s="48"/>
      <c r="H303" s="33"/>
    </row>
    <row r="304" customFormat="false" ht="16.5" hidden="true" customHeight="false" outlineLevel="0" collapsed="false">
      <c r="A304" s="72"/>
      <c r="B304" s="33" t="s">
        <v>313</v>
      </c>
      <c r="C304" s="33" t="n">
        <v>14018</v>
      </c>
      <c r="D304" s="15" t="s">
        <v>27</v>
      </c>
      <c r="E304" s="33"/>
      <c r="F304" s="29" t="n">
        <f aca="false">Загальна!G289</f>
        <v>0</v>
      </c>
      <c r="G304" s="48"/>
      <c r="H304" s="33"/>
    </row>
    <row r="305" customFormat="false" ht="16.5" hidden="true" customHeight="false" outlineLevel="0" collapsed="false">
      <c r="A305" s="72"/>
      <c r="B305" s="33" t="s">
        <v>314</v>
      </c>
      <c r="C305" s="33" t="n">
        <v>14020</v>
      </c>
      <c r="D305" s="15" t="s">
        <v>27</v>
      </c>
      <c r="E305" s="33"/>
      <c r="F305" s="29" t="n">
        <f aca="false">Загальна!G290</f>
        <v>0</v>
      </c>
      <c r="G305" s="48"/>
      <c r="H305" s="33"/>
    </row>
    <row r="306" customFormat="false" ht="16.5" hidden="true" customHeight="false" outlineLevel="0" collapsed="false">
      <c r="A306" s="72" t="n">
        <v>25</v>
      </c>
      <c r="B306" s="33" t="s">
        <v>315</v>
      </c>
      <c r="C306" s="33" t="n">
        <v>14022</v>
      </c>
      <c r="D306" s="15" t="s">
        <v>27</v>
      </c>
      <c r="E306" s="33"/>
      <c r="F306" s="29" t="n">
        <f aca="false">Загальна!G291</f>
        <v>0</v>
      </c>
      <c r="G306" s="48"/>
      <c r="H306" s="33"/>
    </row>
    <row r="307" customFormat="false" ht="16.5" hidden="true" customHeight="false" outlineLevel="0" collapsed="false">
      <c r="A307" s="72"/>
      <c r="B307" s="33" t="s">
        <v>316</v>
      </c>
      <c r="C307" s="33" t="n">
        <v>14024</v>
      </c>
      <c r="D307" s="15" t="s">
        <v>27</v>
      </c>
      <c r="E307" s="33"/>
      <c r="F307" s="29" t="n">
        <f aca="false">Загальна!G292</f>
        <v>0</v>
      </c>
      <c r="G307" s="48"/>
      <c r="H307" s="33"/>
    </row>
    <row r="308" customFormat="false" ht="16.5" hidden="false" customHeight="false" outlineLevel="0" collapsed="false">
      <c r="A308" s="72" t="n">
        <v>25</v>
      </c>
      <c r="B308" s="33" t="s">
        <v>317</v>
      </c>
      <c r="C308" s="33" t="n">
        <v>14025</v>
      </c>
      <c r="D308" s="15" t="s">
        <v>27</v>
      </c>
      <c r="E308" s="33"/>
      <c r="F308" s="29" t="n">
        <f aca="false">Загальна!G293</f>
        <v>2.28</v>
      </c>
      <c r="G308" s="48"/>
      <c r="H308" s="33"/>
    </row>
    <row r="309" customFormat="false" ht="16.5" hidden="true" customHeight="false" outlineLevel="0" collapsed="false">
      <c r="A309" s="72"/>
      <c r="B309" s="33" t="s">
        <v>318</v>
      </c>
      <c r="C309" s="33" t="n">
        <v>14026</v>
      </c>
      <c r="D309" s="15" t="s">
        <v>27</v>
      </c>
      <c r="E309" s="33"/>
      <c r="F309" s="29" t="n">
        <f aca="false">Загальна!G294</f>
        <v>0</v>
      </c>
      <c r="G309" s="48"/>
      <c r="H309" s="33"/>
    </row>
    <row r="310" customFormat="false" ht="16.5" hidden="true" customHeight="false" outlineLevel="0" collapsed="false">
      <c r="A310" s="72"/>
      <c r="B310" s="33" t="s">
        <v>319</v>
      </c>
      <c r="C310" s="33" t="n">
        <v>14027</v>
      </c>
      <c r="D310" s="15" t="s">
        <v>27</v>
      </c>
      <c r="E310" s="33"/>
      <c r="F310" s="29" t="n">
        <f aca="false">Загальна!G295</f>
        <v>0</v>
      </c>
      <c r="G310" s="48"/>
      <c r="H310" s="33"/>
    </row>
    <row r="311" customFormat="false" ht="16.5" hidden="true" customHeight="false" outlineLevel="0" collapsed="false">
      <c r="A311" s="72" t="n">
        <v>26</v>
      </c>
      <c r="B311" s="33" t="s">
        <v>320</v>
      </c>
      <c r="C311" s="33" t="n">
        <v>14028</v>
      </c>
      <c r="D311" s="15" t="s">
        <v>27</v>
      </c>
      <c r="E311" s="33"/>
      <c r="F311" s="29" t="n">
        <f aca="false">Загальна!G296</f>
        <v>0</v>
      </c>
      <c r="G311" s="48"/>
      <c r="H311" s="33"/>
    </row>
    <row r="312" customFormat="false" ht="16.5" hidden="true" customHeight="false" outlineLevel="0" collapsed="false">
      <c r="A312" s="72"/>
      <c r="B312" s="33" t="s">
        <v>321</v>
      </c>
      <c r="C312" s="33" t="n">
        <v>14029</v>
      </c>
      <c r="D312" s="15" t="s">
        <v>27</v>
      </c>
      <c r="E312" s="33"/>
      <c r="F312" s="29" t="n">
        <f aca="false">Загальна!G297</f>
        <v>0</v>
      </c>
      <c r="G312" s="48"/>
      <c r="H312" s="33"/>
    </row>
    <row r="313" customFormat="false" ht="16.5" hidden="false" customHeight="false" outlineLevel="0" collapsed="false">
      <c r="A313" s="72" t="n">
        <v>26</v>
      </c>
      <c r="B313" s="33" t="s">
        <v>322</v>
      </c>
      <c r="C313" s="33" t="n">
        <v>14030</v>
      </c>
      <c r="D313" s="15" t="s">
        <v>27</v>
      </c>
      <c r="E313" s="33"/>
      <c r="F313" s="29" t="n">
        <f aca="false">Загальна!G298</f>
        <v>0.038</v>
      </c>
      <c r="G313" s="48"/>
      <c r="H313" s="33"/>
    </row>
    <row r="314" customFormat="false" ht="16.5" hidden="true" customHeight="false" outlineLevel="0" collapsed="false">
      <c r="A314" s="72"/>
      <c r="B314" s="33" t="s">
        <v>323</v>
      </c>
      <c r="C314" s="33" t="n">
        <v>14031</v>
      </c>
      <c r="D314" s="15" t="s">
        <v>27</v>
      </c>
      <c r="E314" s="33"/>
      <c r="F314" s="29" t="n">
        <f aca="false">Загальна!G299</f>
        <v>0</v>
      </c>
      <c r="G314" s="48"/>
      <c r="H314" s="33"/>
    </row>
    <row r="315" customFormat="false" ht="16.5" hidden="true" customHeight="false" outlineLevel="0" collapsed="false">
      <c r="A315" s="72"/>
      <c r="B315" s="33" t="s">
        <v>324</v>
      </c>
      <c r="C315" s="33" t="n">
        <v>14032</v>
      </c>
      <c r="D315" s="15" t="s">
        <v>27</v>
      </c>
      <c r="E315" s="33"/>
      <c r="F315" s="29" t="n">
        <f aca="false">Загальна!G300</f>
        <v>0</v>
      </c>
      <c r="G315" s="48"/>
      <c r="H315" s="33"/>
    </row>
    <row r="316" customFormat="false" ht="16.5" hidden="true" customHeight="false" outlineLevel="0" collapsed="false">
      <c r="A316" s="72"/>
      <c r="B316" s="33" t="s">
        <v>325</v>
      </c>
      <c r="C316" s="33" t="n">
        <v>14035</v>
      </c>
      <c r="D316" s="15" t="s">
        <v>27</v>
      </c>
      <c r="E316" s="33"/>
      <c r="F316" s="29" t="n">
        <f aca="false">Загальна!G301</f>
        <v>0</v>
      </c>
      <c r="G316" s="48"/>
      <c r="H316" s="33"/>
    </row>
    <row r="317" customFormat="false" ht="16.5" hidden="true" customHeight="false" outlineLevel="0" collapsed="false">
      <c r="A317" s="72"/>
      <c r="B317" s="33" t="s">
        <v>326</v>
      </c>
      <c r="C317" s="33" t="n">
        <v>14036</v>
      </c>
      <c r="D317" s="15" t="s">
        <v>27</v>
      </c>
      <c r="E317" s="33"/>
      <c r="F317" s="29" t="n">
        <f aca="false">Загальна!G302</f>
        <v>0</v>
      </c>
      <c r="G317" s="48"/>
      <c r="H317" s="33"/>
    </row>
    <row r="318" customFormat="false" ht="16.5" hidden="true" customHeight="false" outlineLevel="0" collapsed="false">
      <c r="A318" s="72"/>
      <c r="B318" s="33" t="s">
        <v>327</v>
      </c>
      <c r="C318" s="33" t="n">
        <v>14037</v>
      </c>
      <c r="D318" s="15" t="s">
        <v>27</v>
      </c>
      <c r="E318" s="33"/>
      <c r="F318" s="29" t="n">
        <f aca="false">Загальна!G303</f>
        <v>0</v>
      </c>
      <c r="G318" s="48"/>
      <c r="H318" s="33"/>
    </row>
    <row r="319" customFormat="false" ht="16.5" hidden="true" customHeight="false" outlineLevel="0" collapsed="false">
      <c r="A319" s="72"/>
      <c r="B319" s="33" t="s">
        <v>328</v>
      </c>
      <c r="C319" s="33" t="n">
        <v>14101</v>
      </c>
      <c r="D319" s="15" t="s">
        <v>27</v>
      </c>
      <c r="E319" s="33"/>
      <c r="F319" s="29" t="n">
        <f aca="false">Загальна!G304</f>
        <v>0</v>
      </c>
      <c r="G319" s="48"/>
      <c r="H319" s="33"/>
    </row>
    <row r="320" customFormat="false" ht="16.5" hidden="true" customHeight="false" outlineLevel="0" collapsed="false">
      <c r="A320" s="72"/>
      <c r="B320" s="33" t="s">
        <v>329</v>
      </c>
      <c r="C320" s="33" t="n">
        <v>14102</v>
      </c>
      <c r="D320" s="15" t="s">
        <v>27</v>
      </c>
      <c r="E320" s="33"/>
      <c r="F320" s="29" t="n">
        <f aca="false">Загальна!G305</f>
        <v>0</v>
      </c>
      <c r="G320" s="48"/>
      <c r="H320" s="33"/>
    </row>
    <row r="321" customFormat="false" ht="16.5" hidden="true" customHeight="false" outlineLevel="0" collapsed="false">
      <c r="A321" s="72"/>
      <c r="B321" s="33" t="s">
        <v>330</v>
      </c>
      <c r="C321" s="33" t="n">
        <v>14103</v>
      </c>
      <c r="D321" s="15" t="s">
        <v>27</v>
      </c>
      <c r="E321" s="33"/>
      <c r="F321" s="29" t="n">
        <f aca="false">Загальна!G306</f>
        <v>0</v>
      </c>
      <c r="G321" s="48"/>
      <c r="H321" s="33"/>
    </row>
    <row r="322" customFormat="false" ht="16.5" hidden="true" customHeight="false" outlineLevel="0" collapsed="false">
      <c r="A322" s="72"/>
      <c r="B322" s="33" t="s">
        <v>331</v>
      </c>
      <c r="C322" s="33" t="n">
        <v>14104</v>
      </c>
      <c r="D322" s="15" t="s">
        <v>27</v>
      </c>
      <c r="E322" s="33"/>
      <c r="F322" s="29" t="n">
        <f aca="false">Загальна!G307</f>
        <v>0</v>
      </c>
      <c r="G322" s="48"/>
      <c r="H322" s="33"/>
    </row>
    <row r="323" customFormat="false" ht="16.5" hidden="true" customHeight="false" outlineLevel="0" collapsed="false">
      <c r="A323" s="72"/>
      <c r="B323" s="33" t="s">
        <v>332</v>
      </c>
      <c r="C323" s="33" t="n">
        <v>14105</v>
      </c>
      <c r="D323" s="15" t="s">
        <v>27</v>
      </c>
      <c r="E323" s="33"/>
      <c r="F323" s="29" t="n">
        <f aca="false">Загальна!G308</f>
        <v>0</v>
      </c>
      <c r="G323" s="48"/>
      <c r="H323" s="33"/>
    </row>
    <row r="324" customFormat="false" ht="16.5" hidden="true" customHeight="false" outlineLevel="0" collapsed="false">
      <c r="A324" s="72"/>
      <c r="B324" s="33" t="s">
        <v>333</v>
      </c>
      <c r="C324" s="33" t="n">
        <v>14106</v>
      </c>
      <c r="D324" s="15" t="s">
        <v>27</v>
      </c>
      <c r="E324" s="33"/>
      <c r="F324" s="29" t="n">
        <f aca="false">Загальна!G309</f>
        <v>0</v>
      </c>
      <c r="G324" s="48"/>
      <c r="H324" s="33"/>
    </row>
    <row r="325" customFormat="false" ht="16.5" hidden="true" customHeight="false" outlineLevel="0" collapsed="false">
      <c r="A325" s="72"/>
      <c r="B325" s="33" t="s">
        <v>334</v>
      </c>
      <c r="C325" s="33" t="n">
        <v>14107</v>
      </c>
      <c r="D325" s="15" t="s">
        <v>27</v>
      </c>
      <c r="E325" s="33"/>
      <c r="F325" s="29" t="n">
        <f aca="false">Загальна!G310</f>
        <v>0</v>
      </c>
      <c r="G325" s="48"/>
      <c r="H325" s="33"/>
    </row>
    <row r="326" customFormat="false" ht="16.5" hidden="true" customHeight="false" outlineLevel="0" collapsed="false">
      <c r="A326" s="72"/>
      <c r="B326" s="33" t="s">
        <v>335</v>
      </c>
      <c r="C326" s="33" t="n">
        <v>14108</v>
      </c>
      <c r="D326" s="15" t="s">
        <v>27</v>
      </c>
      <c r="E326" s="33"/>
      <c r="F326" s="29" t="n">
        <f aca="false">Загальна!G311</f>
        <v>0</v>
      </c>
      <c r="G326" s="48"/>
      <c r="H326" s="33"/>
    </row>
    <row r="327" customFormat="false" ht="16.5" hidden="true" customHeight="false" outlineLevel="0" collapsed="false">
      <c r="A327" s="72"/>
      <c r="B327" s="33" t="s">
        <v>336</v>
      </c>
      <c r="C327" s="33" t="n">
        <v>14109</v>
      </c>
      <c r="D327" s="15" t="s">
        <v>27</v>
      </c>
      <c r="E327" s="33"/>
      <c r="F327" s="29" t="n">
        <f aca="false">Загальна!G312</f>
        <v>0</v>
      </c>
      <c r="G327" s="48"/>
      <c r="H327" s="33"/>
    </row>
    <row r="328" customFormat="false" ht="16.5" hidden="true" customHeight="false" outlineLevel="0" collapsed="false">
      <c r="A328" s="72"/>
      <c r="B328" s="33" t="s">
        <v>337</v>
      </c>
      <c r="C328" s="33" t="n">
        <v>14110</v>
      </c>
      <c r="D328" s="15" t="s">
        <v>27</v>
      </c>
      <c r="E328" s="33"/>
      <c r="F328" s="29" t="n">
        <f aca="false">Загальна!G313</f>
        <v>0</v>
      </c>
      <c r="G328" s="48"/>
      <c r="H328" s="33"/>
    </row>
    <row r="329" customFormat="false" ht="16.5" hidden="true" customHeight="false" outlineLevel="0" collapsed="false">
      <c r="A329" s="72"/>
      <c r="B329" s="33" t="s">
        <v>338</v>
      </c>
      <c r="C329" s="33" t="n">
        <v>14111</v>
      </c>
      <c r="D329" s="15" t="s">
        <v>27</v>
      </c>
      <c r="E329" s="33"/>
      <c r="F329" s="29" t="n">
        <f aca="false">Загальна!G314</f>
        <v>0</v>
      </c>
      <c r="G329" s="48"/>
      <c r="H329" s="33"/>
    </row>
    <row r="330" customFormat="false" ht="16.5" hidden="true" customHeight="false" outlineLevel="0" collapsed="false">
      <c r="A330" s="72"/>
      <c r="B330" s="33" t="s">
        <v>339</v>
      </c>
      <c r="C330" s="33" t="n">
        <v>14112</v>
      </c>
      <c r="D330" s="15" t="s">
        <v>27</v>
      </c>
      <c r="E330" s="33"/>
      <c r="F330" s="29" t="n">
        <f aca="false">Загальна!G315</f>
        <v>0</v>
      </c>
      <c r="G330" s="48"/>
      <c r="H330" s="33"/>
    </row>
    <row r="331" customFormat="false" ht="16.5" hidden="true" customHeight="false" outlineLevel="0" collapsed="false">
      <c r="A331" s="72"/>
      <c r="B331" s="33" t="s">
        <v>340</v>
      </c>
      <c r="C331" s="33" t="n">
        <v>14113</v>
      </c>
      <c r="D331" s="15" t="s">
        <v>27</v>
      </c>
      <c r="E331" s="33"/>
      <c r="F331" s="29" t="n">
        <f aca="false">Загальна!G316</f>
        <v>0</v>
      </c>
      <c r="G331" s="48"/>
      <c r="H331" s="33"/>
    </row>
    <row r="332" customFormat="false" ht="16.5" hidden="true" customHeight="false" outlineLevel="0" collapsed="false">
      <c r="A332" s="72"/>
      <c r="B332" s="33" t="s">
        <v>341</v>
      </c>
      <c r="C332" s="33" t="n">
        <v>14114</v>
      </c>
      <c r="D332" s="15" t="s">
        <v>27</v>
      </c>
      <c r="E332" s="33"/>
      <c r="F332" s="29" t="n">
        <f aca="false">Загальна!G317</f>
        <v>0</v>
      </c>
      <c r="G332" s="48"/>
      <c r="H332" s="33"/>
    </row>
    <row r="333" customFormat="false" ht="16.5" hidden="true" customHeight="false" outlineLevel="0" collapsed="false">
      <c r="A333" s="72"/>
      <c r="B333" s="33" t="s">
        <v>342</v>
      </c>
      <c r="C333" s="33" t="n">
        <v>14115</v>
      </c>
      <c r="D333" s="15" t="s">
        <v>27</v>
      </c>
      <c r="E333" s="33"/>
      <c r="F333" s="29" t="n">
        <f aca="false">Загальна!G318</f>
        <v>0</v>
      </c>
      <c r="G333" s="48"/>
      <c r="H333" s="33"/>
    </row>
    <row r="334" customFormat="false" ht="16.5" hidden="true" customHeight="false" outlineLevel="0" collapsed="false">
      <c r="A334" s="72" t="n">
        <v>27</v>
      </c>
      <c r="B334" s="33" t="s">
        <v>343</v>
      </c>
      <c r="C334" s="33" t="n">
        <v>14116</v>
      </c>
      <c r="D334" s="15" t="s">
        <v>27</v>
      </c>
      <c r="E334" s="33"/>
      <c r="F334" s="29" t="n">
        <f aca="false">Загальна!G319</f>
        <v>0</v>
      </c>
      <c r="G334" s="48"/>
      <c r="H334" s="33"/>
    </row>
    <row r="335" customFormat="false" ht="16.5" hidden="true" customHeight="false" outlineLevel="0" collapsed="false">
      <c r="A335" s="72"/>
      <c r="B335" s="33" t="s">
        <v>344</v>
      </c>
      <c r="C335" s="33" t="n">
        <v>14117</v>
      </c>
      <c r="D335" s="15" t="s">
        <v>27</v>
      </c>
      <c r="E335" s="33"/>
      <c r="F335" s="29" t="n">
        <f aca="false">Загальна!G320</f>
        <v>0</v>
      </c>
      <c r="G335" s="48"/>
      <c r="H335" s="33"/>
    </row>
    <row r="336" customFormat="false" ht="16.5" hidden="false" customHeight="false" outlineLevel="0" collapsed="false">
      <c r="A336" s="72" t="n">
        <v>27</v>
      </c>
      <c r="B336" s="33" t="s">
        <v>345</v>
      </c>
      <c r="C336" s="33" t="n">
        <v>14118</v>
      </c>
      <c r="D336" s="15" t="s">
        <v>27</v>
      </c>
      <c r="E336" s="33"/>
      <c r="F336" s="29" t="n">
        <f aca="false">Загальна!G321</f>
        <v>0.19</v>
      </c>
      <c r="G336" s="48"/>
      <c r="H336" s="33"/>
    </row>
    <row r="337" customFormat="false" ht="16.5" hidden="true" customHeight="false" outlineLevel="0" collapsed="false">
      <c r="A337" s="72"/>
      <c r="B337" s="33" t="s">
        <v>346</v>
      </c>
      <c r="C337" s="33" t="n">
        <v>14120</v>
      </c>
      <c r="D337" s="15" t="s">
        <v>27</v>
      </c>
      <c r="E337" s="33"/>
      <c r="F337" s="29" t="n">
        <f aca="false">Загальна!G322</f>
        <v>0</v>
      </c>
      <c r="G337" s="48"/>
      <c r="H337" s="33"/>
    </row>
    <row r="338" customFormat="false" ht="16.5" hidden="true" customHeight="false" outlineLevel="0" collapsed="false">
      <c r="A338" s="72"/>
      <c r="B338" s="33" t="s">
        <v>347</v>
      </c>
      <c r="C338" s="33" t="n">
        <v>14121</v>
      </c>
      <c r="D338" s="15" t="s">
        <v>27</v>
      </c>
      <c r="E338" s="33"/>
      <c r="F338" s="29" t="n">
        <f aca="false">Загальна!G323</f>
        <v>0</v>
      </c>
      <c r="G338" s="48"/>
      <c r="H338" s="33"/>
    </row>
    <row r="339" customFormat="false" ht="16.5" hidden="true" customHeight="false" outlineLevel="0" collapsed="false">
      <c r="A339" s="72"/>
      <c r="B339" s="33" t="s">
        <v>348</v>
      </c>
      <c r="C339" s="33" t="n">
        <v>14122</v>
      </c>
      <c r="D339" s="15" t="s">
        <v>27</v>
      </c>
      <c r="E339" s="33"/>
      <c r="F339" s="29" t="n">
        <f aca="false">Загальна!G324</f>
        <v>0</v>
      </c>
      <c r="G339" s="48"/>
      <c r="H339" s="33"/>
    </row>
    <row r="340" customFormat="false" ht="16.5" hidden="true" customHeight="false" outlineLevel="0" collapsed="false">
      <c r="A340" s="72"/>
      <c r="B340" s="33" t="s">
        <v>349</v>
      </c>
      <c r="C340" s="33" t="n">
        <v>14123</v>
      </c>
      <c r="D340" s="15" t="s">
        <v>27</v>
      </c>
      <c r="E340" s="33"/>
      <c r="F340" s="29" t="n">
        <f aca="false">Загальна!G325</f>
        <v>0</v>
      </c>
      <c r="G340" s="48"/>
      <c r="H340" s="33"/>
    </row>
    <row r="341" customFormat="false" ht="16.5" hidden="true" customHeight="false" outlineLevel="0" collapsed="false">
      <c r="A341" s="72"/>
      <c r="B341" s="33" t="s">
        <v>350</v>
      </c>
      <c r="C341" s="33" t="n">
        <v>14124</v>
      </c>
      <c r="D341" s="15" t="s">
        <v>27</v>
      </c>
      <c r="E341" s="33"/>
      <c r="F341" s="29" t="n">
        <f aca="false">Загальна!G326</f>
        <v>0</v>
      </c>
      <c r="G341" s="48"/>
      <c r="H341" s="33"/>
    </row>
    <row r="342" customFormat="false" ht="16.5" hidden="true" customHeight="false" outlineLevel="0" collapsed="false">
      <c r="A342" s="72"/>
      <c r="B342" s="33" t="s">
        <v>351</v>
      </c>
      <c r="C342" s="33" t="n">
        <v>14125</v>
      </c>
      <c r="D342" s="15" t="s">
        <v>27</v>
      </c>
      <c r="E342" s="33"/>
      <c r="F342" s="29" t="n">
        <f aca="false">Загальна!G327</f>
        <v>0</v>
      </c>
      <c r="G342" s="48"/>
      <c r="H342" s="33"/>
    </row>
    <row r="343" customFormat="false" ht="16.5" hidden="true" customHeight="false" outlineLevel="0" collapsed="false">
      <c r="A343" s="72"/>
      <c r="B343" s="33" t="s">
        <v>352</v>
      </c>
      <c r="C343" s="33" t="n">
        <v>14126</v>
      </c>
      <c r="D343" s="15" t="s">
        <v>27</v>
      </c>
      <c r="E343" s="33"/>
      <c r="F343" s="29" t="n">
        <f aca="false">Загальна!G328</f>
        <v>0</v>
      </c>
      <c r="G343" s="48"/>
      <c r="H343" s="33"/>
    </row>
    <row r="344" customFormat="false" ht="16.5" hidden="true" customHeight="false" outlineLevel="0" collapsed="false">
      <c r="A344" s="72"/>
      <c r="B344" s="33" t="s">
        <v>353</v>
      </c>
      <c r="C344" s="33" t="n">
        <v>14127</v>
      </c>
      <c r="D344" s="15" t="s">
        <v>27</v>
      </c>
      <c r="E344" s="33"/>
      <c r="F344" s="29" t="n">
        <f aca="false">Загальна!G329</f>
        <v>0</v>
      </c>
      <c r="G344" s="48"/>
      <c r="H344" s="33"/>
    </row>
    <row r="345" customFormat="false" ht="16.5" hidden="true" customHeight="false" outlineLevel="0" collapsed="false">
      <c r="A345" s="72"/>
      <c r="B345" s="33" t="s">
        <v>354</v>
      </c>
      <c r="C345" s="33" t="n">
        <v>14128</v>
      </c>
      <c r="D345" s="15" t="s">
        <v>27</v>
      </c>
      <c r="E345" s="33"/>
      <c r="F345" s="29" t="n">
        <f aca="false">Загальна!G330</f>
        <v>0</v>
      </c>
      <c r="G345" s="48"/>
      <c r="H345" s="33"/>
    </row>
    <row r="346" customFormat="false" ht="16.5" hidden="true" customHeight="false" outlineLevel="0" collapsed="false">
      <c r="A346" s="72"/>
      <c r="B346" s="33" t="s">
        <v>355</v>
      </c>
      <c r="C346" s="33" t="n">
        <v>14129</v>
      </c>
      <c r="D346" s="15" t="s">
        <v>27</v>
      </c>
      <c r="E346" s="33"/>
      <c r="F346" s="29" t="n">
        <f aca="false">Загальна!G331</f>
        <v>0</v>
      </c>
      <c r="G346" s="48"/>
      <c r="H346" s="33"/>
    </row>
    <row r="347" customFormat="false" ht="16.5" hidden="true" customHeight="false" outlineLevel="0" collapsed="false">
      <c r="A347" s="72"/>
      <c r="B347" s="33" t="s">
        <v>356</v>
      </c>
      <c r="C347" s="33" t="n">
        <v>14131</v>
      </c>
      <c r="D347" s="15" t="s">
        <v>27</v>
      </c>
      <c r="E347" s="33"/>
      <c r="F347" s="29" t="n">
        <f aca="false">Загальна!G332</f>
        <v>0</v>
      </c>
      <c r="G347" s="48"/>
      <c r="H347" s="33"/>
    </row>
    <row r="348" customFormat="false" ht="16.5" hidden="true" customHeight="false" outlineLevel="0" collapsed="false">
      <c r="A348" s="72"/>
      <c r="B348" s="33" t="s">
        <v>357</v>
      </c>
      <c r="C348" s="33" t="n">
        <v>14132</v>
      </c>
      <c r="D348" s="15" t="s">
        <v>27</v>
      </c>
      <c r="E348" s="33"/>
      <c r="F348" s="29" t="n">
        <f aca="false">Загальна!G333</f>
        <v>0</v>
      </c>
      <c r="G348" s="48"/>
      <c r="H348" s="33"/>
    </row>
    <row r="349" customFormat="false" ht="16.5" hidden="true" customHeight="false" outlineLevel="0" collapsed="false">
      <c r="A349" s="72"/>
      <c r="B349" s="33" t="s">
        <v>358</v>
      </c>
      <c r="C349" s="33" t="n">
        <v>14133</v>
      </c>
      <c r="D349" s="15" t="s">
        <v>27</v>
      </c>
      <c r="E349" s="33"/>
      <c r="F349" s="29" t="n">
        <f aca="false">Загальна!G334</f>
        <v>0</v>
      </c>
      <c r="G349" s="48"/>
      <c r="H349" s="33"/>
    </row>
    <row r="350" customFormat="false" ht="16.5" hidden="true" customHeight="false" outlineLevel="0" collapsed="false">
      <c r="A350" s="72"/>
      <c r="B350" s="33" t="s">
        <v>359</v>
      </c>
      <c r="C350" s="33" t="n">
        <v>14134</v>
      </c>
      <c r="D350" s="15" t="s">
        <v>27</v>
      </c>
      <c r="E350" s="33"/>
      <c r="F350" s="29" t="n">
        <f aca="false">Загальна!G335</f>
        <v>0</v>
      </c>
      <c r="G350" s="48"/>
      <c r="H350" s="33"/>
    </row>
    <row r="351" customFormat="false" ht="16.5" hidden="true" customHeight="false" outlineLevel="0" collapsed="false">
      <c r="A351" s="72"/>
      <c r="B351" s="33" t="s">
        <v>360</v>
      </c>
      <c r="C351" s="33" t="n">
        <v>14135</v>
      </c>
      <c r="D351" s="15" t="s">
        <v>27</v>
      </c>
      <c r="E351" s="33"/>
      <c r="F351" s="29" t="n">
        <f aca="false">Загальна!G336</f>
        <v>0</v>
      </c>
      <c r="G351" s="48"/>
      <c r="H351" s="33"/>
    </row>
    <row r="352" customFormat="false" ht="16.5" hidden="true" customHeight="false" outlineLevel="0" collapsed="false">
      <c r="A352" s="72"/>
      <c r="B352" s="33" t="s">
        <v>361</v>
      </c>
      <c r="C352" s="33" t="n">
        <v>14136</v>
      </c>
      <c r="D352" s="15" t="s">
        <v>27</v>
      </c>
      <c r="E352" s="33"/>
      <c r="F352" s="29" t="n">
        <f aca="false">Загальна!G337</f>
        <v>0</v>
      </c>
      <c r="G352" s="48"/>
      <c r="H352" s="33"/>
    </row>
    <row r="353" customFormat="false" ht="16.5" hidden="true" customHeight="false" outlineLevel="0" collapsed="false">
      <c r="A353" s="72"/>
      <c r="B353" s="33" t="s">
        <v>362</v>
      </c>
      <c r="C353" s="33" t="n">
        <v>14137</v>
      </c>
      <c r="D353" s="15" t="s">
        <v>27</v>
      </c>
      <c r="E353" s="33"/>
      <c r="F353" s="29" t="n">
        <f aca="false">Загальна!G338</f>
        <v>0</v>
      </c>
      <c r="G353" s="48"/>
      <c r="H353" s="33"/>
    </row>
    <row r="354" customFormat="false" ht="16.5" hidden="true" customHeight="false" outlineLevel="0" collapsed="false">
      <c r="A354" s="72"/>
      <c r="B354" s="33" t="s">
        <v>363</v>
      </c>
      <c r="C354" s="33" t="n">
        <v>14138</v>
      </c>
      <c r="D354" s="15" t="s">
        <v>27</v>
      </c>
      <c r="E354" s="33"/>
      <c r="F354" s="29" t="n">
        <f aca="false">Загальна!G339</f>
        <v>0</v>
      </c>
      <c r="G354" s="48"/>
      <c r="H354" s="33"/>
    </row>
    <row r="355" customFormat="false" ht="16.5" hidden="true" customHeight="false" outlineLevel="0" collapsed="false">
      <c r="A355" s="72"/>
      <c r="B355" s="33" t="s">
        <v>364</v>
      </c>
      <c r="C355" s="33" t="n">
        <v>14139</v>
      </c>
      <c r="D355" s="15" t="s">
        <v>27</v>
      </c>
      <c r="E355" s="33"/>
      <c r="F355" s="29" t="n">
        <f aca="false">Загальна!G340</f>
        <v>0</v>
      </c>
      <c r="G355" s="48"/>
      <c r="H355" s="33"/>
    </row>
    <row r="356" customFormat="false" ht="16.5" hidden="true" customHeight="false" outlineLevel="0" collapsed="false">
      <c r="A356" s="72"/>
      <c r="B356" s="33" t="s">
        <v>365</v>
      </c>
      <c r="C356" s="33" t="n">
        <v>14141</v>
      </c>
      <c r="D356" s="15" t="s">
        <v>27</v>
      </c>
      <c r="E356" s="33"/>
      <c r="F356" s="29" t="n">
        <f aca="false">Загальна!G341</f>
        <v>0</v>
      </c>
      <c r="G356" s="48"/>
      <c r="H356" s="33"/>
    </row>
    <row r="357" customFormat="false" ht="16.5" hidden="true" customHeight="false" outlineLevel="0" collapsed="false">
      <c r="A357" s="72"/>
      <c r="B357" s="33" t="s">
        <v>366</v>
      </c>
      <c r="C357" s="33" t="n">
        <v>14142</v>
      </c>
      <c r="D357" s="15" t="s">
        <v>27</v>
      </c>
      <c r="E357" s="33"/>
      <c r="F357" s="29" t="n">
        <f aca="false">Загальна!G342</f>
        <v>0</v>
      </c>
      <c r="G357" s="48"/>
      <c r="H357" s="33"/>
    </row>
    <row r="358" customFormat="false" ht="16.5" hidden="true" customHeight="false" outlineLevel="0" collapsed="false">
      <c r="A358" s="72"/>
      <c r="B358" s="33" t="s">
        <v>367</v>
      </c>
      <c r="C358" s="33" t="n">
        <v>14143</v>
      </c>
      <c r="D358" s="15" t="s">
        <v>27</v>
      </c>
      <c r="E358" s="33"/>
      <c r="F358" s="29" t="n">
        <f aca="false">Загальна!G343</f>
        <v>0</v>
      </c>
      <c r="G358" s="48"/>
      <c r="H358" s="33"/>
    </row>
    <row r="359" customFormat="false" ht="16.5" hidden="true" customHeight="false" outlineLevel="0" collapsed="false">
      <c r="A359" s="72"/>
      <c r="B359" s="33" t="s">
        <v>368</v>
      </c>
      <c r="C359" s="33" t="n">
        <v>15001</v>
      </c>
      <c r="D359" s="15" t="s">
        <v>27</v>
      </c>
      <c r="E359" s="33"/>
      <c r="F359" s="29" t="n">
        <f aca="false">Загальна!G344</f>
        <v>0</v>
      </c>
      <c r="G359" s="48"/>
      <c r="H359" s="33"/>
    </row>
    <row r="360" customFormat="false" ht="16.5" hidden="true" customHeight="false" outlineLevel="0" collapsed="false">
      <c r="A360" s="72" t="n">
        <v>28</v>
      </c>
      <c r="B360" s="33" t="s">
        <v>369</v>
      </c>
      <c r="C360" s="33" t="n">
        <v>15003</v>
      </c>
      <c r="D360" s="15" t="s">
        <v>27</v>
      </c>
      <c r="E360" s="33"/>
      <c r="F360" s="29" t="n">
        <f aca="false">Загальна!G345</f>
        <v>0</v>
      </c>
      <c r="G360" s="48"/>
      <c r="H360" s="33"/>
    </row>
    <row r="361" customFormat="false" ht="16.5" hidden="true" customHeight="false" outlineLevel="0" collapsed="false">
      <c r="A361" s="72"/>
      <c r="B361" s="33" t="s">
        <v>370</v>
      </c>
      <c r="C361" s="33" t="n">
        <v>15004</v>
      </c>
      <c r="D361" s="15" t="s">
        <v>27</v>
      </c>
      <c r="E361" s="33"/>
      <c r="F361" s="29" t="n">
        <f aca="false">Загальна!G346</f>
        <v>0</v>
      </c>
      <c r="G361" s="48"/>
      <c r="H361" s="33"/>
    </row>
    <row r="362" customFormat="false" ht="16.5" hidden="false" customHeight="false" outlineLevel="0" collapsed="false">
      <c r="A362" s="72" t="n">
        <v>28</v>
      </c>
      <c r="B362" s="33" t="s">
        <v>371</v>
      </c>
      <c r="C362" s="33" t="n">
        <v>15005</v>
      </c>
      <c r="D362" s="15" t="s">
        <v>27</v>
      </c>
      <c r="E362" s="33"/>
      <c r="F362" s="29" t="n">
        <f aca="false">Загальна!G347</f>
        <v>0.76</v>
      </c>
      <c r="G362" s="48"/>
      <c r="H362" s="33"/>
    </row>
    <row r="363" customFormat="false" ht="16.5" hidden="true" customHeight="false" outlineLevel="0" collapsed="false">
      <c r="A363" s="72"/>
      <c r="B363" s="33" t="s">
        <v>372</v>
      </c>
      <c r="C363" s="33" t="n">
        <v>15006</v>
      </c>
      <c r="D363" s="15" t="s">
        <v>27</v>
      </c>
      <c r="E363" s="33"/>
      <c r="F363" s="29" t="n">
        <f aca="false">Загальна!G348</f>
        <v>0</v>
      </c>
      <c r="G363" s="48"/>
      <c r="H363" s="33"/>
    </row>
    <row r="364" customFormat="false" ht="16.5" hidden="true" customHeight="false" outlineLevel="0" collapsed="false">
      <c r="A364" s="72"/>
      <c r="B364" s="33" t="s">
        <v>373</v>
      </c>
      <c r="C364" s="33" t="n">
        <v>15007</v>
      </c>
      <c r="D364" s="15" t="s">
        <v>27</v>
      </c>
      <c r="E364" s="33"/>
      <c r="F364" s="29" t="n">
        <f aca="false">Загальна!G349</f>
        <v>0</v>
      </c>
      <c r="G364" s="48"/>
      <c r="H364" s="33"/>
    </row>
    <row r="365" customFormat="false" ht="16.5" hidden="true" customHeight="false" outlineLevel="0" collapsed="false">
      <c r="A365" s="72" t="n">
        <v>29</v>
      </c>
      <c r="B365" s="33" t="s">
        <v>374</v>
      </c>
      <c r="C365" s="33" t="n">
        <v>15008</v>
      </c>
      <c r="D365" s="15" t="s">
        <v>27</v>
      </c>
      <c r="E365" s="33"/>
      <c r="F365" s="29" t="n">
        <f aca="false">Загальна!G350</f>
        <v>0</v>
      </c>
      <c r="G365" s="48"/>
      <c r="H365" s="33"/>
    </row>
    <row r="366" customFormat="false" ht="16.5" hidden="true" customHeight="false" outlineLevel="0" collapsed="false">
      <c r="A366" s="72"/>
      <c r="B366" s="33" t="s">
        <v>375</v>
      </c>
      <c r="C366" s="33" t="n">
        <v>15009</v>
      </c>
      <c r="D366" s="15" t="s">
        <v>27</v>
      </c>
      <c r="E366" s="33"/>
      <c r="F366" s="29" t="n">
        <f aca="false">Загальна!G351</f>
        <v>0</v>
      </c>
      <c r="G366" s="48"/>
      <c r="H366" s="33"/>
    </row>
    <row r="367" customFormat="false" ht="16.5" hidden="false" customHeight="false" outlineLevel="0" collapsed="false">
      <c r="A367" s="72" t="n">
        <v>29</v>
      </c>
      <c r="B367" s="33" t="s">
        <v>376</v>
      </c>
      <c r="C367" s="33" t="n">
        <v>15010</v>
      </c>
      <c r="D367" s="15" t="s">
        <v>27</v>
      </c>
      <c r="E367" s="33"/>
      <c r="F367" s="29" t="n">
        <f aca="false">Загальна!G352</f>
        <v>1.28491525423729</v>
      </c>
      <c r="G367" s="48"/>
      <c r="H367" s="33"/>
    </row>
    <row r="368" customFormat="false" ht="16.5" hidden="true" customHeight="false" outlineLevel="0" collapsed="false">
      <c r="A368" s="72" t="n">
        <v>30</v>
      </c>
      <c r="B368" s="33" t="s">
        <v>377</v>
      </c>
      <c r="C368" s="33" t="n">
        <v>15011</v>
      </c>
      <c r="D368" s="15" t="s">
        <v>27</v>
      </c>
      <c r="E368" s="33"/>
      <c r="F368" s="29" t="n">
        <f aca="false">Загальна!G353</f>
        <v>0</v>
      </c>
      <c r="G368" s="48"/>
      <c r="H368" s="33"/>
    </row>
    <row r="369" customFormat="false" ht="16.5" hidden="true" customHeight="false" outlineLevel="0" collapsed="false">
      <c r="A369" s="72"/>
      <c r="B369" s="33" t="s">
        <v>378</v>
      </c>
      <c r="C369" s="33" t="n">
        <v>15012</v>
      </c>
      <c r="D369" s="15" t="s">
        <v>27</v>
      </c>
      <c r="E369" s="33"/>
      <c r="F369" s="29" t="n">
        <f aca="false">Загальна!G354</f>
        <v>0</v>
      </c>
      <c r="G369" s="48"/>
      <c r="H369" s="33"/>
    </row>
    <row r="370" customFormat="false" ht="16.5" hidden="false" customHeight="false" outlineLevel="0" collapsed="false">
      <c r="A370" s="72" t="n">
        <v>30</v>
      </c>
      <c r="B370" s="33" t="s">
        <v>379</v>
      </c>
      <c r="C370" s="33" t="n">
        <v>15013</v>
      </c>
      <c r="D370" s="15" t="s">
        <v>27</v>
      </c>
      <c r="E370" s="33"/>
      <c r="F370" s="29" t="n">
        <f aca="false">Загальна!G355</f>
        <v>1.9</v>
      </c>
      <c r="G370" s="48"/>
      <c r="H370" s="33"/>
    </row>
    <row r="371" customFormat="false" ht="16.5" hidden="true" customHeight="false" outlineLevel="0" collapsed="false">
      <c r="A371" s="72"/>
      <c r="B371" s="33" t="s">
        <v>380</v>
      </c>
      <c r="C371" s="33" t="n">
        <v>15014</v>
      </c>
      <c r="D371" s="15" t="s">
        <v>27</v>
      </c>
      <c r="E371" s="33"/>
      <c r="F371" s="29" t="n">
        <f aca="false">Загальна!G356</f>
        <v>0</v>
      </c>
      <c r="G371" s="48"/>
      <c r="H371" s="33"/>
    </row>
    <row r="372" customFormat="false" ht="16.5" hidden="true" customHeight="false" outlineLevel="0" collapsed="false">
      <c r="A372" s="72"/>
      <c r="B372" s="33" t="s">
        <v>381</v>
      </c>
      <c r="C372" s="33" t="n">
        <v>15015</v>
      </c>
      <c r="D372" s="15" t="s">
        <v>27</v>
      </c>
      <c r="E372" s="33"/>
      <c r="F372" s="29" t="n">
        <f aca="false">Загальна!G357</f>
        <v>0</v>
      </c>
      <c r="G372" s="48"/>
      <c r="H372" s="33"/>
    </row>
    <row r="373" customFormat="false" ht="16.5" hidden="true" customHeight="false" outlineLevel="0" collapsed="false">
      <c r="A373" s="72" t="n">
        <v>31</v>
      </c>
      <c r="B373" s="33" t="s">
        <v>382</v>
      </c>
      <c r="C373" s="33" t="n">
        <v>15017</v>
      </c>
      <c r="D373" s="15" t="s">
        <v>27</v>
      </c>
      <c r="E373" s="33"/>
      <c r="F373" s="29" t="n">
        <f aca="false">Загальна!G358</f>
        <v>3.68406779661017</v>
      </c>
      <c r="G373" s="48"/>
      <c r="H373" s="33"/>
    </row>
    <row r="374" customFormat="false" ht="16.5" hidden="true" customHeight="false" outlineLevel="0" collapsed="false">
      <c r="A374" s="72"/>
      <c r="B374" s="33" t="s">
        <v>383</v>
      </c>
      <c r="C374" s="33" t="n">
        <v>15018</v>
      </c>
      <c r="D374" s="15" t="s">
        <v>27</v>
      </c>
      <c r="E374" s="33"/>
      <c r="F374" s="29" t="n">
        <f aca="false">Загальна!G359</f>
        <v>0</v>
      </c>
      <c r="G374" s="48"/>
      <c r="H374" s="33"/>
    </row>
    <row r="375" customFormat="false" ht="16.5" hidden="true" customHeight="false" outlineLevel="0" collapsed="false">
      <c r="A375" s="72" t="n">
        <v>32</v>
      </c>
      <c r="B375" s="33" t="s">
        <v>384</v>
      </c>
      <c r="C375" s="33" t="n">
        <v>15020</v>
      </c>
      <c r="D375" s="15" t="s">
        <v>27</v>
      </c>
      <c r="E375" s="33"/>
      <c r="F375" s="29" t="n">
        <f aca="false">Загальна!G360</f>
        <v>2.75016949152542</v>
      </c>
      <c r="G375" s="48"/>
      <c r="H375" s="33"/>
    </row>
    <row r="376" customFormat="false" ht="16.5" hidden="true" customHeight="false" outlineLevel="0" collapsed="false">
      <c r="A376" s="72"/>
      <c r="B376" s="33" t="s">
        <v>385</v>
      </c>
      <c r="C376" s="33" t="n">
        <v>15021</v>
      </c>
      <c r="D376" s="15" t="s">
        <v>27</v>
      </c>
      <c r="E376" s="33"/>
      <c r="F376" s="29" t="n">
        <f aca="false">Загальна!G361</f>
        <v>0</v>
      </c>
      <c r="G376" s="48"/>
      <c r="H376" s="33"/>
    </row>
    <row r="377" customFormat="false" ht="16.5" hidden="true" customHeight="false" outlineLevel="0" collapsed="false">
      <c r="A377" s="72"/>
      <c r="B377" s="33" t="s">
        <v>386</v>
      </c>
      <c r="C377" s="33" t="n">
        <v>15022</v>
      </c>
      <c r="D377" s="15" t="s">
        <v>27</v>
      </c>
      <c r="E377" s="33"/>
      <c r="F377" s="29" t="n">
        <f aca="false">Загальна!G362</f>
        <v>0</v>
      </c>
      <c r="G377" s="48"/>
      <c r="H377" s="33"/>
    </row>
    <row r="378" customFormat="false" ht="16.5" hidden="true" customHeight="false" outlineLevel="0" collapsed="false">
      <c r="A378" s="72"/>
      <c r="B378" s="33" t="s">
        <v>387</v>
      </c>
      <c r="C378" s="33" t="n">
        <v>15023</v>
      </c>
      <c r="D378" s="15" t="s">
        <v>27</v>
      </c>
      <c r="E378" s="33"/>
      <c r="F378" s="29" t="n">
        <f aca="false">Загальна!G363</f>
        <v>0</v>
      </c>
      <c r="G378" s="48"/>
      <c r="H378" s="33"/>
    </row>
    <row r="380" customFormat="false" ht="16.5" hidden="false" customHeight="false" outlineLevel="0" collapsed="false">
      <c r="B380" s="0" t="s">
        <v>417</v>
      </c>
      <c r="C380" s="0" t="s">
        <v>418</v>
      </c>
    </row>
    <row r="382" customFormat="false" ht="16.5" hidden="false" customHeight="false" outlineLevel="0" collapsed="false">
      <c r="B382" s="0" t="s">
        <v>419</v>
      </c>
      <c r="C382" s="0" t="s">
        <v>420</v>
      </c>
    </row>
  </sheetData>
  <autoFilter ref="A17:H378">
    <filterColumn colId="5">
      <filters>
        <filter val="0.550"/>
        <filter val="0.916"/>
        <filter val="2.016"/>
        <filter val="5.498"/>
        <filter val="2.199"/>
        <filter val="82.621"/>
        <filter val="3.665"/>
        <filter val="1.466"/>
        <filter val="0.367"/>
        <filter val="7.330"/>
        <filter val="0.733"/>
        <filter val="1.833"/>
        <filter val="0.037"/>
        <filter val="1.239"/>
        <filter val="1.100"/>
        <filter val="0.183"/>
        <filter val="6"/>
      </filters>
    </filterColumn>
  </autoFilter>
  <mergeCells count="15">
    <mergeCell ref="A6:H6"/>
    <mergeCell ref="A8:H8"/>
    <mergeCell ref="A9:H9"/>
    <mergeCell ref="C11:D11"/>
    <mergeCell ref="E11:F11"/>
    <mergeCell ref="G11:H11"/>
    <mergeCell ref="C12:D12"/>
    <mergeCell ref="E12:F12"/>
    <mergeCell ref="G12:H12"/>
    <mergeCell ref="C14:D14"/>
    <mergeCell ref="E14:F14"/>
    <mergeCell ref="G14:H14"/>
    <mergeCell ref="C15:D15"/>
    <mergeCell ref="E15:F15"/>
    <mergeCell ref="G15:H15"/>
  </mergeCells>
  <conditionalFormatting sqref="B380">
    <cfRule type="expression" priority="2" aboveAverage="0" equalAverage="0" bottom="0" percent="0" rank="0" text="" dxfId="2">
      <formula>ROW(B380)=CELL("строка")</formula>
    </cfRule>
  </conditionalFormatting>
  <conditionalFormatting sqref="A19:A378">
    <cfRule type="expression" priority="3" aboveAverage="0" equalAverage="0" bottom="0" percent="0" rank="0" text="" dxfId="2">
      <formula>ROW(A19)=CELL("строка")</formula>
    </cfRule>
  </conditionalFormatting>
  <conditionalFormatting sqref="B19:H378">
    <cfRule type="expression" priority="4" aboveAverage="0" equalAverage="0" bottom="0" percent="0" rank="0" text="" dxfId="2">
      <formula>ROW(B19)=CELL("строка")</formula>
    </cfRule>
  </conditionalFormatting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85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MJ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" defaultRowHeight="16.5" zeroHeight="false" outlineLevelRow="0" outlineLevelCol="0"/>
  <cols>
    <col collapsed="false" customWidth="true" hidden="false" outlineLevel="0" max="1" min="1" style="76" width="13.14"/>
    <col collapsed="false" customWidth="true" hidden="false" outlineLevel="0" max="2" min="2" style="77" width="17"/>
    <col collapsed="false" customWidth="true" hidden="false" outlineLevel="0" max="3" min="3" style="76" width="16.71"/>
    <col collapsed="false" customWidth="true" hidden="false" outlineLevel="0" max="4" min="4" style="76" width="9.29"/>
    <col collapsed="false" customWidth="false" hidden="true" outlineLevel="0" max="9" min="5" style="76" width="8"/>
    <col collapsed="false" customWidth="true" hidden="false" outlineLevel="0" max="10" min="10" style="76" width="0.14"/>
    <col collapsed="false" customWidth="false" hidden="false" outlineLevel="0" max="12" min="11" style="76" width="8"/>
    <col collapsed="false" customWidth="true" hidden="false" outlineLevel="0" max="13" min="13" style="76" width="8.43"/>
    <col collapsed="false" customWidth="false" hidden="true" outlineLevel="0" max="16" min="14" style="76" width="8"/>
    <col collapsed="false" customWidth="false" hidden="true" outlineLevel="0" max="22" min="20" style="0" width="8"/>
    <col collapsed="false" customWidth="false" hidden="true" outlineLevel="0" max="34" min="29" style="0" width="8"/>
    <col collapsed="false" customWidth="false" hidden="true" outlineLevel="0" max="40" min="38" style="0" width="8"/>
    <col collapsed="false" customWidth="false" hidden="true" outlineLevel="0" max="46" min="44" style="0" width="8"/>
    <col collapsed="false" customWidth="true" hidden="true" outlineLevel="0" max="65" min="65" style="0" width="14.14"/>
    <col collapsed="false" customWidth="false" hidden="true" outlineLevel="0" max="67" min="66" style="0" width="8"/>
    <col collapsed="false" customWidth="false" hidden="true" outlineLevel="0" max="100" min="98" style="0" width="8"/>
    <col collapsed="false" customWidth="false" hidden="true" outlineLevel="0" max="109" min="104" style="0" width="8"/>
    <col collapsed="false" customWidth="false" hidden="true" outlineLevel="0" max="127" min="122" style="0" width="8"/>
    <col collapsed="false" customWidth="false" hidden="true" outlineLevel="0" max="166" min="140" style="0" width="8"/>
    <col collapsed="false" customWidth="false" hidden="true" outlineLevel="0" max="232" min="170" style="0" width="8"/>
    <col collapsed="false" customWidth="true" hidden="true" outlineLevel="0" max="236" min="236" style="0" width="7.14"/>
    <col collapsed="false" customWidth="false" hidden="true" outlineLevel="0" max="238" min="237" style="0" width="8"/>
    <col collapsed="false" customWidth="false" hidden="true" outlineLevel="0" max="253" min="251" style="0" width="8"/>
    <col collapsed="false" customWidth="false" hidden="true" outlineLevel="0" max="277" min="263" style="0" width="8"/>
    <col collapsed="false" customWidth="false" hidden="true" outlineLevel="0" max="301" min="296" style="0" width="8"/>
    <col collapsed="false" customWidth="false" hidden="true" outlineLevel="0" max="328" min="320" style="0" width="8"/>
    <col collapsed="false" customWidth="false" hidden="true" outlineLevel="0" max="343" min="341" style="0" width="8"/>
    <col collapsed="false" customWidth="true" hidden="true" outlineLevel="0" max="347" min="347" style="0" width="11.71"/>
    <col collapsed="false" customWidth="false" hidden="true" outlineLevel="0" max="349" min="348" style="0" width="8"/>
    <col collapsed="false" customWidth="false" hidden="true" outlineLevel="0" max="370" min="368" style="0" width="8"/>
    <col collapsed="false" customWidth="false" hidden="true" outlineLevel="0" max="382" min="380" style="0" width="8"/>
    <col collapsed="false" customWidth="false" hidden="true" outlineLevel="0" max="412" min="392" style="0" width="8"/>
    <col collapsed="false" customWidth="false" hidden="true" outlineLevel="0" max="433" min="431" style="0" width="8"/>
    <col collapsed="false" customWidth="false" hidden="true" outlineLevel="0" max="451" min="440" style="0" width="8"/>
    <col collapsed="false" customWidth="false" hidden="true" outlineLevel="0" max="460" min="455" style="0" width="8"/>
    <col collapsed="false" customWidth="false" hidden="true" outlineLevel="0" max="472" min="467" style="0" width="8"/>
    <col collapsed="false" customWidth="false" hidden="true" outlineLevel="0" max="481" min="476" style="0" width="8"/>
    <col collapsed="false" customWidth="false" hidden="true" outlineLevel="0" max="493" min="485" style="0" width="8"/>
    <col collapsed="false" customWidth="false" hidden="true" outlineLevel="0" max="505" min="503" style="0" width="8"/>
    <col collapsed="false" customWidth="false" hidden="true" outlineLevel="0" max="523" min="509" style="0" width="8"/>
    <col collapsed="false" customWidth="false" hidden="true" outlineLevel="0" max="532" min="527" style="0" width="8"/>
    <col collapsed="false" customWidth="false" hidden="true" outlineLevel="0" max="562" min="560" style="0" width="8"/>
    <col collapsed="false" customWidth="false" hidden="true" outlineLevel="0" max="589" min="566" style="0" width="8"/>
    <col collapsed="false" customWidth="false" hidden="true" outlineLevel="0" max="625" min="620" style="0" width="8"/>
    <col collapsed="false" customWidth="false" hidden="true" outlineLevel="0" max="631" min="629" style="0" width="8"/>
    <col collapsed="false" customWidth="false" hidden="true" outlineLevel="0" max="643" min="635" style="0" width="8"/>
    <col collapsed="false" customWidth="false" hidden="true" outlineLevel="0" max="649" min="647" style="0" width="8"/>
    <col collapsed="false" customWidth="false" hidden="true" outlineLevel="0" max="661" min="653" style="0" width="8"/>
    <col collapsed="false" customWidth="false" hidden="true" outlineLevel="0" max="676" min="665" style="0" width="8"/>
    <col collapsed="false" customWidth="true" hidden="true" outlineLevel="0" max="695" min="695" style="0" width="10.43"/>
    <col collapsed="false" customWidth="false" hidden="true" outlineLevel="0" max="697" min="696" style="0" width="8"/>
    <col collapsed="false" customWidth="false" hidden="true" outlineLevel="0" max="721" min="719" style="0" width="8"/>
    <col collapsed="false" customWidth="false" hidden="true" outlineLevel="0" max="736" min="725" style="0" width="8"/>
    <col collapsed="false" customWidth="false" hidden="true" outlineLevel="0" max="745" min="743" style="0" width="8"/>
    <col collapsed="false" customWidth="false" hidden="true" outlineLevel="0" max="757" min="749" style="0" width="8"/>
    <col collapsed="false" customWidth="false" hidden="true" outlineLevel="0" max="772" min="761" style="0" width="8"/>
    <col collapsed="false" customWidth="false" hidden="true" outlineLevel="0" max="817" min="797" style="0" width="8"/>
    <col collapsed="false" customWidth="false" hidden="true" outlineLevel="0" max="853" min="833" style="0" width="8"/>
    <col collapsed="false" customWidth="false" hidden="true" outlineLevel="0" max="883" min="875" style="0" width="8"/>
    <col collapsed="false" customWidth="false" hidden="true" outlineLevel="0" max="892" min="890" style="0" width="8"/>
    <col collapsed="false" customWidth="false" hidden="true" outlineLevel="0" max="910" min="896" style="0" width="8"/>
    <col collapsed="false" customWidth="false" hidden="true" outlineLevel="0" max="955" min="917" style="0" width="8"/>
    <col collapsed="false" customWidth="false" hidden="true" outlineLevel="0" max="991" min="974" style="0" width="8"/>
    <col collapsed="false" customWidth="true" hidden="true" outlineLevel="0" max="995" min="995" style="0" width="14.14"/>
    <col collapsed="false" customWidth="false" hidden="true" outlineLevel="0" max="1024" min="996" style="0" width="8"/>
  </cols>
  <sheetData>
    <row r="1" s="80" customFormat="true" ht="15" hidden="false" customHeight="true" outlineLevel="0" collapsed="false">
      <c r="A1" s="78" t="s">
        <v>421</v>
      </c>
      <c r="B1" s="78" t="s">
        <v>422</v>
      </c>
      <c r="C1" s="78" t="s">
        <v>423</v>
      </c>
      <c r="D1" s="79" t="s">
        <v>424</v>
      </c>
      <c r="E1" s="80" t="s">
        <v>425</v>
      </c>
      <c r="AI1" s="80" t="s">
        <v>425</v>
      </c>
      <c r="BM1" s="80" t="s">
        <v>425</v>
      </c>
      <c r="CQ1" s="80" t="s">
        <v>425</v>
      </c>
      <c r="DU1" s="80" t="s">
        <v>425</v>
      </c>
      <c r="EY1" s="80" t="s">
        <v>425</v>
      </c>
      <c r="GC1" s="80" t="s">
        <v>425</v>
      </c>
      <c r="HG1" s="80" t="s">
        <v>425</v>
      </c>
      <c r="IK1" s="80" t="s">
        <v>425</v>
      </c>
      <c r="JO1" s="80" t="s">
        <v>425</v>
      </c>
      <c r="KS1" s="80" t="s">
        <v>425</v>
      </c>
      <c r="LW1" s="80" t="s">
        <v>425</v>
      </c>
      <c r="NA1" s="80" t="s">
        <v>425</v>
      </c>
      <c r="OE1" s="80" t="s">
        <v>425</v>
      </c>
      <c r="PI1" s="80" t="s">
        <v>425</v>
      </c>
      <c r="QM1" s="80" t="s">
        <v>425</v>
      </c>
      <c r="RQ1" s="80" t="s">
        <v>425</v>
      </c>
      <c r="SU1" s="80" t="s">
        <v>425</v>
      </c>
      <c r="TY1" s="80" t="s">
        <v>425</v>
      </c>
      <c r="VC1" s="80" t="s">
        <v>425</v>
      </c>
      <c r="WG1" s="80" t="s">
        <v>425</v>
      </c>
      <c r="XK1" s="80" t="s">
        <v>425</v>
      </c>
      <c r="YO1" s="80" t="s">
        <v>425</v>
      </c>
      <c r="ZS1" s="80" t="s">
        <v>425</v>
      </c>
      <c r="AAW1" s="80" t="s">
        <v>425</v>
      </c>
      <c r="ACA1" s="80" t="s">
        <v>425</v>
      </c>
      <c r="ADE1" s="80" t="s">
        <v>425</v>
      </c>
      <c r="AEI1" s="80" t="s">
        <v>425</v>
      </c>
      <c r="AFM1" s="80" t="s">
        <v>425</v>
      </c>
      <c r="AGQ1" s="80" t="s">
        <v>425</v>
      </c>
      <c r="AHU1" s="80" t="s">
        <v>425</v>
      </c>
      <c r="AIY1" s="80" t="s">
        <v>425</v>
      </c>
      <c r="AKC1" s="80" t="s">
        <v>425</v>
      </c>
      <c r="ALG1" s="80" t="s">
        <v>425</v>
      </c>
    </row>
    <row r="2" s="82" customFormat="true" ht="15" hidden="false" customHeight="true" outlineLevel="0" collapsed="false">
      <c r="A2" s="78"/>
      <c r="B2" s="78"/>
      <c r="C2" s="78"/>
      <c r="D2" s="79"/>
      <c r="E2" s="81" t="s">
        <v>26</v>
      </c>
      <c r="F2" s="81"/>
      <c r="G2" s="81"/>
      <c r="H2" s="81" t="s">
        <v>28</v>
      </c>
      <c r="I2" s="81"/>
      <c r="J2" s="81"/>
      <c r="K2" s="81" t="s">
        <v>29</v>
      </c>
      <c r="L2" s="81"/>
      <c r="M2" s="81"/>
      <c r="N2" s="81" t="s">
        <v>426</v>
      </c>
      <c r="O2" s="81"/>
      <c r="P2" s="81"/>
      <c r="Q2" s="82" t="s">
        <v>31</v>
      </c>
      <c r="T2" s="81" t="s">
        <v>32</v>
      </c>
      <c r="U2" s="81"/>
      <c r="V2" s="81"/>
      <c r="W2" s="81" t="s">
        <v>33</v>
      </c>
      <c r="X2" s="81"/>
      <c r="Y2" s="81"/>
      <c r="Z2" s="81" t="s">
        <v>34</v>
      </c>
      <c r="AA2" s="81"/>
      <c r="AB2" s="81"/>
      <c r="AC2" s="81" t="s">
        <v>35</v>
      </c>
      <c r="AD2" s="81"/>
      <c r="AE2" s="81"/>
      <c r="AF2" s="81" t="s">
        <v>36</v>
      </c>
      <c r="AG2" s="81"/>
      <c r="AH2" s="81"/>
      <c r="AI2" s="82" t="s">
        <v>37</v>
      </c>
      <c r="AL2" s="82" t="s">
        <v>38</v>
      </c>
      <c r="AO2" s="82" t="s">
        <v>39</v>
      </c>
      <c r="AR2" s="82" t="s">
        <v>40</v>
      </c>
      <c r="AU2" s="82" t="s">
        <v>41</v>
      </c>
      <c r="AX2" s="82" t="s">
        <v>42</v>
      </c>
      <c r="BA2" s="82" t="s">
        <v>43</v>
      </c>
      <c r="BD2" s="82" t="s">
        <v>44</v>
      </c>
      <c r="BG2" s="82" t="s">
        <v>45</v>
      </c>
      <c r="BJ2" s="82" t="s">
        <v>46</v>
      </c>
      <c r="BM2" s="82" t="s">
        <v>47</v>
      </c>
      <c r="BP2" s="82" t="s">
        <v>48</v>
      </c>
      <c r="BS2" s="82" t="s">
        <v>49</v>
      </c>
      <c r="BV2" s="82" t="s">
        <v>50</v>
      </c>
      <c r="BY2" s="82" t="s">
        <v>51</v>
      </c>
      <c r="CB2" s="82" t="s">
        <v>52</v>
      </c>
      <c r="CE2" s="82" t="s">
        <v>53</v>
      </c>
      <c r="CH2" s="82" t="s">
        <v>54</v>
      </c>
      <c r="CK2" s="82" t="s">
        <v>55</v>
      </c>
      <c r="CN2" s="82" t="s">
        <v>56</v>
      </c>
      <c r="CQ2" s="82" t="s">
        <v>57</v>
      </c>
      <c r="CT2" s="82" t="s">
        <v>58</v>
      </c>
      <c r="CW2" s="82" t="s">
        <v>59</v>
      </c>
      <c r="CZ2" s="82" t="s">
        <v>60</v>
      </c>
      <c r="DC2" s="82" t="s">
        <v>61</v>
      </c>
      <c r="DF2" s="82" t="s">
        <v>62</v>
      </c>
      <c r="DI2" s="82" t="s">
        <v>63</v>
      </c>
      <c r="DL2" s="82" t="s">
        <v>64</v>
      </c>
      <c r="DO2" s="82" t="s">
        <v>65</v>
      </c>
      <c r="DR2" s="82" t="s">
        <v>66</v>
      </c>
      <c r="DU2" s="82" t="s">
        <v>67</v>
      </c>
      <c r="DX2" s="82" t="s">
        <v>68</v>
      </c>
      <c r="EA2" s="82" t="s">
        <v>69</v>
      </c>
      <c r="ED2" s="82" t="s">
        <v>70</v>
      </c>
      <c r="EG2" s="82" t="s">
        <v>71</v>
      </c>
      <c r="EJ2" s="82" t="s">
        <v>72</v>
      </c>
      <c r="EM2" s="82" t="s">
        <v>73</v>
      </c>
      <c r="EP2" s="82" t="s">
        <v>74</v>
      </c>
      <c r="ES2" s="82" t="s">
        <v>75</v>
      </c>
      <c r="EV2" s="82" t="s">
        <v>76</v>
      </c>
      <c r="EY2" s="82" t="s">
        <v>77</v>
      </c>
      <c r="FB2" s="82" t="s">
        <v>78</v>
      </c>
      <c r="FE2" s="82" t="s">
        <v>79</v>
      </c>
      <c r="FH2" s="82" t="s">
        <v>80</v>
      </c>
      <c r="FK2" s="82" t="s">
        <v>81</v>
      </c>
      <c r="FN2" s="82" t="s">
        <v>82</v>
      </c>
      <c r="FQ2" s="82" t="s">
        <v>83</v>
      </c>
      <c r="FT2" s="82" t="s">
        <v>84</v>
      </c>
      <c r="FW2" s="82" t="s">
        <v>85</v>
      </c>
      <c r="FZ2" s="82" t="s">
        <v>86</v>
      </c>
      <c r="GC2" s="82" t="s">
        <v>87</v>
      </c>
      <c r="GF2" s="82" t="s">
        <v>88</v>
      </c>
      <c r="GI2" s="82" t="s">
        <v>89</v>
      </c>
      <c r="GL2" s="82" t="s">
        <v>90</v>
      </c>
      <c r="GO2" s="82" t="s">
        <v>91</v>
      </c>
      <c r="GR2" s="82" t="s">
        <v>92</v>
      </c>
      <c r="GU2" s="82" t="s">
        <v>93</v>
      </c>
      <c r="GX2" s="82" t="s">
        <v>94</v>
      </c>
      <c r="HA2" s="82" t="s">
        <v>95</v>
      </c>
      <c r="HD2" s="82" t="s">
        <v>96</v>
      </c>
      <c r="HG2" s="82" t="s">
        <v>97</v>
      </c>
      <c r="HJ2" s="82" t="s">
        <v>98</v>
      </c>
      <c r="HM2" s="82" t="s">
        <v>99</v>
      </c>
      <c r="HP2" s="82" t="s">
        <v>100</v>
      </c>
      <c r="HS2" s="82" t="s">
        <v>101</v>
      </c>
      <c r="HV2" s="82" t="s">
        <v>102</v>
      </c>
      <c r="HY2" s="82" t="s">
        <v>103</v>
      </c>
      <c r="IB2" s="82" t="s">
        <v>104</v>
      </c>
      <c r="IE2" s="82" t="s">
        <v>105</v>
      </c>
      <c r="IH2" s="82" t="s">
        <v>106</v>
      </c>
      <c r="IK2" s="82" t="s">
        <v>107</v>
      </c>
      <c r="IN2" s="82" t="s">
        <v>108</v>
      </c>
      <c r="IQ2" s="82" t="s">
        <v>109</v>
      </c>
      <c r="IT2" s="82" t="s">
        <v>110</v>
      </c>
      <c r="IW2" s="82" t="s">
        <v>111</v>
      </c>
      <c r="IZ2" s="82" t="s">
        <v>112</v>
      </c>
      <c r="JC2" s="82" t="s">
        <v>113</v>
      </c>
      <c r="JF2" s="82" t="s">
        <v>114</v>
      </c>
      <c r="JI2" s="82" t="s">
        <v>115</v>
      </c>
      <c r="JL2" s="82" t="s">
        <v>116</v>
      </c>
      <c r="JO2" s="82" t="s">
        <v>117</v>
      </c>
      <c r="JR2" s="82" t="s">
        <v>118</v>
      </c>
      <c r="JU2" s="82" t="s">
        <v>119</v>
      </c>
      <c r="JX2" s="82" t="s">
        <v>120</v>
      </c>
      <c r="KA2" s="82" t="s">
        <v>121</v>
      </c>
      <c r="KD2" s="82" t="s">
        <v>122</v>
      </c>
      <c r="KG2" s="82" t="s">
        <v>123</v>
      </c>
      <c r="KJ2" s="82" t="s">
        <v>124</v>
      </c>
      <c r="KM2" s="82" t="s">
        <v>125</v>
      </c>
      <c r="KP2" s="82" t="s">
        <v>126</v>
      </c>
      <c r="KS2" s="82" t="s">
        <v>127</v>
      </c>
      <c r="KV2" s="82" t="s">
        <v>128</v>
      </c>
      <c r="KY2" s="82" t="s">
        <v>129</v>
      </c>
      <c r="LB2" s="82" t="s">
        <v>130</v>
      </c>
      <c r="LE2" s="82" t="s">
        <v>131</v>
      </c>
      <c r="LH2" s="82" t="s">
        <v>132</v>
      </c>
      <c r="LK2" s="82" t="s">
        <v>133</v>
      </c>
      <c r="LN2" s="82" t="s">
        <v>134</v>
      </c>
      <c r="LQ2" s="82" t="s">
        <v>135</v>
      </c>
      <c r="LT2" s="82" t="s">
        <v>136</v>
      </c>
      <c r="LW2" s="82" t="s">
        <v>137</v>
      </c>
      <c r="LZ2" s="82" t="s">
        <v>138</v>
      </c>
      <c r="MC2" s="82" t="s">
        <v>139</v>
      </c>
      <c r="MF2" s="82" t="s">
        <v>140</v>
      </c>
      <c r="MI2" s="82" t="s">
        <v>141</v>
      </c>
      <c r="ML2" s="82" t="s">
        <v>142</v>
      </c>
      <c r="MO2" s="82" t="s">
        <v>143</v>
      </c>
      <c r="MR2" s="82" t="s">
        <v>144</v>
      </c>
      <c r="MU2" s="82" t="s">
        <v>145</v>
      </c>
      <c r="MX2" s="82" t="s">
        <v>146</v>
      </c>
      <c r="NA2" s="82" t="s">
        <v>147</v>
      </c>
      <c r="ND2" s="82" t="s">
        <v>148</v>
      </c>
      <c r="NG2" s="82" t="s">
        <v>149</v>
      </c>
      <c r="NJ2" s="82" t="s">
        <v>150</v>
      </c>
      <c r="NM2" s="82" t="s">
        <v>151</v>
      </c>
      <c r="NP2" s="82" t="s">
        <v>152</v>
      </c>
      <c r="NS2" s="82" t="s">
        <v>153</v>
      </c>
      <c r="NV2" s="82" t="s">
        <v>154</v>
      </c>
      <c r="NY2" s="82" t="s">
        <v>155</v>
      </c>
      <c r="OB2" s="82" t="s">
        <v>156</v>
      </c>
      <c r="OE2" s="82" t="s">
        <v>157</v>
      </c>
      <c r="OH2" s="82" t="s">
        <v>158</v>
      </c>
      <c r="OK2" s="82" t="s">
        <v>159</v>
      </c>
      <c r="ON2" s="82" t="s">
        <v>160</v>
      </c>
      <c r="OQ2" s="82" t="s">
        <v>161</v>
      </c>
      <c r="OT2" s="82" t="s">
        <v>162</v>
      </c>
      <c r="OW2" s="82" t="s">
        <v>163</v>
      </c>
      <c r="OZ2" s="82" t="s">
        <v>164</v>
      </c>
      <c r="PC2" s="82" t="s">
        <v>165</v>
      </c>
      <c r="PF2" s="82" t="s">
        <v>166</v>
      </c>
      <c r="PI2" s="82" t="s">
        <v>167</v>
      </c>
      <c r="PL2" s="82" t="s">
        <v>168</v>
      </c>
      <c r="PO2" s="82" t="s">
        <v>169</v>
      </c>
      <c r="PR2" s="82" t="s">
        <v>170</v>
      </c>
      <c r="PU2" s="82" t="s">
        <v>171</v>
      </c>
      <c r="PX2" s="82" t="s">
        <v>172</v>
      </c>
      <c r="QA2" s="82" t="s">
        <v>173</v>
      </c>
      <c r="QD2" s="82" t="s">
        <v>174</v>
      </c>
      <c r="QG2" s="82" t="s">
        <v>175</v>
      </c>
      <c r="QJ2" s="82" t="s">
        <v>176</v>
      </c>
      <c r="QM2" s="82" t="s">
        <v>177</v>
      </c>
      <c r="QP2" s="82" t="s">
        <v>178</v>
      </c>
      <c r="QS2" s="82" t="s">
        <v>179</v>
      </c>
      <c r="QV2" s="82" t="s">
        <v>180</v>
      </c>
      <c r="QY2" s="82" t="s">
        <v>181</v>
      </c>
      <c r="RB2" s="82" t="s">
        <v>182</v>
      </c>
      <c r="RE2" s="82" t="s">
        <v>183</v>
      </c>
      <c r="RH2" s="82" t="s">
        <v>184</v>
      </c>
      <c r="RK2" s="82" t="s">
        <v>185</v>
      </c>
      <c r="RN2" s="82" t="s">
        <v>186</v>
      </c>
      <c r="RQ2" s="82" t="s">
        <v>187</v>
      </c>
      <c r="RT2" s="82" t="s">
        <v>188</v>
      </c>
      <c r="RW2" s="82" t="s">
        <v>189</v>
      </c>
      <c r="RZ2" s="82" t="s">
        <v>190</v>
      </c>
      <c r="SC2" s="82" t="s">
        <v>191</v>
      </c>
      <c r="SF2" s="82" t="s">
        <v>192</v>
      </c>
      <c r="SI2" s="82" t="s">
        <v>193</v>
      </c>
      <c r="SL2" s="82" t="s">
        <v>194</v>
      </c>
      <c r="SO2" s="82" t="s">
        <v>195</v>
      </c>
      <c r="SR2" s="82" t="s">
        <v>196</v>
      </c>
      <c r="SU2" s="82" t="s">
        <v>197</v>
      </c>
      <c r="SX2" s="82" t="s">
        <v>198</v>
      </c>
      <c r="TA2" s="82" t="s">
        <v>199</v>
      </c>
      <c r="TD2" s="82" t="s">
        <v>200</v>
      </c>
      <c r="TG2" s="82" t="s">
        <v>201</v>
      </c>
      <c r="TJ2" s="82" t="s">
        <v>202</v>
      </c>
      <c r="TM2" s="82" t="s">
        <v>203</v>
      </c>
      <c r="TP2" s="82" t="s">
        <v>204</v>
      </c>
      <c r="TS2" s="82" t="s">
        <v>205</v>
      </c>
      <c r="TV2" s="82" t="s">
        <v>206</v>
      </c>
      <c r="TY2" s="82" t="s">
        <v>207</v>
      </c>
      <c r="UB2" s="82" t="s">
        <v>208</v>
      </c>
      <c r="UE2" s="82" t="s">
        <v>209</v>
      </c>
      <c r="UH2" s="82" t="s">
        <v>210</v>
      </c>
      <c r="UK2" s="82" t="s">
        <v>212</v>
      </c>
      <c r="UN2" s="82" t="s">
        <v>213</v>
      </c>
      <c r="UQ2" s="82" t="s">
        <v>214</v>
      </c>
      <c r="UT2" s="82" t="s">
        <v>215</v>
      </c>
      <c r="UW2" s="82" t="s">
        <v>216</v>
      </c>
      <c r="UZ2" s="82" t="s">
        <v>217</v>
      </c>
      <c r="VC2" s="82" t="s">
        <v>218</v>
      </c>
      <c r="VF2" s="82" t="s">
        <v>219</v>
      </c>
      <c r="VI2" s="82" t="s">
        <v>220</v>
      </c>
      <c r="VL2" s="82" t="s">
        <v>221</v>
      </c>
      <c r="VO2" s="82" t="s">
        <v>222</v>
      </c>
      <c r="VR2" s="82" t="s">
        <v>223</v>
      </c>
      <c r="VU2" s="82" t="s">
        <v>224</v>
      </c>
      <c r="VX2" s="82" t="s">
        <v>225</v>
      </c>
      <c r="WA2" s="82" t="s">
        <v>226</v>
      </c>
      <c r="WD2" s="82" t="s">
        <v>227</v>
      </c>
      <c r="WG2" s="82" t="s">
        <v>228</v>
      </c>
      <c r="WJ2" s="82" t="s">
        <v>229</v>
      </c>
      <c r="WM2" s="82" t="s">
        <v>230</v>
      </c>
      <c r="WP2" s="82" t="s">
        <v>231</v>
      </c>
      <c r="WS2" s="82" t="s">
        <v>232</v>
      </c>
      <c r="WV2" s="82" t="s">
        <v>233</v>
      </c>
      <c r="WY2" s="82" t="s">
        <v>234</v>
      </c>
      <c r="XB2" s="82" t="s">
        <v>235</v>
      </c>
      <c r="XE2" s="82" t="s">
        <v>236</v>
      </c>
      <c r="XH2" s="82" t="s">
        <v>237</v>
      </c>
      <c r="XK2" s="82" t="s">
        <v>238</v>
      </c>
      <c r="XN2" s="82" t="s">
        <v>239</v>
      </c>
      <c r="XQ2" s="82" t="s">
        <v>240</v>
      </c>
      <c r="XT2" s="82" t="s">
        <v>241</v>
      </c>
      <c r="XW2" s="82" t="s">
        <v>242</v>
      </c>
      <c r="XZ2" s="82" t="s">
        <v>243</v>
      </c>
      <c r="YC2" s="82" t="s">
        <v>244</v>
      </c>
      <c r="YF2" s="82" t="s">
        <v>245</v>
      </c>
      <c r="YI2" s="82" t="s">
        <v>246</v>
      </c>
      <c r="YL2" s="82" t="s">
        <v>247</v>
      </c>
      <c r="YO2" s="82" t="s">
        <v>248</v>
      </c>
      <c r="YR2" s="82" t="s">
        <v>249</v>
      </c>
      <c r="YU2" s="82" t="s">
        <v>250</v>
      </c>
      <c r="YX2" s="82" t="s">
        <v>251</v>
      </c>
      <c r="ZA2" s="82" t="s">
        <v>252</v>
      </c>
      <c r="ZD2" s="82" t="s">
        <v>253</v>
      </c>
      <c r="ZG2" s="82" t="s">
        <v>254</v>
      </c>
      <c r="ZJ2" s="82" t="s">
        <v>255</v>
      </c>
      <c r="ZM2" s="82" t="s">
        <v>256</v>
      </c>
      <c r="ZP2" s="82" t="s">
        <v>257</v>
      </c>
      <c r="ZS2" s="82" t="s">
        <v>258</v>
      </c>
      <c r="ZV2" s="82" t="s">
        <v>259</v>
      </c>
      <c r="ZY2" s="82" t="s">
        <v>260</v>
      </c>
      <c r="AAB2" s="82" t="s">
        <v>261</v>
      </c>
      <c r="AAE2" s="82" t="s">
        <v>262</v>
      </c>
      <c r="AAH2" s="82" t="s">
        <v>263</v>
      </c>
      <c r="AAK2" s="82" t="s">
        <v>264</v>
      </c>
      <c r="AAN2" s="82" t="s">
        <v>265</v>
      </c>
      <c r="AAQ2" s="82" t="s">
        <v>266</v>
      </c>
      <c r="AAT2" s="82" t="s">
        <v>267</v>
      </c>
      <c r="AAW2" s="82" t="s">
        <v>268</v>
      </c>
      <c r="AAZ2" s="82" t="s">
        <v>269</v>
      </c>
      <c r="ABC2" s="82" t="s">
        <v>270</v>
      </c>
      <c r="ABF2" s="82" t="s">
        <v>271</v>
      </c>
      <c r="ABI2" s="82" t="s">
        <v>272</v>
      </c>
      <c r="ABL2" s="82" t="s">
        <v>273</v>
      </c>
      <c r="ABO2" s="82" t="s">
        <v>274</v>
      </c>
      <c r="ABR2" s="82" t="s">
        <v>275</v>
      </c>
      <c r="ABU2" s="82" t="s">
        <v>276</v>
      </c>
      <c r="ABX2" s="82" t="s">
        <v>277</v>
      </c>
      <c r="ACA2" s="82" t="s">
        <v>278</v>
      </c>
      <c r="ACD2" s="82" t="s">
        <v>279</v>
      </c>
      <c r="ACG2" s="82" t="s">
        <v>280</v>
      </c>
      <c r="ACJ2" s="82" t="s">
        <v>281</v>
      </c>
      <c r="ACM2" s="82" t="s">
        <v>282</v>
      </c>
      <c r="ACP2" s="82" t="s">
        <v>283</v>
      </c>
      <c r="ACS2" s="82" t="s">
        <v>427</v>
      </c>
      <c r="ACV2" s="82" t="s">
        <v>285</v>
      </c>
      <c r="ACY2" s="82" t="s">
        <v>286</v>
      </c>
      <c r="ADB2" s="82" t="s">
        <v>287</v>
      </c>
      <c r="ADE2" s="82" t="s">
        <v>288</v>
      </c>
      <c r="ADH2" s="82" t="s">
        <v>289</v>
      </c>
      <c r="ADK2" s="82" t="s">
        <v>290</v>
      </c>
      <c r="ADN2" s="82" t="s">
        <v>291</v>
      </c>
      <c r="ADQ2" s="82" t="s">
        <v>292</v>
      </c>
      <c r="ADT2" s="82" t="s">
        <v>293</v>
      </c>
      <c r="ADW2" s="82" t="s">
        <v>294</v>
      </c>
      <c r="ADZ2" s="82" t="s">
        <v>295</v>
      </c>
      <c r="AEC2" s="82" t="s">
        <v>296</v>
      </c>
      <c r="AEF2" s="82" t="s">
        <v>297</v>
      </c>
      <c r="AEI2" s="82" t="s">
        <v>298</v>
      </c>
      <c r="AEL2" s="82" t="s">
        <v>299</v>
      </c>
      <c r="AEO2" s="82" t="s">
        <v>300</v>
      </c>
      <c r="AER2" s="82" t="s">
        <v>301</v>
      </c>
      <c r="AEU2" s="82" t="s">
        <v>302</v>
      </c>
      <c r="AEX2" s="82" t="s">
        <v>303</v>
      </c>
      <c r="AFA2" s="82" t="s">
        <v>304</v>
      </c>
      <c r="AFD2" s="82" t="s">
        <v>305</v>
      </c>
      <c r="AFG2" s="82" t="s">
        <v>306</v>
      </c>
      <c r="AFJ2" s="82" t="s">
        <v>307</v>
      </c>
      <c r="AFM2" s="82" t="s">
        <v>308</v>
      </c>
      <c r="AFP2" s="82" t="s">
        <v>309</v>
      </c>
      <c r="AFS2" s="82" t="s">
        <v>310</v>
      </c>
      <c r="AFV2" s="82" t="s">
        <v>311</v>
      </c>
      <c r="AFY2" s="82" t="s">
        <v>312</v>
      </c>
      <c r="AGB2" s="82" t="s">
        <v>313</v>
      </c>
      <c r="AGE2" s="82" t="s">
        <v>314</v>
      </c>
      <c r="AGH2" s="82" t="s">
        <v>315</v>
      </c>
      <c r="AGK2" s="82" t="s">
        <v>316</v>
      </c>
      <c r="AGN2" s="82" t="s">
        <v>317</v>
      </c>
      <c r="AGQ2" s="82" t="s">
        <v>318</v>
      </c>
      <c r="AGT2" s="82" t="s">
        <v>319</v>
      </c>
      <c r="AGW2" s="82" t="s">
        <v>320</v>
      </c>
      <c r="AGZ2" s="82" t="s">
        <v>321</v>
      </c>
      <c r="AHC2" s="82" t="s">
        <v>322</v>
      </c>
      <c r="AHF2" s="82" t="s">
        <v>323</v>
      </c>
      <c r="AHI2" s="82" t="s">
        <v>324</v>
      </c>
      <c r="AHL2" s="82" t="s">
        <v>325</v>
      </c>
      <c r="AHO2" s="82" t="s">
        <v>326</v>
      </c>
      <c r="AHR2" s="82" t="s">
        <v>327</v>
      </c>
      <c r="AHU2" s="82" t="s">
        <v>328</v>
      </c>
      <c r="AHX2" s="82" t="s">
        <v>329</v>
      </c>
      <c r="AIA2" s="82" t="s">
        <v>330</v>
      </c>
      <c r="AID2" s="82" t="s">
        <v>331</v>
      </c>
      <c r="AIG2" s="82" t="s">
        <v>332</v>
      </c>
      <c r="AIJ2" s="82" t="s">
        <v>333</v>
      </c>
      <c r="AIM2" s="82" t="s">
        <v>334</v>
      </c>
      <c r="AIP2" s="82" t="s">
        <v>335</v>
      </c>
      <c r="AIS2" s="82" t="s">
        <v>336</v>
      </c>
      <c r="AIV2" s="82" t="s">
        <v>337</v>
      </c>
      <c r="AIY2" s="82" t="s">
        <v>338</v>
      </c>
      <c r="AJB2" s="82" t="s">
        <v>339</v>
      </c>
      <c r="AJE2" s="82" t="s">
        <v>340</v>
      </c>
      <c r="AJH2" s="82" t="s">
        <v>341</v>
      </c>
      <c r="AJK2" s="82" t="s">
        <v>342</v>
      </c>
      <c r="AJN2" s="82" t="s">
        <v>343</v>
      </c>
      <c r="AJQ2" s="82" t="s">
        <v>344</v>
      </c>
      <c r="AJT2" s="82" t="s">
        <v>345</v>
      </c>
      <c r="AJW2" s="82" t="s">
        <v>346</v>
      </c>
      <c r="AJZ2" s="82" t="s">
        <v>347</v>
      </c>
      <c r="AKC2" s="82" t="s">
        <v>348</v>
      </c>
      <c r="AKF2" s="82" t="s">
        <v>349</v>
      </c>
      <c r="AKI2" s="82" t="s">
        <v>350</v>
      </c>
      <c r="AKL2" s="82" t="s">
        <v>351</v>
      </c>
      <c r="AKO2" s="82" t="s">
        <v>352</v>
      </c>
      <c r="AKR2" s="82" t="s">
        <v>353</v>
      </c>
      <c r="AKU2" s="82" t="s">
        <v>354</v>
      </c>
      <c r="AKX2" s="82" t="s">
        <v>355</v>
      </c>
      <c r="ALA2" s="82" t="s">
        <v>356</v>
      </c>
      <c r="ALD2" s="82" t="s">
        <v>357</v>
      </c>
      <c r="ALG2" s="82" t="s">
        <v>358</v>
      </c>
      <c r="ALJ2" s="82" t="s">
        <v>359</v>
      </c>
      <c r="ALM2" s="82" t="s">
        <v>360</v>
      </c>
      <c r="ALP2" s="82" t="s">
        <v>361</v>
      </c>
      <c r="ALS2" s="82" t="s">
        <v>362</v>
      </c>
      <c r="ALV2" s="82" t="s">
        <v>363</v>
      </c>
      <c r="ALY2" s="82" t="s">
        <v>364</v>
      </c>
      <c r="AMB2" s="82" t="s">
        <v>365</v>
      </c>
      <c r="AME2" s="82" t="s">
        <v>366</v>
      </c>
      <c r="AMH2" s="82" t="s">
        <v>367</v>
      </c>
    </row>
    <row r="3" s="80" customFormat="true" ht="16.5" hidden="false" customHeight="false" outlineLevel="0" collapsed="false">
      <c r="A3" s="78"/>
      <c r="B3" s="78"/>
      <c r="C3" s="78"/>
      <c r="D3" s="79"/>
      <c r="E3" s="80" t="s">
        <v>12</v>
      </c>
      <c r="AI3" s="80" t="s">
        <v>12</v>
      </c>
      <c r="BM3" s="80" t="s">
        <v>12</v>
      </c>
      <c r="CQ3" s="80" t="s">
        <v>12</v>
      </c>
      <c r="DU3" s="80" t="s">
        <v>12</v>
      </c>
      <c r="EY3" s="80" t="s">
        <v>12</v>
      </c>
      <c r="GC3" s="80" t="s">
        <v>12</v>
      </c>
      <c r="HG3" s="80" t="s">
        <v>12</v>
      </c>
      <c r="IK3" s="80" t="s">
        <v>12</v>
      </c>
      <c r="JO3" s="80" t="s">
        <v>12</v>
      </c>
      <c r="KS3" s="80" t="s">
        <v>12</v>
      </c>
      <c r="LW3" s="80" t="s">
        <v>12</v>
      </c>
      <c r="NA3" s="80" t="s">
        <v>12</v>
      </c>
      <c r="OE3" s="80" t="s">
        <v>12</v>
      </c>
      <c r="PI3" s="80" t="s">
        <v>12</v>
      </c>
      <c r="QM3" s="80" t="s">
        <v>12</v>
      </c>
      <c r="RQ3" s="80" t="s">
        <v>12</v>
      </c>
      <c r="SU3" s="80" t="s">
        <v>12</v>
      </c>
      <c r="TY3" s="80" t="s">
        <v>12</v>
      </c>
      <c r="VC3" s="80" t="s">
        <v>12</v>
      </c>
      <c r="WG3" s="80" t="s">
        <v>12</v>
      </c>
      <c r="XK3" s="80" t="s">
        <v>12</v>
      </c>
      <c r="YO3" s="80" t="s">
        <v>12</v>
      </c>
      <c r="ZS3" s="80" t="s">
        <v>12</v>
      </c>
      <c r="AAW3" s="80" t="s">
        <v>12</v>
      </c>
      <c r="ACA3" s="80" t="s">
        <v>12</v>
      </c>
      <c r="ADE3" s="80" t="s">
        <v>12</v>
      </c>
      <c r="AEI3" s="80" t="s">
        <v>12</v>
      </c>
      <c r="AFM3" s="80" t="s">
        <v>12</v>
      </c>
      <c r="AGQ3" s="80" t="s">
        <v>12</v>
      </c>
      <c r="AHU3" s="80" t="s">
        <v>12</v>
      </c>
      <c r="AIY3" s="80" t="s">
        <v>12</v>
      </c>
      <c r="AKC3" s="80" t="s">
        <v>12</v>
      </c>
      <c r="ALG3" s="80" t="s">
        <v>12</v>
      </c>
    </row>
    <row r="4" s="83" customFormat="true" ht="17.25" hidden="false" customHeight="false" outlineLevel="0" collapsed="false">
      <c r="A4" s="78"/>
      <c r="B4" s="78"/>
      <c r="C4" s="78"/>
      <c r="D4" s="79"/>
      <c r="E4" s="83" t="n">
        <v>11001</v>
      </c>
      <c r="H4" s="83" t="n">
        <v>11002</v>
      </c>
      <c r="K4" s="83" t="n">
        <v>11004</v>
      </c>
      <c r="N4" s="83" t="n">
        <v>11005</v>
      </c>
      <c r="Q4" s="83" t="n">
        <v>11006</v>
      </c>
      <c r="T4" s="83" t="n">
        <v>11007</v>
      </c>
      <c r="W4" s="83" t="n">
        <v>11008</v>
      </c>
      <c r="Z4" s="83" t="n">
        <v>11009</v>
      </c>
      <c r="AC4" s="83" t="n">
        <v>11010</v>
      </c>
      <c r="AF4" s="83" t="n">
        <v>11011</v>
      </c>
      <c r="AI4" s="83" t="n">
        <v>11012</v>
      </c>
      <c r="AL4" s="83" t="n">
        <v>11013</v>
      </c>
      <c r="AO4" s="83" t="n">
        <v>11014</v>
      </c>
      <c r="AR4" s="83" t="n">
        <v>11015</v>
      </c>
      <c r="AU4" s="83" t="n">
        <v>11016</v>
      </c>
      <c r="AX4" s="83" t="n">
        <v>11017</v>
      </c>
      <c r="BA4" s="83" t="n">
        <v>11019</v>
      </c>
      <c r="BD4" s="83" t="n">
        <v>11020</v>
      </c>
      <c r="BG4" s="83" t="n">
        <v>11021</v>
      </c>
      <c r="BJ4" s="83" t="n">
        <v>11022</v>
      </c>
      <c r="BM4" s="83" t="n">
        <v>11023</v>
      </c>
      <c r="BP4" s="83" t="n">
        <v>11024</v>
      </c>
      <c r="BS4" s="83" t="n">
        <v>11025</v>
      </c>
      <c r="BV4" s="83" t="n">
        <v>11026</v>
      </c>
      <c r="BY4" s="83" t="n">
        <v>11028</v>
      </c>
      <c r="CB4" s="83" t="n">
        <v>11029</v>
      </c>
      <c r="CE4" s="83" t="n">
        <v>11030</v>
      </c>
      <c r="CH4" s="83" t="n">
        <v>11031</v>
      </c>
      <c r="CK4" s="83" t="n">
        <v>11032</v>
      </c>
      <c r="CN4" s="83" t="n">
        <v>11033</v>
      </c>
      <c r="CQ4" s="83" t="n">
        <v>11034</v>
      </c>
      <c r="CT4" s="83" t="n">
        <v>11039</v>
      </c>
      <c r="CW4" s="83" t="n">
        <v>11040</v>
      </c>
      <c r="CZ4" s="83" t="n">
        <v>11041</v>
      </c>
      <c r="DC4" s="83" t="n">
        <v>11042</v>
      </c>
      <c r="DF4" s="83" t="n">
        <v>11043</v>
      </c>
      <c r="DI4" s="83" t="n">
        <v>11044</v>
      </c>
      <c r="DL4" s="83" t="n">
        <v>11045</v>
      </c>
      <c r="DO4" s="83" t="n">
        <v>11046</v>
      </c>
      <c r="DR4" s="83" t="n">
        <v>11047</v>
      </c>
      <c r="DU4" s="83" t="n">
        <v>11048</v>
      </c>
      <c r="DX4" s="83" t="n">
        <v>11049</v>
      </c>
      <c r="EA4" s="83" t="n">
        <v>11050</v>
      </c>
      <c r="ED4" s="83" t="n">
        <v>11051</v>
      </c>
      <c r="EG4" s="83" t="n">
        <v>11052</v>
      </c>
      <c r="EJ4" s="83" t="n">
        <v>11053</v>
      </c>
      <c r="EM4" s="83" t="n">
        <v>11054</v>
      </c>
      <c r="EP4" s="83" t="n">
        <v>11055</v>
      </c>
      <c r="ES4" s="83" t="n">
        <v>11057</v>
      </c>
      <c r="EV4" s="83" t="n">
        <v>11058</v>
      </c>
      <c r="EY4" s="83" t="n">
        <v>11059</v>
      </c>
      <c r="FB4" s="83" t="n">
        <v>11060</v>
      </c>
      <c r="FE4" s="83" t="n">
        <v>11061</v>
      </c>
      <c r="FH4" s="83" t="n">
        <v>11062</v>
      </c>
      <c r="FK4" s="83" t="n">
        <v>11063</v>
      </c>
      <c r="FN4" s="83" t="n">
        <v>11064</v>
      </c>
      <c r="FQ4" s="83" t="n">
        <v>11065</v>
      </c>
      <c r="FT4" s="83" t="n">
        <v>11201</v>
      </c>
      <c r="FW4" s="83" t="n">
        <v>11202</v>
      </c>
      <c r="FZ4" s="83" t="n">
        <v>11203</v>
      </c>
      <c r="GC4" s="83" t="n">
        <v>11204</v>
      </c>
      <c r="GF4" s="83" t="n">
        <v>11205</v>
      </c>
      <c r="GI4" s="83" t="n">
        <v>11206</v>
      </c>
      <c r="GL4" s="83" t="n">
        <v>11208</v>
      </c>
      <c r="GO4" s="83" t="n">
        <v>11209</v>
      </c>
      <c r="GR4" s="83" t="n">
        <v>11210</v>
      </c>
      <c r="GU4" s="83" t="n">
        <v>11211</v>
      </c>
      <c r="GX4" s="83" t="n">
        <v>11212</v>
      </c>
      <c r="HA4" s="83" t="n">
        <v>11213</v>
      </c>
      <c r="HD4" s="83" t="n">
        <v>11214</v>
      </c>
      <c r="HG4" s="83" t="n">
        <v>11215</v>
      </c>
      <c r="HJ4" s="83" t="n">
        <v>11301</v>
      </c>
      <c r="HM4" s="83" t="n">
        <v>11302</v>
      </c>
      <c r="HP4" s="83" t="n">
        <v>11303</v>
      </c>
      <c r="HS4" s="83" t="n">
        <v>11309</v>
      </c>
      <c r="HV4" s="83" t="n">
        <v>11310</v>
      </c>
      <c r="HY4" s="83" t="n">
        <v>11401</v>
      </c>
      <c r="IB4" s="83" t="n">
        <v>11402</v>
      </c>
      <c r="IE4" s="83" t="n">
        <v>11403</v>
      </c>
      <c r="IH4" s="83" t="n">
        <v>11404</v>
      </c>
      <c r="IK4" s="83" t="n">
        <v>11405</v>
      </c>
      <c r="IN4" s="83" t="n">
        <v>11406</v>
      </c>
      <c r="IQ4" s="83" t="n">
        <v>11407</v>
      </c>
      <c r="IT4" s="83" t="n">
        <v>11408</v>
      </c>
      <c r="IW4" s="83" t="n">
        <v>11409</v>
      </c>
      <c r="IZ4" s="83" t="n">
        <v>11410</v>
      </c>
      <c r="JC4" s="83" t="n">
        <v>11411</v>
      </c>
      <c r="JF4" s="83" t="n">
        <v>11412</v>
      </c>
      <c r="JI4" s="83" t="n">
        <v>11413</v>
      </c>
      <c r="JL4" s="83" t="n">
        <v>11414</v>
      </c>
      <c r="JO4" s="83" t="n">
        <v>11415</v>
      </c>
      <c r="JR4" s="83" t="n">
        <v>11416</v>
      </c>
      <c r="JU4" s="83" t="n">
        <v>11417</v>
      </c>
      <c r="JX4" s="83" t="n">
        <v>11419</v>
      </c>
      <c r="KA4" s="83" t="n">
        <v>11420</v>
      </c>
      <c r="KD4" s="83" t="n">
        <v>11422</v>
      </c>
      <c r="KG4" s="83" t="n">
        <v>11423</v>
      </c>
      <c r="KJ4" s="83" t="n">
        <v>11424</v>
      </c>
      <c r="KM4" s="83" t="n">
        <v>11501</v>
      </c>
      <c r="KP4" s="83" t="n">
        <v>11502</v>
      </c>
      <c r="KS4" s="83" t="n">
        <v>11503</v>
      </c>
      <c r="KV4" s="83" t="n">
        <v>11504</v>
      </c>
      <c r="KY4" s="83" t="n">
        <v>11505</v>
      </c>
      <c r="LB4" s="83" t="n">
        <v>11602</v>
      </c>
      <c r="LE4" s="83" t="n">
        <v>11603</v>
      </c>
      <c r="LH4" s="83" t="n">
        <v>11604</v>
      </c>
      <c r="LK4" s="83" t="n">
        <v>11605</v>
      </c>
      <c r="LN4" s="83" t="n">
        <v>11606</v>
      </c>
      <c r="LQ4" s="83" t="n">
        <v>11607</v>
      </c>
      <c r="LT4" s="83" t="n">
        <v>11608</v>
      </c>
      <c r="LW4" s="83" t="n">
        <v>11609</v>
      </c>
      <c r="LZ4" s="83" t="n">
        <v>11610</v>
      </c>
      <c r="MC4" s="83" t="n">
        <v>11611</v>
      </c>
      <c r="MF4" s="83" t="n">
        <v>11612</v>
      </c>
      <c r="MI4" s="83" t="n">
        <v>11613</v>
      </c>
      <c r="ML4" s="83" t="n">
        <v>11614</v>
      </c>
      <c r="MO4" s="83" t="n">
        <v>11615</v>
      </c>
      <c r="MR4" s="83" t="n">
        <v>11616</v>
      </c>
      <c r="MU4" s="83" t="n">
        <v>11617</v>
      </c>
      <c r="MX4" s="83" t="n">
        <v>11618</v>
      </c>
      <c r="NA4" s="83" t="n">
        <v>11619</v>
      </c>
      <c r="ND4" s="83" t="n">
        <v>11620</v>
      </c>
      <c r="NG4" s="83" t="n">
        <v>11621</v>
      </c>
      <c r="NJ4" s="83" t="n">
        <v>11622</v>
      </c>
      <c r="NM4" s="83" t="n">
        <v>11623</v>
      </c>
      <c r="NP4" s="83" t="n">
        <v>11624</v>
      </c>
      <c r="NS4" s="83" t="n">
        <v>11625</v>
      </c>
      <c r="NV4" s="83" t="n">
        <v>11626</v>
      </c>
      <c r="NY4" s="83" t="n">
        <v>11627</v>
      </c>
      <c r="OB4" s="83" t="n">
        <v>11628</v>
      </c>
      <c r="OE4" s="83" t="n">
        <v>11629</v>
      </c>
      <c r="OH4" s="83" t="n">
        <v>11630</v>
      </c>
      <c r="OK4" s="83" t="n">
        <v>11631</v>
      </c>
      <c r="ON4" s="83" t="n">
        <v>11633</v>
      </c>
      <c r="OQ4" s="83" t="n">
        <v>11634</v>
      </c>
      <c r="OT4" s="83" t="n">
        <v>11635</v>
      </c>
      <c r="OW4" s="83" t="n">
        <v>11636</v>
      </c>
      <c r="OZ4" s="83" t="n">
        <v>11637</v>
      </c>
      <c r="PC4" s="83" t="n">
        <v>11638</v>
      </c>
      <c r="PF4" s="83" t="n">
        <v>11639</v>
      </c>
      <c r="PI4" s="83" t="n">
        <v>12001</v>
      </c>
      <c r="PL4" s="83" t="n">
        <v>12003</v>
      </c>
      <c r="PO4" s="83" t="n">
        <v>12004</v>
      </c>
      <c r="PR4" s="83" t="n">
        <v>12005</v>
      </c>
      <c r="PU4" s="83" t="n">
        <v>12007</v>
      </c>
      <c r="PX4" s="83" t="n">
        <v>12008</v>
      </c>
      <c r="QA4" s="83" t="n">
        <v>12009</v>
      </c>
      <c r="QD4" s="83" t="n">
        <v>12010</v>
      </c>
      <c r="QG4" s="83" t="n">
        <v>12011</v>
      </c>
      <c r="QJ4" s="83" t="n">
        <v>12012</v>
      </c>
      <c r="QM4" s="83" t="n">
        <v>12013</v>
      </c>
      <c r="QP4" s="83" t="n">
        <v>12014</v>
      </c>
      <c r="QS4" s="83" t="n">
        <v>12016</v>
      </c>
      <c r="QV4" s="83" t="n">
        <v>12020</v>
      </c>
      <c r="QY4" s="83" t="n">
        <v>12022</v>
      </c>
      <c r="RB4" s="83" t="n">
        <v>12023</v>
      </c>
      <c r="RE4" s="83" t="n">
        <v>12024</v>
      </c>
      <c r="RH4" s="83" t="n">
        <v>12025</v>
      </c>
      <c r="RK4" s="83" t="n">
        <v>12026</v>
      </c>
      <c r="RN4" s="83" t="n">
        <v>12028</v>
      </c>
      <c r="RQ4" s="83" t="n">
        <v>12029</v>
      </c>
      <c r="RT4" s="83" t="n">
        <v>12030</v>
      </c>
      <c r="RW4" s="83" t="n">
        <v>12031</v>
      </c>
      <c r="RZ4" s="83" t="n">
        <v>12032</v>
      </c>
      <c r="SC4" s="83" t="n">
        <v>12033</v>
      </c>
      <c r="SF4" s="83" t="n">
        <v>12034</v>
      </c>
      <c r="SI4" s="83" t="n">
        <v>12035</v>
      </c>
      <c r="SL4" s="83" t="n">
        <v>12036</v>
      </c>
      <c r="SO4" s="83" t="n">
        <v>12037</v>
      </c>
      <c r="SR4" s="83" t="n">
        <v>12038</v>
      </c>
      <c r="SU4" s="83" t="n">
        <v>12039</v>
      </c>
      <c r="SX4" s="83" t="n">
        <v>12040</v>
      </c>
      <c r="TA4" s="83" t="n">
        <v>12041</v>
      </c>
      <c r="TD4" s="83" t="n">
        <v>12042</v>
      </c>
      <c r="TG4" s="83" t="n">
        <v>12043</v>
      </c>
      <c r="TJ4" s="83" t="n">
        <v>12044</v>
      </c>
      <c r="TM4" s="83" t="n">
        <v>12046</v>
      </c>
      <c r="TP4" s="83" t="n">
        <v>12047</v>
      </c>
      <c r="TS4" s="83" t="n">
        <v>12049</v>
      </c>
      <c r="TV4" s="83" t="n">
        <v>12051</v>
      </c>
      <c r="TY4" s="83" t="n">
        <v>12052</v>
      </c>
      <c r="UB4" s="83" t="n">
        <v>12054</v>
      </c>
      <c r="UE4" s="83" t="n">
        <v>12055</v>
      </c>
      <c r="UH4" s="83" t="n">
        <v>12056</v>
      </c>
      <c r="UK4" s="83" t="n">
        <v>12057</v>
      </c>
      <c r="UN4" s="83" t="n">
        <v>12058</v>
      </c>
      <c r="UQ4" s="83" t="n">
        <v>12060</v>
      </c>
      <c r="UT4" s="83" t="n">
        <v>12061</v>
      </c>
      <c r="UW4" s="83" t="n">
        <v>12062</v>
      </c>
      <c r="UZ4" s="83" t="n">
        <v>12064</v>
      </c>
      <c r="VC4" s="83" t="n">
        <v>12065</v>
      </c>
      <c r="VF4" s="83" t="n">
        <v>12066</v>
      </c>
      <c r="VI4" s="83" t="n">
        <v>12069</v>
      </c>
      <c r="VL4" s="83" t="n">
        <v>12074</v>
      </c>
      <c r="VO4" s="83" t="n">
        <v>12075</v>
      </c>
      <c r="VR4" s="83" t="n">
        <v>12076</v>
      </c>
      <c r="VU4" s="83" t="n">
        <v>12201</v>
      </c>
      <c r="VX4" s="83" t="n">
        <v>12202</v>
      </c>
      <c r="WA4" s="83" t="n">
        <v>12204</v>
      </c>
      <c r="WD4" s="83" t="n">
        <v>12205</v>
      </c>
      <c r="WG4" s="83" t="n">
        <v>12208</v>
      </c>
      <c r="WJ4" s="83" t="n">
        <v>12209</v>
      </c>
      <c r="WM4" s="83" t="n">
        <v>12211</v>
      </c>
      <c r="WP4" s="83" t="n">
        <v>12213</v>
      </c>
      <c r="WS4" s="83" t="n">
        <v>12215</v>
      </c>
      <c r="WV4" s="83" t="n">
        <v>12216</v>
      </c>
      <c r="WY4" s="83" t="n">
        <v>12217</v>
      </c>
      <c r="XB4" s="83" t="n">
        <v>12218</v>
      </c>
      <c r="XE4" s="83" t="n">
        <v>12219</v>
      </c>
      <c r="XH4" s="83" t="n">
        <v>12221</v>
      </c>
      <c r="XK4" s="83" t="n">
        <v>12224</v>
      </c>
      <c r="XN4" s="83" t="n">
        <v>12225</v>
      </c>
      <c r="XQ4" s="83" t="n">
        <v>12226</v>
      </c>
      <c r="XT4" s="83" t="n">
        <v>12228</v>
      </c>
      <c r="XW4" s="83" t="n">
        <v>12229</v>
      </c>
      <c r="XZ4" s="83" t="n">
        <v>12231</v>
      </c>
      <c r="YC4" s="83" t="n">
        <v>12235</v>
      </c>
      <c r="YF4" s="83" t="n">
        <v>12237</v>
      </c>
      <c r="YI4" s="83" t="n">
        <v>12301</v>
      </c>
      <c r="YL4" s="83" t="n">
        <v>12302</v>
      </c>
      <c r="YO4" s="83" t="n">
        <v>12303</v>
      </c>
      <c r="YR4" s="83" t="n">
        <v>12304</v>
      </c>
      <c r="YU4" s="83" t="n">
        <v>12305</v>
      </c>
      <c r="YX4" s="83" t="n">
        <v>12306</v>
      </c>
      <c r="ZA4" s="83" t="n">
        <v>12307</v>
      </c>
      <c r="ZD4" s="83" t="n">
        <v>12308</v>
      </c>
      <c r="ZG4" s="83" t="n">
        <v>13001</v>
      </c>
      <c r="ZJ4" s="83" t="n">
        <v>13002</v>
      </c>
      <c r="ZM4" s="83" t="n">
        <v>13003</v>
      </c>
      <c r="ZP4" s="83" t="n">
        <v>13004</v>
      </c>
      <c r="ZS4" s="83" t="n">
        <v>13005</v>
      </c>
      <c r="ZV4" s="83" t="n">
        <v>13006</v>
      </c>
      <c r="ZY4" s="83" t="n">
        <v>13007</v>
      </c>
      <c r="AAB4" s="83" t="n">
        <v>13008</v>
      </c>
      <c r="AAE4" s="83" t="n">
        <v>13009</v>
      </c>
      <c r="AAH4" s="83" t="n">
        <v>13010</v>
      </c>
      <c r="AAK4" s="83" t="n">
        <v>13011</v>
      </c>
      <c r="AAN4" s="83" t="n">
        <v>13013</v>
      </c>
      <c r="AAQ4" s="83" t="n">
        <v>13015</v>
      </c>
      <c r="AAT4" s="83" t="n">
        <v>13016</v>
      </c>
      <c r="AAW4" s="83" t="n">
        <v>13017</v>
      </c>
      <c r="AAZ4" s="83" t="n">
        <v>13018</v>
      </c>
      <c r="ABC4" s="83" t="n">
        <v>13019</v>
      </c>
      <c r="ABF4" s="83" t="n">
        <v>13020</v>
      </c>
      <c r="ABI4" s="83" t="n">
        <v>13021</v>
      </c>
      <c r="ABL4" s="83" t="n">
        <v>13101</v>
      </c>
      <c r="ABO4" s="83" t="n">
        <v>13102</v>
      </c>
      <c r="ABR4" s="83" t="n">
        <v>13104</v>
      </c>
      <c r="ABU4" s="83" t="n">
        <v>13105</v>
      </c>
      <c r="ABX4" s="83" t="n">
        <v>13106</v>
      </c>
      <c r="ACA4" s="83" t="n">
        <v>13107</v>
      </c>
      <c r="ACD4" s="83" t="n">
        <v>13108</v>
      </c>
      <c r="ACG4" s="83" t="n">
        <v>13109</v>
      </c>
      <c r="ACJ4" s="83" t="n">
        <v>13110</v>
      </c>
      <c r="ACM4" s="83" t="n">
        <v>13111</v>
      </c>
      <c r="ACP4" s="83" t="n">
        <v>13112</v>
      </c>
      <c r="ACS4" s="83" t="n">
        <v>13113</v>
      </c>
      <c r="ACV4" s="83" t="n">
        <v>13114</v>
      </c>
      <c r="ACY4" s="83" t="n">
        <v>13115</v>
      </c>
      <c r="ADB4" s="83" t="n">
        <v>13116</v>
      </c>
      <c r="ADE4" s="83" t="n">
        <v>13117</v>
      </c>
      <c r="ADH4" s="83" t="n">
        <v>13118</v>
      </c>
      <c r="ADK4" s="83" t="n">
        <v>13119</v>
      </c>
      <c r="ADN4" s="83" t="n">
        <v>13120</v>
      </c>
      <c r="ADQ4" s="83" t="n">
        <v>13121</v>
      </c>
      <c r="ADT4" s="83" t="n">
        <v>13122</v>
      </c>
      <c r="ADW4" s="83" t="n">
        <v>13123</v>
      </c>
      <c r="ADZ4" s="83" t="n">
        <v>13124</v>
      </c>
      <c r="AEC4" s="83" t="n">
        <v>13125</v>
      </c>
      <c r="AEF4" s="83" t="n">
        <v>13126</v>
      </c>
      <c r="AEI4" s="83" t="n">
        <v>14001</v>
      </c>
      <c r="AEL4" s="83" t="n">
        <v>14002</v>
      </c>
      <c r="AEO4" s="83" t="n">
        <v>14003</v>
      </c>
      <c r="AER4" s="83" t="n">
        <v>14004</v>
      </c>
      <c r="AEU4" s="83" t="n">
        <v>14005</v>
      </c>
      <c r="AEX4" s="83" t="n">
        <v>14006</v>
      </c>
      <c r="AFA4" s="83" t="n">
        <v>14007</v>
      </c>
      <c r="AFD4" s="83" t="n">
        <v>14008</v>
      </c>
      <c r="AFG4" s="83" t="n">
        <v>14010</v>
      </c>
      <c r="AFJ4" s="83" t="n">
        <v>14011</v>
      </c>
      <c r="AFM4" s="83" t="n">
        <v>14012</v>
      </c>
      <c r="AFP4" s="83" t="n">
        <v>14013</v>
      </c>
      <c r="AFS4" s="83" t="n">
        <v>14015</v>
      </c>
      <c r="AFV4" s="83" t="n">
        <v>14016</v>
      </c>
      <c r="AFY4" s="83" t="n">
        <v>14017</v>
      </c>
      <c r="AGB4" s="83" t="n">
        <v>14018</v>
      </c>
      <c r="AGE4" s="83" t="n">
        <v>14020</v>
      </c>
      <c r="AGH4" s="83" t="n">
        <v>14022</v>
      </c>
      <c r="AGK4" s="83" t="n">
        <v>14024</v>
      </c>
      <c r="AGN4" s="83" t="n">
        <v>14025</v>
      </c>
      <c r="AGQ4" s="83" t="n">
        <v>14026</v>
      </c>
      <c r="AGT4" s="83" t="n">
        <v>14027</v>
      </c>
      <c r="AGW4" s="83" t="n">
        <v>14028</v>
      </c>
      <c r="AGZ4" s="83" t="n">
        <v>14029</v>
      </c>
      <c r="AHC4" s="83" t="n">
        <v>14030</v>
      </c>
      <c r="AHF4" s="83" t="n">
        <v>14031</v>
      </c>
      <c r="AHI4" s="83" t="n">
        <v>14032</v>
      </c>
      <c r="AHL4" s="83" t="n">
        <v>14035</v>
      </c>
      <c r="AHO4" s="83" t="n">
        <v>14036</v>
      </c>
      <c r="AHR4" s="83" t="n">
        <v>14037</v>
      </c>
      <c r="AHU4" s="83" t="n">
        <v>14101</v>
      </c>
      <c r="AHX4" s="83" t="n">
        <v>14102</v>
      </c>
      <c r="AIA4" s="83" t="n">
        <v>14103</v>
      </c>
      <c r="AID4" s="83" t="n">
        <v>14104</v>
      </c>
      <c r="AIG4" s="83" t="n">
        <v>14105</v>
      </c>
      <c r="AIJ4" s="83" t="n">
        <v>14106</v>
      </c>
      <c r="AIM4" s="83" t="n">
        <v>14107</v>
      </c>
      <c r="AIP4" s="83" t="n">
        <v>14108</v>
      </c>
      <c r="AIS4" s="83" t="n">
        <v>14109</v>
      </c>
      <c r="AIV4" s="83" t="n">
        <v>14110</v>
      </c>
      <c r="AIY4" s="83" t="n">
        <v>14111</v>
      </c>
      <c r="AJB4" s="83" t="n">
        <v>14112</v>
      </c>
      <c r="AJE4" s="83" t="n">
        <v>14113</v>
      </c>
      <c r="AJH4" s="83" t="n">
        <v>14114</v>
      </c>
      <c r="AJK4" s="83" t="n">
        <v>14115</v>
      </c>
      <c r="AJN4" s="83" t="n">
        <v>14116</v>
      </c>
      <c r="AJQ4" s="83" t="n">
        <v>14117</v>
      </c>
      <c r="AJT4" s="83" t="n">
        <v>14118</v>
      </c>
      <c r="AJW4" s="83" t="n">
        <v>14120</v>
      </c>
      <c r="AJZ4" s="83" t="n">
        <v>14121</v>
      </c>
      <c r="AKC4" s="83" t="n">
        <v>14122</v>
      </c>
      <c r="AKF4" s="83" t="n">
        <v>14123</v>
      </c>
      <c r="AKI4" s="83" t="n">
        <v>14124</v>
      </c>
      <c r="AKL4" s="83" t="n">
        <v>14125</v>
      </c>
      <c r="AKO4" s="83" t="n">
        <v>14126</v>
      </c>
      <c r="AKR4" s="83" t="n">
        <v>14127</v>
      </c>
      <c r="AKU4" s="83" t="n">
        <v>14128</v>
      </c>
      <c r="AKX4" s="83" t="n">
        <v>14129</v>
      </c>
      <c r="ALA4" s="83" t="n">
        <v>14131</v>
      </c>
      <c r="ALD4" s="83" t="n">
        <v>14132</v>
      </c>
      <c r="ALG4" s="83" t="n">
        <v>14133</v>
      </c>
      <c r="ALJ4" s="83" t="n">
        <v>14134</v>
      </c>
      <c r="ALM4" s="83" t="n">
        <v>14135</v>
      </c>
      <c r="ALP4" s="83" t="n">
        <v>14136</v>
      </c>
      <c r="ALS4" s="83" t="n">
        <v>14137</v>
      </c>
      <c r="ALV4" s="83" t="n">
        <v>14138</v>
      </c>
      <c r="ALY4" s="83" t="n">
        <v>14139</v>
      </c>
      <c r="AMB4" s="83" t="n">
        <v>14141</v>
      </c>
      <c r="AME4" s="83" t="n">
        <v>14142</v>
      </c>
      <c r="AMH4" s="83" t="n">
        <v>14143</v>
      </c>
    </row>
    <row r="5" s="80" customFormat="true" ht="16.5" hidden="false" customHeight="false" outlineLevel="0" collapsed="false">
      <c r="A5" s="78"/>
      <c r="B5" s="78"/>
      <c r="C5" s="78"/>
      <c r="D5" s="79"/>
      <c r="E5" s="80" t="s">
        <v>21</v>
      </c>
      <c r="AI5" s="80" t="s">
        <v>21</v>
      </c>
      <c r="BM5" s="80" t="s">
        <v>21</v>
      </c>
      <c r="CQ5" s="80" t="s">
        <v>21</v>
      </c>
      <c r="DU5" s="80" t="s">
        <v>21</v>
      </c>
      <c r="EY5" s="80" t="s">
        <v>21</v>
      </c>
      <c r="GC5" s="80" t="s">
        <v>21</v>
      </c>
      <c r="HG5" s="80" t="s">
        <v>21</v>
      </c>
      <c r="IK5" s="80" t="s">
        <v>21</v>
      </c>
      <c r="JO5" s="80" t="s">
        <v>21</v>
      </c>
      <c r="KS5" s="80" t="s">
        <v>21</v>
      </c>
      <c r="LW5" s="80" t="s">
        <v>21</v>
      </c>
      <c r="NA5" s="80" t="s">
        <v>21</v>
      </c>
      <c r="OE5" s="80" t="s">
        <v>21</v>
      </c>
      <c r="PI5" s="80" t="s">
        <v>21</v>
      </c>
      <c r="QM5" s="80" t="s">
        <v>21</v>
      </c>
      <c r="RQ5" s="80" t="s">
        <v>21</v>
      </c>
      <c r="SU5" s="80" t="s">
        <v>21</v>
      </c>
      <c r="TY5" s="80" t="s">
        <v>21</v>
      </c>
      <c r="VC5" s="80" t="s">
        <v>21</v>
      </c>
      <c r="WG5" s="80" t="s">
        <v>21</v>
      </c>
      <c r="XK5" s="80" t="s">
        <v>21</v>
      </c>
      <c r="YO5" s="80" t="s">
        <v>21</v>
      </c>
      <c r="ZS5" s="80" t="s">
        <v>21</v>
      </c>
      <c r="AAW5" s="80" t="s">
        <v>21</v>
      </c>
      <c r="ACA5" s="80" t="s">
        <v>21</v>
      </c>
      <c r="ADE5" s="80" t="s">
        <v>21</v>
      </c>
      <c r="AEI5" s="80" t="s">
        <v>21</v>
      </c>
      <c r="AFM5" s="80" t="s">
        <v>21</v>
      </c>
      <c r="AGQ5" s="80" t="s">
        <v>21</v>
      </c>
      <c r="AHU5" s="80" t="s">
        <v>21</v>
      </c>
      <c r="AIY5" s="80" t="s">
        <v>21</v>
      </c>
      <c r="AKC5" s="80" t="s">
        <v>21</v>
      </c>
      <c r="ALG5" s="80" t="s">
        <v>21</v>
      </c>
    </row>
    <row r="6" s="84" customFormat="true" ht="20.25" hidden="false" customHeight="false" outlineLevel="0" collapsed="false">
      <c r="A6" s="78"/>
      <c r="B6" s="78"/>
      <c r="C6" s="78"/>
      <c r="D6" s="79"/>
      <c r="E6" s="84" t="s">
        <v>27</v>
      </c>
      <c r="H6" s="84" t="s">
        <v>27</v>
      </c>
      <c r="K6" s="84" t="s">
        <v>27</v>
      </c>
      <c r="N6" s="84" t="s">
        <v>27</v>
      </c>
      <c r="Q6" s="84" t="s">
        <v>27</v>
      </c>
      <c r="T6" s="84" t="s">
        <v>27</v>
      </c>
      <c r="W6" s="84" t="s">
        <v>27</v>
      </c>
      <c r="Z6" s="84" t="s">
        <v>27</v>
      </c>
      <c r="AC6" s="84" t="s">
        <v>27</v>
      </c>
      <c r="AF6" s="84" t="s">
        <v>27</v>
      </c>
      <c r="AI6" s="84" t="s">
        <v>27</v>
      </c>
      <c r="AL6" s="84" t="s">
        <v>27</v>
      </c>
      <c r="AO6" s="84" t="s">
        <v>27</v>
      </c>
      <c r="AR6" s="84" t="s">
        <v>27</v>
      </c>
      <c r="AU6" s="84" t="s">
        <v>27</v>
      </c>
      <c r="AX6" s="84" t="s">
        <v>27</v>
      </c>
      <c r="BA6" s="84" t="s">
        <v>27</v>
      </c>
      <c r="BD6" s="84" t="s">
        <v>27</v>
      </c>
      <c r="BG6" s="84" t="s">
        <v>27</v>
      </c>
      <c r="BJ6" s="84" t="s">
        <v>27</v>
      </c>
      <c r="BM6" s="84" t="s">
        <v>27</v>
      </c>
      <c r="BP6" s="84" t="s">
        <v>27</v>
      </c>
      <c r="BS6" s="84" t="s">
        <v>27</v>
      </c>
      <c r="BV6" s="84" t="s">
        <v>27</v>
      </c>
      <c r="BY6" s="84" t="s">
        <v>27</v>
      </c>
      <c r="CB6" s="84" t="s">
        <v>27</v>
      </c>
      <c r="CE6" s="84" t="s">
        <v>27</v>
      </c>
      <c r="CH6" s="84" t="s">
        <v>27</v>
      </c>
      <c r="CK6" s="84" t="s">
        <v>27</v>
      </c>
      <c r="CN6" s="84" t="s">
        <v>27</v>
      </c>
      <c r="CQ6" s="84" t="s">
        <v>27</v>
      </c>
      <c r="CT6" s="84" t="s">
        <v>27</v>
      </c>
      <c r="CW6" s="84" t="s">
        <v>27</v>
      </c>
      <c r="CZ6" s="84" t="s">
        <v>27</v>
      </c>
      <c r="DC6" s="84" t="s">
        <v>27</v>
      </c>
      <c r="DF6" s="84" t="s">
        <v>27</v>
      </c>
      <c r="DI6" s="84" t="s">
        <v>27</v>
      </c>
      <c r="DL6" s="84" t="s">
        <v>27</v>
      </c>
      <c r="DO6" s="84" t="s">
        <v>27</v>
      </c>
      <c r="DR6" s="84" t="s">
        <v>27</v>
      </c>
      <c r="DU6" s="84" t="s">
        <v>27</v>
      </c>
      <c r="DX6" s="84" t="s">
        <v>27</v>
      </c>
      <c r="EA6" s="84" t="s">
        <v>27</v>
      </c>
      <c r="ED6" s="84" t="s">
        <v>27</v>
      </c>
      <c r="EG6" s="84" t="s">
        <v>27</v>
      </c>
      <c r="EJ6" s="84" t="s">
        <v>27</v>
      </c>
      <c r="EM6" s="84" t="s">
        <v>27</v>
      </c>
      <c r="EP6" s="84" t="s">
        <v>27</v>
      </c>
      <c r="ES6" s="84" t="s">
        <v>27</v>
      </c>
      <c r="EV6" s="84" t="s">
        <v>27</v>
      </c>
      <c r="EY6" s="84" t="s">
        <v>27</v>
      </c>
      <c r="FB6" s="84" t="s">
        <v>27</v>
      </c>
      <c r="FE6" s="84" t="s">
        <v>27</v>
      </c>
      <c r="FH6" s="84" t="s">
        <v>27</v>
      </c>
      <c r="FK6" s="84" t="s">
        <v>27</v>
      </c>
      <c r="FN6" s="84" t="s">
        <v>27</v>
      </c>
      <c r="FQ6" s="84" t="s">
        <v>27</v>
      </c>
      <c r="FT6" s="84" t="s">
        <v>27</v>
      </c>
      <c r="FW6" s="84" t="s">
        <v>27</v>
      </c>
      <c r="FZ6" s="84" t="s">
        <v>27</v>
      </c>
      <c r="GC6" s="84" t="s">
        <v>27</v>
      </c>
      <c r="GF6" s="84" t="s">
        <v>27</v>
      </c>
      <c r="GI6" s="84" t="s">
        <v>27</v>
      </c>
      <c r="GL6" s="84" t="s">
        <v>27</v>
      </c>
      <c r="GO6" s="84" t="s">
        <v>27</v>
      </c>
      <c r="GR6" s="84" t="s">
        <v>27</v>
      </c>
      <c r="GU6" s="84" t="s">
        <v>27</v>
      </c>
      <c r="GX6" s="84" t="s">
        <v>27</v>
      </c>
      <c r="HA6" s="84" t="s">
        <v>27</v>
      </c>
      <c r="HD6" s="84" t="s">
        <v>27</v>
      </c>
      <c r="HG6" s="84" t="s">
        <v>27</v>
      </c>
      <c r="HJ6" s="84" t="s">
        <v>27</v>
      </c>
      <c r="HM6" s="84" t="s">
        <v>27</v>
      </c>
      <c r="HP6" s="84" t="s">
        <v>27</v>
      </c>
      <c r="HS6" s="84" t="s">
        <v>27</v>
      </c>
      <c r="HV6" s="84" t="s">
        <v>27</v>
      </c>
      <c r="HY6" s="84" t="s">
        <v>27</v>
      </c>
      <c r="IB6" s="84" t="s">
        <v>27</v>
      </c>
      <c r="IE6" s="84" t="s">
        <v>27</v>
      </c>
      <c r="IH6" s="84" t="s">
        <v>27</v>
      </c>
      <c r="IK6" s="84" t="s">
        <v>27</v>
      </c>
      <c r="IN6" s="84" t="s">
        <v>27</v>
      </c>
      <c r="IQ6" s="84" t="s">
        <v>27</v>
      </c>
      <c r="IT6" s="84" t="s">
        <v>27</v>
      </c>
      <c r="IW6" s="84" t="s">
        <v>27</v>
      </c>
      <c r="IZ6" s="84" t="s">
        <v>27</v>
      </c>
      <c r="JC6" s="84" t="s">
        <v>27</v>
      </c>
      <c r="JF6" s="84" t="s">
        <v>27</v>
      </c>
      <c r="JI6" s="84" t="s">
        <v>27</v>
      </c>
      <c r="JL6" s="84" t="s">
        <v>27</v>
      </c>
      <c r="JO6" s="84" t="s">
        <v>27</v>
      </c>
      <c r="JR6" s="84" t="s">
        <v>27</v>
      </c>
      <c r="JU6" s="84" t="s">
        <v>27</v>
      </c>
      <c r="JX6" s="84" t="s">
        <v>27</v>
      </c>
      <c r="KA6" s="84" t="s">
        <v>27</v>
      </c>
      <c r="KD6" s="84" t="s">
        <v>27</v>
      </c>
      <c r="KG6" s="84" t="s">
        <v>27</v>
      </c>
      <c r="KJ6" s="84" t="s">
        <v>27</v>
      </c>
      <c r="KM6" s="84" t="s">
        <v>27</v>
      </c>
      <c r="KP6" s="84" t="s">
        <v>27</v>
      </c>
      <c r="KS6" s="84" t="s">
        <v>27</v>
      </c>
      <c r="KV6" s="84" t="s">
        <v>27</v>
      </c>
      <c r="KY6" s="84" t="s">
        <v>27</v>
      </c>
      <c r="LB6" s="84" t="s">
        <v>27</v>
      </c>
      <c r="LE6" s="84" t="s">
        <v>27</v>
      </c>
      <c r="LH6" s="84" t="s">
        <v>27</v>
      </c>
      <c r="LK6" s="84" t="s">
        <v>27</v>
      </c>
      <c r="LN6" s="84" t="s">
        <v>27</v>
      </c>
      <c r="LQ6" s="84" t="s">
        <v>27</v>
      </c>
      <c r="LT6" s="84" t="s">
        <v>27</v>
      </c>
      <c r="LW6" s="84" t="s">
        <v>27</v>
      </c>
      <c r="LZ6" s="84" t="s">
        <v>27</v>
      </c>
      <c r="MC6" s="84" t="s">
        <v>27</v>
      </c>
      <c r="MF6" s="84" t="s">
        <v>27</v>
      </c>
      <c r="MI6" s="84" t="s">
        <v>27</v>
      </c>
      <c r="ML6" s="84" t="s">
        <v>27</v>
      </c>
      <c r="MO6" s="84" t="s">
        <v>27</v>
      </c>
      <c r="MR6" s="84" t="s">
        <v>27</v>
      </c>
      <c r="MU6" s="84" t="s">
        <v>27</v>
      </c>
      <c r="MX6" s="84" t="s">
        <v>27</v>
      </c>
      <c r="NA6" s="84" t="s">
        <v>27</v>
      </c>
      <c r="ND6" s="84" t="s">
        <v>27</v>
      </c>
      <c r="NG6" s="84" t="s">
        <v>27</v>
      </c>
      <c r="NJ6" s="84" t="s">
        <v>27</v>
      </c>
      <c r="NM6" s="84" t="s">
        <v>27</v>
      </c>
      <c r="NP6" s="84" t="s">
        <v>27</v>
      </c>
      <c r="NS6" s="84" t="s">
        <v>27</v>
      </c>
      <c r="NV6" s="84" t="s">
        <v>27</v>
      </c>
      <c r="NY6" s="84" t="s">
        <v>27</v>
      </c>
      <c r="OB6" s="84" t="s">
        <v>27</v>
      </c>
      <c r="OE6" s="84" t="s">
        <v>27</v>
      </c>
      <c r="OH6" s="84" t="s">
        <v>27</v>
      </c>
      <c r="OK6" s="84" t="s">
        <v>27</v>
      </c>
      <c r="ON6" s="84" t="s">
        <v>27</v>
      </c>
      <c r="OQ6" s="84" t="s">
        <v>27</v>
      </c>
      <c r="OT6" s="84" t="s">
        <v>27</v>
      </c>
      <c r="OW6" s="84" t="s">
        <v>27</v>
      </c>
      <c r="OZ6" s="84" t="s">
        <v>27</v>
      </c>
      <c r="PC6" s="84" t="s">
        <v>27</v>
      </c>
      <c r="PF6" s="84" t="s">
        <v>27</v>
      </c>
      <c r="PI6" s="84" t="s">
        <v>27</v>
      </c>
      <c r="PL6" s="84" t="s">
        <v>27</v>
      </c>
      <c r="PO6" s="84" t="s">
        <v>27</v>
      </c>
      <c r="PR6" s="84" t="s">
        <v>27</v>
      </c>
      <c r="PU6" s="84" t="s">
        <v>27</v>
      </c>
      <c r="PX6" s="84" t="s">
        <v>27</v>
      </c>
      <c r="QA6" s="84" t="s">
        <v>27</v>
      </c>
      <c r="QD6" s="84" t="s">
        <v>27</v>
      </c>
      <c r="QG6" s="84" t="s">
        <v>27</v>
      </c>
      <c r="QJ6" s="84" t="s">
        <v>27</v>
      </c>
      <c r="QM6" s="84" t="s">
        <v>27</v>
      </c>
      <c r="QP6" s="84" t="s">
        <v>27</v>
      </c>
      <c r="QS6" s="84" t="s">
        <v>27</v>
      </c>
      <c r="QV6" s="84" t="s">
        <v>27</v>
      </c>
      <c r="QY6" s="84" t="s">
        <v>27</v>
      </c>
      <c r="RB6" s="84" t="s">
        <v>27</v>
      </c>
      <c r="RE6" s="84" t="s">
        <v>27</v>
      </c>
      <c r="RH6" s="84" t="s">
        <v>27</v>
      </c>
      <c r="RK6" s="84" t="s">
        <v>27</v>
      </c>
      <c r="RN6" s="84" t="s">
        <v>27</v>
      </c>
      <c r="RQ6" s="84" t="s">
        <v>27</v>
      </c>
      <c r="RT6" s="84" t="s">
        <v>27</v>
      </c>
      <c r="RW6" s="84" t="s">
        <v>27</v>
      </c>
      <c r="RZ6" s="84" t="s">
        <v>27</v>
      </c>
      <c r="SC6" s="84" t="s">
        <v>27</v>
      </c>
      <c r="SF6" s="84" t="s">
        <v>27</v>
      </c>
      <c r="SI6" s="84" t="s">
        <v>27</v>
      </c>
      <c r="SL6" s="84" t="s">
        <v>27</v>
      </c>
      <c r="SO6" s="84" t="s">
        <v>27</v>
      </c>
      <c r="SR6" s="84" t="s">
        <v>27</v>
      </c>
      <c r="SU6" s="84" t="s">
        <v>27</v>
      </c>
      <c r="SX6" s="84" t="s">
        <v>27</v>
      </c>
      <c r="TA6" s="84" t="s">
        <v>27</v>
      </c>
      <c r="TD6" s="84" t="s">
        <v>27</v>
      </c>
      <c r="TG6" s="84" t="s">
        <v>27</v>
      </c>
      <c r="TJ6" s="84" t="s">
        <v>27</v>
      </c>
      <c r="TM6" s="84" t="s">
        <v>27</v>
      </c>
      <c r="TP6" s="84" t="s">
        <v>27</v>
      </c>
      <c r="TS6" s="84" t="s">
        <v>27</v>
      </c>
      <c r="TV6" s="84" t="s">
        <v>27</v>
      </c>
      <c r="TY6" s="84" t="s">
        <v>27</v>
      </c>
      <c r="UB6" s="84" t="s">
        <v>27</v>
      </c>
      <c r="UE6" s="84" t="s">
        <v>27</v>
      </c>
      <c r="UH6" s="84" t="s">
        <v>211</v>
      </c>
      <c r="UK6" s="84" t="s">
        <v>211</v>
      </c>
      <c r="UN6" s="84" t="s">
        <v>27</v>
      </c>
      <c r="UQ6" s="84" t="s">
        <v>27</v>
      </c>
      <c r="UT6" s="84" t="s">
        <v>27</v>
      </c>
      <c r="UW6" s="84" t="s">
        <v>27</v>
      </c>
      <c r="UZ6" s="84" t="s">
        <v>27</v>
      </c>
      <c r="VC6" s="84" t="s">
        <v>27</v>
      </c>
      <c r="VF6" s="84" t="s">
        <v>27</v>
      </c>
      <c r="VI6" s="84" t="s">
        <v>27</v>
      </c>
      <c r="VL6" s="84" t="s">
        <v>27</v>
      </c>
      <c r="VO6" s="84" t="s">
        <v>27</v>
      </c>
      <c r="VR6" s="84" t="s">
        <v>27</v>
      </c>
      <c r="VU6" s="84" t="s">
        <v>27</v>
      </c>
      <c r="VX6" s="84" t="s">
        <v>27</v>
      </c>
      <c r="WA6" s="84" t="s">
        <v>27</v>
      </c>
      <c r="WD6" s="84" t="s">
        <v>27</v>
      </c>
      <c r="WG6" s="84" t="s">
        <v>27</v>
      </c>
      <c r="WJ6" s="84" t="s">
        <v>27</v>
      </c>
      <c r="WM6" s="84" t="s">
        <v>27</v>
      </c>
      <c r="WP6" s="84" t="s">
        <v>27</v>
      </c>
      <c r="WS6" s="84" t="s">
        <v>27</v>
      </c>
      <c r="WV6" s="84" t="s">
        <v>27</v>
      </c>
      <c r="WY6" s="84" t="s">
        <v>27</v>
      </c>
      <c r="XB6" s="84" t="s">
        <v>27</v>
      </c>
      <c r="XE6" s="84" t="s">
        <v>27</v>
      </c>
      <c r="XH6" s="84" t="s">
        <v>27</v>
      </c>
      <c r="XK6" s="84" t="s">
        <v>27</v>
      </c>
      <c r="XN6" s="84" t="s">
        <v>27</v>
      </c>
      <c r="XQ6" s="84" t="s">
        <v>27</v>
      </c>
      <c r="XT6" s="84" t="s">
        <v>27</v>
      </c>
      <c r="XW6" s="84" t="s">
        <v>27</v>
      </c>
      <c r="XZ6" s="84" t="s">
        <v>27</v>
      </c>
      <c r="YC6" s="84" t="s">
        <v>27</v>
      </c>
      <c r="YF6" s="84" t="s">
        <v>27</v>
      </c>
      <c r="YI6" s="84" t="s">
        <v>27</v>
      </c>
      <c r="YL6" s="84" t="s">
        <v>27</v>
      </c>
      <c r="YO6" s="84" t="s">
        <v>27</v>
      </c>
      <c r="YR6" s="84" t="s">
        <v>27</v>
      </c>
      <c r="YU6" s="84" t="s">
        <v>27</v>
      </c>
      <c r="YX6" s="84" t="s">
        <v>27</v>
      </c>
      <c r="ZA6" s="84" t="s">
        <v>27</v>
      </c>
      <c r="ZD6" s="84" t="s">
        <v>27</v>
      </c>
      <c r="ZG6" s="84" t="s">
        <v>27</v>
      </c>
      <c r="ZJ6" s="84" t="s">
        <v>27</v>
      </c>
      <c r="ZM6" s="84" t="s">
        <v>27</v>
      </c>
      <c r="ZP6" s="84" t="s">
        <v>27</v>
      </c>
      <c r="ZS6" s="84" t="s">
        <v>27</v>
      </c>
      <c r="ZV6" s="84" t="s">
        <v>27</v>
      </c>
      <c r="ZY6" s="84" t="s">
        <v>27</v>
      </c>
      <c r="AAB6" s="84" t="s">
        <v>27</v>
      </c>
      <c r="AAE6" s="84" t="s">
        <v>27</v>
      </c>
      <c r="AAH6" s="84" t="s">
        <v>27</v>
      </c>
      <c r="AAK6" s="84" t="s">
        <v>27</v>
      </c>
      <c r="AAN6" s="84" t="s">
        <v>27</v>
      </c>
      <c r="AAQ6" s="84" t="s">
        <v>27</v>
      </c>
      <c r="AAT6" s="84" t="s">
        <v>27</v>
      </c>
      <c r="AAW6" s="84" t="s">
        <v>27</v>
      </c>
      <c r="AAZ6" s="84" t="s">
        <v>27</v>
      </c>
      <c r="ABC6" s="84" t="s">
        <v>27</v>
      </c>
      <c r="ABF6" s="84" t="s">
        <v>27</v>
      </c>
      <c r="ABI6" s="84" t="s">
        <v>27</v>
      </c>
      <c r="ABL6" s="84" t="s">
        <v>27</v>
      </c>
      <c r="ABO6" s="84" t="s">
        <v>27</v>
      </c>
      <c r="ABR6" s="84" t="s">
        <v>27</v>
      </c>
      <c r="ABU6" s="84" t="s">
        <v>27</v>
      </c>
      <c r="ABX6" s="84" t="s">
        <v>27</v>
      </c>
      <c r="ACA6" s="84" t="s">
        <v>27</v>
      </c>
      <c r="ACD6" s="84" t="s">
        <v>27</v>
      </c>
      <c r="ACG6" s="84" t="s">
        <v>27</v>
      </c>
      <c r="ACJ6" s="84" t="s">
        <v>27</v>
      </c>
      <c r="ACM6" s="84" t="s">
        <v>27</v>
      </c>
      <c r="ACP6" s="84" t="s">
        <v>27</v>
      </c>
      <c r="ACS6" s="84" t="s">
        <v>27</v>
      </c>
      <c r="ACV6" s="84" t="s">
        <v>27</v>
      </c>
      <c r="ACY6" s="84" t="s">
        <v>27</v>
      </c>
      <c r="ADB6" s="84" t="s">
        <v>27</v>
      </c>
      <c r="ADE6" s="84" t="s">
        <v>27</v>
      </c>
      <c r="ADH6" s="84" t="s">
        <v>27</v>
      </c>
      <c r="ADK6" s="84" t="s">
        <v>27</v>
      </c>
      <c r="ADN6" s="84" t="s">
        <v>27</v>
      </c>
      <c r="ADQ6" s="84" t="s">
        <v>27</v>
      </c>
      <c r="ADT6" s="84" t="s">
        <v>27</v>
      </c>
      <c r="ADW6" s="84" t="s">
        <v>27</v>
      </c>
      <c r="ADZ6" s="84" t="s">
        <v>27</v>
      </c>
      <c r="AEC6" s="84" t="s">
        <v>27</v>
      </c>
      <c r="AEF6" s="84" t="s">
        <v>27</v>
      </c>
      <c r="AEI6" s="84" t="s">
        <v>27</v>
      </c>
      <c r="AEL6" s="84" t="s">
        <v>27</v>
      </c>
      <c r="AEO6" s="84" t="s">
        <v>27</v>
      </c>
      <c r="AER6" s="84" t="s">
        <v>27</v>
      </c>
      <c r="AEU6" s="84" t="s">
        <v>27</v>
      </c>
      <c r="AEX6" s="84" t="s">
        <v>27</v>
      </c>
      <c r="AFA6" s="84" t="s">
        <v>27</v>
      </c>
      <c r="AFD6" s="84" t="s">
        <v>27</v>
      </c>
      <c r="AFG6" s="84" t="s">
        <v>27</v>
      </c>
      <c r="AFJ6" s="84" t="s">
        <v>27</v>
      </c>
      <c r="AFM6" s="84" t="s">
        <v>27</v>
      </c>
      <c r="AFP6" s="84" t="s">
        <v>27</v>
      </c>
      <c r="AFS6" s="84" t="s">
        <v>27</v>
      </c>
      <c r="AFV6" s="84" t="s">
        <v>27</v>
      </c>
      <c r="AFY6" s="84" t="s">
        <v>27</v>
      </c>
      <c r="AGB6" s="84" t="s">
        <v>27</v>
      </c>
      <c r="AGE6" s="84" t="s">
        <v>27</v>
      </c>
      <c r="AGH6" s="84" t="s">
        <v>27</v>
      </c>
      <c r="AGK6" s="84" t="s">
        <v>27</v>
      </c>
      <c r="AGN6" s="84" t="s">
        <v>27</v>
      </c>
      <c r="AGQ6" s="84" t="s">
        <v>27</v>
      </c>
      <c r="AGT6" s="84" t="s">
        <v>27</v>
      </c>
      <c r="AGW6" s="84" t="s">
        <v>27</v>
      </c>
      <c r="AGZ6" s="84" t="s">
        <v>27</v>
      </c>
      <c r="AHC6" s="84" t="s">
        <v>27</v>
      </c>
      <c r="AHF6" s="84" t="s">
        <v>27</v>
      </c>
      <c r="AHI6" s="84" t="s">
        <v>27</v>
      </c>
      <c r="AHL6" s="84" t="s">
        <v>27</v>
      </c>
      <c r="AHO6" s="84" t="s">
        <v>27</v>
      </c>
      <c r="AHR6" s="84" t="s">
        <v>27</v>
      </c>
      <c r="AHU6" s="84" t="s">
        <v>27</v>
      </c>
      <c r="AHX6" s="84" t="s">
        <v>27</v>
      </c>
      <c r="AIA6" s="84" t="s">
        <v>27</v>
      </c>
      <c r="AID6" s="84" t="s">
        <v>27</v>
      </c>
      <c r="AIG6" s="84" t="s">
        <v>27</v>
      </c>
      <c r="AIJ6" s="84" t="s">
        <v>27</v>
      </c>
      <c r="AIM6" s="84" t="s">
        <v>27</v>
      </c>
      <c r="AIP6" s="84" t="s">
        <v>27</v>
      </c>
      <c r="AIS6" s="84" t="s">
        <v>27</v>
      </c>
      <c r="AIV6" s="84" t="s">
        <v>27</v>
      </c>
      <c r="AIY6" s="84" t="s">
        <v>27</v>
      </c>
      <c r="AJB6" s="84" t="s">
        <v>27</v>
      </c>
      <c r="AJE6" s="84" t="s">
        <v>27</v>
      </c>
      <c r="AJH6" s="84" t="s">
        <v>27</v>
      </c>
      <c r="AJK6" s="84" t="s">
        <v>27</v>
      </c>
      <c r="AJN6" s="84" t="s">
        <v>27</v>
      </c>
      <c r="AJQ6" s="84" t="s">
        <v>27</v>
      </c>
      <c r="AJT6" s="84" t="s">
        <v>27</v>
      </c>
      <c r="AJW6" s="84" t="s">
        <v>27</v>
      </c>
      <c r="AJZ6" s="84" t="s">
        <v>27</v>
      </c>
      <c r="AKC6" s="84" t="s">
        <v>27</v>
      </c>
      <c r="AKF6" s="84" t="s">
        <v>27</v>
      </c>
      <c r="AKI6" s="84" t="s">
        <v>27</v>
      </c>
      <c r="AKL6" s="84" t="s">
        <v>27</v>
      </c>
      <c r="AKO6" s="84" t="s">
        <v>27</v>
      </c>
      <c r="AKR6" s="84" t="s">
        <v>27</v>
      </c>
      <c r="AKU6" s="84" t="s">
        <v>27</v>
      </c>
      <c r="AKX6" s="84" t="s">
        <v>27</v>
      </c>
      <c r="ALA6" s="84" t="s">
        <v>27</v>
      </c>
      <c r="ALD6" s="84" t="s">
        <v>27</v>
      </c>
      <c r="ALG6" s="84" t="s">
        <v>27</v>
      </c>
      <c r="ALJ6" s="84" t="s">
        <v>27</v>
      </c>
      <c r="ALM6" s="84" t="s">
        <v>27</v>
      </c>
      <c r="ALP6" s="84" t="s">
        <v>27</v>
      </c>
      <c r="ALS6" s="84" t="s">
        <v>27</v>
      </c>
      <c r="ALV6" s="84" t="s">
        <v>27</v>
      </c>
      <c r="ALY6" s="84" t="s">
        <v>27</v>
      </c>
      <c r="AMB6" s="84" t="s">
        <v>27</v>
      </c>
      <c r="AME6" s="84" t="s">
        <v>27</v>
      </c>
      <c r="AMH6" s="84" t="s">
        <v>27</v>
      </c>
    </row>
    <row r="7" s="80" customFormat="true" ht="16.5" hidden="false" customHeight="false" outlineLevel="0" collapsed="false">
      <c r="A7" s="78"/>
      <c r="B7" s="78"/>
      <c r="C7" s="78"/>
      <c r="D7" s="79"/>
      <c r="E7" s="80" t="s">
        <v>428</v>
      </c>
      <c r="AI7" s="80" t="s">
        <v>428</v>
      </c>
      <c r="BM7" s="80" t="s">
        <v>428</v>
      </c>
      <c r="CQ7" s="80" t="s">
        <v>428</v>
      </c>
      <c r="DU7" s="80" t="s">
        <v>428</v>
      </c>
      <c r="EY7" s="80" t="s">
        <v>428</v>
      </c>
      <c r="GC7" s="80" t="s">
        <v>428</v>
      </c>
      <c r="HG7" s="80" t="s">
        <v>428</v>
      </c>
      <c r="IK7" s="80" t="s">
        <v>428</v>
      </c>
      <c r="JO7" s="80" t="s">
        <v>428</v>
      </c>
      <c r="KS7" s="80" t="s">
        <v>428</v>
      </c>
      <c r="LW7" s="80" t="s">
        <v>428</v>
      </c>
      <c r="NA7" s="80" t="s">
        <v>428</v>
      </c>
      <c r="OE7" s="80" t="s">
        <v>428</v>
      </c>
      <c r="PI7" s="80" t="s">
        <v>428</v>
      </c>
      <c r="QM7" s="80" t="s">
        <v>428</v>
      </c>
      <c r="RQ7" s="80" t="s">
        <v>428</v>
      </c>
      <c r="SU7" s="80" t="s">
        <v>428</v>
      </c>
      <c r="TY7" s="80" t="s">
        <v>428</v>
      </c>
      <c r="VC7" s="80" t="s">
        <v>428</v>
      </c>
      <c r="WG7" s="80" t="s">
        <v>428</v>
      </c>
      <c r="XK7" s="80" t="s">
        <v>428</v>
      </c>
      <c r="YO7" s="80" t="s">
        <v>428</v>
      </c>
      <c r="ZS7" s="80" t="s">
        <v>428</v>
      </c>
      <c r="AAW7" s="80" t="s">
        <v>428</v>
      </c>
      <c r="ACA7" s="80" t="s">
        <v>428</v>
      </c>
      <c r="ADE7" s="80" t="s">
        <v>428</v>
      </c>
      <c r="AEI7" s="80" t="s">
        <v>428</v>
      </c>
      <c r="AFM7" s="80" t="s">
        <v>428</v>
      </c>
      <c r="AGQ7" s="80" t="s">
        <v>428</v>
      </c>
      <c r="AHU7" s="80" t="s">
        <v>428</v>
      </c>
      <c r="AIY7" s="80" t="s">
        <v>428</v>
      </c>
      <c r="AKC7" s="80" t="s">
        <v>428</v>
      </c>
      <c r="ALG7" s="80" t="s">
        <v>428</v>
      </c>
    </row>
    <row r="8" s="85" customFormat="true" ht="16.5" hidden="false" customHeight="false" outlineLevel="0" collapsed="false">
      <c r="A8" s="78"/>
      <c r="B8" s="78"/>
      <c r="C8" s="78"/>
      <c r="D8" s="79"/>
    </row>
    <row r="9" s="78" customFormat="true" ht="47.25" hidden="false" customHeight="false" outlineLevel="0" collapsed="false">
      <c r="D9" s="79"/>
      <c r="E9" s="86" t="s">
        <v>429</v>
      </c>
      <c r="F9" s="78" t="s">
        <v>430</v>
      </c>
      <c r="G9" s="79" t="s">
        <v>431</v>
      </c>
      <c r="H9" s="86" t="s">
        <v>429</v>
      </c>
      <c r="I9" s="78" t="s">
        <v>430</v>
      </c>
      <c r="J9" s="79" t="s">
        <v>431</v>
      </c>
      <c r="K9" s="86" t="s">
        <v>429</v>
      </c>
      <c r="L9" s="78" t="s">
        <v>430</v>
      </c>
      <c r="M9" s="79" t="s">
        <v>431</v>
      </c>
      <c r="N9" s="86" t="s">
        <v>429</v>
      </c>
      <c r="O9" s="78" t="s">
        <v>430</v>
      </c>
      <c r="P9" s="79" t="s">
        <v>431</v>
      </c>
      <c r="Q9" s="86" t="s">
        <v>429</v>
      </c>
      <c r="R9" s="78" t="s">
        <v>430</v>
      </c>
      <c r="S9" s="79" t="s">
        <v>431</v>
      </c>
      <c r="T9" s="86" t="s">
        <v>429</v>
      </c>
      <c r="U9" s="78" t="s">
        <v>430</v>
      </c>
      <c r="V9" s="79" t="s">
        <v>431</v>
      </c>
      <c r="W9" s="86" t="s">
        <v>429</v>
      </c>
      <c r="X9" s="78" t="s">
        <v>430</v>
      </c>
      <c r="Y9" s="79" t="s">
        <v>431</v>
      </c>
      <c r="Z9" s="86" t="s">
        <v>429</v>
      </c>
      <c r="AA9" s="78" t="s">
        <v>430</v>
      </c>
      <c r="AB9" s="79" t="s">
        <v>431</v>
      </c>
      <c r="AC9" s="86" t="s">
        <v>429</v>
      </c>
      <c r="AD9" s="78" t="s">
        <v>430</v>
      </c>
      <c r="AE9" s="79" t="s">
        <v>431</v>
      </c>
      <c r="AF9" s="86" t="s">
        <v>429</v>
      </c>
      <c r="AG9" s="78" t="s">
        <v>430</v>
      </c>
      <c r="AH9" s="79" t="s">
        <v>431</v>
      </c>
      <c r="AI9" s="86" t="s">
        <v>429</v>
      </c>
      <c r="AJ9" s="78" t="s">
        <v>430</v>
      </c>
      <c r="AK9" s="79" t="s">
        <v>431</v>
      </c>
      <c r="AL9" s="86" t="s">
        <v>429</v>
      </c>
      <c r="AM9" s="78" t="s">
        <v>430</v>
      </c>
      <c r="AN9" s="79" t="s">
        <v>431</v>
      </c>
      <c r="AO9" s="86" t="s">
        <v>429</v>
      </c>
      <c r="AP9" s="78" t="s">
        <v>430</v>
      </c>
      <c r="AQ9" s="79" t="s">
        <v>431</v>
      </c>
      <c r="AR9" s="86" t="s">
        <v>429</v>
      </c>
      <c r="AS9" s="78" t="s">
        <v>430</v>
      </c>
      <c r="AT9" s="79" t="s">
        <v>431</v>
      </c>
      <c r="AU9" s="86" t="s">
        <v>429</v>
      </c>
      <c r="AV9" s="78" t="s">
        <v>430</v>
      </c>
      <c r="AW9" s="79" t="s">
        <v>431</v>
      </c>
      <c r="AX9" s="86" t="s">
        <v>429</v>
      </c>
      <c r="AY9" s="78" t="s">
        <v>430</v>
      </c>
      <c r="AZ9" s="79" t="s">
        <v>431</v>
      </c>
      <c r="BA9" s="86" t="s">
        <v>429</v>
      </c>
      <c r="BB9" s="78" t="s">
        <v>430</v>
      </c>
      <c r="BC9" s="79" t="s">
        <v>431</v>
      </c>
      <c r="BD9" s="86" t="s">
        <v>429</v>
      </c>
      <c r="BE9" s="78" t="s">
        <v>430</v>
      </c>
      <c r="BF9" s="79" t="s">
        <v>431</v>
      </c>
      <c r="BG9" s="86" t="s">
        <v>429</v>
      </c>
      <c r="BH9" s="78" t="s">
        <v>430</v>
      </c>
      <c r="BI9" s="79" t="s">
        <v>431</v>
      </c>
      <c r="BJ9" s="86" t="s">
        <v>429</v>
      </c>
      <c r="BK9" s="78" t="s">
        <v>430</v>
      </c>
      <c r="BL9" s="79" t="s">
        <v>431</v>
      </c>
      <c r="BM9" s="86" t="s">
        <v>429</v>
      </c>
      <c r="BN9" s="78" t="s">
        <v>430</v>
      </c>
      <c r="BO9" s="79" t="s">
        <v>431</v>
      </c>
      <c r="BP9" s="86" t="s">
        <v>429</v>
      </c>
      <c r="BQ9" s="78" t="s">
        <v>430</v>
      </c>
      <c r="BR9" s="79" t="s">
        <v>431</v>
      </c>
      <c r="BS9" s="86" t="s">
        <v>429</v>
      </c>
      <c r="BT9" s="78" t="s">
        <v>430</v>
      </c>
      <c r="BU9" s="79" t="s">
        <v>431</v>
      </c>
      <c r="BV9" s="86" t="s">
        <v>429</v>
      </c>
      <c r="BW9" s="78" t="s">
        <v>430</v>
      </c>
      <c r="BX9" s="79" t="s">
        <v>431</v>
      </c>
      <c r="BY9" s="86" t="s">
        <v>429</v>
      </c>
      <c r="BZ9" s="78" t="s">
        <v>430</v>
      </c>
      <c r="CA9" s="79" t="s">
        <v>431</v>
      </c>
      <c r="CB9" s="86" t="s">
        <v>429</v>
      </c>
      <c r="CC9" s="78" t="s">
        <v>430</v>
      </c>
      <c r="CD9" s="79" t="s">
        <v>431</v>
      </c>
      <c r="CE9" s="86" t="s">
        <v>429</v>
      </c>
      <c r="CF9" s="78" t="s">
        <v>430</v>
      </c>
      <c r="CG9" s="79" t="s">
        <v>431</v>
      </c>
      <c r="CH9" s="86" t="s">
        <v>429</v>
      </c>
      <c r="CI9" s="78" t="s">
        <v>430</v>
      </c>
      <c r="CJ9" s="79" t="s">
        <v>431</v>
      </c>
      <c r="CK9" s="86" t="s">
        <v>429</v>
      </c>
      <c r="CL9" s="78" t="s">
        <v>430</v>
      </c>
      <c r="CM9" s="79" t="s">
        <v>431</v>
      </c>
      <c r="CN9" s="86" t="s">
        <v>429</v>
      </c>
      <c r="CO9" s="78" t="s">
        <v>430</v>
      </c>
      <c r="CP9" s="79" t="s">
        <v>431</v>
      </c>
      <c r="CQ9" s="86" t="s">
        <v>429</v>
      </c>
      <c r="CR9" s="78" t="s">
        <v>430</v>
      </c>
      <c r="CS9" s="79" t="s">
        <v>431</v>
      </c>
      <c r="CT9" s="86" t="s">
        <v>429</v>
      </c>
      <c r="CU9" s="78" t="s">
        <v>430</v>
      </c>
      <c r="CV9" s="79" t="s">
        <v>431</v>
      </c>
      <c r="CW9" s="86" t="s">
        <v>429</v>
      </c>
      <c r="CX9" s="78" t="s">
        <v>430</v>
      </c>
      <c r="CY9" s="79" t="s">
        <v>431</v>
      </c>
      <c r="CZ9" s="86" t="s">
        <v>429</v>
      </c>
      <c r="DA9" s="78" t="s">
        <v>430</v>
      </c>
      <c r="DB9" s="79" t="s">
        <v>431</v>
      </c>
      <c r="DC9" s="86" t="s">
        <v>429</v>
      </c>
      <c r="DD9" s="78" t="s">
        <v>430</v>
      </c>
      <c r="DE9" s="79" t="s">
        <v>431</v>
      </c>
      <c r="DF9" s="86" t="s">
        <v>429</v>
      </c>
      <c r="DG9" s="78" t="s">
        <v>430</v>
      </c>
      <c r="DH9" s="79" t="s">
        <v>431</v>
      </c>
      <c r="DI9" s="86" t="s">
        <v>429</v>
      </c>
      <c r="DJ9" s="78" t="s">
        <v>430</v>
      </c>
      <c r="DK9" s="79" t="s">
        <v>431</v>
      </c>
      <c r="DL9" s="86" t="s">
        <v>429</v>
      </c>
      <c r="DM9" s="78" t="s">
        <v>430</v>
      </c>
      <c r="DN9" s="79" t="s">
        <v>431</v>
      </c>
      <c r="DO9" s="86" t="s">
        <v>429</v>
      </c>
      <c r="DP9" s="78" t="s">
        <v>430</v>
      </c>
      <c r="DQ9" s="79" t="s">
        <v>431</v>
      </c>
      <c r="DR9" s="86" t="s">
        <v>429</v>
      </c>
      <c r="DS9" s="78" t="s">
        <v>430</v>
      </c>
      <c r="DT9" s="79" t="s">
        <v>431</v>
      </c>
      <c r="DU9" s="86" t="s">
        <v>429</v>
      </c>
      <c r="DV9" s="78" t="s">
        <v>430</v>
      </c>
      <c r="DW9" s="79" t="s">
        <v>431</v>
      </c>
      <c r="DX9" s="86" t="s">
        <v>429</v>
      </c>
      <c r="DY9" s="78" t="s">
        <v>430</v>
      </c>
      <c r="DZ9" s="79" t="s">
        <v>431</v>
      </c>
      <c r="EA9" s="86" t="s">
        <v>429</v>
      </c>
      <c r="EB9" s="78" t="s">
        <v>430</v>
      </c>
      <c r="EC9" s="79" t="s">
        <v>431</v>
      </c>
      <c r="ED9" s="86" t="s">
        <v>429</v>
      </c>
      <c r="EE9" s="78" t="s">
        <v>430</v>
      </c>
      <c r="EF9" s="79" t="s">
        <v>431</v>
      </c>
      <c r="EG9" s="86" t="s">
        <v>429</v>
      </c>
      <c r="EH9" s="78" t="s">
        <v>430</v>
      </c>
      <c r="EI9" s="79" t="s">
        <v>431</v>
      </c>
      <c r="EJ9" s="86" t="s">
        <v>429</v>
      </c>
      <c r="EK9" s="78" t="s">
        <v>430</v>
      </c>
      <c r="EL9" s="79" t="s">
        <v>431</v>
      </c>
      <c r="EM9" s="86" t="s">
        <v>429</v>
      </c>
      <c r="EN9" s="78" t="s">
        <v>430</v>
      </c>
      <c r="EO9" s="79" t="s">
        <v>431</v>
      </c>
      <c r="EP9" s="86" t="s">
        <v>429</v>
      </c>
      <c r="EQ9" s="78" t="s">
        <v>430</v>
      </c>
      <c r="ER9" s="79" t="s">
        <v>431</v>
      </c>
      <c r="ES9" s="86" t="s">
        <v>429</v>
      </c>
      <c r="ET9" s="78" t="s">
        <v>430</v>
      </c>
      <c r="EU9" s="79" t="s">
        <v>431</v>
      </c>
      <c r="EV9" s="86" t="s">
        <v>429</v>
      </c>
      <c r="EW9" s="78" t="s">
        <v>430</v>
      </c>
      <c r="EX9" s="79" t="s">
        <v>431</v>
      </c>
      <c r="EY9" s="86" t="s">
        <v>429</v>
      </c>
      <c r="EZ9" s="78" t="s">
        <v>430</v>
      </c>
      <c r="FA9" s="79" t="s">
        <v>431</v>
      </c>
      <c r="FB9" s="86" t="s">
        <v>429</v>
      </c>
      <c r="FC9" s="78" t="s">
        <v>430</v>
      </c>
      <c r="FD9" s="79" t="s">
        <v>431</v>
      </c>
      <c r="FE9" s="86" t="s">
        <v>429</v>
      </c>
      <c r="FF9" s="78" t="s">
        <v>430</v>
      </c>
      <c r="FG9" s="79" t="s">
        <v>431</v>
      </c>
      <c r="FH9" s="86" t="s">
        <v>429</v>
      </c>
      <c r="FI9" s="78" t="s">
        <v>430</v>
      </c>
      <c r="FJ9" s="79" t="s">
        <v>431</v>
      </c>
      <c r="FK9" s="86" t="s">
        <v>429</v>
      </c>
      <c r="FL9" s="78" t="s">
        <v>430</v>
      </c>
      <c r="FM9" s="79" t="s">
        <v>431</v>
      </c>
      <c r="FN9" s="86" t="s">
        <v>429</v>
      </c>
      <c r="FO9" s="78" t="s">
        <v>430</v>
      </c>
      <c r="FP9" s="79" t="s">
        <v>431</v>
      </c>
      <c r="FQ9" s="86" t="s">
        <v>429</v>
      </c>
      <c r="FR9" s="78" t="s">
        <v>430</v>
      </c>
      <c r="FS9" s="79" t="s">
        <v>431</v>
      </c>
      <c r="FT9" s="86" t="s">
        <v>429</v>
      </c>
      <c r="FU9" s="78" t="s">
        <v>430</v>
      </c>
      <c r="FV9" s="79" t="s">
        <v>431</v>
      </c>
      <c r="FW9" s="86" t="s">
        <v>429</v>
      </c>
      <c r="FX9" s="78" t="s">
        <v>430</v>
      </c>
      <c r="FY9" s="79" t="s">
        <v>431</v>
      </c>
      <c r="FZ9" s="86" t="s">
        <v>429</v>
      </c>
      <c r="GA9" s="78" t="s">
        <v>430</v>
      </c>
      <c r="GB9" s="79" t="s">
        <v>431</v>
      </c>
      <c r="GC9" s="86" t="s">
        <v>429</v>
      </c>
      <c r="GD9" s="78" t="s">
        <v>430</v>
      </c>
      <c r="GE9" s="79" t="s">
        <v>431</v>
      </c>
      <c r="GF9" s="86" t="s">
        <v>429</v>
      </c>
      <c r="GG9" s="78" t="s">
        <v>430</v>
      </c>
      <c r="GH9" s="79" t="s">
        <v>431</v>
      </c>
      <c r="GI9" s="86" t="s">
        <v>429</v>
      </c>
      <c r="GJ9" s="78" t="s">
        <v>430</v>
      </c>
      <c r="GK9" s="79" t="s">
        <v>431</v>
      </c>
      <c r="GL9" s="86" t="s">
        <v>429</v>
      </c>
      <c r="GM9" s="78" t="s">
        <v>430</v>
      </c>
      <c r="GN9" s="79" t="s">
        <v>431</v>
      </c>
      <c r="GO9" s="86" t="s">
        <v>429</v>
      </c>
      <c r="GP9" s="78" t="s">
        <v>430</v>
      </c>
      <c r="GQ9" s="79" t="s">
        <v>431</v>
      </c>
      <c r="GR9" s="86" t="s">
        <v>429</v>
      </c>
      <c r="GS9" s="78" t="s">
        <v>430</v>
      </c>
      <c r="GT9" s="79" t="s">
        <v>431</v>
      </c>
      <c r="GU9" s="86" t="s">
        <v>429</v>
      </c>
      <c r="GV9" s="78" t="s">
        <v>430</v>
      </c>
      <c r="GW9" s="79" t="s">
        <v>431</v>
      </c>
      <c r="GX9" s="86" t="s">
        <v>429</v>
      </c>
      <c r="GY9" s="78" t="s">
        <v>430</v>
      </c>
      <c r="GZ9" s="79" t="s">
        <v>431</v>
      </c>
      <c r="HA9" s="86" t="s">
        <v>429</v>
      </c>
      <c r="HB9" s="78" t="s">
        <v>430</v>
      </c>
      <c r="HC9" s="79" t="s">
        <v>431</v>
      </c>
      <c r="HD9" s="86" t="s">
        <v>429</v>
      </c>
      <c r="HE9" s="78" t="s">
        <v>430</v>
      </c>
      <c r="HF9" s="79" t="s">
        <v>431</v>
      </c>
      <c r="HG9" s="86" t="s">
        <v>429</v>
      </c>
      <c r="HH9" s="78" t="s">
        <v>430</v>
      </c>
      <c r="HI9" s="79" t="s">
        <v>431</v>
      </c>
      <c r="HJ9" s="86" t="s">
        <v>429</v>
      </c>
      <c r="HK9" s="78" t="s">
        <v>430</v>
      </c>
      <c r="HL9" s="79" t="s">
        <v>431</v>
      </c>
      <c r="HM9" s="86" t="s">
        <v>429</v>
      </c>
      <c r="HN9" s="78" t="s">
        <v>430</v>
      </c>
      <c r="HO9" s="79" t="s">
        <v>431</v>
      </c>
      <c r="HP9" s="86" t="s">
        <v>429</v>
      </c>
      <c r="HQ9" s="78" t="s">
        <v>430</v>
      </c>
      <c r="HR9" s="79" t="s">
        <v>431</v>
      </c>
      <c r="HS9" s="86" t="s">
        <v>429</v>
      </c>
      <c r="HT9" s="78" t="s">
        <v>430</v>
      </c>
      <c r="HU9" s="79" t="s">
        <v>431</v>
      </c>
      <c r="HV9" s="86" t="s">
        <v>429</v>
      </c>
      <c r="HW9" s="78" t="s">
        <v>430</v>
      </c>
      <c r="HX9" s="79" t="s">
        <v>431</v>
      </c>
      <c r="HY9" s="86" t="s">
        <v>429</v>
      </c>
      <c r="HZ9" s="78" t="s">
        <v>430</v>
      </c>
      <c r="IA9" s="79" t="s">
        <v>431</v>
      </c>
      <c r="IB9" s="86" t="s">
        <v>429</v>
      </c>
      <c r="IC9" s="78" t="s">
        <v>430</v>
      </c>
      <c r="ID9" s="79" t="s">
        <v>431</v>
      </c>
      <c r="IE9" s="86" t="s">
        <v>429</v>
      </c>
      <c r="IF9" s="78" t="s">
        <v>430</v>
      </c>
      <c r="IG9" s="79" t="s">
        <v>431</v>
      </c>
      <c r="IH9" s="86" t="s">
        <v>429</v>
      </c>
      <c r="II9" s="78" t="s">
        <v>430</v>
      </c>
      <c r="IJ9" s="79" t="s">
        <v>431</v>
      </c>
      <c r="IK9" s="86" t="s">
        <v>429</v>
      </c>
      <c r="IL9" s="78" t="s">
        <v>430</v>
      </c>
      <c r="IM9" s="79" t="s">
        <v>431</v>
      </c>
      <c r="IN9" s="86" t="s">
        <v>429</v>
      </c>
      <c r="IO9" s="78" t="s">
        <v>430</v>
      </c>
      <c r="IP9" s="79" t="s">
        <v>431</v>
      </c>
      <c r="IQ9" s="86" t="s">
        <v>429</v>
      </c>
      <c r="IR9" s="78" t="s">
        <v>430</v>
      </c>
      <c r="IS9" s="79" t="s">
        <v>431</v>
      </c>
      <c r="IT9" s="86" t="s">
        <v>429</v>
      </c>
      <c r="IU9" s="78" t="s">
        <v>430</v>
      </c>
      <c r="IV9" s="79" t="s">
        <v>431</v>
      </c>
      <c r="IW9" s="86" t="s">
        <v>429</v>
      </c>
      <c r="IX9" s="78" t="s">
        <v>430</v>
      </c>
      <c r="IY9" s="79" t="s">
        <v>431</v>
      </c>
      <c r="IZ9" s="86" t="s">
        <v>429</v>
      </c>
      <c r="JA9" s="78" t="s">
        <v>430</v>
      </c>
      <c r="JB9" s="79" t="s">
        <v>431</v>
      </c>
      <c r="JC9" s="86" t="s">
        <v>429</v>
      </c>
      <c r="JD9" s="78" t="s">
        <v>430</v>
      </c>
      <c r="JE9" s="79" t="s">
        <v>431</v>
      </c>
      <c r="JF9" s="86" t="s">
        <v>429</v>
      </c>
      <c r="JG9" s="78" t="s">
        <v>430</v>
      </c>
      <c r="JH9" s="79" t="s">
        <v>431</v>
      </c>
      <c r="JI9" s="86" t="s">
        <v>429</v>
      </c>
      <c r="JJ9" s="78" t="s">
        <v>430</v>
      </c>
      <c r="JK9" s="79" t="s">
        <v>431</v>
      </c>
      <c r="JL9" s="86" t="s">
        <v>429</v>
      </c>
      <c r="JM9" s="78" t="s">
        <v>430</v>
      </c>
      <c r="JN9" s="79" t="s">
        <v>431</v>
      </c>
      <c r="JO9" s="86" t="s">
        <v>429</v>
      </c>
      <c r="JP9" s="78" t="s">
        <v>430</v>
      </c>
      <c r="JQ9" s="79" t="s">
        <v>431</v>
      </c>
      <c r="JR9" s="86" t="s">
        <v>429</v>
      </c>
      <c r="JS9" s="78" t="s">
        <v>430</v>
      </c>
      <c r="JT9" s="79" t="s">
        <v>431</v>
      </c>
      <c r="JU9" s="86" t="s">
        <v>429</v>
      </c>
      <c r="JV9" s="78" t="s">
        <v>430</v>
      </c>
      <c r="JW9" s="79" t="s">
        <v>431</v>
      </c>
      <c r="JX9" s="86" t="s">
        <v>429</v>
      </c>
      <c r="JY9" s="78" t="s">
        <v>430</v>
      </c>
      <c r="JZ9" s="79" t="s">
        <v>431</v>
      </c>
      <c r="KA9" s="86" t="s">
        <v>429</v>
      </c>
      <c r="KB9" s="78" t="s">
        <v>430</v>
      </c>
      <c r="KC9" s="79" t="s">
        <v>431</v>
      </c>
      <c r="KD9" s="86" t="s">
        <v>429</v>
      </c>
      <c r="KE9" s="78" t="s">
        <v>430</v>
      </c>
      <c r="KF9" s="79" t="s">
        <v>431</v>
      </c>
      <c r="KG9" s="86" t="s">
        <v>429</v>
      </c>
      <c r="KH9" s="78" t="s">
        <v>430</v>
      </c>
      <c r="KI9" s="79" t="s">
        <v>431</v>
      </c>
      <c r="KJ9" s="86" t="s">
        <v>429</v>
      </c>
      <c r="KK9" s="78" t="s">
        <v>430</v>
      </c>
      <c r="KL9" s="79" t="s">
        <v>431</v>
      </c>
      <c r="KM9" s="86" t="s">
        <v>429</v>
      </c>
      <c r="KN9" s="78" t="s">
        <v>430</v>
      </c>
      <c r="KO9" s="79" t="s">
        <v>431</v>
      </c>
      <c r="KP9" s="86" t="s">
        <v>429</v>
      </c>
      <c r="KQ9" s="78" t="s">
        <v>430</v>
      </c>
      <c r="KR9" s="79" t="s">
        <v>431</v>
      </c>
      <c r="KS9" s="86" t="s">
        <v>429</v>
      </c>
      <c r="KT9" s="78" t="s">
        <v>430</v>
      </c>
      <c r="KU9" s="79" t="s">
        <v>431</v>
      </c>
      <c r="KV9" s="86" t="s">
        <v>429</v>
      </c>
      <c r="KW9" s="78" t="s">
        <v>430</v>
      </c>
      <c r="KX9" s="79" t="s">
        <v>431</v>
      </c>
      <c r="KY9" s="86" t="s">
        <v>429</v>
      </c>
      <c r="KZ9" s="78" t="s">
        <v>430</v>
      </c>
      <c r="LA9" s="79" t="s">
        <v>431</v>
      </c>
      <c r="LB9" s="86" t="s">
        <v>429</v>
      </c>
      <c r="LC9" s="78" t="s">
        <v>430</v>
      </c>
      <c r="LD9" s="79" t="s">
        <v>431</v>
      </c>
      <c r="LE9" s="86" t="s">
        <v>429</v>
      </c>
      <c r="LF9" s="78" t="s">
        <v>430</v>
      </c>
      <c r="LG9" s="79" t="s">
        <v>431</v>
      </c>
      <c r="LH9" s="86" t="s">
        <v>429</v>
      </c>
      <c r="LI9" s="78" t="s">
        <v>430</v>
      </c>
      <c r="LJ9" s="79" t="s">
        <v>431</v>
      </c>
      <c r="LK9" s="86" t="s">
        <v>429</v>
      </c>
      <c r="LL9" s="78" t="s">
        <v>430</v>
      </c>
      <c r="LM9" s="79" t="s">
        <v>431</v>
      </c>
      <c r="LN9" s="86" t="s">
        <v>429</v>
      </c>
      <c r="LO9" s="78" t="s">
        <v>430</v>
      </c>
      <c r="LP9" s="79" t="s">
        <v>431</v>
      </c>
      <c r="LQ9" s="86" t="s">
        <v>429</v>
      </c>
      <c r="LR9" s="78" t="s">
        <v>430</v>
      </c>
      <c r="LS9" s="79" t="s">
        <v>431</v>
      </c>
      <c r="LT9" s="86" t="s">
        <v>429</v>
      </c>
      <c r="LU9" s="78" t="s">
        <v>430</v>
      </c>
      <c r="LV9" s="79" t="s">
        <v>431</v>
      </c>
      <c r="LW9" s="86" t="s">
        <v>429</v>
      </c>
      <c r="LX9" s="78" t="s">
        <v>430</v>
      </c>
      <c r="LY9" s="79" t="s">
        <v>431</v>
      </c>
      <c r="LZ9" s="86" t="s">
        <v>429</v>
      </c>
      <c r="MA9" s="78" t="s">
        <v>430</v>
      </c>
      <c r="MB9" s="79" t="s">
        <v>431</v>
      </c>
      <c r="MC9" s="86" t="s">
        <v>429</v>
      </c>
      <c r="MD9" s="78" t="s">
        <v>430</v>
      </c>
      <c r="ME9" s="79" t="s">
        <v>431</v>
      </c>
      <c r="MF9" s="86" t="s">
        <v>429</v>
      </c>
      <c r="MG9" s="78" t="s">
        <v>430</v>
      </c>
      <c r="MH9" s="79" t="s">
        <v>431</v>
      </c>
      <c r="MI9" s="86" t="s">
        <v>429</v>
      </c>
      <c r="MJ9" s="78" t="s">
        <v>430</v>
      </c>
      <c r="MK9" s="79" t="s">
        <v>431</v>
      </c>
      <c r="ML9" s="86" t="s">
        <v>429</v>
      </c>
      <c r="MM9" s="78" t="s">
        <v>430</v>
      </c>
      <c r="MN9" s="79" t="s">
        <v>431</v>
      </c>
      <c r="MO9" s="86" t="s">
        <v>429</v>
      </c>
      <c r="MP9" s="78" t="s">
        <v>430</v>
      </c>
      <c r="MQ9" s="79" t="s">
        <v>431</v>
      </c>
      <c r="MR9" s="86" t="s">
        <v>429</v>
      </c>
      <c r="MS9" s="78" t="s">
        <v>430</v>
      </c>
      <c r="MT9" s="79" t="s">
        <v>431</v>
      </c>
      <c r="MU9" s="86" t="s">
        <v>429</v>
      </c>
      <c r="MV9" s="78" t="s">
        <v>430</v>
      </c>
      <c r="MW9" s="79" t="s">
        <v>431</v>
      </c>
      <c r="MX9" s="86" t="s">
        <v>429</v>
      </c>
      <c r="MY9" s="78" t="s">
        <v>430</v>
      </c>
      <c r="MZ9" s="79" t="s">
        <v>431</v>
      </c>
      <c r="NA9" s="86" t="s">
        <v>429</v>
      </c>
      <c r="NB9" s="78" t="s">
        <v>430</v>
      </c>
      <c r="NC9" s="79" t="s">
        <v>431</v>
      </c>
      <c r="ND9" s="86" t="s">
        <v>429</v>
      </c>
      <c r="NE9" s="78" t="s">
        <v>430</v>
      </c>
      <c r="NF9" s="79" t="s">
        <v>431</v>
      </c>
      <c r="NG9" s="86" t="s">
        <v>429</v>
      </c>
      <c r="NH9" s="78" t="s">
        <v>430</v>
      </c>
      <c r="NI9" s="79" t="s">
        <v>431</v>
      </c>
      <c r="NJ9" s="86" t="s">
        <v>429</v>
      </c>
      <c r="NK9" s="78" t="s">
        <v>430</v>
      </c>
      <c r="NL9" s="79" t="s">
        <v>431</v>
      </c>
      <c r="NM9" s="86" t="s">
        <v>429</v>
      </c>
      <c r="NN9" s="78" t="s">
        <v>430</v>
      </c>
      <c r="NO9" s="79" t="s">
        <v>431</v>
      </c>
      <c r="NP9" s="86" t="s">
        <v>429</v>
      </c>
      <c r="NQ9" s="78" t="s">
        <v>430</v>
      </c>
      <c r="NR9" s="79" t="s">
        <v>431</v>
      </c>
      <c r="NS9" s="86" t="s">
        <v>429</v>
      </c>
      <c r="NT9" s="78" t="s">
        <v>430</v>
      </c>
      <c r="NU9" s="79" t="s">
        <v>431</v>
      </c>
      <c r="NV9" s="86" t="s">
        <v>429</v>
      </c>
      <c r="NW9" s="78" t="s">
        <v>430</v>
      </c>
      <c r="NX9" s="79" t="s">
        <v>431</v>
      </c>
      <c r="NY9" s="86" t="s">
        <v>429</v>
      </c>
      <c r="NZ9" s="78" t="s">
        <v>430</v>
      </c>
      <c r="OA9" s="79" t="s">
        <v>431</v>
      </c>
      <c r="OB9" s="86" t="s">
        <v>429</v>
      </c>
      <c r="OC9" s="78" t="s">
        <v>430</v>
      </c>
      <c r="OD9" s="79" t="s">
        <v>431</v>
      </c>
      <c r="OE9" s="86" t="s">
        <v>429</v>
      </c>
      <c r="OF9" s="78" t="s">
        <v>430</v>
      </c>
      <c r="OG9" s="79" t="s">
        <v>431</v>
      </c>
      <c r="OH9" s="86" t="s">
        <v>429</v>
      </c>
      <c r="OI9" s="78" t="s">
        <v>430</v>
      </c>
      <c r="OJ9" s="79" t="s">
        <v>431</v>
      </c>
      <c r="OK9" s="86" t="s">
        <v>429</v>
      </c>
      <c r="OL9" s="78" t="s">
        <v>430</v>
      </c>
      <c r="OM9" s="79" t="s">
        <v>431</v>
      </c>
      <c r="ON9" s="86" t="s">
        <v>429</v>
      </c>
      <c r="OO9" s="78" t="s">
        <v>430</v>
      </c>
      <c r="OP9" s="79" t="s">
        <v>431</v>
      </c>
      <c r="OQ9" s="86" t="s">
        <v>429</v>
      </c>
      <c r="OR9" s="78" t="s">
        <v>430</v>
      </c>
      <c r="OS9" s="79" t="s">
        <v>431</v>
      </c>
      <c r="OT9" s="86" t="s">
        <v>429</v>
      </c>
      <c r="OU9" s="78" t="s">
        <v>430</v>
      </c>
      <c r="OV9" s="79" t="s">
        <v>431</v>
      </c>
      <c r="OW9" s="86" t="s">
        <v>429</v>
      </c>
      <c r="OX9" s="78" t="s">
        <v>430</v>
      </c>
      <c r="OY9" s="79" t="s">
        <v>431</v>
      </c>
      <c r="OZ9" s="86" t="s">
        <v>429</v>
      </c>
      <c r="PA9" s="78" t="s">
        <v>430</v>
      </c>
      <c r="PB9" s="79" t="s">
        <v>431</v>
      </c>
      <c r="PC9" s="86" t="s">
        <v>429</v>
      </c>
      <c r="PD9" s="78" t="s">
        <v>430</v>
      </c>
      <c r="PE9" s="79" t="s">
        <v>431</v>
      </c>
      <c r="PF9" s="86" t="s">
        <v>429</v>
      </c>
      <c r="PG9" s="78" t="s">
        <v>430</v>
      </c>
      <c r="PH9" s="79" t="s">
        <v>431</v>
      </c>
      <c r="PI9" s="86" t="s">
        <v>429</v>
      </c>
      <c r="PJ9" s="78" t="s">
        <v>430</v>
      </c>
      <c r="PK9" s="79" t="s">
        <v>431</v>
      </c>
      <c r="PL9" s="86" t="s">
        <v>429</v>
      </c>
      <c r="PM9" s="78" t="s">
        <v>430</v>
      </c>
      <c r="PN9" s="79" t="s">
        <v>431</v>
      </c>
      <c r="PO9" s="86" t="s">
        <v>429</v>
      </c>
      <c r="PP9" s="78" t="s">
        <v>430</v>
      </c>
      <c r="PQ9" s="79" t="s">
        <v>431</v>
      </c>
      <c r="PR9" s="86" t="s">
        <v>429</v>
      </c>
      <c r="PS9" s="78" t="s">
        <v>430</v>
      </c>
      <c r="PT9" s="79" t="s">
        <v>431</v>
      </c>
      <c r="PU9" s="86" t="s">
        <v>429</v>
      </c>
      <c r="PV9" s="78" t="s">
        <v>430</v>
      </c>
      <c r="PW9" s="79" t="s">
        <v>431</v>
      </c>
      <c r="PX9" s="86" t="s">
        <v>429</v>
      </c>
      <c r="PY9" s="78" t="s">
        <v>430</v>
      </c>
      <c r="PZ9" s="79" t="s">
        <v>431</v>
      </c>
      <c r="QA9" s="86" t="s">
        <v>429</v>
      </c>
      <c r="QB9" s="78" t="s">
        <v>430</v>
      </c>
      <c r="QC9" s="79" t="s">
        <v>431</v>
      </c>
      <c r="QD9" s="86" t="s">
        <v>429</v>
      </c>
      <c r="QE9" s="78" t="s">
        <v>430</v>
      </c>
      <c r="QF9" s="79" t="s">
        <v>431</v>
      </c>
      <c r="QG9" s="86" t="s">
        <v>429</v>
      </c>
      <c r="QH9" s="78" t="s">
        <v>430</v>
      </c>
      <c r="QI9" s="79" t="s">
        <v>431</v>
      </c>
      <c r="QJ9" s="86" t="s">
        <v>429</v>
      </c>
      <c r="QK9" s="78" t="s">
        <v>430</v>
      </c>
      <c r="QL9" s="79" t="s">
        <v>431</v>
      </c>
      <c r="QM9" s="86" t="s">
        <v>429</v>
      </c>
      <c r="QN9" s="78" t="s">
        <v>430</v>
      </c>
      <c r="QO9" s="79" t="s">
        <v>431</v>
      </c>
      <c r="QP9" s="86" t="s">
        <v>429</v>
      </c>
      <c r="QQ9" s="78" t="s">
        <v>430</v>
      </c>
      <c r="QR9" s="79" t="s">
        <v>431</v>
      </c>
      <c r="QS9" s="86" t="s">
        <v>429</v>
      </c>
      <c r="QT9" s="78" t="s">
        <v>430</v>
      </c>
      <c r="QU9" s="79" t="s">
        <v>431</v>
      </c>
      <c r="QV9" s="86" t="s">
        <v>429</v>
      </c>
      <c r="QW9" s="78" t="s">
        <v>430</v>
      </c>
      <c r="QX9" s="79" t="s">
        <v>431</v>
      </c>
      <c r="QY9" s="86" t="s">
        <v>429</v>
      </c>
      <c r="QZ9" s="78" t="s">
        <v>430</v>
      </c>
      <c r="RA9" s="79" t="s">
        <v>431</v>
      </c>
      <c r="RB9" s="86" t="s">
        <v>429</v>
      </c>
      <c r="RC9" s="78" t="s">
        <v>430</v>
      </c>
      <c r="RD9" s="79" t="s">
        <v>431</v>
      </c>
      <c r="RE9" s="86" t="s">
        <v>429</v>
      </c>
      <c r="RF9" s="78" t="s">
        <v>430</v>
      </c>
      <c r="RG9" s="79" t="s">
        <v>431</v>
      </c>
      <c r="RH9" s="86" t="s">
        <v>429</v>
      </c>
      <c r="RI9" s="78" t="s">
        <v>430</v>
      </c>
      <c r="RJ9" s="79" t="s">
        <v>431</v>
      </c>
      <c r="RK9" s="86" t="s">
        <v>429</v>
      </c>
      <c r="RL9" s="78" t="s">
        <v>430</v>
      </c>
      <c r="RM9" s="79" t="s">
        <v>431</v>
      </c>
      <c r="RN9" s="86" t="s">
        <v>429</v>
      </c>
      <c r="RO9" s="78" t="s">
        <v>430</v>
      </c>
      <c r="RP9" s="79" t="s">
        <v>431</v>
      </c>
      <c r="RQ9" s="86" t="s">
        <v>429</v>
      </c>
      <c r="RR9" s="78" t="s">
        <v>430</v>
      </c>
      <c r="RS9" s="79" t="s">
        <v>431</v>
      </c>
      <c r="RT9" s="86" t="s">
        <v>429</v>
      </c>
      <c r="RU9" s="78" t="s">
        <v>430</v>
      </c>
      <c r="RV9" s="79" t="s">
        <v>431</v>
      </c>
      <c r="RW9" s="86" t="s">
        <v>429</v>
      </c>
      <c r="RX9" s="78" t="s">
        <v>430</v>
      </c>
      <c r="RY9" s="79" t="s">
        <v>431</v>
      </c>
      <c r="RZ9" s="86" t="s">
        <v>429</v>
      </c>
      <c r="SA9" s="78" t="s">
        <v>430</v>
      </c>
      <c r="SB9" s="79" t="s">
        <v>431</v>
      </c>
      <c r="SC9" s="86" t="s">
        <v>429</v>
      </c>
      <c r="SD9" s="78" t="s">
        <v>430</v>
      </c>
      <c r="SE9" s="79" t="s">
        <v>431</v>
      </c>
      <c r="SF9" s="86" t="s">
        <v>429</v>
      </c>
      <c r="SG9" s="78" t="s">
        <v>430</v>
      </c>
      <c r="SH9" s="79" t="s">
        <v>431</v>
      </c>
      <c r="SI9" s="86" t="s">
        <v>429</v>
      </c>
      <c r="SJ9" s="78" t="s">
        <v>430</v>
      </c>
      <c r="SK9" s="79" t="s">
        <v>431</v>
      </c>
      <c r="SL9" s="86" t="s">
        <v>429</v>
      </c>
      <c r="SM9" s="78" t="s">
        <v>430</v>
      </c>
      <c r="SN9" s="79" t="s">
        <v>431</v>
      </c>
      <c r="SO9" s="86" t="s">
        <v>429</v>
      </c>
      <c r="SP9" s="78" t="s">
        <v>430</v>
      </c>
      <c r="SQ9" s="79" t="s">
        <v>431</v>
      </c>
      <c r="SR9" s="86" t="s">
        <v>429</v>
      </c>
      <c r="SS9" s="78" t="s">
        <v>430</v>
      </c>
      <c r="ST9" s="79" t="s">
        <v>431</v>
      </c>
      <c r="SU9" s="86" t="s">
        <v>429</v>
      </c>
      <c r="SV9" s="78" t="s">
        <v>430</v>
      </c>
      <c r="SW9" s="79" t="s">
        <v>431</v>
      </c>
      <c r="SX9" s="86" t="s">
        <v>429</v>
      </c>
      <c r="SY9" s="78" t="s">
        <v>430</v>
      </c>
      <c r="SZ9" s="79" t="s">
        <v>431</v>
      </c>
      <c r="TA9" s="86" t="s">
        <v>429</v>
      </c>
      <c r="TB9" s="78" t="s">
        <v>430</v>
      </c>
      <c r="TC9" s="79" t="s">
        <v>431</v>
      </c>
      <c r="TD9" s="86" t="s">
        <v>429</v>
      </c>
      <c r="TE9" s="78" t="s">
        <v>430</v>
      </c>
      <c r="TF9" s="79" t="s">
        <v>431</v>
      </c>
      <c r="TG9" s="86" t="s">
        <v>429</v>
      </c>
      <c r="TH9" s="78" t="s">
        <v>430</v>
      </c>
      <c r="TI9" s="79" t="s">
        <v>431</v>
      </c>
      <c r="TJ9" s="86" t="s">
        <v>429</v>
      </c>
      <c r="TK9" s="78" t="s">
        <v>430</v>
      </c>
      <c r="TL9" s="79" t="s">
        <v>431</v>
      </c>
      <c r="TM9" s="86" t="s">
        <v>429</v>
      </c>
      <c r="TN9" s="78" t="s">
        <v>430</v>
      </c>
      <c r="TO9" s="79" t="s">
        <v>431</v>
      </c>
      <c r="TP9" s="86" t="s">
        <v>429</v>
      </c>
      <c r="TQ9" s="78" t="s">
        <v>430</v>
      </c>
      <c r="TR9" s="79" t="s">
        <v>431</v>
      </c>
      <c r="TS9" s="86" t="s">
        <v>429</v>
      </c>
      <c r="TT9" s="78" t="s">
        <v>430</v>
      </c>
      <c r="TU9" s="79" t="s">
        <v>431</v>
      </c>
      <c r="TV9" s="86" t="s">
        <v>429</v>
      </c>
      <c r="TW9" s="78" t="s">
        <v>430</v>
      </c>
      <c r="TX9" s="79" t="s">
        <v>431</v>
      </c>
      <c r="TY9" s="86" t="s">
        <v>429</v>
      </c>
      <c r="TZ9" s="78" t="s">
        <v>430</v>
      </c>
      <c r="UA9" s="79" t="s">
        <v>431</v>
      </c>
      <c r="UB9" s="86" t="s">
        <v>429</v>
      </c>
      <c r="UC9" s="78" t="s">
        <v>430</v>
      </c>
      <c r="UD9" s="79" t="s">
        <v>431</v>
      </c>
      <c r="UE9" s="86" t="s">
        <v>429</v>
      </c>
      <c r="UF9" s="78" t="s">
        <v>430</v>
      </c>
      <c r="UG9" s="79" t="s">
        <v>431</v>
      </c>
      <c r="UH9" s="86" t="s">
        <v>429</v>
      </c>
      <c r="UI9" s="78" t="s">
        <v>430</v>
      </c>
      <c r="UJ9" s="79" t="s">
        <v>431</v>
      </c>
      <c r="UK9" s="86" t="s">
        <v>429</v>
      </c>
      <c r="UL9" s="78" t="s">
        <v>430</v>
      </c>
      <c r="UM9" s="79" t="s">
        <v>431</v>
      </c>
      <c r="UN9" s="86" t="s">
        <v>429</v>
      </c>
      <c r="UO9" s="78" t="s">
        <v>430</v>
      </c>
      <c r="UP9" s="79" t="s">
        <v>431</v>
      </c>
      <c r="UQ9" s="86" t="s">
        <v>429</v>
      </c>
      <c r="UR9" s="78" t="s">
        <v>430</v>
      </c>
      <c r="US9" s="79" t="s">
        <v>431</v>
      </c>
      <c r="UT9" s="86" t="s">
        <v>429</v>
      </c>
      <c r="UU9" s="78" t="s">
        <v>430</v>
      </c>
      <c r="UV9" s="79" t="s">
        <v>431</v>
      </c>
      <c r="UW9" s="86" t="s">
        <v>429</v>
      </c>
      <c r="UX9" s="78" t="s">
        <v>430</v>
      </c>
      <c r="UY9" s="79" t="s">
        <v>431</v>
      </c>
      <c r="UZ9" s="86" t="s">
        <v>429</v>
      </c>
      <c r="VA9" s="78" t="s">
        <v>430</v>
      </c>
      <c r="VB9" s="79" t="s">
        <v>431</v>
      </c>
      <c r="VC9" s="86" t="s">
        <v>429</v>
      </c>
      <c r="VD9" s="78" t="s">
        <v>430</v>
      </c>
      <c r="VE9" s="79" t="s">
        <v>431</v>
      </c>
      <c r="VF9" s="86" t="s">
        <v>429</v>
      </c>
      <c r="VG9" s="78" t="s">
        <v>430</v>
      </c>
      <c r="VH9" s="79" t="s">
        <v>431</v>
      </c>
      <c r="VI9" s="86" t="s">
        <v>429</v>
      </c>
      <c r="VJ9" s="78" t="s">
        <v>430</v>
      </c>
      <c r="VK9" s="79" t="s">
        <v>431</v>
      </c>
      <c r="VL9" s="86" t="s">
        <v>429</v>
      </c>
      <c r="VM9" s="78" t="s">
        <v>430</v>
      </c>
      <c r="VN9" s="79" t="s">
        <v>431</v>
      </c>
      <c r="VO9" s="86" t="s">
        <v>429</v>
      </c>
      <c r="VP9" s="78" t="s">
        <v>430</v>
      </c>
      <c r="VQ9" s="79" t="s">
        <v>431</v>
      </c>
      <c r="VR9" s="86" t="s">
        <v>429</v>
      </c>
      <c r="VS9" s="78" t="s">
        <v>430</v>
      </c>
      <c r="VT9" s="79" t="s">
        <v>431</v>
      </c>
      <c r="VU9" s="86" t="s">
        <v>429</v>
      </c>
      <c r="VV9" s="78" t="s">
        <v>430</v>
      </c>
      <c r="VW9" s="79" t="s">
        <v>431</v>
      </c>
      <c r="VX9" s="86" t="s">
        <v>429</v>
      </c>
      <c r="VY9" s="78" t="s">
        <v>430</v>
      </c>
      <c r="VZ9" s="79" t="s">
        <v>431</v>
      </c>
      <c r="WA9" s="86" t="s">
        <v>429</v>
      </c>
      <c r="WB9" s="78" t="s">
        <v>430</v>
      </c>
      <c r="WC9" s="79" t="s">
        <v>431</v>
      </c>
      <c r="WD9" s="86" t="s">
        <v>429</v>
      </c>
      <c r="WE9" s="78" t="s">
        <v>430</v>
      </c>
      <c r="WF9" s="79" t="s">
        <v>431</v>
      </c>
      <c r="WG9" s="86" t="s">
        <v>429</v>
      </c>
      <c r="WH9" s="78" t="s">
        <v>430</v>
      </c>
      <c r="WI9" s="79" t="s">
        <v>431</v>
      </c>
      <c r="WJ9" s="86" t="s">
        <v>429</v>
      </c>
      <c r="WK9" s="78" t="s">
        <v>430</v>
      </c>
      <c r="WL9" s="79" t="s">
        <v>431</v>
      </c>
      <c r="WM9" s="86" t="s">
        <v>429</v>
      </c>
      <c r="WN9" s="78" t="s">
        <v>430</v>
      </c>
      <c r="WO9" s="79" t="s">
        <v>431</v>
      </c>
      <c r="WP9" s="86" t="s">
        <v>429</v>
      </c>
      <c r="WQ9" s="78" t="s">
        <v>430</v>
      </c>
      <c r="WR9" s="79" t="s">
        <v>431</v>
      </c>
      <c r="WS9" s="86" t="s">
        <v>429</v>
      </c>
      <c r="WT9" s="78" t="s">
        <v>430</v>
      </c>
      <c r="WU9" s="79" t="s">
        <v>431</v>
      </c>
      <c r="WV9" s="86" t="s">
        <v>429</v>
      </c>
      <c r="WW9" s="78" t="s">
        <v>430</v>
      </c>
      <c r="WX9" s="79" t="s">
        <v>431</v>
      </c>
      <c r="WY9" s="86" t="s">
        <v>429</v>
      </c>
      <c r="WZ9" s="78" t="s">
        <v>430</v>
      </c>
      <c r="XA9" s="79" t="s">
        <v>431</v>
      </c>
      <c r="XB9" s="86" t="s">
        <v>429</v>
      </c>
      <c r="XC9" s="78" t="s">
        <v>430</v>
      </c>
      <c r="XD9" s="79" t="s">
        <v>431</v>
      </c>
      <c r="XE9" s="86" t="s">
        <v>429</v>
      </c>
      <c r="XF9" s="78" t="s">
        <v>430</v>
      </c>
      <c r="XG9" s="79" t="s">
        <v>431</v>
      </c>
      <c r="XH9" s="86" t="s">
        <v>429</v>
      </c>
      <c r="XI9" s="78" t="s">
        <v>430</v>
      </c>
      <c r="XJ9" s="79" t="s">
        <v>431</v>
      </c>
      <c r="XK9" s="86" t="s">
        <v>429</v>
      </c>
      <c r="XL9" s="78" t="s">
        <v>430</v>
      </c>
      <c r="XM9" s="79" t="s">
        <v>431</v>
      </c>
      <c r="XN9" s="86" t="s">
        <v>429</v>
      </c>
      <c r="XO9" s="78" t="s">
        <v>430</v>
      </c>
      <c r="XP9" s="79" t="s">
        <v>431</v>
      </c>
      <c r="XQ9" s="86" t="s">
        <v>429</v>
      </c>
      <c r="XR9" s="78" t="s">
        <v>430</v>
      </c>
      <c r="XS9" s="79" t="s">
        <v>431</v>
      </c>
      <c r="XT9" s="86" t="s">
        <v>429</v>
      </c>
      <c r="XU9" s="78" t="s">
        <v>430</v>
      </c>
      <c r="XV9" s="79" t="s">
        <v>431</v>
      </c>
      <c r="XW9" s="86" t="s">
        <v>429</v>
      </c>
      <c r="XX9" s="78" t="s">
        <v>430</v>
      </c>
      <c r="XY9" s="79" t="s">
        <v>431</v>
      </c>
      <c r="XZ9" s="86" t="s">
        <v>429</v>
      </c>
      <c r="YA9" s="78" t="s">
        <v>430</v>
      </c>
      <c r="YB9" s="79" t="s">
        <v>431</v>
      </c>
      <c r="YC9" s="86" t="s">
        <v>429</v>
      </c>
      <c r="YD9" s="78" t="s">
        <v>430</v>
      </c>
      <c r="YE9" s="79" t="s">
        <v>431</v>
      </c>
      <c r="YF9" s="86" t="s">
        <v>429</v>
      </c>
      <c r="YG9" s="78" t="s">
        <v>430</v>
      </c>
      <c r="YH9" s="79" t="s">
        <v>431</v>
      </c>
      <c r="YI9" s="86" t="s">
        <v>429</v>
      </c>
      <c r="YJ9" s="78" t="s">
        <v>430</v>
      </c>
      <c r="YK9" s="79" t="s">
        <v>431</v>
      </c>
      <c r="YL9" s="86" t="s">
        <v>429</v>
      </c>
      <c r="YM9" s="78" t="s">
        <v>430</v>
      </c>
      <c r="YN9" s="79" t="s">
        <v>431</v>
      </c>
      <c r="YO9" s="86" t="s">
        <v>429</v>
      </c>
      <c r="YP9" s="78" t="s">
        <v>430</v>
      </c>
      <c r="YQ9" s="79" t="s">
        <v>431</v>
      </c>
      <c r="YR9" s="86" t="s">
        <v>429</v>
      </c>
      <c r="YS9" s="78" t="s">
        <v>430</v>
      </c>
      <c r="YT9" s="79" t="s">
        <v>431</v>
      </c>
      <c r="YU9" s="86" t="s">
        <v>429</v>
      </c>
      <c r="YV9" s="78" t="s">
        <v>430</v>
      </c>
      <c r="YW9" s="79" t="s">
        <v>431</v>
      </c>
      <c r="YX9" s="86" t="s">
        <v>429</v>
      </c>
      <c r="YY9" s="78" t="s">
        <v>430</v>
      </c>
      <c r="YZ9" s="79" t="s">
        <v>431</v>
      </c>
      <c r="ZA9" s="86" t="s">
        <v>429</v>
      </c>
      <c r="ZB9" s="78" t="s">
        <v>430</v>
      </c>
      <c r="ZC9" s="79" t="s">
        <v>431</v>
      </c>
      <c r="ZD9" s="86" t="s">
        <v>429</v>
      </c>
      <c r="ZE9" s="78" t="s">
        <v>430</v>
      </c>
      <c r="ZF9" s="79" t="s">
        <v>431</v>
      </c>
      <c r="ZG9" s="86" t="s">
        <v>429</v>
      </c>
      <c r="ZH9" s="78" t="s">
        <v>430</v>
      </c>
      <c r="ZI9" s="79" t="s">
        <v>431</v>
      </c>
      <c r="ZJ9" s="86" t="s">
        <v>429</v>
      </c>
      <c r="ZK9" s="78" t="s">
        <v>430</v>
      </c>
      <c r="ZL9" s="79" t="s">
        <v>431</v>
      </c>
      <c r="ZM9" s="86" t="s">
        <v>429</v>
      </c>
      <c r="ZN9" s="78" t="s">
        <v>430</v>
      </c>
      <c r="ZO9" s="79" t="s">
        <v>431</v>
      </c>
      <c r="ZP9" s="86" t="s">
        <v>429</v>
      </c>
      <c r="ZQ9" s="78" t="s">
        <v>430</v>
      </c>
      <c r="ZR9" s="79" t="s">
        <v>431</v>
      </c>
      <c r="ZS9" s="86" t="s">
        <v>429</v>
      </c>
      <c r="ZT9" s="78" t="s">
        <v>430</v>
      </c>
      <c r="ZU9" s="79" t="s">
        <v>431</v>
      </c>
      <c r="ZV9" s="86" t="s">
        <v>429</v>
      </c>
      <c r="ZW9" s="78" t="s">
        <v>430</v>
      </c>
      <c r="ZX9" s="79" t="s">
        <v>431</v>
      </c>
      <c r="ZY9" s="86" t="s">
        <v>429</v>
      </c>
      <c r="ZZ9" s="78" t="s">
        <v>430</v>
      </c>
      <c r="AAA9" s="79" t="s">
        <v>431</v>
      </c>
      <c r="AAB9" s="86" t="s">
        <v>429</v>
      </c>
      <c r="AAC9" s="78" t="s">
        <v>430</v>
      </c>
      <c r="AAD9" s="79" t="s">
        <v>431</v>
      </c>
      <c r="AAE9" s="86" t="s">
        <v>429</v>
      </c>
      <c r="AAF9" s="78" t="s">
        <v>430</v>
      </c>
      <c r="AAG9" s="79" t="s">
        <v>431</v>
      </c>
      <c r="AAH9" s="86" t="s">
        <v>429</v>
      </c>
      <c r="AAI9" s="78" t="s">
        <v>430</v>
      </c>
      <c r="AAJ9" s="79" t="s">
        <v>431</v>
      </c>
      <c r="AAK9" s="86" t="s">
        <v>429</v>
      </c>
      <c r="AAL9" s="78" t="s">
        <v>430</v>
      </c>
      <c r="AAM9" s="79" t="s">
        <v>431</v>
      </c>
      <c r="AAN9" s="86" t="s">
        <v>429</v>
      </c>
      <c r="AAO9" s="78" t="s">
        <v>430</v>
      </c>
      <c r="AAP9" s="79" t="s">
        <v>431</v>
      </c>
      <c r="AAQ9" s="86" t="s">
        <v>429</v>
      </c>
      <c r="AAR9" s="78" t="s">
        <v>430</v>
      </c>
      <c r="AAS9" s="79" t="s">
        <v>431</v>
      </c>
      <c r="AAT9" s="86" t="s">
        <v>429</v>
      </c>
      <c r="AAU9" s="78" t="s">
        <v>430</v>
      </c>
      <c r="AAV9" s="79" t="s">
        <v>431</v>
      </c>
      <c r="AAW9" s="86" t="s">
        <v>429</v>
      </c>
      <c r="AAX9" s="78" t="s">
        <v>430</v>
      </c>
      <c r="AAY9" s="79" t="s">
        <v>431</v>
      </c>
      <c r="AAZ9" s="86" t="s">
        <v>429</v>
      </c>
      <c r="ABA9" s="78" t="s">
        <v>430</v>
      </c>
      <c r="ABB9" s="79" t="s">
        <v>431</v>
      </c>
      <c r="ABC9" s="86" t="s">
        <v>429</v>
      </c>
      <c r="ABD9" s="78" t="s">
        <v>430</v>
      </c>
      <c r="ABE9" s="79" t="s">
        <v>431</v>
      </c>
      <c r="ABF9" s="86" t="s">
        <v>429</v>
      </c>
      <c r="ABG9" s="78" t="s">
        <v>430</v>
      </c>
      <c r="ABH9" s="79" t="s">
        <v>431</v>
      </c>
      <c r="ABI9" s="86" t="s">
        <v>429</v>
      </c>
      <c r="ABJ9" s="78" t="s">
        <v>430</v>
      </c>
      <c r="ABK9" s="79" t="s">
        <v>431</v>
      </c>
      <c r="ABL9" s="86" t="s">
        <v>429</v>
      </c>
      <c r="ABM9" s="78" t="s">
        <v>430</v>
      </c>
      <c r="ABN9" s="79" t="s">
        <v>431</v>
      </c>
      <c r="ABO9" s="86" t="s">
        <v>429</v>
      </c>
      <c r="ABP9" s="78" t="s">
        <v>430</v>
      </c>
      <c r="ABQ9" s="79" t="s">
        <v>431</v>
      </c>
      <c r="ABR9" s="86" t="s">
        <v>429</v>
      </c>
      <c r="ABS9" s="78" t="s">
        <v>430</v>
      </c>
      <c r="ABT9" s="79" t="s">
        <v>431</v>
      </c>
      <c r="ABU9" s="86" t="s">
        <v>429</v>
      </c>
      <c r="ABV9" s="78" t="s">
        <v>430</v>
      </c>
      <c r="ABW9" s="79" t="s">
        <v>431</v>
      </c>
      <c r="ABX9" s="86" t="s">
        <v>429</v>
      </c>
      <c r="ABY9" s="78" t="s">
        <v>430</v>
      </c>
      <c r="ABZ9" s="79" t="s">
        <v>431</v>
      </c>
      <c r="ACA9" s="86" t="s">
        <v>429</v>
      </c>
      <c r="ACB9" s="78" t="s">
        <v>430</v>
      </c>
      <c r="ACC9" s="79" t="s">
        <v>431</v>
      </c>
      <c r="ACD9" s="86" t="s">
        <v>429</v>
      </c>
      <c r="ACE9" s="78" t="s">
        <v>430</v>
      </c>
      <c r="ACF9" s="79" t="s">
        <v>431</v>
      </c>
      <c r="ACG9" s="86" t="s">
        <v>429</v>
      </c>
      <c r="ACH9" s="78" t="s">
        <v>430</v>
      </c>
      <c r="ACI9" s="79" t="s">
        <v>431</v>
      </c>
      <c r="ACJ9" s="86" t="s">
        <v>429</v>
      </c>
      <c r="ACK9" s="78" t="s">
        <v>430</v>
      </c>
      <c r="ACL9" s="79" t="s">
        <v>431</v>
      </c>
      <c r="ACM9" s="86" t="s">
        <v>429</v>
      </c>
      <c r="ACN9" s="78" t="s">
        <v>430</v>
      </c>
      <c r="ACO9" s="79" t="s">
        <v>431</v>
      </c>
      <c r="ACP9" s="86" t="s">
        <v>429</v>
      </c>
      <c r="ACQ9" s="78" t="s">
        <v>430</v>
      </c>
      <c r="ACR9" s="79" t="s">
        <v>431</v>
      </c>
      <c r="ACS9" s="86" t="s">
        <v>429</v>
      </c>
      <c r="ACT9" s="78" t="s">
        <v>430</v>
      </c>
      <c r="ACU9" s="79" t="s">
        <v>431</v>
      </c>
      <c r="ACV9" s="86" t="s">
        <v>429</v>
      </c>
      <c r="ACW9" s="78" t="s">
        <v>430</v>
      </c>
      <c r="ACX9" s="79" t="s">
        <v>431</v>
      </c>
      <c r="ACY9" s="86" t="s">
        <v>429</v>
      </c>
      <c r="ACZ9" s="78" t="s">
        <v>430</v>
      </c>
      <c r="ADA9" s="79" t="s">
        <v>431</v>
      </c>
      <c r="ADB9" s="86" t="s">
        <v>429</v>
      </c>
      <c r="ADC9" s="78" t="s">
        <v>430</v>
      </c>
      <c r="ADD9" s="79" t="s">
        <v>431</v>
      </c>
      <c r="ADE9" s="86" t="s">
        <v>429</v>
      </c>
      <c r="ADF9" s="78" t="s">
        <v>430</v>
      </c>
      <c r="ADG9" s="79" t="s">
        <v>431</v>
      </c>
      <c r="ADH9" s="86" t="s">
        <v>429</v>
      </c>
      <c r="ADI9" s="78" t="s">
        <v>430</v>
      </c>
      <c r="ADJ9" s="79" t="s">
        <v>431</v>
      </c>
      <c r="ADK9" s="86" t="s">
        <v>429</v>
      </c>
      <c r="ADL9" s="78" t="s">
        <v>430</v>
      </c>
      <c r="ADM9" s="79" t="s">
        <v>431</v>
      </c>
      <c r="ADN9" s="86" t="s">
        <v>429</v>
      </c>
      <c r="ADO9" s="78" t="s">
        <v>430</v>
      </c>
      <c r="ADP9" s="79" t="s">
        <v>431</v>
      </c>
      <c r="ADQ9" s="86" t="s">
        <v>429</v>
      </c>
      <c r="ADR9" s="78" t="s">
        <v>430</v>
      </c>
      <c r="ADS9" s="79" t="s">
        <v>431</v>
      </c>
      <c r="ADT9" s="86" t="s">
        <v>429</v>
      </c>
      <c r="ADU9" s="78" t="s">
        <v>430</v>
      </c>
      <c r="ADV9" s="79" t="s">
        <v>431</v>
      </c>
      <c r="ADW9" s="86" t="s">
        <v>429</v>
      </c>
      <c r="ADX9" s="78" t="s">
        <v>430</v>
      </c>
      <c r="ADY9" s="79" t="s">
        <v>431</v>
      </c>
      <c r="ADZ9" s="86" t="s">
        <v>429</v>
      </c>
      <c r="AEA9" s="78" t="s">
        <v>430</v>
      </c>
      <c r="AEB9" s="79" t="s">
        <v>431</v>
      </c>
      <c r="AEC9" s="86" t="s">
        <v>429</v>
      </c>
      <c r="AED9" s="78" t="s">
        <v>430</v>
      </c>
      <c r="AEE9" s="79" t="s">
        <v>431</v>
      </c>
      <c r="AEF9" s="86" t="s">
        <v>429</v>
      </c>
      <c r="AEG9" s="78" t="s">
        <v>430</v>
      </c>
      <c r="AEH9" s="79" t="s">
        <v>431</v>
      </c>
      <c r="AEI9" s="86" t="s">
        <v>429</v>
      </c>
      <c r="AEJ9" s="78" t="s">
        <v>430</v>
      </c>
      <c r="AEK9" s="79" t="s">
        <v>431</v>
      </c>
      <c r="AEL9" s="86" t="s">
        <v>429</v>
      </c>
      <c r="AEM9" s="78" t="s">
        <v>430</v>
      </c>
      <c r="AEN9" s="79" t="s">
        <v>431</v>
      </c>
      <c r="AEO9" s="86" t="s">
        <v>429</v>
      </c>
      <c r="AEP9" s="78" t="s">
        <v>430</v>
      </c>
      <c r="AEQ9" s="79" t="s">
        <v>431</v>
      </c>
      <c r="AER9" s="86" t="s">
        <v>429</v>
      </c>
      <c r="AES9" s="78" t="s">
        <v>430</v>
      </c>
      <c r="AET9" s="79" t="s">
        <v>431</v>
      </c>
      <c r="AEU9" s="86" t="s">
        <v>429</v>
      </c>
      <c r="AEV9" s="78" t="s">
        <v>430</v>
      </c>
      <c r="AEW9" s="79" t="s">
        <v>431</v>
      </c>
      <c r="AEX9" s="86" t="s">
        <v>429</v>
      </c>
      <c r="AEY9" s="78" t="s">
        <v>430</v>
      </c>
      <c r="AEZ9" s="79" t="s">
        <v>431</v>
      </c>
      <c r="AFA9" s="86" t="s">
        <v>429</v>
      </c>
      <c r="AFB9" s="78" t="s">
        <v>430</v>
      </c>
      <c r="AFC9" s="79" t="s">
        <v>431</v>
      </c>
      <c r="AFD9" s="86" t="s">
        <v>429</v>
      </c>
      <c r="AFE9" s="78" t="s">
        <v>430</v>
      </c>
      <c r="AFF9" s="79" t="s">
        <v>431</v>
      </c>
      <c r="AFG9" s="86" t="s">
        <v>429</v>
      </c>
      <c r="AFH9" s="78" t="s">
        <v>430</v>
      </c>
      <c r="AFI9" s="79" t="s">
        <v>431</v>
      </c>
      <c r="AFJ9" s="86" t="s">
        <v>429</v>
      </c>
      <c r="AFK9" s="78" t="s">
        <v>430</v>
      </c>
      <c r="AFL9" s="79" t="s">
        <v>431</v>
      </c>
      <c r="AFM9" s="86" t="s">
        <v>429</v>
      </c>
      <c r="AFN9" s="78" t="s">
        <v>430</v>
      </c>
      <c r="AFO9" s="79" t="s">
        <v>431</v>
      </c>
      <c r="AFP9" s="86" t="s">
        <v>429</v>
      </c>
      <c r="AFQ9" s="78" t="s">
        <v>430</v>
      </c>
      <c r="AFR9" s="79" t="s">
        <v>431</v>
      </c>
      <c r="AFS9" s="86" t="s">
        <v>429</v>
      </c>
      <c r="AFT9" s="78" t="s">
        <v>430</v>
      </c>
      <c r="AFU9" s="79" t="s">
        <v>431</v>
      </c>
      <c r="AFV9" s="86" t="s">
        <v>429</v>
      </c>
      <c r="AFW9" s="78" t="s">
        <v>430</v>
      </c>
      <c r="AFX9" s="79" t="s">
        <v>431</v>
      </c>
      <c r="AFY9" s="86" t="s">
        <v>429</v>
      </c>
      <c r="AFZ9" s="78" t="s">
        <v>430</v>
      </c>
      <c r="AGA9" s="79" t="s">
        <v>431</v>
      </c>
      <c r="AGB9" s="86" t="s">
        <v>429</v>
      </c>
      <c r="AGC9" s="78" t="s">
        <v>430</v>
      </c>
      <c r="AGD9" s="79" t="s">
        <v>431</v>
      </c>
      <c r="AGE9" s="86" t="s">
        <v>429</v>
      </c>
      <c r="AGF9" s="78" t="s">
        <v>430</v>
      </c>
      <c r="AGG9" s="79" t="s">
        <v>431</v>
      </c>
      <c r="AGH9" s="86" t="s">
        <v>429</v>
      </c>
      <c r="AGI9" s="78" t="s">
        <v>430</v>
      </c>
      <c r="AGJ9" s="79" t="s">
        <v>431</v>
      </c>
      <c r="AGK9" s="86" t="s">
        <v>429</v>
      </c>
      <c r="AGL9" s="78" t="s">
        <v>430</v>
      </c>
      <c r="AGM9" s="79" t="s">
        <v>431</v>
      </c>
      <c r="AGN9" s="86" t="s">
        <v>429</v>
      </c>
      <c r="AGO9" s="78" t="s">
        <v>430</v>
      </c>
      <c r="AGP9" s="79" t="s">
        <v>431</v>
      </c>
      <c r="AGQ9" s="86" t="s">
        <v>429</v>
      </c>
      <c r="AGR9" s="78" t="s">
        <v>430</v>
      </c>
      <c r="AGS9" s="79" t="s">
        <v>431</v>
      </c>
      <c r="AGT9" s="86" t="s">
        <v>429</v>
      </c>
      <c r="AGU9" s="78" t="s">
        <v>430</v>
      </c>
      <c r="AGV9" s="79" t="s">
        <v>431</v>
      </c>
      <c r="AGW9" s="86" t="s">
        <v>429</v>
      </c>
      <c r="AGX9" s="78" t="s">
        <v>430</v>
      </c>
      <c r="AGY9" s="79" t="s">
        <v>431</v>
      </c>
      <c r="AGZ9" s="86" t="s">
        <v>429</v>
      </c>
      <c r="AHA9" s="78" t="s">
        <v>430</v>
      </c>
      <c r="AHB9" s="79" t="s">
        <v>431</v>
      </c>
      <c r="AHC9" s="86" t="s">
        <v>429</v>
      </c>
      <c r="AHD9" s="78" t="s">
        <v>430</v>
      </c>
      <c r="AHE9" s="79" t="s">
        <v>431</v>
      </c>
      <c r="AHF9" s="86" t="s">
        <v>429</v>
      </c>
      <c r="AHG9" s="78" t="s">
        <v>430</v>
      </c>
      <c r="AHH9" s="79" t="s">
        <v>431</v>
      </c>
      <c r="AHI9" s="86" t="s">
        <v>429</v>
      </c>
      <c r="AHJ9" s="78" t="s">
        <v>430</v>
      </c>
      <c r="AHK9" s="79" t="s">
        <v>431</v>
      </c>
      <c r="AHL9" s="86" t="s">
        <v>429</v>
      </c>
      <c r="AHM9" s="78" t="s">
        <v>430</v>
      </c>
      <c r="AHN9" s="79" t="s">
        <v>431</v>
      </c>
      <c r="AHO9" s="86" t="s">
        <v>429</v>
      </c>
      <c r="AHP9" s="78" t="s">
        <v>430</v>
      </c>
      <c r="AHQ9" s="79" t="s">
        <v>431</v>
      </c>
      <c r="AHR9" s="86" t="s">
        <v>429</v>
      </c>
      <c r="AHS9" s="78" t="s">
        <v>430</v>
      </c>
      <c r="AHT9" s="79" t="s">
        <v>431</v>
      </c>
      <c r="AHU9" s="86" t="s">
        <v>429</v>
      </c>
      <c r="AHV9" s="78" t="s">
        <v>430</v>
      </c>
      <c r="AHW9" s="79" t="s">
        <v>431</v>
      </c>
      <c r="AHX9" s="86" t="s">
        <v>429</v>
      </c>
      <c r="AHY9" s="78" t="s">
        <v>430</v>
      </c>
      <c r="AHZ9" s="79" t="s">
        <v>431</v>
      </c>
      <c r="AIA9" s="86" t="s">
        <v>429</v>
      </c>
      <c r="AIB9" s="78" t="s">
        <v>430</v>
      </c>
      <c r="AIC9" s="79" t="s">
        <v>431</v>
      </c>
      <c r="AID9" s="86" t="s">
        <v>429</v>
      </c>
      <c r="AIE9" s="78" t="s">
        <v>430</v>
      </c>
      <c r="AIF9" s="79" t="s">
        <v>431</v>
      </c>
      <c r="AIG9" s="86" t="s">
        <v>429</v>
      </c>
      <c r="AIH9" s="78" t="s">
        <v>430</v>
      </c>
      <c r="AII9" s="79" t="s">
        <v>431</v>
      </c>
      <c r="AIJ9" s="86" t="s">
        <v>429</v>
      </c>
      <c r="AIK9" s="78" t="s">
        <v>430</v>
      </c>
      <c r="AIL9" s="79" t="s">
        <v>431</v>
      </c>
      <c r="AIM9" s="86" t="s">
        <v>429</v>
      </c>
      <c r="AIN9" s="78" t="s">
        <v>430</v>
      </c>
      <c r="AIO9" s="79" t="s">
        <v>431</v>
      </c>
      <c r="AIP9" s="86" t="s">
        <v>429</v>
      </c>
      <c r="AIQ9" s="78" t="s">
        <v>430</v>
      </c>
      <c r="AIR9" s="79" t="s">
        <v>431</v>
      </c>
      <c r="AIS9" s="86" t="s">
        <v>429</v>
      </c>
      <c r="AIT9" s="78" t="s">
        <v>430</v>
      </c>
      <c r="AIU9" s="79" t="s">
        <v>431</v>
      </c>
      <c r="AIV9" s="86" t="s">
        <v>429</v>
      </c>
      <c r="AIW9" s="78" t="s">
        <v>430</v>
      </c>
      <c r="AIX9" s="79" t="s">
        <v>431</v>
      </c>
      <c r="AIY9" s="86" t="s">
        <v>429</v>
      </c>
      <c r="AIZ9" s="78" t="s">
        <v>430</v>
      </c>
      <c r="AJA9" s="79" t="s">
        <v>431</v>
      </c>
      <c r="AJB9" s="86" t="s">
        <v>429</v>
      </c>
      <c r="AJC9" s="78" t="s">
        <v>430</v>
      </c>
      <c r="AJD9" s="79" t="s">
        <v>431</v>
      </c>
      <c r="AJE9" s="86" t="s">
        <v>429</v>
      </c>
      <c r="AJF9" s="78" t="s">
        <v>430</v>
      </c>
      <c r="AJG9" s="79" t="s">
        <v>431</v>
      </c>
      <c r="AJH9" s="86" t="s">
        <v>429</v>
      </c>
      <c r="AJI9" s="78" t="s">
        <v>430</v>
      </c>
      <c r="AJJ9" s="79" t="s">
        <v>431</v>
      </c>
      <c r="AJK9" s="86" t="s">
        <v>429</v>
      </c>
      <c r="AJL9" s="78" t="s">
        <v>430</v>
      </c>
      <c r="AJM9" s="79" t="s">
        <v>431</v>
      </c>
      <c r="AJN9" s="86" t="s">
        <v>429</v>
      </c>
      <c r="AJO9" s="78" t="s">
        <v>430</v>
      </c>
      <c r="AJP9" s="79" t="s">
        <v>431</v>
      </c>
      <c r="AJQ9" s="86" t="s">
        <v>429</v>
      </c>
      <c r="AJR9" s="78" t="s">
        <v>430</v>
      </c>
      <c r="AJS9" s="79" t="s">
        <v>431</v>
      </c>
      <c r="AJT9" s="86" t="s">
        <v>429</v>
      </c>
      <c r="AJU9" s="78" t="s">
        <v>430</v>
      </c>
      <c r="AJV9" s="79" t="s">
        <v>431</v>
      </c>
      <c r="AJW9" s="86" t="s">
        <v>429</v>
      </c>
      <c r="AJX9" s="78" t="s">
        <v>430</v>
      </c>
      <c r="AJY9" s="79" t="s">
        <v>431</v>
      </c>
      <c r="AJZ9" s="86" t="s">
        <v>429</v>
      </c>
      <c r="AKA9" s="78" t="s">
        <v>430</v>
      </c>
      <c r="AKB9" s="79" t="s">
        <v>431</v>
      </c>
      <c r="AKC9" s="86" t="s">
        <v>429</v>
      </c>
      <c r="AKD9" s="78" t="s">
        <v>430</v>
      </c>
      <c r="AKE9" s="79" t="s">
        <v>431</v>
      </c>
      <c r="AKF9" s="86" t="s">
        <v>429</v>
      </c>
      <c r="AKG9" s="78" t="s">
        <v>430</v>
      </c>
      <c r="AKH9" s="79" t="s">
        <v>431</v>
      </c>
      <c r="AKI9" s="86" t="s">
        <v>429</v>
      </c>
      <c r="AKJ9" s="78" t="s">
        <v>430</v>
      </c>
      <c r="AKK9" s="79" t="s">
        <v>431</v>
      </c>
      <c r="AKL9" s="86" t="s">
        <v>429</v>
      </c>
      <c r="AKM9" s="78" t="s">
        <v>430</v>
      </c>
      <c r="AKN9" s="79" t="s">
        <v>431</v>
      </c>
      <c r="AKO9" s="86" t="s">
        <v>429</v>
      </c>
      <c r="AKP9" s="78" t="s">
        <v>430</v>
      </c>
      <c r="AKQ9" s="79" t="s">
        <v>431</v>
      </c>
      <c r="AKR9" s="86" t="s">
        <v>429</v>
      </c>
      <c r="AKS9" s="78" t="s">
        <v>430</v>
      </c>
      <c r="AKT9" s="79" t="s">
        <v>431</v>
      </c>
      <c r="AKU9" s="86" t="s">
        <v>429</v>
      </c>
      <c r="AKV9" s="78" t="s">
        <v>430</v>
      </c>
      <c r="AKW9" s="79" t="s">
        <v>431</v>
      </c>
      <c r="AKX9" s="86" t="s">
        <v>429</v>
      </c>
      <c r="AKY9" s="78" t="s">
        <v>430</v>
      </c>
      <c r="AKZ9" s="79" t="s">
        <v>431</v>
      </c>
      <c r="ALA9" s="86" t="s">
        <v>429</v>
      </c>
      <c r="ALB9" s="78" t="s">
        <v>430</v>
      </c>
      <c r="ALC9" s="79" t="s">
        <v>431</v>
      </c>
      <c r="ALD9" s="86" t="s">
        <v>429</v>
      </c>
      <c r="ALE9" s="78" t="s">
        <v>430</v>
      </c>
      <c r="ALF9" s="79" t="s">
        <v>431</v>
      </c>
      <c r="ALG9" s="86" t="s">
        <v>429</v>
      </c>
      <c r="ALH9" s="78" t="s">
        <v>430</v>
      </c>
      <c r="ALI9" s="79" t="s">
        <v>431</v>
      </c>
      <c r="ALJ9" s="86" t="s">
        <v>429</v>
      </c>
      <c r="ALK9" s="78" t="s">
        <v>430</v>
      </c>
      <c r="ALL9" s="79" t="s">
        <v>431</v>
      </c>
      <c r="ALM9" s="86" t="s">
        <v>429</v>
      </c>
      <c r="ALN9" s="78" t="s">
        <v>430</v>
      </c>
      <c r="ALO9" s="79" t="s">
        <v>431</v>
      </c>
      <c r="ALP9" s="86" t="s">
        <v>429</v>
      </c>
      <c r="ALQ9" s="78" t="s">
        <v>430</v>
      </c>
      <c r="ALR9" s="79" t="s">
        <v>431</v>
      </c>
      <c r="ALS9" s="86" t="s">
        <v>429</v>
      </c>
      <c r="ALT9" s="78" t="s">
        <v>430</v>
      </c>
      <c r="ALU9" s="79" t="s">
        <v>431</v>
      </c>
      <c r="ALV9" s="86" t="s">
        <v>429</v>
      </c>
      <c r="ALW9" s="78" t="s">
        <v>430</v>
      </c>
      <c r="ALX9" s="79" t="s">
        <v>431</v>
      </c>
      <c r="ALY9" s="86" t="s">
        <v>429</v>
      </c>
      <c r="ALZ9" s="78" t="s">
        <v>430</v>
      </c>
      <c r="AMA9" s="79" t="s">
        <v>431</v>
      </c>
      <c r="AMB9" s="86" t="s">
        <v>429</v>
      </c>
      <c r="AMC9" s="78" t="s">
        <v>430</v>
      </c>
      <c r="AMD9" s="79" t="s">
        <v>431</v>
      </c>
      <c r="AME9" s="86" t="s">
        <v>429</v>
      </c>
      <c r="AMF9" s="78" t="s">
        <v>430</v>
      </c>
      <c r="AMG9" s="79" t="s">
        <v>431</v>
      </c>
      <c r="AMH9" s="86" t="s">
        <v>429</v>
      </c>
      <c r="AMI9" s="78" t="s">
        <v>430</v>
      </c>
      <c r="AMJ9" s="79" t="s">
        <v>431</v>
      </c>
    </row>
    <row r="10" s="88" customFormat="true" ht="18" hidden="false" customHeight="false" outlineLevel="0" collapsed="false">
      <c r="A10" s="87" t="s">
        <v>432</v>
      </c>
      <c r="B10" s="87"/>
      <c r="C10" s="87"/>
      <c r="D10" s="87"/>
      <c r="F10" s="89"/>
      <c r="G10" s="90"/>
      <c r="I10" s="89"/>
      <c r="J10" s="90"/>
      <c r="L10" s="89"/>
      <c r="M10" s="90"/>
      <c r="O10" s="89"/>
      <c r="P10" s="90"/>
      <c r="R10" s="89"/>
      <c r="S10" s="90"/>
      <c r="U10" s="89"/>
      <c r="V10" s="90"/>
      <c r="X10" s="89"/>
      <c r="Y10" s="90"/>
      <c r="AA10" s="89"/>
      <c r="AB10" s="90"/>
      <c r="AD10" s="89"/>
      <c r="AE10" s="90"/>
      <c r="AG10" s="89"/>
      <c r="AH10" s="90"/>
      <c r="AJ10" s="89"/>
      <c r="AK10" s="90"/>
      <c r="AM10" s="89"/>
      <c r="AN10" s="90"/>
      <c r="AP10" s="89"/>
      <c r="AQ10" s="90"/>
      <c r="AS10" s="89"/>
      <c r="AT10" s="90"/>
      <c r="AV10" s="89"/>
      <c r="AW10" s="90"/>
      <c r="AY10" s="89"/>
      <c r="AZ10" s="90"/>
      <c r="BB10" s="89"/>
      <c r="BC10" s="90"/>
      <c r="BE10" s="89"/>
      <c r="BF10" s="90"/>
      <c r="BH10" s="89"/>
      <c r="BI10" s="90"/>
      <c r="BK10" s="89"/>
      <c r="BL10" s="90"/>
      <c r="BN10" s="89"/>
      <c r="BO10" s="90"/>
      <c r="BQ10" s="89"/>
      <c r="BR10" s="90"/>
      <c r="BT10" s="89"/>
      <c r="BU10" s="90"/>
      <c r="BW10" s="89"/>
      <c r="BX10" s="90"/>
      <c r="BZ10" s="89"/>
      <c r="CA10" s="90"/>
      <c r="CC10" s="89"/>
      <c r="CD10" s="90"/>
      <c r="CF10" s="89"/>
      <c r="CG10" s="90"/>
      <c r="CI10" s="89"/>
      <c r="CJ10" s="90"/>
      <c r="CL10" s="89"/>
      <c r="CM10" s="90"/>
      <c r="CO10" s="89"/>
      <c r="CP10" s="90"/>
      <c r="CR10" s="89"/>
      <c r="CS10" s="90"/>
      <c r="CU10" s="89"/>
      <c r="CV10" s="90"/>
      <c r="CX10" s="89"/>
      <c r="CY10" s="90"/>
      <c r="DA10" s="89"/>
      <c r="DB10" s="90"/>
      <c r="DD10" s="89"/>
      <c r="DE10" s="90"/>
      <c r="DG10" s="89"/>
      <c r="DH10" s="90"/>
      <c r="DJ10" s="89"/>
      <c r="DK10" s="90"/>
      <c r="DM10" s="89"/>
      <c r="DN10" s="90"/>
      <c r="DP10" s="89"/>
      <c r="DQ10" s="90"/>
      <c r="DS10" s="89"/>
      <c r="DT10" s="90"/>
      <c r="DV10" s="89"/>
      <c r="DW10" s="90"/>
      <c r="DY10" s="89"/>
      <c r="DZ10" s="90"/>
      <c r="EB10" s="89"/>
      <c r="EC10" s="90"/>
      <c r="EE10" s="89"/>
      <c r="EF10" s="90"/>
      <c r="EH10" s="89"/>
      <c r="EI10" s="90"/>
      <c r="EK10" s="89"/>
      <c r="EL10" s="90"/>
      <c r="EN10" s="89"/>
      <c r="EO10" s="90"/>
      <c r="EQ10" s="89"/>
      <c r="ER10" s="90"/>
      <c r="ET10" s="89"/>
      <c r="EU10" s="90"/>
      <c r="EW10" s="89"/>
      <c r="EX10" s="90"/>
      <c r="EZ10" s="89"/>
      <c r="FA10" s="90"/>
      <c r="FC10" s="89"/>
      <c r="FD10" s="90"/>
      <c r="FF10" s="89"/>
      <c r="FG10" s="90"/>
      <c r="FI10" s="89"/>
      <c r="FJ10" s="90"/>
      <c r="FL10" s="89"/>
      <c r="FM10" s="90"/>
      <c r="FO10" s="89"/>
      <c r="FP10" s="90"/>
      <c r="FR10" s="89"/>
      <c r="FS10" s="90"/>
      <c r="FU10" s="89"/>
      <c r="FV10" s="90"/>
      <c r="FX10" s="89"/>
      <c r="FY10" s="90"/>
      <c r="GA10" s="89"/>
      <c r="GB10" s="90"/>
      <c r="GD10" s="89"/>
      <c r="GE10" s="90"/>
      <c r="GG10" s="89"/>
      <c r="GH10" s="90"/>
      <c r="GJ10" s="89"/>
      <c r="GK10" s="90"/>
      <c r="GM10" s="89"/>
      <c r="GN10" s="90"/>
      <c r="GP10" s="89"/>
      <c r="GQ10" s="90"/>
      <c r="GS10" s="89"/>
      <c r="GT10" s="90"/>
      <c r="GV10" s="89"/>
      <c r="GW10" s="90"/>
      <c r="GY10" s="89"/>
      <c r="GZ10" s="90"/>
      <c r="HB10" s="89"/>
      <c r="HC10" s="90"/>
      <c r="HE10" s="89"/>
      <c r="HF10" s="90"/>
      <c r="HH10" s="89"/>
      <c r="HI10" s="90"/>
      <c r="HK10" s="89"/>
      <c r="HL10" s="90"/>
      <c r="HN10" s="89"/>
      <c r="HO10" s="90"/>
      <c r="HQ10" s="89"/>
      <c r="HR10" s="90"/>
      <c r="HT10" s="89"/>
      <c r="HU10" s="90"/>
      <c r="HW10" s="89"/>
      <c r="HX10" s="90"/>
      <c r="HZ10" s="89"/>
      <c r="IA10" s="90"/>
      <c r="IC10" s="89"/>
      <c r="ID10" s="90"/>
      <c r="IF10" s="89"/>
      <c r="IG10" s="90"/>
      <c r="II10" s="89"/>
      <c r="IJ10" s="90"/>
      <c r="IL10" s="89"/>
      <c r="IM10" s="90"/>
      <c r="IO10" s="89"/>
      <c r="IP10" s="90"/>
      <c r="IR10" s="89"/>
      <c r="IS10" s="90"/>
      <c r="IU10" s="89"/>
      <c r="IV10" s="90"/>
      <c r="IX10" s="89"/>
      <c r="IY10" s="90"/>
      <c r="JA10" s="89"/>
      <c r="JB10" s="90"/>
      <c r="JD10" s="89"/>
      <c r="JE10" s="90"/>
      <c r="JG10" s="89"/>
      <c r="JH10" s="90"/>
      <c r="JJ10" s="89"/>
      <c r="JK10" s="90"/>
      <c r="JM10" s="89"/>
      <c r="JN10" s="90"/>
      <c r="JP10" s="89"/>
      <c r="JQ10" s="90"/>
      <c r="JS10" s="89"/>
      <c r="JT10" s="90"/>
      <c r="JV10" s="89"/>
      <c r="JW10" s="90"/>
      <c r="JY10" s="89"/>
      <c r="JZ10" s="90"/>
      <c r="KB10" s="89"/>
      <c r="KC10" s="90"/>
      <c r="KE10" s="89"/>
      <c r="KF10" s="90"/>
      <c r="KH10" s="89"/>
      <c r="KI10" s="90"/>
      <c r="KK10" s="89"/>
      <c r="KL10" s="90"/>
      <c r="KN10" s="89"/>
      <c r="KO10" s="90"/>
      <c r="KQ10" s="89"/>
      <c r="KR10" s="90"/>
      <c r="KT10" s="89"/>
      <c r="KU10" s="90"/>
      <c r="KW10" s="89"/>
      <c r="KX10" s="90"/>
      <c r="KZ10" s="89"/>
      <c r="LA10" s="90"/>
      <c r="LC10" s="89"/>
      <c r="LD10" s="90"/>
      <c r="LF10" s="89"/>
      <c r="LG10" s="90"/>
      <c r="LI10" s="89"/>
      <c r="LJ10" s="90"/>
      <c r="LL10" s="89"/>
      <c r="LM10" s="90"/>
      <c r="LO10" s="89"/>
      <c r="LP10" s="90"/>
      <c r="LR10" s="89"/>
      <c r="LS10" s="90"/>
      <c r="LU10" s="89"/>
      <c r="LV10" s="90"/>
      <c r="LX10" s="89"/>
      <c r="LY10" s="90"/>
      <c r="MA10" s="89"/>
      <c r="MB10" s="90"/>
      <c r="MD10" s="89"/>
      <c r="ME10" s="90"/>
      <c r="MG10" s="89"/>
      <c r="MH10" s="90"/>
      <c r="MJ10" s="89"/>
      <c r="MK10" s="90"/>
      <c r="MM10" s="89"/>
      <c r="MN10" s="90"/>
      <c r="MP10" s="89"/>
      <c r="MQ10" s="90"/>
      <c r="MS10" s="89"/>
      <c r="MT10" s="90"/>
      <c r="MV10" s="89"/>
      <c r="MW10" s="90"/>
      <c r="MY10" s="89"/>
      <c r="MZ10" s="90"/>
      <c r="NB10" s="89"/>
      <c r="NC10" s="90"/>
      <c r="NE10" s="89"/>
      <c r="NF10" s="90"/>
      <c r="NH10" s="89"/>
      <c r="NI10" s="90"/>
      <c r="NK10" s="89"/>
      <c r="NL10" s="90"/>
      <c r="NN10" s="89"/>
      <c r="NO10" s="90"/>
      <c r="NQ10" s="89"/>
      <c r="NR10" s="90"/>
      <c r="NT10" s="89"/>
      <c r="NU10" s="90"/>
      <c r="NW10" s="89"/>
      <c r="NX10" s="90"/>
      <c r="NZ10" s="89"/>
      <c r="OA10" s="90"/>
      <c r="OC10" s="89"/>
      <c r="OD10" s="90"/>
      <c r="OF10" s="89"/>
      <c r="OG10" s="90"/>
      <c r="OI10" s="89"/>
      <c r="OJ10" s="90"/>
      <c r="OL10" s="89"/>
      <c r="OM10" s="90"/>
      <c r="OO10" s="89"/>
      <c r="OP10" s="90"/>
      <c r="OR10" s="89"/>
      <c r="OS10" s="90"/>
      <c r="OU10" s="89"/>
      <c r="OV10" s="90"/>
      <c r="OX10" s="89"/>
      <c r="OY10" s="90"/>
      <c r="PA10" s="89"/>
      <c r="PB10" s="90"/>
      <c r="PD10" s="89"/>
      <c r="PE10" s="90"/>
      <c r="PG10" s="89"/>
      <c r="PH10" s="90"/>
      <c r="PJ10" s="89"/>
      <c r="PK10" s="90"/>
      <c r="PM10" s="89"/>
      <c r="PN10" s="90"/>
      <c r="PP10" s="89"/>
      <c r="PQ10" s="90"/>
      <c r="PS10" s="89"/>
      <c r="PT10" s="90"/>
      <c r="PV10" s="89"/>
      <c r="PW10" s="90"/>
      <c r="PY10" s="89"/>
      <c r="PZ10" s="90"/>
      <c r="QB10" s="89"/>
      <c r="QC10" s="90"/>
      <c r="QE10" s="89"/>
      <c r="QF10" s="90"/>
      <c r="QH10" s="89"/>
      <c r="QI10" s="90"/>
      <c r="QK10" s="89"/>
      <c r="QL10" s="90"/>
      <c r="QN10" s="89"/>
      <c r="QO10" s="90"/>
      <c r="QQ10" s="89"/>
      <c r="QR10" s="90"/>
      <c r="QT10" s="89"/>
      <c r="QU10" s="90"/>
      <c r="QW10" s="89"/>
      <c r="QX10" s="90"/>
      <c r="QZ10" s="89"/>
      <c r="RA10" s="90"/>
      <c r="RC10" s="89"/>
      <c r="RD10" s="90"/>
      <c r="RF10" s="89"/>
      <c r="RG10" s="90"/>
      <c r="RI10" s="89"/>
      <c r="RJ10" s="90"/>
      <c r="RL10" s="89"/>
      <c r="RM10" s="90"/>
      <c r="RO10" s="89"/>
      <c r="RP10" s="90"/>
      <c r="RR10" s="89"/>
      <c r="RS10" s="90"/>
      <c r="RU10" s="89"/>
      <c r="RV10" s="90"/>
      <c r="RX10" s="89"/>
      <c r="RY10" s="90"/>
      <c r="SA10" s="89"/>
      <c r="SB10" s="90"/>
      <c r="SD10" s="89"/>
      <c r="SE10" s="90"/>
      <c r="SG10" s="89"/>
      <c r="SH10" s="90"/>
      <c r="SJ10" s="89"/>
      <c r="SK10" s="90"/>
      <c r="SM10" s="89"/>
      <c r="SN10" s="90"/>
      <c r="SP10" s="89"/>
      <c r="SQ10" s="90"/>
      <c r="SS10" s="89"/>
      <c r="ST10" s="90"/>
      <c r="SV10" s="89"/>
      <c r="SW10" s="90"/>
      <c r="SY10" s="89"/>
      <c r="SZ10" s="90"/>
      <c r="TB10" s="89"/>
      <c r="TC10" s="90"/>
      <c r="TE10" s="89"/>
      <c r="TF10" s="90"/>
      <c r="TH10" s="89"/>
      <c r="TI10" s="90"/>
      <c r="TK10" s="89"/>
      <c r="TL10" s="90"/>
      <c r="TN10" s="89"/>
      <c r="TO10" s="90"/>
      <c r="TQ10" s="89"/>
      <c r="TR10" s="90"/>
      <c r="TT10" s="89"/>
      <c r="TU10" s="90"/>
      <c r="TW10" s="89"/>
      <c r="TX10" s="90"/>
      <c r="TZ10" s="89"/>
      <c r="UA10" s="90"/>
      <c r="UC10" s="89"/>
      <c r="UD10" s="90"/>
      <c r="UF10" s="89"/>
      <c r="UG10" s="90"/>
      <c r="UI10" s="89"/>
      <c r="UJ10" s="90"/>
      <c r="UL10" s="89"/>
      <c r="UM10" s="90"/>
      <c r="UO10" s="89"/>
      <c r="UP10" s="90"/>
      <c r="UR10" s="89"/>
      <c r="US10" s="90"/>
      <c r="UU10" s="89"/>
      <c r="UV10" s="90"/>
      <c r="UX10" s="89"/>
      <c r="UY10" s="90"/>
      <c r="VA10" s="89"/>
      <c r="VB10" s="90"/>
      <c r="VD10" s="89"/>
      <c r="VE10" s="90"/>
      <c r="VG10" s="89"/>
      <c r="VH10" s="90"/>
      <c r="VJ10" s="89"/>
      <c r="VK10" s="90"/>
      <c r="VM10" s="89"/>
      <c r="VN10" s="90"/>
      <c r="VP10" s="89"/>
      <c r="VQ10" s="90"/>
      <c r="VS10" s="89"/>
      <c r="VT10" s="90"/>
      <c r="VV10" s="89"/>
      <c r="VW10" s="90"/>
      <c r="VY10" s="89"/>
      <c r="VZ10" s="90"/>
      <c r="WB10" s="89"/>
      <c r="WC10" s="90"/>
      <c r="WE10" s="89"/>
      <c r="WF10" s="90"/>
      <c r="WH10" s="89"/>
      <c r="WI10" s="90"/>
      <c r="WK10" s="89"/>
      <c r="WL10" s="90"/>
      <c r="WN10" s="89"/>
      <c r="WO10" s="90"/>
      <c r="WQ10" s="89"/>
      <c r="WR10" s="90"/>
      <c r="WT10" s="89"/>
      <c r="WU10" s="90"/>
      <c r="WW10" s="89"/>
      <c r="WX10" s="90"/>
      <c r="WZ10" s="89"/>
      <c r="XA10" s="90"/>
      <c r="XC10" s="89"/>
      <c r="XD10" s="90"/>
      <c r="XF10" s="89"/>
      <c r="XG10" s="90"/>
      <c r="XI10" s="89"/>
      <c r="XJ10" s="90"/>
      <c r="XL10" s="89"/>
      <c r="XM10" s="90"/>
      <c r="XO10" s="89"/>
      <c r="XP10" s="90"/>
      <c r="XR10" s="89"/>
      <c r="XS10" s="90"/>
      <c r="XU10" s="89"/>
      <c r="XV10" s="90"/>
      <c r="XX10" s="89"/>
      <c r="XY10" s="90"/>
      <c r="YA10" s="89"/>
      <c r="YB10" s="90"/>
      <c r="YD10" s="89"/>
      <c r="YE10" s="90"/>
      <c r="YG10" s="89"/>
      <c r="YH10" s="90"/>
      <c r="YJ10" s="89"/>
      <c r="YK10" s="90"/>
      <c r="YM10" s="89"/>
      <c r="YN10" s="90"/>
      <c r="YP10" s="89"/>
      <c r="YQ10" s="90"/>
      <c r="YS10" s="89"/>
      <c r="YT10" s="90"/>
      <c r="YV10" s="89"/>
      <c r="YW10" s="90"/>
      <c r="YY10" s="89"/>
      <c r="YZ10" s="90"/>
      <c r="ZB10" s="89"/>
      <c r="ZC10" s="90"/>
      <c r="ZE10" s="89"/>
      <c r="ZF10" s="90"/>
      <c r="ZH10" s="89"/>
      <c r="ZI10" s="90"/>
      <c r="ZK10" s="89"/>
      <c r="ZL10" s="90"/>
      <c r="ZN10" s="89"/>
      <c r="ZO10" s="90"/>
      <c r="ZQ10" s="89"/>
      <c r="ZR10" s="90"/>
      <c r="ZT10" s="89"/>
      <c r="ZU10" s="90"/>
      <c r="ZW10" s="89"/>
      <c r="ZX10" s="90"/>
      <c r="ZZ10" s="89"/>
      <c r="AAA10" s="90"/>
      <c r="AAC10" s="89"/>
      <c r="AAD10" s="90"/>
      <c r="AAF10" s="89"/>
      <c r="AAG10" s="90"/>
      <c r="AAI10" s="89"/>
      <c r="AAJ10" s="90"/>
      <c r="AAL10" s="89"/>
      <c r="AAM10" s="90"/>
      <c r="AAO10" s="89"/>
      <c r="AAP10" s="90"/>
      <c r="AAR10" s="89"/>
      <c r="AAS10" s="90"/>
      <c r="AAU10" s="89"/>
      <c r="AAV10" s="90"/>
      <c r="AAX10" s="89"/>
      <c r="AAY10" s="90"/>
      <c r="ABA10" s="89"/>
      <c r="ABB10" s="90"/>
      <c r="ABD10" s="89"/>
      <c r="ABE10" s="90"/>
      <c r="ABG10" s="89"/>
      <c r="ABH10" s="90"/>
      <c r="ABJ10" s="89"/>
      <c r="ABK10" s="90"/>
      <c r="ABM10" s="89"/>
      <c r="ABN10" s="90"/>
      <c r="ABP10" s="89"/>
      <c r="ABQ10" s="90"/>
      <c r="ABS10" s="89"/>
      <c r="ABT10" s="90"/>
      <c r="ABV10" s="89"/>
      <c r="ABW10" s="90"/>
      <c r="ABY10" s="89"/>
      <c r="ABZ10" s="90"/>
      <c r="ACB10" s="89"/>
      <c r="ACC10" s="90"/>
      <c r="ACE10" s="89"/>
      <c r="ACF10" s="90"/>
      <c r="ACH10" s="89"/>
      <c r="ACI10" s="90"/>
      <c r="ACK10" s="89"/>
      <c r="ACL10" s="90"/>
      <c r="ACN10" s="89"/>
      <c r="ACO10" s="90"/>
      <c r="ACQ10" s="89"/>
      <c r="ACR10" s="90"/>
      <c r="ACT10" s="89"/>
      <c r="ACU10" s="90"/>
      <c r="ACW10" s="89"/>
      <c r="ACX10" s="90"/>
      <c r="ACZ10" s="89"/>
      <c r="ADA10" s="90"/>
      <c r="ADC10" s="89"/>
      <c r="ADD10" s="90"/>
      <c r="ADF10" s="89"/>
      <c r="ADG10" s="90"/>
      <c r="ADI10" s="89"/>
      <c r="ADJ10" s="90"/>
      <c r="ADL10" s="89"/>
      <c r="ADM10" s="90"/>
      <c r="ADO10" s="89"/>
      <c r="ADP10" s="90"/>
      <c r="ADR10" s="89"/>
      <c r="ADS10" s="90"/>
      <c r="ADU10" s="89"/>
      <c r="ADV10" s="90"/>
      <c r="ADX10" s="89"/>
      <c r="ADY10" s="90"/>
      <c r="AEA10" s="89"/>
      <c r="AEB10" s="90"/>
      <c r="AED10" s="89"/>
      <c r="AEE10" s="90"/>
      <c r="AEG10" s="89"/>
      <c r="AEH10" s="90"/>
      <c r="AEJ10" s="89"/>
      <c r="AEK10" s="90"/>
      <c r="AEM10" s="89"/>
      <c r="AEN10" s="90"/>
      <c r="AEP10" s="89"/>
      <c r="AEQ10" s="90"/>
      <c r="AES10" s="89"/>
      <c r="AET10" s="90"/>
      <c r="AEV10" s="89"/>
      <c r="AEW10" s="90"/>
      <c r="AEY10" s="89"/>
      <c r="AEZ10" s="90"/>
      <c r="AFB10" s="89"/>
      <c r="AFC10" s="90"/>
      <c r="AFE10" s="89"/>
      <c r="AFF10" s="90"/>
      <c r="AFH10" s="89"/>
      <c r="AFI10" s="90"/>
      <c r="AFK10" s="89"/>
      <c r="AFL10" s="90"/>
      <c r="AFN10" s="89"/>
      <c r="AFO10" s="90"/>
      <c r="AFQ10" s="89"/>
      <c r="AFR10" s="90"/>
      <c r="AFT10" s="89"/>
      <c r="AFU10" s="90"/>
      <c r="AFW10" s="89"/>
      <c r="AFX10" s="90"/>
      <c r="AFZ10" s="89"/>
      <c r="AGA10" s="90"/>
      <c r="AGC10" s="89"/>
      <c r="AGD10" s="90"/>
      <c r="AGF10" s="89"/>
      <c r="AGG10" s="90"/>
      <c r="AGI10" s="89"/>
      <c r="AGJ10" s="90"/>
      <c r="AGL10" s="89"/>
      <c r="AGM10" s="90"/>
      <c r="AGO10" s="89"/>
      <c r="AGP10" s="90"/>
      <c r="AGR10" s="89"/>
      <c r="AGS10" s="90"/>
      <c r="AGU10" s="89"/>
      <c r="AGV10" s="90"/>
      <c r="AGX10" s="89"/>
      <c r="AGY10" s="90"/>
      <c r="AHA10" s="89"/>
      <c r="AHB10" s="90"/>
      <c r="AHD10" s="89"/>
      <c r="AHE10" s="90"/>
      <c r="AHG10" s="89"/>
      <c r="AHH10" s="90"/>
      <c r="AHJ10" s="89"/>
      <c r="AHK10" s="90"/>
      <c r="AHM10" s="89"/>
      <c r="AHN10" s="90"/>
      <c r="AHP10" s="89"/>
      <c r="AHQ10" s="90"/>
      <c r="AHS10" s="89"/>
      <c r="AHT10" s="90"/>
      <c r="AHV10" s="89"/>
      <c r="AHW10" s="90"/>
      <c r="AHY10" s="89"/>
      <c r="AHZ10" s="90"/>
      <c r="AIB10" s="89"/>
      <c r="AIC10" s="90"/>
      <c r="AIE10" s="89"/>
      <c r="AIF10" s="90"/>
      <c r="AIH10" s="89"/>
      <c r="AII10" s="90"/>
      <c r="AIK10" s="89"/>
      <c r="AIL10" s="90"/>
      <c r="AIN10" s="89"/>
      <c r="AIO10" s="90"/>
      <c r="AIQ10" s="89"/>
      <c r="AIR10" s="90"/>
      <c r="AIT10" s="89"/>
      <c r="AIU10" s="90"/>
      <c r="AIW10" s="89"/>
      <c r="AIX10" s="90"/>
      <c r="AIZ10" s="89"/>
      <c r="AJA10" s="90"/>
      <c r="AJC10" s="89"/>
      <c r="AJD10" s="90"/>
      <c r="AJF10" s="89"/>
      <c r="AJG10" s="90"/>
      <c r="AJI10" s="89"/>
      <c r="AJJ10" s="90"/>
      <c r="AJL10" s="89"/>
      <c r="AJM10" s="90"/>
      <c r="AJO10" s="89"/>
      <c r="AJP10" s="90"/>
      <c r="AJR10" s="89"/>
      <c r="AJS10" s="90"/>
      <c r="AJU10" s="89"/>
      <c r="AJV10" s="90"/>
      <c r="AJX10" s="89"/>
      <c r="AJY10" s="90"/>
      <c r="AKA10" s="89"/>
      <c r="AKB10" s="90"/>
      <c r="AKD10" s="89"/>
      <c r="AKE10" s="90"/>
      <c r="AKG10" s="89"/>
      <c r="AKH10" s="90"/>
      <c r="AKJ10" s="89"/>
      <c r="AKK10" s="90"/>
      <c r="AKM10" s="89"/>
      <c r="AKN10" s="90"/>
      <c r="AKP10" s="89"/>
      <c r="AKQ10" s="90"/>
      <c r="AKS10" s="89"/>
      <c r="AKT10" s="90"/>
      <c r="AKV10" s="89"/>
      <c r="AKW10" s="90"/>
      <c r="AKY10" s="89"/>
      <c r="AKZ10" s="90"/>
      <c r="ALB10" s="89"/>
      <c r="ALC10" s="90"/>
      <c r="ALE10" s="89"/>
      <c r="ALF10" s="90"/>
      <c r="ALH10" s="89"/>
      <c r="ALI10" s="90"/>
      <c r="ALK10" s="89"/>
      <c r="ALL10" s="90"/>
      <c r="ALN10" s="89"/>
      <c r="ALO10" s="90"/>
      <c r="ALQ10" s="89"/>
      <c r="ALR10" s="90"/>
      <c r="ALT10" s="89"/>
      <c r="ALU10" s="90"/>
      <c r="ALW10" s="89"/>
      <c r="ALX10" s="90"/>
      <c r="ALZ10" s="89"/>
      <c r="AMA10" s="90"/>
      <c r="AMC10" s="89"/>
      <c r="AMD10" s="90"/>
      <c r="AMF10" s="89"/>
      <c r="AMG10" s="90"/>
      <c r="AMI10" s="89"/>
      <c r="AMJ10" s="90"/>
    </row>
    <row r="11" s="91" customFormat="true" ht="17.25" hidden="false" customHeight="false" outlineLevel="0" collapsed="false">
      <c r="B11" s="92"/>
      <c r="C11" s="93"/>
      <c r="D11" s="94"/>
      <c r="E11" s="95" t="n">
        <f aca="false">[1]НАДІЙШЛО2!D3</f>
        <v>0</v>
      </c>
      <c r="F11" s="96" t="n">
        <f aca="false">[1]ВИБУЛО2!D3</f>
        <v>0</v>
      </c>
      <c r="G11" s="97" t="n">
        <f aca="false">G10-F11+E11</f>
        <v>0</v>
      </c>
      <c r="H11" s="95" t="n">
        <f aca="false">[1]НАДІЙШЛО2!E3</f>
        <v>0</v>
      </c>
      <c r="I11" s="96" t="n">
        <f aca="false">[1]ВИБУЛО2!E3</f>
        <v>0</v>
      </c>
      <c r="J11" s="97" t="n">
        <f aca="false">J10-I11+H11</f>
        <v>0</v>
      </c>
      <c r="K11" s="95" t="n">
        <v>5</v>
      </c>
      <c r="L11" s="96" t="n">
        <f aca="false">'Хмільник 1'!F21</f>
        <v>2.94</v>
      </c>
      <c r="M11" s="97" t="n">
        <f aca="false">K11-L11</f>
        <v>2.06</v>
      </c>
      <c r="N11" s="95" t="n">
        <f aca="false">[1]НАДІЙШЛО2!G3</f>
        <v>0</v>
      </c>
      <c r="O11" s="96" t="n">
        <f aca="false">[1]ВИБУЛО2!G3</f>
        <v>0</v>
      </c>
      <c r="P11" s="97" t="n">
        <f aca="false">P10-O11+N11</f>
        <v>0</v>
      </c>
      <c r="Q11" s="95" t="n">
        <f aca="false">[1]НАДІЙШЛО2!H3</f>
        <v>0</v>
      </c>
      <c r="R11" s="96" t="n">
        <f aca="false">[1]ВИБУЛО2!H3</f>
        <v>0</v>
      </c>
      <c r="S11" s="97" t="n">
        <f aca="false">S10-R11+Q11</f>
        <v>0</v>
      </c>
      <c r="T11" s="95" t="n">
        <f aca="false">[1]НАДІЙШЛО2!I3</f>
        <v>0</v>
      </c>
      <c r="U11" s="96" t="n">
        <f aca="false">[1]ВИБУЛО2!I3</f>
        <v>0</v>
      </c>
      <c r="V11" s="97" t="n">
        <f aca="false">V10-U11+T11</f>
        <v>0</v>
      </c>
      <c r="W11" s="95" t="n">
        <f aca="false">[1]НАДІЙШЛО2!J3</f>
        <v>0</v>
      </c>
      <c r="X11" s="96" t="n">
        <f aca="false">[1]ВИБУЛО2!J3</f>
        <v>0</v>
      </c>
      <c r="Y11" s="97" t="n">
        <f aca="false">Y10-X11+W11</f>
        <v>0</v>
      </c>
      <c r="Z11" s="95" t="n">
        <f aca="false">[1]НАДІЙШЛО2!K3</f>
        <v>0</v>
      </c>
      <c r="AA11" s="96" t="n">
        <f aca="false">[1]ВИБУЛО2!K3</f>
        <v>0</v>
      </c>
      <c r="AB11" s="97" t="n">
        <f aca="false">AB10-AA11+Z11</f>
        <v>0</v>
      </c>
      <c r="AC11" s="95" t="n">
        <f aca="false">[1]НАДІЙШЛО2!L3</f>
        <v>0</v>
      </c>
      <c r="AD11" s="96" t="n">
        <f aca="false">[1]ВИБУЛО2!L3</f>
        <v>0</v>
      </c>
      <c r="AE11" s="97" t="n">
        <f aca="false">AE10-AD11+AC11</f>
        <v>0</v>
      </c>
      <c r="AF11" s="95" t="n">
        <f aca="false">[1]НАДІЙШЛО2!M3</f>
        <v>0</v>
      </c>
      <c r="AG11" s="96" t="n">
        <f aca="false">[1]ВИБУЛО2!M3</f>
        <v>0</v>
      </c>
      <c r="AH11" s="97" t="n">
        <f aca="false">AH10-AG11+AF11</f>
        <v>0</v>
      </c>
      <c r="AI11" s="95" t="n">
        <f aca="false">[1]НАДІЙШЛО2!N3</f>
        <v>0</v>
      </c>
      <c r="AJ11" s="96" t="n">
        <f aca="false">[1]ВИБУЛО2!N3</f>
        <v>0</v>
      </c>
      <c r="AK11" s="97" t="n">
        <f aca="false">AK10-AJ11+AI11</f>
        <v>0</v>
      </c>
      <c r="AL11" s="95" t="n">
        <f aca="false">[1]НАДІЙШЛО2!O3</f>
        <v>0</v>
      </c>
      <c r="AM11" s="96" t="n">
        <f aca="false">[1]ВИБУЛО2!O3</f>
        <v>0</v>
      </c>
      <c r="AN11" s="97" t="n">
        <f aca="false">AN10-AM11+AL11</f>
        <v>0</v>
      </c>
      <c r="AO11" s="95" t="n">
        <f aca="false">[1]НАДІЙШЛО2!P3</f>
        <v>0</v>
      </c>
      <c r="AP11" s="96" t="n">
        <f aca="false">[1]ВИБУЛО2!P3</f>
        <v>0</v>
      </c>
      <c r="AQ11" s="97" t="n">
        <f aca="false">AQ10-AP11+AO11</f>
        <v>0</v>
      </c>
      <c r="AR11" s="95" t="n">
        <f aca="false">[1]НАДІЙШЛО2!Q3</f>
        <v>0</v>
      </c>
      <c r="AS11" s="96" t="n">
        <f aca="false">[1]ВИБУЛО2!Q3</f>
        <v>0</v>
      </c>
      <c r="AT11" s="97" t="n">
        <f aca="false">AT10-AS11+AR11</f>
        <v>0</v>
      </c>
      <c r="AU11" s="95" t="n">
        <f aca="false">[1]НАДІЙШЛО2!R3</f>
        <v>0</v>
      </c>
      <c r="AV11" s="96" t="n">
        <f aca="false">[1]ВИБУЛО2!R3</f>
        <v>0</v>
      </c>
      <c r="AW11" s="97" t="n">
        <f aca="false">AW10-AV11+AU11</f>
        <v>0</v>
      </c>
      <c r="AX11" s="95" t="n">
        <f aca="false">[1]НАДІЙШЛО2!S3</f>
        <v>0</v>
      </c>
      <c r="AY11" s="96" t="n">
        <f aca="false">[1]ВИБУЛО2!S3</f>
        <v>0</v>
      </c>
      <c r="AZ11" s="97" t="n">
        <f aca="false">AZ10-AY11+AX11</f>
        <v>0</v>
      </c>
      <c r="BA11" s="95" t="n">
        <f aca="false">[1]НАДІЙШЛО2!T3</f>
        <v>0</v>
      </c>
      <c r="BB11" s="96" t="n">
        <f aca="false">[1]ВИБУЛО2!T3</f>
        <v>0</v>
      </c>
      <c r="BC11" s="97" t="n">
        <f aca="false">BC10-BB11+BA11</f>
        <v>0</v>
      </c>
      <c r="BD11" s="95" t="n">
        <f aca="false">[1]НАДІЙШЛО2!U3</f>
        <v>0</v>
      </c>
      <c r="BE11" s="96" t="n">
        <f aca="false">[1]ВИБУЛО2!U3</f>
        <v>0</v>
      </c>
      <c r="BF11" s="97" t="n">
        <f aca="false">BF10-BE11+BD11</f>
        <v>0</v>
      </c>
      <c r="BG11" s="95" t="n">
        <f aca="false">[1]НАДІЙШЛО2!V3</f>
        <v>0</v>
      </c>
      <c r="BH11" s="96" t="n">
        <f aca="false">[1]ВИБУЛО2!V3</f>
        <v>0</v>
      </c>
      <c r="BI11" s="97" t="n">
        <f aca="false">BI10-BH11+BG11</f>
        <v>0</v>
      </c>
      <c r="BJ11" s="95" t="n">
        <f aca="false">[1]НАДІЙШЛО2!W3</f>
        <v>0</v>
      </c>
      <c r="BK11" s="96" t="n">
        <f aca="false">[1]ВИБУЛО2!W3</f>
        <v>0</v>
      </c>
      <c r="BL11" s="97" t="n">
        <f aca="false">BL10-BK11+BJ11</f>
        <v>0</v>
      </c>
      <c r="BM11" s="95" t="n">
        <f aca="false">[1]НАДІЙШЛО2!X3</f>
        <v>0</v>
      </c>
      <c r="BN11" s="96" t="n">
        <f aca="false">[1]ВИБУЛО2!X3</f>
        <v>0</v>
      </c>
      <c r="BO11" s="97" t="n">
        <f aca="false">BO10-BN11+BM11</f>
        <v>0</v>
      </c>
      <c r="BP11" s="95" t="n">
        <f aca="false">[1]НАДІЙШЛО2!Y3</f>
        <v>0</v>
      </c>
      <c r="BQ11" s="96" t="n">
        <f aca="false">[1]ВИБУЛО2!Y3</f>
        <v>0</v>
      </c>
      <c r="BR11" s="97" t="n">
        <f aca="false">BR10-BQ11+BP11</f>
        <v>0</v>
      </c>
      <c r="BS11" s="95" t="n">
        <f aca="false">[1]НАДІЙШЛО2!Z3</f>
        <v>0</v>
      </c>
      <c r="BT11" s="96" t="n">
        <f aca="false">[1]ВИБУЛО2!Z3</f>
        <v>0</v>
      </c>
      <c r="BU11" s="97" t="n">
        <f aca="false">BU10-BT11+BS11</f>
        <v>0</v>
      </c>
      <c r="BV11" s="95" t="n">
        <f aca="false">[1]НАДІЙШЛО2!AA3</f>
        <v>0</v>
      </c>
      <c r="BW11" s="96" t="n">
        <f aca="false">[1]ВИБУЛО2!AA3</f>
        <v>0</v>
      </c>
      <c r="BX11" s="97" t="n">
        <f aca="false">BX10-BW11+BV11</f>
        <v>0</v>
      </c>
      <c r="BY11" s="95" t="n">
        <f aca="false">[1]НАДІЙШЛО2!AB3</f>
        <v>0</v>
      </c>
      <c r="BZ11" s="96" t="n">
        <f aca="false">[1]ВИБУЛО2!AB3</f>
        <v>0</v>
      </c>
      <c r="CA11" s="97" t="n">
        <f aca="false">CA10-BZ11+BY11</f>
        <v>0</v>
      </c>
      <c r="CB11" s="95" t="n">
        <f aca="false">[1]НАДІЙШЛО2!AC3</f>
        <v>0</v>
      </c>
      <c r="CC11" s="96" t="n">
        <f aca="false">[1]ВИБУЛО2!AC3</f>
        <v>0</v>
      </c>
      <c r="CD11" s="97" t="n">
        <f aca="false">CD10-CC11+CB11</f>
        <v>0</v>
      </c>
      <c r="CE11" s="95" t="n">
        <f aca="false">[1]НАДІЙШЛО2!AD3</f>
        <v>0</v>
      </c>
      <c r="CF11" s="96" t="n">
        <f aca="false">[1]ВИБУЛО2!AD3</f>
        <v>0</v>
      </c>
      <c r="CG11" s="97" t="n">
        <f aca="false">CG10-CF11+CE11</f>
        <v>0</v>
      </c>
      <c r="CH11" s="95" t="n">
        <f aca="false">[1]НАДІЙШЛО2!AE3</f>
        <v>0</v>
      </c>
      <c r="CI11" s="96" t="n">
        <f aca="false">[1]ВИБУЛО2!AE3</f>
        <v>0</v>
      </c>
      <c r="CJ11" s="97" t="n">
        <f aca="false">CJ10-CI11+CH11</f>
        <v>0</v>
      </c>
      <c r="CK11" s="95" t="n">
        <f aca="false">[1]НАДІЙШЛО2!AF3</f>
        <v>0</v>
      </c>
      <c r="CL11" s="96" t="n">
        <f aca="false">[1]ВИБУЛО2!AF3</f>
        <v>0</v>
      </c>
      <c r="CM11" s="97" t="n">
        <f aca="false">CM10-CL11+CK11</f>
        <v>0</v>
      </c>
      <c r="CN11" s="95" t="n">
        <f aca="false">[1]НАДІЙШЛО2!AG3</f>
        <v>0</v>
      </c>
      <c r="CO11" s="96" t="n">
        <f aca="false">[1]ВИБУЛО2!AG3</f>
        <v>0</v>
      </c>
      <c r="CP11" s="97" t="n">
        <f aca="false">CP10-CO11+CN11</f>
        <v>0</v>
      </c>
      <c r="CQ11" s="95" t="n">
        <f aca="false">[1]НАДІЙШЛО2!AH3</f>
        <v>0</v>
      </c>
      <c r="CR11" s="96" t="n">
        <f aca="false">[1]ВИБУЛО2!AH3</f>
        <v>0</v>
      </c>
      <c r="CS11" s="97" t="n">
        <f aca="false">CS10-CR11+CQ11</f>
        <v>0</v>
      </c>
      <c r="CT11" s="95" t="n">
        <f aca="false">[1]НАДІЙШЛО2!AI3</f>
        <v>0</v>
      </c>
      <c r="CU11" s="96" t="n">
        <f aca="false">[1]ВИБУЛО2!AI3</f>
        <v>0</v>
      </c>
      <c r="CV11" s="97" t="n">
        <f aca="false">CV10-CU11+CT11</f>
        <v>0</v>
      </c>
      <c r="CW11" s="95" t="n">
        <f aca="false">[1]НАДІЙШЛО2!AJ3</f>
        <v>0</v>
      </c>
      <c r="CX11" s="96" t="n">
        <f aca="false">[1]ВИБУЛО2!AJ3</f>
        <v>0</v>
      </c>
      <c r="CY11" s="97" t="n">
        <f aca="false">CY10-CX11+CW11</f>
        <v>0</v>
      </c>
      <c r="CZ11" s="95" t="n">
        <f aca="false">[1]НАДІЙШЛО2!AK3</f>
        <v>0</v>
      </c>
      <c r="DA11" s="96" t="n">
        <f aca="false">[1]ВИБУЛО2!AK3</f>
        <v>0</v>
      </c>
      <c r="DB11" s="97" t="n">
        <f aca="false">DB10-DA11+CZ11</f>
        <v>0</v>
      </c>
      <c r="DC11" s="95" t="n">
        <f aca="false">[1]НАДІЙШЛО2!AL3</f>
        <v>0</v>
      </c>
      <c r="DD11" s="96" t="n">
        <f aca="false">[1]ВИБУЛО2!AL3</f>
        <v>0</v>
      </c>
      <c r="DE11" s="97" t="n">
        <f aca="false">DE10-DD11+DC11</f>
        <v>0</v>
      </c>
      <c r="DF11" s="95" t="n">
        <f aca="false">[1]НАДІЙШЛО2!AM3</f>
        <v>0</v>
      </c>
      <c r="DG11" s="96" t="n">
        <f aca="false">[1]ВИБУЛО2!AM3</f>
        <v>0</v>
      </c>
      <c r="DH11" s="97" t="n">
        <f aca="false">DH10-DG11+DF11</f>
        <v>0</v>
      </c>
      <c r="DI11" s="95" t="n">
        <f aca="false">[1]НАДІЙШЛО2!AN3</f>
        <v>0</v>
      </c>
      <c r="DJ11" s="96" t="n">
        <f aca="false">[1]ВИБУЛО2!AN3</f>
        <v>0</v>
      </c>
      <c r="DK11" s="97" t="n">
        <f aca="false">DK10-DJ11+DI11</f>
        <v>0</v>
      </c>
      <c r="DL11" s="95" t="n">
        <f aca="false">[1]НАДІЙШЛО2!AO3</f>
        <v>0</v>
      </c>
      <c r="DM11" s="96" t="n">
        <f aca="false">[1]ВИБУЛО2!AO3</f>
        <v>0</v>
      </c>
      <c r="DN11" s="97" t="n">
        <f aca="false">DN10-DM11+DL11</f>
        <v>0</v>
      </c>
      <c r="DO11" s="95" t="n">
        <f aca="false">[1]НАДІЙШЛО2!AP3</f>
        <v>0</v>
      </c>
      <c r="DP11" s="96" t="n">
        <f aca="false">[1]ВИБУЛО2!AP3</f>
        <v>0</v>
      </c>
      <c r="DQ11" s="97" t="n">
        <f aca="false">DQ10-DP11+DO11</f>
        <v>0</v>
      </c>
      <c r="DR11" s="95" t="n">
        <f aca="false">[1]НАДІЙШЛО2!AQ3</f>
        <v>0</v>
      </c>
      <c r="DS11" s="96" t="n">
        <f aca="false">[1]ВИБУЛО2!AQ3</f>
        <v>0</v>
      </c>
      <c r="DT11" s="97" t="n">
        <f aca="false">DT10-DS11+DR11</f>
        <v>0</v>
      </c>
      <c r="DU11" s="95" t="n">
        <f aca="false">[1]НАДІЙШЛО2!AR3</f>
        <v>0</v>
      </c>
      <c r="DV11" s="96" t="n">
        <f aca="false">[1]ВИБУЛО2!AR3</f>
        <v>0</v>
      </c>
      <c r="DW11" s="97" t="n">
        <f aca="false">DW10-DV11+DU11</f>
        <v>0</v>
      </c>
      <c r="DX11" s="95" t="n">
        <f aca="false">[1]НАДІЙШЛО2!AS3</f>
        <v>0</v>
      </c>
      <c r="DY11" s="96" t="n">
        <f aca="false">[1]ВИБУЛО2!AS3</f>
        <v>0</v>
      </c>
      <c r="DZ11" s="97" t="n">
        <f aca="false">DZ10-DY11+DX11</f>
        <v>0</v>
      </c>
      <c r="EA11" s="95" t="n">
        <f aca="false">[1]НАДІЙШЛО2!AT3</f>
        <v>0</v>
      </c>
      <c r="EB11" s="96" t="n">
        <f aca="false">[1]ВИБУЛО2!AT3</f>
        <v>0</v>
      </c>
      <c r="EC11" s="97" t="n">
        <f aca="false">EC10-EB11+EA11</f>
        <v>0</v>
      </c>
      <c r="ED11" s="95" t="n">
        <f aca="false">[1]НАДІЙШЛО2!AU3</f>
        <v>0</v>
      </c>
      <c r="EE11" s="96" t="n">
        <f aca="false">[1]ВИБУЛО2!AU3</f>
        <v>0</v>
      </c>
      <c r="EF11" s="97" t="n">
        <f aca="false">EF10-EE11+ED11</f>
        <v>0</v>
      </c>
      <c r="EG11" s="95" t="n">
        <f aca="false">[1]НАДІЙШЛО2!AV3</f>
        <v>0</v>
      </c>
      <c r="EH11" s="96" t="n">
        <f aca="false">[1]ВИБУЛО2!AV3</f>
        <v>0</v>
      </c>
      <c r="EI11" s="97" t="n">
        <f aca="false">EI10-EH11+EG11</f>
        <v>0</v>
      </c>
      <c r="EJ11" s="95" t="n">
        <f aca="false">[1]НАДІЙШЛО2!AW3</f>
        <v>0</v>
      </c>
      <c r="EK11" s="96" t="n">
        <f aca="false">[1]ВИБУЛО2!AW3</f>
        <v>0</v>
      </c>
      <c r="EL11" s="97" t="n">
        <f aca="false">EL10-EK11+EJ11</f>
        <v>0</v>
      </c>
      <c r="EM11" s="95" t="n">
        <f aca="false">[1]НАДІЙШЛО2!AX3</f>
        <v>0</v>
      </c>
      <c r="EN11" s="96" t="n">
        <f aca="false">[1]ВИБУЛО2!AX3</f>
        <v>0</v>
      </c>
      <c r="EO11" s="97" t="n">
        <f aca="false">EO10-EN11+EM11</f>
        <v>0</v>
      </c>
      <c r="EP11" s="95" t="n">
        <f aca="false">[1]НАДІЙШЛО2!AY3</f>
        <v>0</v>
      </c>
      <c r="EQ11" s="96" t="n">
        <f aca="false">[1]ВИБУЛО2!AY3</f>
        <v>0</v>
      </c>
      <c r="ER11" s="97" t="n">
        <f aca="false">ER10-EQ11+EP11</f>
        <v>0</v>
      </c>
      <c r="ES11" s="95" t="n">
        <f aca="false">[1]НАДІЙШЛО2!AZ3</f>
        <v>0</v>
      </c>
      <c r="ET11" s="96" t="n">
        <f aca="false">[1]ВИБУЛО2!AZ3</f>
        <v>0</v>
      </c>
      <c r="EU11" s="97" t="n">
        <f aca="false">EU10-ET11+ES11</f>
        <v>0</v>
      </c>
      <c r="EV11" s="95" t="n">
        <f aca="false">[1]НАДІЙШЛО2!BA3</f>
        <v>0</v>
      </c>
      <c r="EW11" s="96" t="n">
        <f aca="false">[1]ВИБУЛО2!BA3</f>
        <v>0</v>
      </c>
      <c r="EX11" s="97" t="n">
        <f aca="false">EX10-EW11+EV11</f>
        <v>0</v>
      </c>
      <c r="EY11" s="95" t="n">
        <f aca="false">[1]НАДІЙШЛО2!BB3</f>
        <v>0</v>
      </c>
      <c r="EZ11" s="96" t="n">
        <f aca="false">[1]ВИБУЛО2!BB3</f>
        <v>0</v>
      </c>
      <c r="FA11" s="97" t="n">
        <f aca="false">FA10-EZ11+EY11</f>
        <v>0</v>
      </c>
      <c r="FB11" s="95" t="n">
        <f aca="false">[1]НАДІЙШЛО2!BC3</f>
        <v>0</v>
      </c>
      <c r="FC11" s="96" t="n">
        <f aca="false">[1]ВИБУЛО2!BC3</f>
        <v>0</v>
      </c>
      <c r="FD11" s="97" t="n">
        <f aca="false">FD10-FC11+FB11</f>
        <v>0</v>
      </c>
      <c r="FE11" s="95" t="n">
        <f aca="false">[1]НАДІЙШЛО2!BD3</f>
        <v>0</v>
      </c>
      <c r="FF11" s="96" t="n">
        <f aca="false">[1]ВИБУЛО2!BD3</f>
        <v>0</v>
      </c>
      <c r="FG11" s="97" t="n">
        <f aca="false">FG10-FF11+FE11</f>
        <v>0</v>
      </c>
      <c r="FH11" s="95" t="n">
        <f aca="false">[1]НАДІЙШЛО2!BE3</f>
        <v>0</v>
      </c>
      <c r="FI11" s="96" t="n">
        <f aca="false">[1]ВИБУЛО2!BE3</f>
        <v>0</v>
      </c>
      <c r="FJ11" s="97" t="n">
        <f aca="false">FJ10-FI11+FH11</f>
        <v>0</v>
      </c>
      <c r="FK11" s="95" t="n">
        <f aca="false">[1]НАДІЙШЛО2!BF3</f>
        <v>0</v>
      </c>
      <c r="FL11" s="96" t="n">
        <f aca="false">[1]ВИБУЛО2!BF3</f>
        <v>0</v>
      </c>
      <c r="FM11" s="97" t="n">
        <f aca="false">FM10-FL11+FK11</f>
        <v>0</v>
      </c>
      <c r="FN11" s="95" t="n">
        <f aca="false">[1]НАДІЙШЛО2!BG3</f>
        <v>0</v>
      </c>
      <c r="FO11" s="96" t="n">
        <f aca="false">[1]ВИБУЛО2!BG3</f>
        <v>0</v>
      </c>
      <c r="FP11" s="97" t="n">
        <f aca="false">FP10-FO11+FN11</f>
        <v>0</v>
      </c>
      <c r="FQ11" s="95" t="n">
        <f aca="false">[1]НАДІЙШЛО2!BH3</f>
        <v>0</v>
      </c>
      <c r="FR11" s="96" t="n">
        <f aca="false">[1]ВИБУЛО2!BH3</f>
        <v>0</v>
      </c>
      <c r="FS11" s="97" t="n">
        <f aca="false">FS10-FR11+FQ11</f>
        <v>0</v>
      </c>
      <c r="FT11" s="95" t="n">
        <f aca="false">[1]НАДІЙШЛО2!BI3</f>
        <v>0</v>
      </c>
      <c r="FU11" s="96" t="n">
        <f aca="false">[1]ВИБУЛО2!BI3</f>
        <v>0</v>
      </c>
      <c r="FV11" s="97" t="n">
        <f aca="false">FV10-FU11+FT11</f>
        <v>0</v>
      </c>
      <c r="FW11" s="95" t="n">
        <f aca="false">[1]НАДІЙШЛО2!BJ3</f>
        <v>0</v>
      </c>
      <c r="FX11" s="96" t="n">
        <f aca="false">[1]ВИБУЛО2!BJ3</f>
        <v>0</v>
      </c>
      <c r="FY11" s="97" t="n">
        <f aca="false">FY10-FX11+FW11</f>
        <v>0</v>
      </c>
      <c r="FZ11" s="95" t="n">
        <f aca="false">[1]НАДІЙШЛО2!BK3</f>
        <v>0</v>
      </c>
      <c r="GA11" s="96" t="n">
        <f aca="false">[1]ВИБУЛО2!BK3</f>
        <v>0</v>
      </c>
      <c r="GB11" s="97" t="n">
        <f aca="false">GB10-GA11+FZ11</f>
        <v>0</v>
      </c>
      <c r="GC11" s="95" t="n">
        <f aca="false">[1]НАДІЙШЛО2!BL3</f>
        <v>0</v>
      </c>
      <c r="GD11" s="96" t="n">
        <f aca="false">[1]ВИБУЛО2!BL3</f>
        <v>0</v>
      </c>
      <c r="GE11" s="97" t="n">
        <f aca="false">GE10-GD11+GC11</f>
        <v>0</v>
      </c>
      <c r="GF11" s="95" t="n">
        <f aca="false">[1]НАДІЙШЛО2!BM3</f>
        <v>0</v>
      </c>
      <c r="GG11" s="96" t="n">
        <f aca="false">[1]ВИБУЛО2!BM3</f>
        <v>0</v>
      </c>
      <c r="GH11" s="97" t="n">
        <f aca="false">GH10-GG11+GF11</f>
        <v>0</v>
      </c>
      <c r="GI11" s="95" t="n">
        <f aca="false">[1]НАДІЙШЛО2!BN3</f>
        <v>0</v>
      </c>
      <c r="GJ11" s="96" t="n">
        <f aca="false">[1]ВИБУЛО2!BN3</f>
        <v>0</v>
      </c>
      <c r="GK11" s="97" t="n">
        <f aca="false">GK10-GJ11+GI11</f>
        <v>0</v>
      </c>
      <c r="GL11" s="95" t="n">
        <f aca="false">[1]НАДІЙШЛО2!BO3</f>
        <v>0</v>
      </c>
      <c r="GM11" s="96" t="n">
        <f aca="false">[1]ВИБУЛО2!BO3</f>
        <v>0</v>
      </c>
      <c r="GN11" s="97" t="n">
        <f aca="false">GN10-GM11+GL11</f>
        <v>0</v>
      </c>
      <c r="GO11" s="95" t="n">
        <f aca="false">[1]НАДІЙШЛО2!BP3</f>
        <v>0</v>
      </c>
      <c r="GP11" s="96" t="n">
        <f aca="false">[1]ВИБУЛО2!BP3</f>
        <v>0</v>
      </c>
      <c r="GQ11" s="97" t="n">
        <f aca="false">GQ10-GP11+GO11</f>
        <v>0</v>
      </c>
      <c r="GR11" s="95" t="n">
        <f aca="false">[1]НАДІЙШЛО2!BQ3</f>
        <v>0</v>
      </c>
      <c r="GS11" s="96" t="n">
        <f aca="false">[1]ВИБУЛО2!BQ3</f>
        <v>0</v>
      </c>
      <c r="GT11" s="97" t="n">
        <f aca="false">GT10-GS11+GR11</f>
        <v>0</v>
      </c>
      <c r="GU11" s="95" t="n">
        <f aca="false">[1]НАДІЙШЛО2!BR3</f>
        <v>0</v>
      </c>
      <c r="GV11" s="96" t="n">
        <f aca="false">[1]ВИБУЛО2!BR3</f>
        <v>0</v>
      </c>
      <c r="GW11" s="97" t="n">
        <f aca="false">GW10-GV11+GU11</f>
        <v>0</v>
      </c>
      <c r="GX11" s="95" t="n">
        <f aca="false">[1]НАДІЙШЛО2!BS3</f>
        <v>0</v>
      </c>
      <c r="GY11" s="96" t="n">
        <f aca="false">[1]ВИБУЛО2!BS3</f>
        <v>0</v>
      </c>
      <c r="GZ11" s="97" t="n">
        <f aca="false">GZ10-GY11+GX11</f>
        <v>0</v>
      </c>
      <c r="HA11" s="95" t="n">
        <f aca="false">[1]НАДІЙШЛО2!BT3</f>
        <v>0</v>
      </c>
      <c r="HB11" s="96" t="n">
        <f aca="false">[1]ВИБУЛО2!BT3</f>
        <v>0</v>
      </c>
      <c r="HC11" s="97" t="n">
        <f aca="false">HC10-HB11+HA11</f>
        <v>0</v>
      </c>
      <c r="HD11" s="95" t="n">
        <f aca="false">[1]НАДІЙШЛО2!BU3</f>
        <v>0</v>
      </c>
      <c r="HE11" s="96" t="n">
        <f aca="false">[1]ВИБУЛО2!BU3</f>
        <v>0</v>
      </c>
      <c r="HF11" s="97" t="n">
        <f aca="false">HF10-HE11+HD11</f>
        <v>0</v>
      </c>
      <c r="HG11" s="95" t="n">
        <f aca="false">[1]НАДІЙШЛО2!BV3</f>
        <v>0</v>
      </c>
      <c r="HH11" s="96" t="n">
        <f aca="false">[1]ВИБУЛО2!BV3</f>
        <v>0</v>
      </c>
      <c r="HI11" s="97" t="n">
        <f aca="false">HI10-HH11+HG11</f>
        <v>0</v>
      </c>
      <c r="HJ11" s="95" t="n">
        <f aca="false">[1]НАДІЙШЛО2!BW3</f>
        <v>0</v>
      </c>
      <c r="HK11" s="96" t="n">
        <f aca="false">[1]ВИБУЛО2!BW3</f>
        <v>0</v>
      </c>
      <c r="HL11" s="97" t="n">
        <f aca="false">HL10-HK11+HJ11</f>
        <v>0</v>
      </c>
      <c r="HM11" s="95" t="n">
        <f aca="false">[1]НАДІЙШЛО2!BX3</f>
        <v>0</v>
      </c>
      <c r="HN11" s="96" t="n">
        <f aca="false">[1]ВИБУЛО2!BX3</f>
        <v>0</v>
      </c>
      <c r="HO11" s="97" t="n">
        <f aca="false">HO10-HN11+HM11</f>
        <v>0</v>
      </c>
      <c r="HP11" s="95" t="n">
        <f aca="false">[1]НАДІЙШЛО2!BY3</f>
        <v>0</v>
      </c>
      <c r="HQ11" s="96" t="n">
        <f aca="false">[1]ВИБУЛО2!BY3</f>
        <v>0</v>
      </c>
      <c r="HR11" s="97" t="n">
        <f aca="false">HR10-HQ11+HP11</f>
        <v>0</v>
      </c>
      <c r="HS11" s="95" t="n">
        <f aca="false">[1]НАДІЙШЛО2!BZ3</f>
        <v>0</v>
      </c>
      <c r="HT11" s="96" t="n">
        <f aca="false">[1]ВИБУЛО2!BZ3</f>
        <v>0</v>
      </c>
      <c r="HU11" s="97" t="n">
        <f aca="false">HU10-HT11+HS11</f>
        <v>0</v>
      </c>
      <c r="HV11" s="95" t="n">
        <f aca="false">[1]НАДІЙШЛО2!CA3</f>
        <v>0</v>
      </c>
      <c r="HW11" s="96" t="n">
        <f aca="false">[1]ВИБУЛО2!CA3</f>
        <v>0</v>
      </c>
      <c r="HX11" s="97" t="n">
        <f aca="false">HX10-HW11+HV11</f>
        <v>0</v>
      </c>
      <c r="HY11" s="95" t="n">
        <f aca="false">[1]НАДІЙШЛО2!CB3</f>
        <v>0</v>
      </c>
      <c r="HZ11" s="96" t="n">
        <f aca="false">[1]ВИБУЛО2!CB3</f>
        <v>0</v>
      </c>
      <c r="IA11" s="97" t="n">
        <f aca="false">IA10-HZ11+HY11</f>
        <v>0</v>
      </c>
      <c r="IB11" s="95" t="n">
        <f aca="false">[1]НАДІЙШЛО2!CC3</f>
        <v>0</v>
      </c>
      <c r="IC11" s="96" t="n">
        <f aca="false">[1]ВИБУЛО2!CC3</f>
        <v>0</v>
      </c>
      <c r="ID11" s="97" t="n">
        <f aca="false">ID10-IC11+IB11</f>
        <v>0</v>
      </c>
      <c r="IE11" s="95" t="n">
        <f aca="false">[1]НАДІЙШЛО2!CD3</f>
        <v>0</v>
      </c>
      <c r="IF11" s="96" t="n">
        <f aca="false">[1]ВИБУЛО2!CD3</f>
        <v>0</v>
      </c>
      <c r="IG11" s="97" t="n">
        <f aca="false">IG10-IF11+IE11</f>
        <v>0</v>
      </c>
      <c r="IH11" s="95" t="n">
        <f aca="false">[1]НАДІЙШЛО2!CE3</f>
        <v>0</v>
      </c>
      <c r="II11" s="96" t="n">
        <f aca="false">[1]ВИБУЛО2!CE3</f>
        <v>0</v>
      </c>
      <c r="IJ11" s="97" t="n">
        <f aca="false">IJ10-II11+IH11</f>
        <v>0</v>
      </c>
      <c r="IK11" s="95" t="n">
        <f aca="false">[1]НАДІЙШЛО2!CF3</f>
        <v>0</v>
      </c>
      <c r="IL11" s="96" t="n">
        <f aca="false">[1]ВИБУЛО2!CF3</f>
        <v>0</v>
      </c>
      <c r="IM11" s="97" t="n">
        <f aca="false">IM10-IL11+IK11</f>
        <v>0</v>
      </c>
      <c r="IN11" s="95" t="n">
        <f aca="false">[1]НАДІЙШЛО2!CG3</f>
        <v>0</v>
      </c>
      <c r="IO11" s="96" t="n">
        <f aca="false">[1]ВИБУЛО2!CG3</f>
        <v>0</v>
      </c>
      <c r="IP11" s="97" t="n">
        <f aca="false">IP10-IO11+IN11</f>
        <v>0</v>
      </c>
      <c r="IQ11" s="95" t="n">
        <f aca="false">[1]НАДІЙШЛО2!CH3</f>
        <v>0</v>
      </c>
      <c r="IR11" s="96" t="n">
        <f aca="false">[1]ВИБУЛО2!CH3</f>
        <v>0</v>
      </c>
      <c r="IS11" s="97" t="n">
        <f aca="false">IS10-IR11+IQ11</f>
        <v>0</v>
      </c>
      <c r="IT11" s="95" t="n">
        <f aca="false">[1]НАДІЙШЛО2!CI3</f>
        <v>0</v>
      </c>
      <c r="IU11" s="96" t="n">
        <f aca="false">[1]ВИБУЛО2!CI3</f>
        <v>0</v>
      </c>
      <c r="IV11" s="97" t="n">
        <f aca="false">IV10-IU11+IT11</f>
        <v>0</v>
      </c>
      <c r="IW11" s="95" t="n">
        <f aca="false">[1]НАДІЙШЛО2!CJ3</f>
        <v>0</v>
      </c>
      <c r="IX11" s="96" t="n">
        <f aca="false">[1]ВИБУЛО2!CJ3</f>
        <v>0</v>
      </c>
      <c r="IY11" s="97" t="n">
        <f aca="false">IY10-IX11+IW11</f>
        <v>0</v>
      </c>
      <c r="IZ11" s="95" t="n">
        <f aca="false">[1]НАДІЙШЛО2!CK3</f>
        <v>0</v>
      </c>
      <c r="JA11" s="96" t="n">
        <f aca="false">[1]ВИБУЛО2!CK3</f>
        <v>0</v>
      </c>
      <c r="JB11" s="97" t="n">
        <f aca="false">JB10-JA11+IZ11</f>
        <v>0</v>
      </c>
      <c r="JC11" s="95" t="n">
        <f aca="false">[1]НАДІЙШЛО2!CL3</f>
        <v>0</v>
      </c>
      <c r="JD11" s="96" t="n">
        <f aca="false">[1]ВИБУЛО2!CL3</f>
        <v>0</v>
      </c>
      <c r="JE11" s="97" t="n">
        <f aca="false">JE10-JD11+JC11</f>
        <v>0</v>
      </c>
      <c r="JF11" s="95" t="n">
        <f aca="false">[1]НАДІЙШЛО2!CM3</f>
        <v>0</v>
      </c>
      <c r="JG11" s="96" t="n">
        <f aca="false">[1]ВИБУЛО2!CM3</f>
        <v>0</v>
      </c>
      <c r="JH11" s="97" t="n">
        <f aca="false">JH10-JG11+JF11</f>
        <v>0</v>
      </c>
      <c r="JI11" s="95" t="n">
        <f aca="false">[1]НАДІЙШЛО2!CN3</f>
        <v>0</v>
      </c>
      <c r="JJ11" s="96" t="n">
        <f aca="false">[1]ВИБУЛО2!CN3</f>
        <v>0</v>
      </c>
      <c r="JK11" s="97" t="n">
        <f aca="false">JK10-JJ11+JI11</f>
        <v>0</v>
      </c>
      <c r="JL11" s="95" t="n">
        <f aca="false">[1]НАДІЙШЛО2!CO3</f>
        <v>0</v>
      </c>
      <c r="JM11" s="96" t="n">
        <f aca="false">[1]ВИБУЛО2!CO3</f>
        <v>0</v>
      </c>
      <c r="JN11" s="97" t="n">
        <f aca="false">JN10-JM11+JL11</f>
        <v>0</v>
      </c>
      <c r="JO11" s="95" t="n">
        <f aca="false">[1]НАДІЙШЛО2!CP3</f>
        <v>0</v>
      </c>
      <c r="JP11" s="96" t="n">
        <f aca="false">[1]ВИБУЛО2!CP3</f>
        <v>0</v>
      </c>
      <c r="JQ11" s="97" t="n">
        <f aca="false">JQ10-JP11+JO11</f>
        <v>0</v>
      </c>
      <c r="JR11" s="95" t="n">
        <f aca="false">[1]НАДІЙШЛО2!CQ3</f>
        <v>0</v>
      </c>
      <c r="JS11" s="96" t="n">
        <f aca="false">[1]ВИБУЛО2!CQ3</f>
        <v>0</v>
      </c>
      <c r="JT11" s="97" t="n">
        <f aca="false">JT10-JS11+JR11</f>
        <v>0</v>
      </c>
      <c r="JU11" s="95" t="n">
        <f aca="false">[1]НАДІЙШЛО2!CR3</f>
        <v>0</v>
      </c>
      <c r="JV11" s="96" t="n">
        <f aca="false">[1]ВИБУЛО2!CR3</f>
        <v>0</v>
      </c>
      <c r="JW11" s="97" t="n">
        <f aca="false">JW10-JV11+JU11</f>
        <v>0</v>
      </c>
      <c r="JX11" s="95" t="n">
        <f aca="false">[1]НАДІЙШЛО2!CS3</f>
        <v>0</v>
      </c>
      <c r="JY11" s="96" t="n">
        <f aca="false">[1]ВИБУЛО2!CS3</f>
        <v>0</v>
      </c>
      <c r="JZ11" s="97" t="n">
        <f aca="false">JZ10-JY11+JX11</f>
        <v>0</v>
      </c>
      <c r="KA11" s="95" t="n">
        <f aca="false">[1]НАДІЙШЛО2!CT3</f>
        <v>0</v>
      </c>
      <c r="KB11" s="96" t="n">
        <f aca="false">[1]ВИБУЛО2!CT3</f>
        <v>0</v>
      </c>
      <c r="KC11" s="97" t="n">
        <f aca="false">KC10-KB11+KA11</f>
        <v>0</v>
      </c>
      <c r="KD11" s="95" t="n">
        <f aca="false">[1]НАДІЙШЛО2!CU3</f>
        <v>0</v>
      </c>
      <c r="KE11" s="96" t="n">
        <f aca="false">[1]ВИБУЛО2!CU3</f>
        <v>0</v>
      </c>
      <c r="KF11" s="97" t="n">
        <f aca="false">KF10-KE11+KD11</f>
        <v>0</v>
      </c>
      <c r="KG11" s="95" t="n">
        <f aca="false">[1]НАДІЙШЛО2!CV3</f>
        <v>0</v>
      </c>
      <c r="KH11" s="96" t="n">
        <f aca="false">[1]ВИБУЛО2!CV3</f>
        <v>0</v>
      </c>
      <c r="KI11" s="97" t="n">
        <f aca="false">KI10-KH11+KG11</f>
        <v>0</v>
      </c>
      <c r="KJ11" s="95" t="n">
        <f aca="false">[1]НАДІЙШЛО2!CW3</f>
        <v>0</v>
      </c>
      <c r="KK11" s="96" t="n">
        <f aca="false">[1]ВИБУЛО2!CW3</f>
        <v>0</v>
      </c>
      <c r="KL11" s="97" t="n">
        <f aca="false">KL10-KK11+KJ11</f>
        <v>0</v>
      </c>
      <c r="KM11" s="95" t="n">
        <f aca="false">[1]НАДІЙШЛО2!CX3</f>
        <v>0</v>
      </c>
      <c r="KN11" s="96" t="n">
        <f aca="false">[1]ВИБУЛО2!CX3</f>
        <v>0</v>
      </c>
      <c r="KO11" s="97" t="n">
        <f aca="false">KO10-KN11+KM11</f>
        <v>0</v>
      </c>
      <c r="KP11" s="95" t="n">
        <f aca="false">[1]НАДІЙШЛО2!CY3</f>
        <v>0</v>
      </c>
      <c r="KQ11" s="96" t="n">
        <f aca="false">[1]ВИБУЛО2!CY3</f>
        <v>0</v>
      </c>
      <c r="KR11" s="97" t="n">
        <f aca="false">KR10-KQ11+KP11</f>
        <v>0</v>
      </c>
      <c r="KS11" s="95" t="n">
        <f aca="false">[1]НАДІЙШЛО2!CZ3</f>
        <v>0</v>
      </c>
      <c r="KT11" s="96" t="n">
        <f aca="false">[1]ВИБУЛО2!CZ3</f>
        <v>0</v>
      </c>
      <c r="KU11" s="97" t="n">
        <f aca="false">KU10-KT11+KS11</f>
        <v>0</v>
      </c>
      <c r="KV11" s="95" t="n">
        <f aca="false">[1]НАДІЙШЛО2!DA3</f>
        <v>0</v>
      </c>
      <c r="KW11" s="96" t="n">
        <f aca="false">[1]ВИБУЛО2!DA3</f>
        <v>0</v>
      </c>
      <c r="KX11" s="97" t="n">
        <f aca="false">KX10-KW11+KV11</f>
        <v>0</v>
      </c>
      <c r="KY11" s="95" t="n">
        <f aca="false">[1]НАДІЙШЛО2!DB3</f>
        <v>0</v>
      </c>
      <c r="KZ11" s="96" t="n">
        <f aca="false">[1]ВИБУЛО2!DB3</f>
        <v>0</v>
      </c>
      <c r="LA11" s="97" t="n">
        <f aca="false">LA10-KZ11+KY11</f>
        <v>0</v>
      </c>
      <c r="LB11" s="95" t="n">
        <f aca="false">[1]НАДІЙШЛО2!DC3</f>
        <v>0</v>
      </c>
      <c r="LC11" s="96" t="n">
        <f aca="false">[1]ВИБУЛО2!DC3</f>
        <v>0</v>
      </c>
      <c r="LD11" s="97" t="n">
        <f aca="false">LD10-LC11+LB11</f>
        <v>0</v>
      </c>
      <c r="LE11" s="95" t="n">
        <f aca="false">[1]НАДІЙШЛО2!DD3</f>
        <v>0</v>
      </c>
      <c r="LF11" s="96" t="n">
        <f aca="false">[1]ВИБУЛО2!DD3</f>
        <v>0</v>
      </c>
      <c r="LG11" s="97" t="n">
        <f aca="false">LG10-LF11+LE11</f>
        <v>0</v>
      </c>
      <c r="LH11" s="95" t="n">
        <f aca="false">[1]НАДІЙШЛО2!DE3</f>
        <v>0</v>
      </c>
      <c r="LI11" s="96" t="n">
        <f aca="false">[1]ВИБУЛО2!DE3</f>
        <v>0</v>
      </c>
      <c r="LJ11" s="97" t="n">
        <f aca="false">LJ10-LI11+LH11</f>
        <v>0</v>
      </c>
      <c r="LK11" s="95" t="n">
        <f aca="false">[1]НАДІЙШЛО2!DF3</f>
        <v>0</v>
      </c>
      <c r="LL11" s="96" t="n">
        <f aca="false">[1]ВИБУЛО2!DF3</f>
        <v>0</v>
      </c>
      <c r="LM11" s="97" t="n">
        <f aca="false">LM10-LL11+LK11</f>
        <v>0</v>
      </c>
      <c r="LN11" s="95" t="n">
        <f aca="false">[1]НАДІЙШЛО2!DG3</f>
        <v>0</v>
      </c>
      <c r="LO11" s="96" t="n">
        <f aca="false">[1]ВИБУЛО2!DG3</f>
        <v>0</v>
      </c>
      <c r="LP11" s="97" t="n">
        <f aca="false">LP10-LO11+LN11</f>
        <v>0</v>
      </c>
      <c r="LQ11" s="95" t="n">
        <f aca="false">[1]НАДІЙШЛО2!DH3</f>
        <v>0</v>
      </c>
      <c r="LR11" s="96" t="n">
        <f aca="false">[1]ВИБУЛО2!DH3</f>
        <v>0</v>
      </c>
      <c r="LS11" s="97" t="n">
        <f aca="false">LS10-LR11+LQ11</f>
        <v>0</v>
      </c>
      <c r="LT11" s="95" t="n">
        <f aca="false">[1]НАДІЙШЛО2!DI3</f>
        <v>0</v>
      </c>
      <c r="LU11" s="96" t="n">
        <f aca="false">[1]ВИБУЛО2!DI3</f>
        <v>0</v>
      </c>
      <c r="LV11" s="97" t="n">
        <f aca="false">LV10-LU11+LT11</f>
        <v>0</v>
      </c>
      <c r="LW11" s="95" t="n">
        <f aca="false">[1]НАДІЙШЛО2!DJ3</f>
        <v>0</v>
      </c>
      <c r="LX11" s="96" t="n">
        <f aca="false">[1]ВИБУЛО2!DJ3</f>
        <v>0</v>
      </c>
      <c r="LY11" s="97" t="n">
        <f aca="false">LY10-LX11+LW11</f>
        <v>0</v>
      </c>
      <c r="LZ11" s="95" t="n">
        <f aca="false">[1]НАДІЙШЛО2!DK3</f>
        <v>0</v>
      </c>
      <c r="MA11" s="96" t="n">
        <f aca="false">[1]ВИБУЛО2!DK3</f>
        <v>0</v>
      </c>
      <c r="MB11" s="97" t="n">
        <f aca="false">MB10-MA11+LZ11</f>
        <v>0</v>
      </c>
      <c r="MC11" s="95" t="n">
        <f aca="false">[1]НАДІЙШЛО2!DL3</f>
        <v>0</v>
      </c>
      <c r="MD11" s="96" t="n">
        <f aca="false">[1]ВИБУЛО2!DL3</f>
        <v>0</v>
      </c>
      <c r="ME11" s="97" t="n">
        <f aca="false">ME10-MD11+MC11</f>
        <v>0</v>
      </c>
      <c r="MF11" s="95" t="n">
        <f aca="false">[1]НАДІЙШЛО2!DM3</f>
        <v>0</v>
      </c>
      <c r="MG11" s="96" t="n">
        <f aca="false">[1]ВИБУЛО2!DM3</f>
        <v>0</v>
      </c>
      <c r="MH11" s="97" t="n">
        <f aca="false">MH10-MG11+MF11</f>
        <v>0</v>
      </c>
      <c r="MI11" s="95" t="n">
        <f aca="false">[1]НАДІЙШЛО2!DN3</f>
        <v>0</v>
      </c>
      <c r="MJ11" s="96" t="n">
        <f aca="false">[1]ВИБУЛО2!DN3</f>
        <v>0</v>
      </c>
      <c r="MK11" s="97" t="n">
        <f aca="false">MK10-MJ11+MI11</f>
        <v>0</v>
      </c>
      <c r="ML11" s="95" t="n">
        <f aca="false">[1]НАДІЙШЛО2!DO3</f>
        <v>0</v>
      </c>
      <c r="MM11" s="96" t="n">
        <f aca="false">[1]ВИБУЛО2!DO3</f>
        <v>0</v>
      </c>
      <c r="MN11" s="97" t="n">
        <f aca="false">MN10-MM11+ML11</f>
        <v>0</v>
      </c>
      <c r="MO11" s="95" t="n">
        <f aca="false">[1]НАДІЙШЛО2!DP3</f>
        <v>0</v>
      </c>
      <c r="MP11" s="96" t="n">
        <f aca="false">[1]ВИБУЛО2!DP3</f>
        <v>0</v>
      </c>
      <c r="MQ11" s="97" t="n">
        <f aca="false">MQ10-MP11+MO11</f>
        <v>0</v>
      </c>
      <c r="MR11" s="95" t="n">
        <f aca="false">[1]НАДІЙШЛО2!DQ3</f>
        <v>0</v>
      </c>
      <c r="MS11" s="96" t="n">
        <f aca="false">[1]ВИБУЛО2!DQ3</f>
        <v>0</v>
      </c>
      <c r="MT11" s="97" t="n">
        <f aca="false">MT10-MS11+MR11</f>
        <v>0</v>
      </c>
      <c r="MU11" s="95" t="n">
        <f aca="false">[1]НАДІЙШЛО2!DR3</f>
        <v>0</v>
      </c>
      <c r="MV11" s="96" t="n">
        <f aca="false">[1]ВИБУЛО2!DR3</f>
        <v>0</v>
      </c>
      <c r="MW11" s="97" t="n">
        <f aca="false">MW10-MV11+MU11</f>
        <v>0</v>
      </c>
      <c r="MX11" s="95" t="n">
        <f aca="false">[1]НАДІЙШЛО2!DS3</f>
        <v>0</v>
      </c>
      <c r="MY11" s="96" t="n">
        <f aca="false">[1]ВИБУЛО2!DS3</f>
        <v>0</v>
      </c>
      <c r="MZ11" s="97" t="n">
        <f aca="false">MZ10-MY11+MX11</f>
        <v>0</v>
      </c>
      <c r="NA11" s="95" t="n">
        <f aca="false">[1]НАДІЙШЛО2!DT3</f>
        <v>0</v>
      </c>
      <c r="NB11" s="96" t="n">
        <f aca="false">[1]ВИБУЛО2!DT3</f>
        <v>0</v>
      </c>
      <c r="NC11" s="97" t="n">
        <f aca="false">NC10-NB11+NA11</f>
        <v>0</v>
      </c>
      <c r="ND11" s="95" t="n">
        <f aca="false">[1]НАДІЙШЛО2!DU3</f>
        <v>0</v>
      </c>
      <c r="NE11" s="96" t="n">
        <f aca="false">[1]ВИБУЛО2!DU3</f>
        <v>0</v>
      </c>
      <c r="NF11" s="97" t="n">
        <f aca="false">NF10-NE11+ND11</f>
        <v>0</v>
      </c>
      <c r="NG11" s="95" t="n">
        <f aca="false">[1]НАДІЙШЛО2!DV3</f>
        <v>0</v>
      </c>
      <c r="NH11" s="96" t="n">
        <f aca="false">[1]ВИБУЛО2!DV3</f>
        <v>0</v>
      </c>
      <c r="NI11" s="97" t="n">
        <f aca="false">NI10-NH11+NG11</f>
        <v>0</v>
      </c>
      <c r="NJ11" s="95" t="n">
        <f aca="false">[1]НАДІЙШЛО2!DW3</f>
        <v>0</v>
      </c>
      <c r="NK11" s="96" t="n">
        <f aca="false">[1]ВИБУЛО2!DW3</f>
        <v>0</v>
      </c>
      <c r="NL11" s="97" t="n">
        <f aca="false">NL10-NK11+NJ11</f>
        <v>0</v>
      </c>
      <c r="NM11" s="95" t="n">
        <f aca="false">[1]НАДІЙШЛО2!DX3</f>
        <v>0</v>
      </c>
      <c r="NN11" s="96" t="n">
        <f aca="false">[1]ВИБУЛО2!DX3</f>
        <v>0</v>
      </c>
      <c r="NO11" s="97" t="n">
        <f aca="false">NO10-NN11+NM11</f>
        <v>0</v>
      </c>
      <c r="NP11" s="95" t="n">
        <f aca="false">[1]НАДІЙШЛО2!DY3</f>
        <v>0</v>
      </c>
      <c r="NQ11" s="96" t="n">
        <f aca="false">[1]ВИБУЛО2!DY3</f>
        <v>0</v>
      </c>
      <c r="NR11" s="97" t="n">
        <f aca="false">NR10-NQ11+NP11</f>
        <v>0</v>
      </c>
      <c r="NS11" s="95" t="n">
        <f aca="false">[1]НАДІЙШЛО2!DZ3</f>
        <v>0</v>
      </c>
      <c r="NT11" s="96" t="n">
        <f aca="false">[1]ВИБУЛО2!DZ3</f>
        <v>0</v>
      </c>
      <c r="NU11" s="97" t="n">
        <f aca="false">NU10-NT11+NS11</f>
        <v>0</v>
      </c>
      <c r="NV11" s="95" t="n">
        <f aca="false">[1]НАДІЙШЛО2!EA3</f>
        <v>0</v>
      </c>
      <c r="NW11" s="96" t="n">
        <f aca="false">[1]ВИБУЛО2!EA3</f>
        <v>0</v>
      </c>
      <c r="NX11" s="97" t="n">
        <f aca="false">NX10-NW11+NV11</f>
        <v>0</v>
      </c>
      <c r="NY11" s="95" t="n">
        <f aca="false">[1]НАДІЙШЛО2!EB3</f>
        <v>0</v>
      </c>
      <c r="NZ11" s="96" t="n">
        <f aca="false">[1]ВИБУЛО2!EB3</f>
        <v>0</v>
      </c>
      <c r="OA11" s="97" t="n">
        <f aca="false">OA10-NZ11+NY11</f>
        <v>0</v>
      </c>
      <c r="OB11" s="95" t="n">
        <f aca="false">[1]НАДІЙШЛО2!EC3</f>
        <v>0</v>
      </c>
      <c r="OC11" s="96" t="n">
        <f aca="false">[1]ВИБУЛО2!EC3</f>
        <v>0</v>
      </c>
      <c r="OD11" s="97" t="n">
        <f aca="false">OD10-OC11+OB11</f>
        <v>0</v>
      </c>
      <c r="OE11" s="95" t="n">
        <f aca="false">[1]НАДІЙШЛО2!ED3</f>
        <v>0</v>
      </c>
      <c r="OF11" s="96" t="n">
        <f aca="false">[1]ВИБУЛО2!ED3</f>
        <v>0</v>
      </c>
      <c r="OG11" s="97" t="n">
        <f aca="false">OG10-OF11+OE11</f>
        <v>0</v>
      </c>
      <c r="OH11" s="95" t="n">
        <f aca="false">[1]НАДІЙШЛО2!EE3</f>
        <v>0</v>
      </c>
      <c r="OI11" s="96" t="n">
        <f aca="false">[1]ВИБУЛО2!EE3</f>
        <v>0</v>
      </c>
      <c r="OJ11" s="97" t="n">
        <f aca="false">OJ10-OI11+OH11</f>
        <v>0</v>
      </c>
      <c r="OK11" s="95" t="n">
        <f aca="false">[1]НАДІЙШЛО2!EF3</f>
        <v>0</v>
      </c>
      <c r="OL11" s="96" t="n">
        <f aca="false">[1]ВИБУЛО2!EF3</f>
        <v>0</v>
      </c>
      <c r="OM11" s="97" t="n">
        <f aca="false">OM10-OL11+OK11</f>
        <v>0</v>
      </c>
      <c r="ON11" s="95" t="n">
        <f aca="false">[1]НАДІЙШЛО2!EG3</f>
        <v>0</v>
      </c>
      <c r="OO11" s="96" t="n">
        <f aca="false">[1]ВИБУЛО2!EG3</f>
        <v>0</v>
      </c>
      <c r="OP11" s="97" t="n">
        <f aca="false">OP10-OO11+ON11</f>
        <v>0</v>
      </c>
      <c r="OQ11" s="95" t="n">
        <f aca="false">[1]НАДІЙШЛО2!EH3</f>
        <v>0</v>
      </c>
      <c r="OR11" s="96" t="n">
        <f aca="false">[1]ВИБУЛО2!EH3</f>
        <v>0</v>
      </c>
      <c r="OS11" s="97" t="n">
        <f aca="false">OS10-OR11+OQ11</f>
        <v>0</v>
      </c>
      <c r="OT11" s="95" t="n">
        <f aca="false">[1]НАДІЙШЛО2!EI3</f>
        <v>0</v>
      </c>
      <c r="OU11" s="96" t="n">
        <f aca="false">[1]ВИБУЛО2!EI3</f>
        <v>0</v>
      </c>
      <c r="OV11" s="97" t="n">
        <f aca="false">OV10-OU11+OT11</f>
        <v>0</v>
      </c>
      <c r="OW11" s="95" t="n">
        <f aca="false">[1]НАДІЙШЛО2!EJ3</f>
        <v>0</v>
      </c>
      <c r="OX11" s="96" t="n">
        <f aca="false">[1]ВИБУЛО2!EJ3</f>
        <v>0</v>
      </c>
      <c r="OY11" s="97" t="n">
        <f aca="false">OY10-OX11+OW11</f>
        <v>0</v>
      </c>
      <c r="OZ11" s="95" t="n">
        <f aca="false">[1]НАДІЙШЛО2!EK3</f>
        <v>0</v>
      </c>
      <c r="PA11" s="96" t="n">
        <f aca="false">[1]ВИБУЛО2!EK3</f>
        <v>0</v>
      </c>
      <c r="PB11" s="97" t="n">
        <f aca="false">PB10-PA11+OZ11</f>
        <v>0</v>
      </c>
      <c r="PC11" s="95" t="n">
        <f aca="false">[1]НАДІЙШЛО2!EL3</f>
        <v>0</v>
      </c>
      <c r="PD11" s="96" t="n">
        <f aca="false">[1]ВИБУЛО2!EL3</f>
        <v>0</v>
      </c>
      <c r="PE11" s="97" t="n">
        <f aca="false">PE10-PD11+PC11</f>
        <v>0</v>
      </c>
      <c r="PF11" s="95" t="n">
        <f aca="false">[1]НАДІЙШЛО2!EM3</f>
        <v>0</v>
      </c>
      <c r="PG11" s="96" t="n">
        <f aca="false">[1]ВИБУЛО2!EM3</f>
        <v>0</v>
      </c>
      <c r="PH11" s="97" t="n">
        <f aca="false">PH10-PG11+PF11</f>
        <v>0</v>
      </c>
      <c r="PI11" s="95" t="n">
        <f aca="false">[1]НАДІЙШЛО2!EN3</f>
        <v>0</v>
      </c>
      <c r="PJ11" s="96" t="n">
        <f aca="false">[1]ВИБУЛО2!EN3</f>
        <v>0</v>
      </c>
      <c r="PK11" s="97" t="n">
        <f aca="false">PK10-PJ11+PI11</f>
        <v>0</v>
      </c>
      <c r="PL11" s="95" t="n">
        <f aca="false">[1]НАДІЙШЛО2!EO3</f>
        <v>0</v>
      </c>
      <c r="PM11" s="96" t="n">
        <f aca="false">[1]ВИБУЛО2!EO3</f>
        <v>0</v>
      </c>
      <c r="PN11" s="97" t="n">
        <f aca="false">PN10-PM11+PL11</f>
        <v>0</v>
      </c>
      <c r="PO11" s="95" t="n">
        <f aca="false">[1]НАДІЙШЛО2!EP3</f>
        <v>0</v>
      </c>
      <c r="PP11" s="96" t="n">
        <f aca="false">[1]ВИБУЛО2!EP3</f>
        <v>0</v>
      </c>
      <c r="PQ11" s="97" t="n">
        <f aca="false">PQ10-PP11+PO11</f>
        <v>0</v>
      </c>
      <c r="PR11" s="95" t="n">
        <f aca="false">[1]НАДІЙШЛО2!EQ3</f>
        <v>0</v>
      </c>
      <c r="PS11" s="96" t="n">
        <f aca="false">[1]ВИБУЛО2!EQ3</f>
        <v>0</v>
      </c>
      <c r="PT11" s="97" t="n">
        <f aca="false">PT10-PS11+PR11</f>
        <v>0</v>
      </c>
      <c r="PU11" s="95" t="n">
        <f aca="false">[1]НАДІЙШЛО2!ER3</f>
        <v>0</v>
      </c>
      <c r="PV11" s="96" t="n">
        <f aca="false">[1]ВИБУЛО2!ER3</f>
        <v>0</v>
      </c>
      <c r="PW11" s="97" t="n">
        <f aca="false">PW10-PV11+PU11</f>
        <v>0</v>
      </c>
      <c r="PX11" s="95" t="n">
        <f aca="false">[1]НАДІЙШЛО2!ES3</f>
        <v>0</v>
      </c>
      <c r="PY11" s="96" t="n">
        <f aca="false">[1]ВИБУЛО2!ES3</f>
        <v>0</v>
      </c>
      <c r="PZ11" s="97" t="n">
        <f aca="false">PZ10-PY11+PX11</f>
        <v>0</v>
      </c>
      <c r="QA11" s="95" t="n">
        <f aca="false">[1]НАДІЙШЛО2!ET3</f>
        <v>0</v>
      </c>
      <c r="QB11" s="96" t="n">
        <f aca="false">[1]ВИБУЛО2!ET3</f>
        <v>0</v>
      </c>
      <c r="QC11" s="97" t="n">
        <f aca="false">QC10-QB11+QA11</f>
        <v>0</v>
      </c>
      <c r="QD11" s="95" t="n">
        <f aca="false">[1]НАДІЙШЛО2!EU3</f>
        <v>0</v>
      </c>
      <c r="QE11" s="96" t="n">
        <f aca="false">[1]ВИБУЛО2!EU3</f>
        <v>0</v>
      </c>
      <c r="QF11" s="97" t="n">
        <f aca="false">QF10-QE11+QD11</f>
        <v>0</v>
      </c>
      <c r="QG11" s="95" t="n">
        <f aca="false">[1]НАДІЙШЛО2!EV3</f>
        <v>0</v>
      </c>
      <c r="QH11" s="96" t="n">
        <f aca="false">[1]ВИБУЛО2!EV3</f>
        <v>0</v>
      </c>
      <c r="QI11" s="97" t="n">
        <f aca="false">QI10-QH11+QG11</f>
        <v>0</v>
      </c>
      <c r="QJ11" s="95" t="n">
        <f aca="false">[1]НАДІЙШЛО2!EW3</f>
        <v>0</v>
      </c>
      <c r="QK11" s="96" t="n">
        <f aca="false">[1]ВИБУЛО2!EW3</f>
        <v>0</v>
      </c>
      <c r="QL11" s="97" t="n">
        <f aca="false">QL10-QK11+QJ11</f>
        <v>0</v>
      </c>
      <c r="QM11" s="95" t="n">
        <f aca="false">[1]НАДІЙШЛО2!EX3</f>
        <v>0</v>
      </c>
      <c r="QN11" s="96" t="n">
        <f aca="false">[1]ВИБУЛО2!EX3</f>
        <v>0</v>
      </c>
      <c r="QO11" s="97" t="n">
        <f aca="false">QO10-QN11+QM11</f>
        <v>0</v>
      </c>
      <c r="QP11" s="95" t="n">
        <f aca="false">[1]НАДІЙШЛО2!EY3</f>
        <v>0</v>
      </c>
      <c r="QQ11" s="96" t="n">
        <f aca="false">[1]ВИБУЛО2!EY3</f>
        <v>0</v>
      </c>
      <c r="QR11" s="97" t="n">
        <f aca="false">QR10-QQ11+QP11</f>
        <v>0</v>
      </c>
      <c r="QS11" s="95" t="n">
        <f aca="false">[1]НАДІЙШЛО2!EZ3</f>
        <v>0</v>
      </c>
      <c r="QT11" s="96" t="n">
        <f aca="false">[1]ВИБУЛО2!EZ3</f>
        <v>0</v>
      </c>
      <c r="QU11" s="97" t="n">
        <f aca="false">QU10-QT11+QS11</f>
        <v>0</v>
      </c>
      <c r="QV11" s="95" t="n">
        <f aca="false">[1]НАДІЙШЛО2!FA3</f>
        <v>0</v>
      </c>
      <c r="QW11" s="96" t="n">
        <f aca="false">[1]ВИБУЛО2!FA3</f>
        <v>0</v>
      </c>
      <c r="QX11" s="97" t="n">
        <f aca="false">QX10-QW11+QV11</f>
        <v>0</v>
      </c>
      <c r="QY11" s="95" t="n">
        <f aca="false">[1]НАДІЙШЛО2!FB3</f>
        <v>0</v>
      </c>
      <c r="QZ11" s="96" t="n">
        <f aca="false">[1]ВИБУЛО2!FB3</f>
        <v>0</v>
      </c>
      <c r="RA11" s="97" t="n">
        <f aca="false">RA10-QZ11+QY11</f>
        <v>0</v>
      </c>
      <c r="RB11" s="95" t="n">
        <f aca="false">[1]НАДІЙШЛО2!FC3</f>
        <v>0</v>
      </c>
      <c r="RC11" s="96" t="n">
        <f aca="false">[1]ВИБУЛО2!FC3</f>
        <v>0</v>
      </c>
      <c r="RD11" s="97" t="n">
        <f aca="false">RD10-RC11+RB11</f>
        <v>0</v>
      </c>
      <c r="RE11" s="95" t="n">
        <f aca="false">[1]НАДІЙШЛО2!FD3</f>
        <v>0</v>
      </c>
      <c r="RF11" s="96" t="n">
        <f aca="false">[1]ВИБУЛО2!FD3</f>
        <v>0</v>
      </c>
      <c r="RG11" s="97" t="n">
        <f aca="false">RG10-RF11+RE11</f>
        <v>0</v>
      </c>
      <c r="RH11" s="95" t="n">
        <f aca="false">[1]НАДІЙШЛО2!FE3</f>
        <v>0</v>
      </c>
      <c r="RI11" s="96" t="n">
        <f aca="false">[1]ВИБУЛО2!FE3</f>
        <v>0</v>
      </c>
      <c r="RJ11" s="97" t="n">
        <f aca="false">RJ10-RI11+RH11</f>
        <v>0</v>
      </c>
      <c r="RK11" s="95" t="n">
        <f aca="false">[1]НАДІЙШЛО2!FF3</f>
        <v>0</v>
      </c>
      <c r="RL11" s="96" t="n">
        <f aca="false">[1]ВИБУЛО2!FF3</f>
        <v>0</v>
      </c>
      <c r="RM11" s="97" t="n">
        <f aca="false">RM10-RL11+RK11</f>
        <v>0</v>
      </c>
      <c r="RN11" s="95" t="n">
        <f aca="false">[1]НАДІЙШЛО2!FG3</f>
        <v>0</v>
      </c>
      <c r="RO11" s="96" t="n">
        <f aca="false">[1]ВИБУЛО2!FG3</f>
        <v>0</v>
      </c>
      <c r="RP11" s="97" t="n">
        <f aca="false">RP10-RO11+RN11</f>
        <v>0</v>
      </c>
      <c r="RQ11" s="95" t="n">
        <f aca="false">[1]НАДІЙШЛО2!FH3</f>
        <v>0</v>
      </c>
      <c r="RR11" s="96" t="n">
        <f aca="false">[1]ВИБУЛО2!FH3</f>
        <v>0</v>
      </c>
      <c r="RS11" s="97" t="n">
        <f aca="false">RS10-RR11+RQ11</f>
        <v>0</v>
      </c>
      <c r="RT11" s="95" t="n">
        <f aca="false">[1]НАДІЙШЛО2!FI3</f>
        <v>0</v>
      </c>
      <c r="RU11" s="96" t="n">
        <f aca="false">[1]ВИБУЛО2!FI3</f>
        <v>0</v>
      </c>
      <c r="RV11" s="97" t="n">
        <f aca="false">RV10-RU11+RT11</f>
        <v>0</v>
      </c>
      <c r="RW11" s="95" t="n">
        <f aca="false">[1]НАДІЙШЛО2!FJ3</f>
        <v>0</v>
      </c>
      <c r="RX11" s="96" t="n">
        <f aca="false">[1]ВИБУЛО2!FJ3</f>
        <v>0</v>
      </c>
      <c r="RY11" s="97" t="n">
        <f aca="false">RY10-RX11+RW11</f>
        <v>0</v>
      </c>
      <c r="RZ11" s="95" t="n">
        <f aca="false">[1]НАДІЙШЛО2!FK3</f>
        <v>0</v>
      </c>
      <c r="SA11" s="96" t="n">
        <f aca="false">[1]ВИБУЛО2!FK3</f>
        <v>0</v>
      </c>
      <c r="SB11" s="97" t="n">
        <f aca="false">SB10-SA11+RZ11</f>
        <v>0</v>
      </c>
      <c r="SC11" s="95" t="n">
        <f aca="false">[1]НАДІЙШЛО2!FL3</f>
        <v>0</v>
      </c>
      <c r="SD11" s="96" t="n">
        <f aca="false">[1]ВИБУЛО2!FL3</f>
        <v>0</v>
      </c>
      <c r="SE11" s="97" t="n">
        <f aca="false">SE10-SD11+SC11</f>
        <v>0</v>
      </c>
      <c r="SF11" s="95" t="n">
        <f aca="false">[1]НАДІЙШЛО2!FM3</f>
        <v>0</v>
      </c>
      <c r="SG11" s="96" t="n">
        <f aca="false">[1]ВИБУЛО2!FM3</f>
        <v>0</v>
      </c>
      <c r="SH11" s="97" t="n">
        <f aca="false">SH10-SG11+SF11</f>
        <v>0</v>
      </c>
      <c r="SI11" s="95" t="n">
        <f aca="false">[1]НАДІЙШЛО2!FN3</f>
        <v>0</v>
      </c>
      <c r="SJ11" s="96" t="n">
        <f aca="false">[1]ВИБУЛО2!FN3</f>
        <v>0</v>
      </c>
      <c r="SK11" s="97" t="n">
        <f aca="false">SK10-SJ11+SI11</f>
        <v>0</v>
      </c>
      <c r="SL11" s="95" t="n">
        <f aca="false">[1]НАДІЙШЛО2!FO3</f>
        <v>0</v>
      </c>
      <c r="SM11" s="96" t="n">
        <f aca="false">[1]ВИБУЛО2!FO3</f>
        <v>0</v>
      </c>
      <c r="SN11" s="97" t="n">
        <f aca="false">SN10-SM11+SL11</f>
        <v>0</v>
      </c>
      <c r="SO11" s="95" t="n">
        <f aca="false">[1]НАДІЙШЛО2!FP3</f>
        <v>0</v>
      </c>
      <c r="SP11" s="96" t="n">
        <f aca="false">[1]ВИБУЛО2!FP3</f>
        <v>0</v>
      </c>
      <c r="SQ11" s="97" t="n">
        <f aca="false">SQ10-SP11+SO11</f>
        <v>0</v>
      </c>
      <c r="SR11" s="95" t="n">
        <f aca="false">[1]НАДІЙШЛО2!FQ3</f>
        <v>0</v>
      </c>
      <c r="SS11" s="96" t="n">
        <f aca="false">[1]ВИБУЛО2!FQ3</f>
        <v>0</v>
      </c>
      <c r="ST11" s="97" t="n">
        <f aca="false">ST10-SS11+SR11</f>
        <v>0</v>
      </c>
      <c r="SU11" s="95" t="n">
        <f aca="false">[1]НАДІЙШЛО2!FR3</f>
        <v>0</v>
      </c>
      <c r="SV11" s="96" t="n">
        <f aca="false">[1]ВИБУЛО2!FR3</f>
        <v>0</v>
      </c>
      <c r="SW11" s="97" t="n">
        <f aca="false">SW10-SV11+SU11</f>
        <v>0</v>
      </c>
      <c r="SX11" s="95" t="n">
        <f aca="false">[1]НАДІЙШЛО2!FS3</f>
        <v>0</v>
      </c>
      <c r="SY11" s="96" t="n">
        <f aca="false">[1]ВИБУЛО2!FS3</f>
        <v>0</v>
      </c>
      <c r="SZ11" s="97" t="n">
        <f aca="false">SZ10-SY11+SX11</f>
        <v>0</v>
      </c>
      <c r="TA11" s="95" t="n">
        <f aca="false">[1]НАДІЙШЛО2!FT3</f>
        <v>0</v>
      </c>
      <c r="TB11" s="96" t="n">
        <f aca="false">[1]ВИБУЛО2!FT3</f>
        <v>0</v>
      </c>
      <c r="TC11" s="97" t="n">
        <f aca="false">TC10-TB11+TA11</f>
        <v>0</v>
      </c>
      <c r="TD11" s="95" t="n">
        <f aca="false">[1]НАДІЙШЛО2!FU3</f>
        <v>0</v>
      </c>
      <c r="TE11" s="96" t="n">
        <f aca="false">[1]ВИБУЛО2!FU3</f>
        <v>0</v>
      </c>
      <c r="TF11" s="97" t="n">
        <f aca="false">TF10-TE11+TD11</f>
        <v>0</v>
      </c>
      <c r="TG11" s="95" t="n">
        <f aca="false">[1]НАДІЙШЛО2!FV3</f>
        <v>0</v>
      </c>
      <c r="TH11" s="96" t="n">
        <f aca="false">[1]ВИБУЛО2!FV3</f>
        <v>0</v>
      </c>
      <c r="TI11" s="97" t="n">
        <f aca="false">TI10-TH11+TG11</f>
        <v>0</v>
      </c>
      <c r="TJ11" s="95" t="n">
        <f aca="false">[1]НАДІЙШЛО2!FW3</f>
        <v>0</v>
      </c>
      <c r="TK11" s="96" t="n">
        <f aca="false">[1]ВИБУЛО2!FW3</f>
        <v>0</v>
      </c>
      <c r="TL11" s="97" t="n">
        <f aca="false">TL10-TK11+TJ11</f>
        <v>0</v>
      </c>
      <c r="TM11" s="95" t="n">
        <f aca="false">[1]НАДІЙШЛО2!FX3</f>
        <v>0</v>
      </c>
      <c r="TN11" s="96" t="n">
        <f aca="false">[1]ВИБУЛО2!FX3</f>
        <v>0</v>
      </c>
      <c r="TO11" s="97" t="n">
        <f aca="false">TO10-TN11+TM11</f>
        <v>0</v>
      </c>
      <c r="TP11" s="95" t="n">
        <f aca="false">[1]НАДІЙШЛО2!FY3</f>
        <v>0</v>
      </c>
      <c r="TQ11" s="96" t="n">
        <f aca="false">[1]ВИБУЛО2!FY3</f>
        <v>0</v>
      </c>
      <c r="TR11" s="97" t="n">
        <f aca="false">TR10-TQ11+TP11</f>
        <v>0</v>
      </c>
      <c r="TS11" s="95" t="n">
        <f aca="false">[1]НАДІЙШЛО2!FZ3</f>
        <v>0</v>
      </c>
      <c r="TT11" s="96" t="n">
        <f aca="false">[1]ВИБУЛО2!FZ3</f>
        <v>0</v>
      </c>
      <c r="TU11" s="97" t="n">
        <f aca="false">TU10-TT11+TS11</f>
        <v>0</v>
      </c>
      <c r="TV11" s="95" t="n">
        <f aca="false">[1]НАДІЙШЛО2!GA3</f>
        <v>0</v>
      </c>
      <c r="TW11" s="96" t="n">
        <f aca="false">[1]ВИБУЛО2!GA3</f>
        <v>0</v>
      </c>
      <c r="TX11" s="97" t="n">
        <f aca="false">TX10-TW11+TV11</f>
        <v>0</v>
      </c>
      <c r="TY11" s="95" t="n">
        <f aca="false">[1]НАДІЙШЛО2!GB3</f>
        <v>0</v>
      </c>
      <c r="TZ11" s="96" t="n">
        <f aca="false">[1]ВИБУЛО2!GB3</f>
        <v>0</v>
      </c>
      <c r="UA11" s="97" t="n">
        <f aca="false">UA10-TZ11+TY11</f>
        <v>0</v>
      </c>
      <c r="UB11" s="95" t="n">
        <f aca="false">[1]НАДІЙШЛО2!GC3</f>
        <v>0</v>
      </c>
      <c r="UC11" s="96" t="n">
        <f aca="false">[1]ВИБУЛО2!GC3</f>
        <v>0</v>
      </c>
      <c r="UD11" s="97" t="n">
        <f aca="false">UD10-UC11+UB11</f>
        <v>0</v>
      </c>
      <c r="UE11" s="95" t="n">
        <f aca="false">[1]НАДІЙШЛО2!GD3</f>
        <v>0</v>
      </c>
      <c r="UF11" s="96" t="n">
        <f aca="false">[1]ВИБУЛО2!GD3</f>
        <v>0</v>
      </c>
      <c r="UG11" s="97" t="n">
        <f aca="false">UG10-UF11+UE11</f>
        <v>0</v>
      </c>
      <c r="UH11" s="95" t="n">
        <f aca="false">[1]НАДІЙШЛО2!GE3</f>
        <v>0</v>
      </c>
      <c r="UI11" s="96" t="n">
        <f aca="false">[1]ВИБУЛО2!GE3</f>
        <v>0</v>
      </c>
      <c r="UJ11" s="97" t="n">
        <f aca="false">UJ10-UI11+UH11</f>
        <v>0</v>
      </c>
      <c r="UK11" s="95" t="n">
        <f aca="false">[1]НАДІЙШЛО2!GF3</f>
        <v>0</v>
      </c>
      <c r="UL11" s="96" t="n">
        <f aca="false">[1]ВИБУЛО2!GF3</f>
        <v>0</v>
      </c>
      <c r="UM11" s="97" t="n">
        <f aca="false">UM10-UL11+UK11</f>
        <v>0</v>
      </c>
      <c r="UN11" s="95" t="n">
        <f aca="false">[1]НАДІЙШЛО2!GG3</f>
        <v>0</v>
      </c>
      <c r="UO11" s="96" t="n">
        <f aca="false">[1]ВИБУЛО2!GG3</f>
        <v>0</v>
      </c>
      <c r="UP11" s="97" t="n">
        <f aca="false">UP10-UO11+UN11</f>
        <v>0</v>
      </c>
      <c r="UQ11" s="95" t="n">
        <f aca="false">[1]НАДІЙШЛО2!GH3</f>
        <v>0</v>
      </c>
      <c r="UR11" s="96" t="n">
        <f aca="false">[1]ВИБУЛО2!GH3</f>
        <v>0</v>
      </c>
      <c r="US11" s="97" t="n">
        <f aca="false">US10-UR11+UQ11</f>
        <v>0</v>
      </c>
      <c r="UT11" s="95" t="n">
        <f aca="false">[1]НАДІЙШЛО2!GI3</f>
        <v>0</v>
      </c>
      <c r="UU11" s="96" t="n">
        <f aca="false">[1]ВИБУЛО2!GI3</f>
        <v>0</v>
      </c>
      <c r="UV11" s="97" t="n">
        <f aca="false">UV10-UU11+UT11</f>
        <v>0</v>
      </c>
      <c r="UW11" s="95" t="n">
        <f aca="false">[1]НАДІЙШЛО2!GJ3</f>
        <v>0</v>
      </c>
      <c r="UX11" s="96" t="n">
        <f aca="false">[1]ВИБУЛО2!GJ3</f>
        <v>0</v>
      </c>
      <c r="UY11" s="97" t="n">
        <f aca="false">UY10-UX11+UW11</f>
        <v>0</v>
      </c>
      <c r="UZ11" s="95" t="n">
        <f aca="false">[1]НАДІЙШЛО2!GK3</f>
        <v>0</v>
      </c>
      <c r="VA11" s="96" t="n">
        <f aca="false">[1]ВИБУЛО2!GK3</f>
        <v>0</v>
      </c>
      <c r="VB11" s="97" t="n">
        <f aca="false">VB10-VA11+UZ11</f>
        <v>0</v>
      </c>
      <c r="VC11" s="95" t="n">
        <f aca="false">[1]НАДІЙШЛО2!GL3</f>
        <v>0</v>
      </c>
      <c r="VD11" s="96" t="n">
        <f aca="false">[1]ВИБУЛО2!GL3</f>
        <v>0</v>
      </c>
      <c r="VE11" s="97" t="n">
        <f aca="false">VE10-VD11+VC11</f>
        <v>0</v>
      </c>
      <c r="VF11" s="95" t="n">
        <f aca="false">[1]НАДІЙШЛО2!GM3</f>
        <v>0</v>
      </c>
      <c r="VG11" s="96" t="n">
        <f aca="false">[1]ВИБУЛО2!GM3</f>
        <v>0</v>
      </c>
      <c r="VH11" s="97" t="n">
        <f aca="false">VH10-VG11+VF11</f>
        <v>0</v>
      </c>
      <c r="VI11" s="95" t="n">
        <f aca="false">[1]НАДІЙШЛО2!GN3</f>
        <v>0</v>
      </c>
      <c r="VJ11" s="96" t="n">
        <f aca="false">[1]ВИБУЛО2!GN3</f>
        <v>0</v>
      </c>
      <c r="VK11" s="97" t="n">
        <f aca="false">VK10-VJ11+VI11</f>
        <v>0</v>
      </c>
      <c r="VL11" s="95" t="n">
        <f aca="false">[1]НАДІЙШЛО2!GO3</f>
        <v>0</v>
      </c>
      <c r="VM11" s="96" t="n">
        <f aca="false">[1]ВИБУЛО2!GO3</f>
        <v>0</v>
      </c>
      <c r="VN11" s="97" t="n">
        <f aca="false">VN10-VM11+VL11</f>
        <v>0</v>
      </c>
      <c r="VO11" s="95" t="n">
        <f aca="false">[1]НАДІЙШЛО2!GP3</f>
        <v>0</v>
      </c>
      <c r="VP11" s="96" t="n">
        <f aca="false">[1]ВИБУЛО2!GP3</f>
        <v>0</v>
      </c>
      <c r="VQ11" s="97" t="n">
        <f aca="false">VQ10-VP11+VO11</f>
        <v>0</v>
      </c>
      <c r="VR11" s="95" t="n">
        <f aca="false">[1]НАДІЙШЛО2!GQ3</f>
        <v>0</v>
      </c>
      <c r="VS11" s="96" t="n">
        <f aca="false">[1]ВИБУЛО2!GQ3</f>
        <v>0</v>
      </c>
      <c r="VT11" s="97" t="n">
        <f aca="false">VT10-VS11+VR11</f>
        <v>0</v>
      </c>
      <c r="VU11" s="95" t="n">
        <f aca="false">[1]НАДІЙШЛО2!GR3</f>
        <v>0</v>
      </c>
      <c r="VV11" s="96" t="n">
        <f aca="false">[1]ВИБУЛО2!GR3</f>
        <v>0</v>
      </c>
      <c r="VW11" s="97" t="n">
        <f aca="false">VW10-VV11+VU11</f>
        <v>0</v>
      </c>
      <c r="VX11" s="95" t="n">
        <f aca="false">[1]НАДІЙШЛО2!GS3</f>
        <v>0</v>
      </c>
      <c r="VY11" s="96" t="n">
        <f aca="false">[1]ВИБУЛО2!GS3</f>
        <v>0</v>
      </c>
      <c r="VZ11" s="97" t="n">
        <f aca="false">VZ10-VY11+VX11</f>
        <v>0</v>
      </c>
      <c r="WA11" s="95" t="n">
        <f aca="false">[1]НАДІЙШЛО2!GT3</f>
        <v>0</v>
      </c>
      <c r="WB11" s="96" t="n">
        <f aca="false">[1]ВИБУЛО2!GT3</f>
        <v>0</v>
      </c>
      <c r="WC11" s="97" t="n">
        <f aca="false">WC10-WB11+WA11</f>
        <v>0</v>
      </c>
      <c r="WD11" s="95" t="n">
        <f aca="false">[1]НАДІЙШЛО2!GU3</f>
        <v>0</v>
      </c>
      <c r="WE11" s="96" t="n">
        <f aca="false">[1]ВИБУЛО2!GU3</f>
        <v>0</v>
      </c>
      <c r="WF11" s="97" t="n">
        <f aca="false">WF10-WE11+WD11</f>
        <v>0</v>
      </c>
      <c r="WG11" s="95" t="n">
        <f aca="false">[1]НАДІЙШЛО2!GV3</f>
        <v>0</v>
      </c>
      <c r="WH11" s="96" t="n">
        <f aca="false">[1]ВИБУЛО2!GV3</f>
        <v>0</v>
      </c>
      <c r="WI11" s="97" t="n">
        <f aca="false">WI10-WH11+WG11</f>
        <v>0</v>
      </c>
      <c r="WJ11" s="95" t="n">
        <f aca="false">[1]НАДІЙШЛО2!GW3</f>
        <v>0</v>
      </c>
      <c r="WK11" s="96" t="n">
        <f aca="false">[1]ВИБУЛО2!GW3</f>
        <v>0</v>
      </c>
      <c r="WL11" s="97" t="n">
        <f aca="false">WL10-WK11+WJ11</f>
        <v>0</v>
      </c>
      <c r="WM11" s="95" t="n">
        <f aca="false">[1]НАДІЙШЛО2!GX3</f>
        <v>0</v>
      </c>
      <c r="WN11" s="96" t="n">
        <f aca="false">[1]ВИБУЛО2!GX3</f>
        <v>0</v>
      </c>
      <c r="WO11" s="97" t="n">
        <f aca="false">WO10-WN11+WM11</f>
        <v>0</v>
      </c>
      <c r="WP11" s="95" t="n">
        <f aca="false">[1]НАДІЙШЛО2!GY3</f>
        <v>0</v>
      </c>
      <c r="WQ11" s="96" t="n">
        <f aca="false">[1]ВИБУЛО2!GY3</f>
        <v>0</v>
      </c>
      <c r="WR11" s="97" t="n">
        <f aca="false">WR10-WQ11+WP11</f>
        <v>0</v>
      </c>
      <c r="WS11" s="95" t="n">
        <f aca="false">[1]НАДІЙШЛО2!GZ3</f>
        <v>0</v>
      </c>
      <c r="WT11" s="96" t="n">
        <f aca="false">[1]ВИБУЛО2!GZ3</f>
        <v>0</v>
      </c>
      <c r="WU11" s="97" t="n">
        <f aca="false">WU10-WT11+WS11</f>
        <v>0</v>
      </c>
      <c r="WV11" s="95" t="n">
        <f aca="false">[1]НАДІЙШЛО2!HA3</f>
        <v>0</v>
      </c>
      <c r="WW11" s="96" t="n">
        <f aca="false">[1]ВИБУЛО2!HA3</f>
        <v>0</v>
      </c>
      <c r="WX11" s="97" t="n">
        <f aca="false">WX10-WW11+WV11</f>
        <v>0</v>
      </c>
      <c r="WY11" s="95" t="n">
        <f aca="false">[1]НАДІЙШЛО2!HB3</f>
        <v>0</v>
      </c>
      <c r="WZ11" s="96" t="n">
        <f aca="false">[1]ВИБУЛО2!HB3</f>
        <v>0</v>
      </c>
      <c r="XA11" s="97" t="n">
        <f aca="false">XA10-WZ11+WY11</f>
        <v>0</v>
      </c>
      <c r="XB11" s="95" t="n">
        <f aca="false">[1]НАДІЙШЛО2!HC3</f>
        <v>0</v>
      </c>
      <c r="XC11" s="96" t="n">
        <f aca="false">[1]ВИБУЛО2!HC3</f>
        <v>0</v>
      </c>
      <c r="XD11" s="97" t="n">
        <f aca="false">XD10-XC11+XB11</f>
        <v>0</v>
      </c>
      <c r="XE11" s="95" t="n">
        <f aca="false">[1]НАДІЙШЛО2!HD3</f>
        <v>0</v>
      </c>
      <c r="XF11" s="96" t="n">
        <f aca="false">[1]ВИБУЛО2!HD3</f>
        <v>0</v>
      </c>
      <c r="XG11" s="97" t="n">
        <f aca="false">XG10-XF11+XE11</f>
        <v>0</v>
      </c>
      <c r="XH11" s="95" t="n">
        <f aca="false">[1]НАДІЙШЛО2!HE3</f>
        <v>0</v>
      </c>
      <c r="XI11" s="96" t="n">
        <f aca="false">[1]ВИБУЛО2!HE3</f>
        <v>0</v>
      </c>
      <c r="XJ11" s="97" t="n">
        <f aca="false">XJ10-XI11+XH11</f>
        <v>0</v>
      </c>
      <c r="XK11" s="95" t="n">
        <f aca="false">[1]НАДІЙШЛО2!HF3</f>
        <v>0</v>
      </c>
      <c r="XL11" s="96" t="n">
        <f aca="false">[1]ВИБУЛО2!HF3</f>
        <v>0</v>
      </c>
      <c r="XM11" s="97" t="n">
        <f aca="false">XM10-XL11+XK11</f>
        <v>0</v>
      </c>
      <c r="XN11" s="95" t="n">
        <f aca="false">[1]НАДІЙШЛО2!HG3</f>
        <v>0</v>
      </c>
      <c r="XO11" s="96" t="n">
        <f aca="false">[1]ВИБУЛО2!HG3</f>
        <v>0</v>
      </c>
      <c r="XP11" s="97" t="n">
        <f aca="false">XP10-XO11+XN11</f>
        <v>0</v>
      </c>
      <c r="XQ11" s="95" t="n">
        <f aca="false">[1]НАДІЙШЛО2!HH3</f>
        <v>0</v>
      </c>
      <c r="XR11" s="96" t="n">
        <f aca="false">[1]ВИБУЛО2!HH3</f>
        <v>0</v>
      </c>
      <c r="XS11" s="97" t="n">
        <f aca="false">XS10-XR11+XQ11</f>
        <v>0</v>
      </c>
      <c r="XT11" s="95" t="n">
        <f aca="false">[1]НАДІЙШЛО2!HI3</f>
        <v>0</v>
      </c>
      <c r="XU11" s="96" t="n">
        <f aca="false">[1]ВИБУЛО2!HI3</f>
        <v>0</v>
      </c>
      <c r="XV11" s="97" t="n">
        <f aca="false">XV10-XU11+XT11</f>
        <v>0</v>
      </c>
      <c r="XW11" s="95" t="n">
        <f aca="false">[1]НАДІЙШЛО2!HJ3</f>
        <v>0</v>
      </c>
      <c r="XX11" s="96" t="n">
        <f aca="false">[1]ВИБУЛО2!HJ3</f>
        <v>0</v>
      </c>
      <c r="XY11" s="97" t="n">
        <f aca="false">XY10-XX11+XW11</f>
        <v>0</v>
      </c>
      <c r="XZ11" s="95" t="n">
        <f aca="false">[1]НАДІЙШЛО2!HK3</f>
        <v>0</v>
      </c>
      <c r="YA11" s="96" t="n">
        <f aca="false">[1]ВИБУЛО2!HK3</f>
        <v>0</v>
      </c>
      <c r="YB11" s="97" t="n">
        <f aca="false">YB10-YA11+XZ11</f>
        <v>0</v>
      </c>
      <c r="YC11" s="95" t="n">
        <f aca="false">[1]НАДІЙШЛО2!HL3</f>
        <v>0</v>
      </c>
      <c r="YD11" s="96" t="n">
        <f aca="false">[1]ВИБУЛО2!HL3</f>
        <v>0</v>
      </c>
      <c r="YE11" s="97" t="n">
        <f aca="false">YE10-YD11+YC11</f>
        <v>0</v>
      </c>
      <c r="YF11" s="95" t="n">
        <f aca="false">[1]НАДІЙШЛО2!HM3</f>
        <v>0</v>
      </c>
      <c r="YG11" s="96" t="n">
        <f aca="false">[1]ВИБУЛО2!HM3</f>
        <v>0</v>
      </c>
      <c r="YH11" s="97" t="n">
        <f aca="false">YH10-YG11+YF11</f>
        <v>0</v>
      </c>
      <c r="YI11" s="95" t="n">
        <f aca="false">[1]НАДІЙШЛО2!HN3</f>
        <v>0</v>
      </c>
      <c r="YJ11" s="96" t="n">
        <f aca="false">[1]ВИБУЛО2!HN3</f>
        <v>0</v>
      </c>
      <c r="YK11" s="97" t="n">
        <f aca="false">YK10-YJ11+YI11</f>
        <v>0</v>
      </c>
      <c r="YL11" s="95" t="n">
        <f aca="false">[1]НАДІЙШЛО2!HO3</f>
        <v>0</v>
      </c>
      <c r="YM11" s="96" t="n">
        <f aca="false">[1]ВИБУЛО2!HO3</f>
        <v>0</v>
      </c>
      <c r="YN11" s="97" t="n">
        <f aca="false">YN10-YM11+YL11</f>
        <v>0</v>
      </c>
      <c r="YO11" s="95" t="n">
        <f aca="false">[1]НАДІЙШЛО2!HP3</f>
        <v>0</v>
      </c>
      <c r="YP11" s="96" t="n">
        <f aca="false">[1]ВИБУЛО2!HP3</f>
        <v>0</v>
      </c>
      <c r="YQ11" s="97" t="n">
        <f aca="false">YQ10-YP11+YO11</f>
        <v>0</v>
      </c>
      <c r="YR11" s="95" t="n">
        <f aca="false">[1]НАДІЙШЛО2!HQ3</f>
        <v>0</v>
      </c>
      <c r="YS11" s="96" t="n">
        <f aca="false">[1]ВИБУЛО2!HQ3</f>
        <v>0</v>
      </c>
      <c r="YT11" s="97" t="n">
        <f aca="false">YT10-YS11+YR11</f>
        <v>0</v>
      </c>
      <c r="YU11" s="95" t="n">
        <f aca="false">[1]НАДІЙШЛО2!HR3</f>
        <v>0</v>
      </c>
      <c r="YV11" s="96" t="n">
        <f aca="false">[1]ВИБУЛО2!HR3</f>
        <v>0</v>
      </c>
      <c r="YW11" s="97" t="n">
        <f aca="false">YW10-YV11+YU11</f>
        <v>0</v>
      </c>
      <c r="YX11" s="95" t="n">
        <f aca="false">[1]НАДІЙШЛО2!HS3</f>
        <v>0</v>
      </c>
      <c r="YY11" s="96" t="n">
        <f aca="false">[1]ВИБУЛО2!HS3</f>
        <v>0</v>
      </c>
      <c r="YZ11" s="97" t="n">
        <f aca="false">YZ10-YY11+YX11</f>
        <v>0</v>
      </c>
      <c r="ZA11" s="95" t="n">
        <f aca="false">[1]НАДІЙШЛО2!HT3</f>
        <v>0</v>
      </c>
      <c r="ZB11" s="96" t="n">
        <f aca="false">[1]ВИБУЛО2!HT3</f>
        <v>0</v>
      </c>
      <c r="ZC11" s="97" t="n">
        <f aca="false">ZC10-ZB11+ZA11</f>
        <v>0</v>
      </c>
      <c r="ZD11" s="95" t="n">
        <f aca="false">[1]НАДІЙШЛО2!HU3</f>
        <v>0</v>
      </c>
      <c r="ZE11" s="96" t="n">
        <f aca="false">[1]ВИБУЛО2!HU3</f>
        <v>0</v>
      </c>
      <c r="ZF11" s="97" t="n">
        <f aca="false">ZF10-ZE11+ZD11</f>
        <v>0</v>
      </c>
      <c r="ZG11" s="95" t="n">
        <f aca="false">[1]НАДІЙШЛО2!HV3</f>
        <v>0</v>
      </c>
      <c r="ZH11" s="96" t="n">
        <f aca="false">[1]ВИБУЛО2!HV3</f>
        <v>0</v>
      </c>
      <c r="ZI11" s="97" t="n">
        <f aca="false">ZI10-ZH11+ZG11</f>
        <v>0</v>
      </c>
      <c r="ZJ11" s="95" t="n">
        <f aca="false">[1]НАДІЙШЛО2!HW3</f>
        <v>0</v>
      </c>
      <c r="ZK11" s="96" t="n">
        <f aca="false">[1]ВИБУЛО2!HW3</f>
        <v>0</v>
      </c>
      <c r="ZL11" s="97" t="n">
        <f aca="false">ZL10-ZK11+ZJ11</f>
        <v>0</v>
      </c>
      <c r="ZM11" s="95" t="n">
        <f aca="false">[1]НАДІЙШЛО2!HX3</f>
        <v>0</v>
      </c>
      <c r="ZN11" s="96" t="n">
        <f aca="false">[1]ВИБУЛО2!HX3</f>
        <v>0</v>
      </c>
      <c r="ZO11" s="97" t="n">
        <f aca="false">ZO10-ZN11+ZM11</f>
        <v>0</v>
      </c>
      <c r="ZP11" s="95" t="n">
        <f aca="false">[1]НАДІЙШЛО2!HY3</f>
        <v>0</v>
      </c>
      <c r="ZQ11" s="96" t="n">
        <f aca="false">[1]ВИБУЛО2!HY3</f>
        <v>0</v>
      </c>
      <c r="ZR11" s="97" t="n">
        <f aca="false">ZR10-ZQ11+ZP11</f>
        <v>0</v>
      </c>
      <c r="ZS11" s="95" t="n">
        <f aca="false">[1]НАДІЙШЛО2!HZ3</f>
        <v>0</v>
      </c>
      <c r="ZT11" s="96" t="n">
        <f aca="false">[1]ВИБУЛО2!HZ3</f>
        <v>0</v>
      </c>
      <c r="ZU11" s="97" t="n">
        <f aca="false">ZU10-ZT11+ZS11</f>
        <v>0</v>
      </c>
      <c r="ZV11" s="95" t="n">
        <f aca="false">[1]НАДІЙШЛО2!IA3</f>
        <v>0</v>
      </c>
      <c r="ZW11" s="96" t="n">
        <f aca="false">[1]ВИБУЛО2!IA3</f>
        <v>0</v>
      </c>
      <c r="ZX11" s="97" t="n">
        <f aca="false">ZX10-ZW11+ZV11</f>
        <v>0</v>
      </c>
      <c r="ZY11" s="95" t="n">
        <f aca="false">[1]НАДІЙШЛО2!IB3</f>
        <v>0</v>
      </c>
      <c r="ZZ11" s="96" t="n">
        <f aca="false">[1]ВИБУЛО2!IB3</f>
        <v>0</v>
      </c>
      <c r="AAA11" s="97" t="n">
        <f aca="false">AAA10-ZZ11+ZY11</f>
        <v>0</v>
      </c>
      <c r="AAB11" s="95" t="n">
        <f aca="false">[1]НАДІЙШЛО2!IC3</f>
        <v>0</v>
      </c>
      <c r="AAC11" s="96" t="n">
        <f aca="false">[1]ВИБУЛО2!IC3</f>
        <v>0</v>
      </c>
      <c r="AAD11" s="97" t="n">
        <f aca="false">AAD10-AAC11+AAB11</f>
        <v>0</v>
      </c>
      <c r="AAE11" s="95" t="n">
        <f aca="false">[1]НАДІЙШЛО2!ID3</f>
        <v>0</v>
      </c>
      <c r="AAF11" s="96" t="n">
        <f aca="false">[1]ВИБУЛО2!ID3</f>
        <v>0</v>
      </c>
      <c r="AAG11" s="97" t="n">
        <f aca="false">AAG10-AAF11+AAE11</f>
        <v>0</v>
      </c>
      <c r="AAH11" s="95" t="n">
        <f aca="false">[1]НАДІЙШЛО2!IE3</f>
        <v>0</v>
      </c>
      <c r="AAI11" s="96" t="n">
        <f aca="false">[1]ВИБУЛО2!IE3</f>
        <v>0</v>
      </c>
      <c r="AAJ11" s="97" t="n">
        <f aca="false">AAJ10-AAI11+AAH11</f>
        <v>0</v>
      </c>
      <c r="AAK11" s="95" t="n">
        <f aca="false">[1]НАДІЙШЛО2!IF3</f>
        <v>0</v>
      </c>
      <c r="AAL11" s="96" t="n">
        <f aca="false">[1]ВИБУЛО2!IF3</f>
        <v>0</v>
      </c>
      <c r="AAM11" s="97" t="n">
        <f aca="false">AAM10-AAL11+AAK11</f>
        <v>0</v>
      </c>
      <c r="AAN11" s="95" t="n">
        <f aca="false">[1]НАДІЙШЛО2!IG3</f>
        <v>0</v>
      </c>
      <c r="AAO11" s="96" t="n">
        <f aca="false">[1]ВИБУЛО2!IG3</f>
        <v>0</v>
      </c>
      <c r="AAP11" s="97" t="n">
        <f aca="false">AAP10-AAO11+AAN11</f>
        <v>0</v>
      </c>
      <c r="AAQ11" s="95" t="n">
        <f aca="false">[1]НАДІЙШЛО2!IH3</f>
        <v>0</v>
      </c>
      <c r="AAR11" s="96" t="n">
        <f aca="false">[1]ВИБУЛО2!IH3</f>
        <v>0</v>
      </c>
      <c r="AAS11" s="97" t="n">
        <f aca="false">AAS10-AAR11+AAQ11</f>
        <v>0</v>
      </c>
      <c r="AAT11" s="95" t="n">
        <f aca="false">[1]НАДІЙШЛО2!II3</f>
        <v>0</v>
      </c>
      <c r="AAU11" s="96" t="n">
        <f aca="false">[1]ВИБУЛО2!II3</f>
        <v>0</v>
      </c>
      <c r="AAV11" s="97" t="n">
        <f aca="false">AAV10-AAU11+AAT11</f>
        <v>0</v>
      </c>
      <c r="AAW11" s="95" t="n">
        <f aca="false">[1]НАДІЙШЛО2!IJ3</f>
        <v>0</v>
      </c>
      <c r="AAX11" s="96" t="n">
        <f aca="false">[1]ВИБУЛО2!IJ3</f>
        <v>0</v>
      </c>
      <c r="AAY11" s="97" t="n">
        <f aca="false">AAY10-AAX11+AAW11</f>
        <v>0</v>
      </c>
      <c r="AAZ11" s="95" t="n">
        <f aca="false">[1]НАДІЙШЛО2!IK3</f>
        <v>0</v>
      </c>
      <c r="ABA11" s="96" t="n">
        <f aca="false">[1]ВИБУЛО2!IK3</f>
        <v>0</v>
      </c>
      <c r="ABB11" s="97" t="n">
        <f aca="false">ABB10-ABA11+AAZ11</f>
        <v>0</v>
      </c>
      <c r="ABC11" s="95" t="n">
        <f aca="false">[1]НАДІЙШЛО2!IL3</f>
        <v>0</v>
      </c>
      <c r="ABD11" s="96" t="n">
        <f aca="false">[1]ВИБУЛО2!IL3</f>
        <v>0</v>
      </c>
      <c r="ABE11" s="97" t="n">
        <f aca="false">ABE10-ABD11+ABC11</f>
        <v>0</v>
      </c>
      <c r="ABF11" s="95" t="n">
        <f aca="false">[1]НАДІЙШЛО2!IM3</f>
        <v>0</v>
      </c>
      <c r="ABG11" s="96" t="n">
        <f aca="false">[1]ВИБУЛО2!IM3</f>
        <v>0</v>
      </c>
      <c r="ABH11" s="97" t="n">
        <f aca="false">ABH10-ABG11+ABF11</f>
        <v>0</v>
      </c>
      <c r="ABI11" s="95" t="n">
        <f aca="false">[1]НАДІЙШЛО2!IN3</f>
        <v>0</v>
      </c>
      <c r="ABJ11" s="96" t="n">
        <f aca="false">[1]ВИБУЛО2!IN3</f>
        <v>0</v>
      </c>
      <c r="ABK11" s="97" t="n">
        <f aca="false">ABK10-ABJ11+ABI11</f>
        <v>0</v>
      </c>
      <c r="ABL11" s="95" t="n">
        <f aca="false">[1]НАДІЙШЛО2!IO3</f>
        <v>0</v>
      </c>
      <c r="ABM11" s="96" t="n">
        <f aca="false">[1]ВИБУЛО2!IO3</f>
        <v>0</v>
      </c>
      <c r="ABN11" s="97" t="n">
        <f aca="false">ABN10-ABM11+ABL11</f>
        <v>0</v>
      </c>
      <c r="ABO11" s="95" t="n">
        <f aca="false">[1]НАДІЙШЛО2!IP3</f>
        <v>0</v>
      </c>
      <c r="ABP11" s="96" t="n">
        <f aca="false">[1]ВИБУЛО2!IP3</f>
        <v>0</v>
      </c>
      <c r="ABQ11" s="97" t="n">
        <f aca="false">ABQ10-ABP11+ABO11</f>
        <v>0</v>
      </c>
      <c r="ABR11" s="95" t="n">
        <f aca="false">[1]НАДІЙШЛО2!IQ3</f>
        <v>0</v>
      </c>
      <c r="ABS11" s="96" t="n">
        <f aca="false">[1]ВИБУЛО2!IQ3</f>
        <v>0</v>
      </c>
      <c r="ABT11" s="97" t="n">
        <f aca="false">ABT10-ABS11+ABR11</f>
        <v>0</v>
      </c>
      <c r="ABU11" s="95" t="n">
        <f aca="false">[1]НАДІЙШЛО2!IR3</f>
        <v>0</v>
      </c>
      <c r="ABV11" s="96" t="n">
        <f aca="false">[1]ВИБУЛО2!IR3</f>
        <v>0</v>
      </c>
      <c r="ABW11" s="97" t="n">
        <f aca="false">ABW10-ABV11+ABU11</f>
        <v>0</v>
      </c>
      <c r="ABX11" s="95" t="n">
        <f aca="false">[1]НАДІЙШЛО2!IS3</f>
        <v>0</v>
      </c>
      <c r="ABY11" s="96" t="n">
        <f aca="false">[1]ВИБУЛО2!IS3</f>
        <v>0</v>
      </c>
      <c r="ABZ11" s="97" t="n">
        <f aca="false">ABZ10-ABY11+ABX11</f>
        <v>0</v>
      </c>
      <c r="ACA11" s="95" t="n">
        <f aca="false">[1]НАДІЙШЛО2!IT3</f>
        <v>0</v>
      </c>
      <c r="ACB11" s="96" t="n">
        <f aca="false">[1]ВИБУЛО2!IT3</f>
        <v>0</v>
      </c>
      <c r="ACC11" s="97" t="n">
        <f aca="false">ACC10-ACB11+ACA11</f>
        <v>0</v>
      </c>
      <c r="ACD11" s="95" t="n">
        <f aca="false">[1]НАДІЙШЛО2!IU3</f>
        <v>0</v>
      </c>
      <c r="ACE11" s="96" t="n">
        <f aca="false">[1]ВИБУЛО2!IU3</f>
        <v>0</v>
      </c>
      <c r="ACF11" s="97" t="n">
        <f aca="false">ACF10-ACE11+ACD11</f>
        <v>0</v>
      </c>
      <c r="ACG11" s="95" t="n">
        <f aca="false">[1]НАДІЙШЛО2!IV3</f>
        <v>0</v>
      </c>
      <c r="ACH11" s="96" t="n">
        <f aca="false">[1]ВИБУЛО2!IV3</f>
        <v>0</v>
      </c>
      <c r="ACI11" s="97" t="n">
        <f aca="false">ACI10-ACH11+ACG11</f>
        <v>0</v>
      </c>
      <c r="ACJ11" s="95" t="n">
        <f aca="false">[1]НАДІЙШЛО2!IW3</f>
        <v>0</v>
      </c>
      <c r="ACK11" s="96" t="n">
        <f aca="false">[1]ВИБУЛО2!IW3</f>
        <v>0</v>
      </c>
      <c r="ACL11" s="97" t="n">
        <f aca="false">ACL10-ACK11+ACJ11</f>
        <v>0</v>
      </c>
      <c r="ACM11" s="95" t="n">
        <f aca="false">[1]НАДІЙШЛО2!IX3</f>
        <v>0</v>
      </c>
      <c r="ACN11" s="96" t="n">
        <f aca="false">[1]ВИБУЛО2!IX3</f>
        <v>0</v>
      </c>
      <c r="ACO11" s="97" t="n">
        <f aca="false">ACO10-ACN11+ACM11</f>
        <v>0</v>
      </c>
      <c r="ACP11" s="95" t="n">
        <f aca="false">[1]НАДІЙШЛО2!IY3</f>
        <v>0</v>
      </c>
      <c r="ACQ11" s="96" t="n">
        <f aca="false">[1]ВИБУЛО2!IY3</f>
        <v>0</v>
      </c>
      <c r="ACR11" s="97" t="n">
        <f aca="false">ACR10-ACQ11+ACP11</f>
        <v>0</v>
      </c>
      <c r="ACS11" s="95" t="n">
        <f aca="false">[1]НАДІЙШЛО2!IZ3</f>
        <v>0</v>
      </c>
      <c r="ACT11" s="96" t="n">
        <f aca="false">[1]ВИБУЛО2!IZ3</f>
        <v>0</v>
      </c>
      <c r="ACU11" s="97" t="n">
        <f aca="false">ACU10-ACT11+ACS11</f>
        <v>0</v>
      </c>
      <c r="ACV11" s="95" t="n">
        <f aca="false">[1]НАДІЙШЛО2!JA3</f>
        <v>0</v>
      </c>
      <c r="ACW11" s="96" t="n">
        <f aca="false">[1]ВИБУЛО2!JA3</f>
        <v>0</v>
      </c>
      <c r="ACX11" s="97" t="n">
        <f aca="false">ACX10-ACW11+ACV11</f>
        <v>0</v>
      </c>
      <c r="ACY11" s="95" t="n">
        <f aca="false">[1]НАДІЙШЛО2!JB3</f>
        <v>0</v>
      </c>
      <c r="ACZ11" s="96" t="n">
        <f aca="false">[1]ВИБУЛО2!JB3</f>
        <v>0</v>
      </c>
      <c r="ADA11" s="97" t="n">
        <f aca="false">ADA10-ACZ11+ACY11</f>
        <v>0</v>
      </c>
      <c r="ADB11" s="95" t="n">
        <f aca="false">[1]НАДІЙШЛО2!JC3</f>
        <v>0</v>
      </c>
      <c r="ADC11" s="96" t="n">
        <f aca="false">[1]ВИБУЛО2!JC3</f>
        <v>0</v>
      </c>
      <c r="ADD11" s="97" t="n">
        <f aca="false">ADD10-ADC11+ADB11</f>
        <v>0</v>
      </c>
      <c r="ADE11" s="95" t="n">
        <f aca="false">[1]НАДІЙШЛО2!JD3</f>
        <v>0</v>
      </c>
      <c r="ADF11" s="96" t="n">
        <f aca="false">[1]ВИБУЛО2!JD3</f>
        <v>0</v>
      </c>
      <c r="ADG11" s="97" t="n">
        <f aca="false">ADG10-ADF11+ADE11</f>
        <v>0</v>
      </c>
      <c r="ADH11" s="95" t="n">
        <f aca="false">[1]НАДІЙШЛО2!JE3</f>
        <v>0</v>
      </c>
      <c r="ADI11" s="96" t="n">
        <f aca="false">[1]ВИБУЛО2!JE3</f>
        <v>0</v>
      </c>
      <c r="ADJ11" s="97" t="n">
        <f aca="false">ADJ10-ADI11+ADH11</f>
        <v>0</v>
      </c>
      <c r="ADK11" s="95" t="n">
        <f aca="false">[1]НАДІЙШЛО2!JF3</f>
        <v>0</v>
      </c>
      <c r="ADL11" s="96" t="n">
        <f aca="false">[1]ВИБУЛО2!JF3</f>
        <v>0</v>
      </c>
      <c r="ADM11" s="97" t="n">
        <f aca="false">ADM10-ADL11+ADK11</f>
        <v>0</v>
      </c>
      <c r="ADN11" s="95" t="n">
        <f aca="false">[1]НАДІЙШЛО2!JG3</f>
        <v>0</v>
      </c>
      <c r="ADO11" s="96" t="n">
        <f aca="false">[1]ВИБУЛО2!JG3</f>
        <v>0</v>
      </c>
      <c r="ADP11" s="97" t="n">
        <f aca="false">ADP10-ADO11+ADN11</f>
        <v>0</v>
      </c>
      <c r="ADQ11" s="95" t="n">
        <f aca="false">[1]НАДІЙШЛО2!JH3</f>
        <v>0</v>
      </c>
      <c r="ADR11" s="96" t="n">
        <f aca="false">[1]ВИБУЛО2!JH3</f>
        <v>0</v>
      </c>
      <c r="ADS11" s="97" t="n">
        <f aca="false">ADS10-ADR11+ADQ11</f>
        <v>0</v>
      </c>
      <c r="ADT11" s="95" t="n">
        <f aca="false">[1]НАДІЙШЛО2!JI3</f>
        <v>0</v>
      </c>
      <c r="ADU11" s="96" t="n">
        <f aca="false">[1]ВИБУЛО2!JI3</f>
        <v>0</v>
      </c>
      <c r="ADV11" s="97" t="n">
        <f aca="false">ADV10-ADU11+ADT11</f>
        <v>0</v>
      </c>
      <c r="ADW11" s="95" t="n">
        <f aca="false">[1]НАДІЙШЛО2!JJ3</f>
        <v>0</v>
      </c>
      <c r="ADX11" s="96" t="n">
        <f aca="false">[1]ВИБУЛО2!JJ3</f>
        <v>0</v>
      </c>
      <c r="ADY11" s="97" t="n">
        <f aca="false">ADY10-ADX11+ADW11</f>
        <v>0</v>
      </c>
      <c r="ADZ11" s="95" t="n">
        <f aca="false">[1]НАДІЙШЛО2!JK3</f>
        <v>0</v>
      </c>
      <c r="AEA11" s="96" t="n">
        <f aca="false">[1]ВИБУЛО2!JK3</f>
        <v>0</v>
      </c>
      <c r="AEB11" s="97" t="n">
        <f aca="false">AEB10-AEA11+ADZ11</f>
        <v>0</v>
      </c>
      <c r="AEC11" s="95" t="n">
        <f aca="false">[1]НАДІЙШЛО2!JL3</f>
        <v>0</v>
      </c>
      <c r="AED11" s="96" t="n">
        <f aca="false">[1]ВИБУЛО2!JL3</f>
        <v>0</v>
      </c>
      <c r="AEE11" s="97" t="n">
        <f aca="false">AEE10-AED11+AEC11</f>
        <v>0</v>
      </c>
      <c r="AEF11" s="95" t="n">
        <f aca="false">[1]НАДІЙШЛО2!JM3</f>
        <v>0</v>
      </c>
      <c r="AEG11" s="96" t="n">
        <f aca="false">[1]ВИБУЛО2!JM3</f>
        <v>0</v>
      </c>
      <c r="AEH11" s="97" t="n">
        <f aca="false">AEH10-AEG11+AEF11</f>
        <v>0</v>
      </c>
      <c r="AEI11" s="95" t="n">
        <f aca="false">[1]НАДІЙШЛО2!JN3</f>
        <v>0</v>
      </c>
      <c r="AEJ11" s="96" t="n">
        <f aca="false">[1]ВИБУЛО2!JN3</f>
        <v>0</v>
      </c>
      <c r="AEK11" s="97" t="n">
        <f aca="false">AEK10-AEJ11+AEI11</f>
        <v>0</v>
      </c>
      <c r="AEL11" s="95" t="n">
        <f aca="false">[1]НАДІЙШЛО2!JO3</f>
        <v>0</v>
      </c>
      <c r="AEM11" s="96" t="n">
        <f aca="false">[1]ВИБУЛО2!JO3</f>
        <v>0</v>
      </c>
      <c r="AEN11" s="97" t="n">
        <f aca="false">AEN10-AEM11+AEL11</f>
        <v>0</v>
      </c>
      <c r="AEO11" s="95" t="n">
        <f aca="false">[1]НАДІЙШЛО2!JP3</f>
        <v>0</v>
      </c>
      <c r="AEP11" s="96" t="n">
        <f aca="false">[1]ВИБУЛО2!JP3</f>
        <v>0</v>
      </c>
      <c r="AEQ11" s="97" t="n">
        <f aca="false">AEQ10-AEP11+AEO11</f>
        <v>0</v>
      </c>
      <c r="AER11" s="95" t="n">
        <f aca="false">[1]НАДІЙШЛО2!JQ3</f>
        <v>0</v>
      </c>
      <c r="AES11" s="96" t="n">
        <f aca="false">[1]ВИБУЛО2!JQ3</f>
        <v>0</v>
      </c>
      <c r="AET11" s="97" t="n">
        <f aca="false">AET10-AES11+AER11</f>
        <v>0</v>
      </c>
      <c r="AEU11" s="95" t="n">
        <f aca="false">[1]НАДІЙШЛО2!JR3</f>
        <v>0</v>
      </c>
      <c r="AEV11" s="96" t="n">
        <f aca="false">[1]ВИБУЛО2!JR3</f>
        <v>0</v>
      </c>
      <c r="AEW11" s="97" t="n">
        <f aca="false">AEW10-AEV11+AEU11</f>
        <v>0</v>
      </c>
      <c r="AEX11" s="95" t="n">
        <f aca="false">[1]НАДІЙШЛО2!JS3</f>
        <v>0</v>
      </c>
      <c r="AEY11" s="96" t="n">
        <f aca="false">[1]ВИБУЛО2!JS3</f>
        <v>0</v>
      </c>
      <c r="AEZ11" s="97" t="n">
        <f aca="false">AEZ10-AEY11+AEX11</f>
        <v>0</v>
      </c>
      <c r="AFA11" s="95" t="n">
        <f aca="false">[1]НАДІЙШЛО2!JT3</f>
        <v>0</v>
      </c>
      <c r="AFB11" s="96" t="n">
        <f aca="false">[1]ВИБУЛО2!JT3</f>
        <v>0</v>
      </c>
      <c r="AFC11" s="97" t="n">
        <f aca="false">AFC10-AFB11+AFA11</f>
        <v>0</v>
      </c>
      <c r="AFD11" s="95" t="n">
        <f aca="false">[1]НАДІЙШЛО2!JU3</f>
        <v>0</v>
      </c>
      <c r="AFE11" s="96" t="n">
        <f aca="false">[1]ВИБУЛО2!JU3</f>
        <v>0</v>
      </c>
      <c r="AFF11" s="97" t="n">
        <f aca="false">AFF10-AFE11+AFD11</f>
        <v>0</v>
      </c>
      <c r="AFG11" s="95" t="n">
        <f aca="false">[1]НАДІЙШЛО2!JV3</f>
        <v>0</v>
      </c>
      <c r="AFH11" s="96" t="n">
        <f aca="false">[1]ВИБУЛО2!JV3</f>
        <v>0</v>
      </c>
      <c r="AFI11" s="97" t="n">
        <f aca="false">AFI10-AFH11+AFG11</f>
        <v>0</v>
      </c>
      <c r="AFJ11" s="95" t="n">
        <f aca="false">[1]НАДІЙШЛО2!JW3</f>
        <v>0</v>
      </c>
      <c r="AFK11" s="96" t="n">
        <f aca="false">[1]ВИБУЛО2!JW3</f>
        <v>0</v>
      </c>
      <c r="AFL11" s="97" t="n">
        <f aca="false">AFL10-AFK11+AFJ11</f>
        <v>0</v>
      </c>
      <c r="AFM11" s="95" t="n">
        <f aca="false">[1]НАДІЙШЛО2!JX3</f>
        <v>0</v>
      </c>
      <c r="AFN11" s="96" t="n">
        <f aca="false">[1]ВИБУЛО2!JX3</f>
        <v>0</v>
      </c>
      <c r="AFO11" s="97" t="n">
        <f aca="false">AFO10-AFN11+AFM11</f>
        <v>0</v>
      </c>
      <c r="AFP11" s="95" t="n">
        <f aca="false">[1]НАДІЙШЛО2!JY3</f>
        <v>0</v>
      </c>
      <c r="AFQ11" s="96" t="n">
        <f aca="false">[1]ВИБУЛО2!JY3</f>
        <v>0</v>
      </c>
      <c r="AFR11" s="97" t="n">
        <f aca="false">AFR10-AFQ11+AFP11</f>
        <v>0</v>
      </c>
      <c r="AFS11" s="95" t="n">
        <f aca="false">[1]НАДІЙШЛО2!JZ3</f>
        <v>0</v>
      </c>
      <c r="AFT11" s="96" t="n">
        <f aca="false">[1]ВИБУЛО2!JZ3</f>
        <v>0</v>
      </c>
      <c r="AFU11" s="97" t="n">
        <f aca="false">AFU10-AFT11+AFS11</f>
        <v>0</v>
      </c>
      <c r="AFV11" s="95" t="n">
        <f aca="false">[1]НАДІЙШЛО2!KA3</f>
        <v>0</v>
      </c>
      <c r="AFW11" s="96" t="n">
        <f aca="false">[1]ВИБУЛО2!KA3</f>
        <v>0</v>
      </c>
      <c r="AFX11" s="97" t="n">
        <f aca="false">AFX10-AFW11+AFV11</f>
        <v>0</v>
      </c>
      <c r="AFY11" s="95" t="n">
        <f aca="false">[1]НАДІЙШЛО2!KB3</f>
        <v>0</v>
      </c>
      <c r="AFZ11" s="96" t="n">
        <f aca="false">[1]ВИБУЛО2!KB3</f>
        <v>0</v>
      </c>
      <c r="AGA11" s="97" t="n">
        <f aca="false">AGA10-AFZ11+AFY11</f>
        <v>0</v>
      </c>
      <c r="AGB11" s="95" t="n">
        <f aca="false">[1]НАДІЙШЛО2!KC3</f>
        <v>0</v>
      </c>
      <c r="AGC11" s="96" t="n">
        <f aca="false">[1]ВИБУЛО2!KC3</f>
        <v>0</v>
      </c>
      <c r="AGD11" s="97" t="n">
        <f aca="false">AGD10-AGC11+AGB11</f>
        <v>0</v>
      </c>
      <c r="AGE11" s="95" t="n">
        <f aca="false">[1]НАДІЙШЛО2!KD3</f>
        <v>0</v>
      </c>
      <c r="AGF11" s="96" t="n">
        <f aca="false">[1]ВИБУЛО2!KD3</f>
        <v>0</v>
      </c>
      <c r="AGG11" s="97" t="n">
        <f aca="false">AGG10-AGF11+AGE11</f>
        <v>0</v>
      </c>
      <c r="AGH11" s="95" t="n">
        <f aca="false">[1]НАДІЙШЛО2!KE3</f>
        <v>0</v>
      </c>
      <c r="AGI11" s="96" t="n">
        <f aca="false">[1]ВИБУЛО2!KE3</f>
        <v>0</v>
      </c>
      <c r="AGJ11" s="97" t="n">
        <f aca="false">AGJ10-AGI11+AGH11</f>
        <v>0</v>
      </c>
      <c r="AGK11" s="95" t="n">
        <f aca="false">[1]НАДІЙШЛО2!KF3</f>
        <v>0</v>
      </c>
      <c r="AGL11" s="96" t="n">
        <f aca="false">[1]ВИБУЛО2!KF3</f>
        <v>0</v>
      </c>
      <c r="AGM11" s="97" t="n">
        <f aca="false">AGM10-AGL11+AGK11</f>
        <v>0</v>
      </c>
      <c r="AGN11" s="95" t="n">
        <f aca="false">[1]НАДІЙШЛО2!KG3</f>
        <v>0</v>
      </c>
      <c r="AGO11" s="96" t="n">
        <f aca="false">[1]ВИБУЛО2!KG3</f>
        <v>0</v>
      </c>
      <c r="AGP11" s="97" t="n">
        <f aca="false">AGP10-AGO11+AGN11</f>
        <v>0</v>
      </c>
      <c r="AGQ11" s="95" t="n">
        <f aca="false">[1]НАДІЙШЛО2!KH3</f>
        <v>0</v>
      </c>
      <c r="AGR11" s="96" t="n">
        <f aca="false">[1]ВИБУЛО2!KH3</f>
        <v>0</v>
      </c>
      <c r="AGS11" s="97" t="n">
        <f aca="false">AGS10-AGR11+AGQ11</f>
        <v>0</v>
      </c>
      <c r="AGT11" s="95" t="n">
        <f aca="false">[1]НАДІЙШЛО2!KI3</f>
        <v>0</v>
      </c>
      <c r="AGU11" s="96" t="n">
        <f aca="false">[1]ВИБУЛО2!KI3</f>
        <v>0</v>
      </c>
      <c r="AGV11" s="97" t="n">
        <f aca="false">AGV10-AGU11+AGT11</f>
        <v>0</v>
      </c>
      <c r="AGW11" s="95" t="n">
        <f aca="false">[1]НАДІЙШЛО2!KJ3</f>
        <v>0</v>
      </c>
      <c r="AGX11" s="96" t="n">
        <f aca="false">[1]ВИБУЛО2!KJ3</f>
        <v>0</v>
      </c>
      <c r="AGY11" s="97" t="n">
        <f aca="false">AGY10-AGX11+AGW11</f>
        <v>0</v>
      </c>
      <c r="AGZ11" s="95" t="n">
        <f aca="false">[1]НАДІЙШЛО2!KK3</f>
        <v>0</v>
      </c>
      <c r="AHA11" s="96" t="n">
        <f aca="false">[1]ВИБУЛО2!KK3</f>
        <v>0</v>
      </c>
      <c r="AHB11" s="97" t="n">
        <f aca="false">AHB10-AHA11+AGZ11</f>
        <v>0</v>
      </c>
      <c r="AHC11" s="95" t="n">
        <f aca="false">[1]НАДІЙШЛО2!KL3</f>
        <v>0</v>
      </c>
      <c r="AHD11" s="96" t="n">
        <f aca="false">[1]ВИБУЛО2!KL3</f>
        <v>0</v>
      </c>
      <c r="AHE11" s="97" t="n">
        <f aca="false">AHE10-AHD11+AHC11</f>
        <v>0</v>
      </c>
      <c r="AHF11" s="95" t="n">
        <f aca="false">[1]НАДІЙШЛО2!KM3</f>
        <v>0</v>
      </c>
      <c r="AHG11" s="96" t="n">
        <f aca="false">[1]ВИБУЛО2!KM3</f>
        <v>0</v>
      </c>
      <c r="AHH11" s="97" t="n">
        <f aca="false">AHH10-AHG11+AHF11</f>
        <v>0</v>
      </c>
      <c r="AHI11" s="95" t="n">
        <f aca="false">[1]НАДІЙШЛО2!KN3</f>
        <v>0</v>
      </c>
      <c r="AHJ11" s="96" t="n">
        <f aca="false">[1]ВИБУЛО2!KN3</f>
        <v>0</v>
      </c>
      <c r="AHK11" s="97" t="n">
        <f aca="false">AHK10-AHJ11+AHI11</f>
        <v>0</v>
      </c>
      <c r="AHL11" s="95" t="n">
        <f aca="false">[1]НАДІЙШЛО2!KO3</f>
        <v>0</v>
      </c>
      <c r="AHM11" s="96" t="n">
        <f aca="false">[1]ВИБУЛО2!KO3</f>
        <v>0</v>
      </c>
      <c r="AHN11" s="97" t="n">
        <f aca="false">AHN10-AHM11+AHL11</f>
        <v>0</v>
      </c>
      <c r="AHO11" s="95" t="n">
        <f aca="false">[1]НАДІЙШЛО2!KP3</f>
        <v>0</v>
      </c>
      <c r="AHP11" s="96" t="n">
        <f aca="false">[1]ВИБУЛО2!KP3</f>
        <v>0</v>
      </c>
      <c r="AHQ11" s="97" t="n">
        <f aca="false">AHQ10-AHP11+AHO11</f>
        <v>0</v>
      </c>
      <c r="AHR11" s="95" t="n">
        <f aca="false">[1]НАДІЙШЛО2!KQ3</f>
        <v>0</v>
      </c>
      <c r="AHS11" s="96" t="n">
        <f aca="false">[1]ВИБУЛО2!KQ3</f>
        <v>0</v>
      </c>
      <c r="AHT11" s="97" t="n">
        <f aca="false">AHT10-AHS11+AHR11</f>
        <v>0</v>
      </c>
      <c r="AHU11" s="95" t="n">
        <f aca="false">[1]НАДІЙШЛО2!KR3</f>
        <v>0</v>
      </c>
      <c r="AHV11" s="96" t="n">
        <f aca="false">[1]ВИБУЛО2!KR3</f>
        <v>0</v>
      </c>
      <c r="AHW11" s="97" t="n">
        <f aca="false">AHW10-AHV11+AHU11</f>
        <v>0</v>
      </c>
      <c r="AHX11" s="95" t="n">
        <f aca="false">[1]НАДІЙШЛО2!KS3</f>
        <v>0</v>
      </c>
      <c r="AHY11" s="96" t="n">
        <f aca="false">[1]ВИБУЛО2!KS3</f>
        <v>0</v>
      </c>
      <c r="AHZ11" s="97" t="n">
        <f aca="false">AHZ10-AHY11+AHX11</f>
        <v>0</v>
      </c>
      <c r="AIA11" s="95" t="n">
        <f aca="false">[1]НАДІЙШЛО2!KT3</f>
        <v>0</v>
      </c>
      <c r="AIB11" s="96" t="n">
        <f aca="false">[1]ВИБУЛО2!KT3</f>
        <v>0</v>
      </c>
      <c r="AIC11" s="97" t="n">
        <f aca="false">AIC10-AIB11+AIA11</f>
        <v>0</v>
      </c>
      <c r="AID11" s="95" t="n">
        <f aca="false">[1]НАДІЙШЛО2!KU3</f>
        <v>0</v>
      </c>
      <c r="AIE11" s="96" t="n">
        <f aca="false">[1]ВИБУЛО2!KU3</f>
        <v>0</v>
      </c>
      <c r="AIF11" s="97" t="n">
        <f aca="false">AIF10-AIE11+AID11</f>
        <v>0</v>
      </c>
      <c r="AIG11" s="95" t="n">
        <f aca="false">[1]НАДІЙШЛО2!KV3</f>
        <v>0</v>
      </c>
      <c r="AIH11" s="96" t="n">
        <f aca="false">[1]ВИБУЛО2!KV3</f>
        <v>0</v>
      </c>
      <c r="AII11" s="97" t="n">
        <f aca="false">AII10-AIH11+AIG11</f>
        <v>0</v>
      </c>
      <c r="AIJ11" s="95" t="n">
        <f aca="false">[1]НАДІЙШЛО2!KW3</f>
        <v>0</v>
      </c>
      <c r="AIK11" s="96" t="n">
        <f aca="false">[1]ВИБУЛО2!KW3</f>
        <v>0</v>
      </c>
      <c r="AIL11" s="97" t="n">
        <f aca="false">AIL10-AIK11+AIJ11</f>
        <v>0</v>
      </c>
      <c r="AIM11" s="95" t="n">
        <f aca="false">[1]НАДІЙШЛО2!KX3</f>
        <v>0</v>
      </c>
      <c r="AIN11" s="96" t="n">
        <f aca="false">[1]ВИБУЛО2!KX3</f>
        <v>0</v>
      </c>
      <c r="AIO11" s="97" t="n">
        <f aca="false">AIO10-AIN11+AIM11</f>
        <v>0</v>
      </c>
      <c r="AIP11" s="95" t="n">
        <f aca="false">[1]НАДІЙШЛО2!KY3</f>
        <v>0</v>
      </c>
      <c r="AIQ11" s="96" t="n">
        <f aca="false">[1]ВИБУЛО2!KY3</f>
        <v>0</v>
      </c>
      <c r="AIR11" s="97" t="n">
        <f aca="false">AIR10-AIQ11+AIP11</f>
        <v>0</v>
      </c>
      <c r="AIS11" s="95" t="n">
        <f aca="false">[1]НАДІЙШЛО2!KZ3</f>
        <v>0</v>
      </c>
      <c r="AIT11" s="96" t="n">
        <f aca="false">[1]ВИБУЛО2!KZ3</f>
        <v>0</v>
      </c>
      <c r="AIU11" s="97" t="n">
        <f aca="false">AIU10-AIT11+AIS11</f>
        <v>0</v>
      </c>
      <c r="AIV11" s="95" t="n">
        <f aca="false">[1]НАДІЙШЛО2!LA3</f>
        <v>0</v>
      </c>
      <c r="AIW11" s="96" t="n">
        <f aca="false">[1]ВИБУЛО2!LA3</f>
        <v>0</v>
      </c>
      <c r="AIX11" s="97" t="n">
        <f aca="false">AIX10-AIW11+AIV11</f>
        <v>0</v>
      </c>
      <c r="AIY11" s="95" t="n">
        <f aca="false">[1]НАДІЙШЛО2!LB3</f>
        <v>0</v>
      </c>
      <c r="AIZ11" s="96" t="n">
        <f aca="false">[1]ВИБУЛО2!LB3</f>
        <v>0</v>
      </c>
      <c r="AJA11" s="97" t="n">
        <f aca="false">AJA10-AIZ11+AIY11</f>
        <v>0</v>
      </c>
      <c r="AJB11" s="95" t="n">
        <f aca="false">[1]НАДІЙШЛО2!LC3</f>
        <v>0</v>
      </c>
      <c r="AJC11" s="96" t="n">
        <f aca="false">[1]ВИБУЛО2!LC3</f>
        <v>0</v>
      </c>
      <c r="AJD11" s="97" t="n">
        <f aca="false">AJD10-AJC11+AJB11</f>
        <v>0</v>
      </c>
      <c r="AJE11" s="95" t="n">
        <f aca="false">[1]НАДІЙШЛО2!LD3</f>
        <v>0</v>
      </c>
      <c r="AJF11" s="96" t="n">
        <f aca="false">[1]ВИБУЛО2!LD3</f>
        <v>0</v>
      </c>
      <c r="AJG11" s="97" t="n">
        <f aca="false">AJG10-AJF11+AJE11</f>
        <v>0</v>
      </c>
      <c r="AJH11" s="95" t="n">
        <f aca="false">[1]НАДІЙШЛО2!LE3</f>
        <v>0</v>
      </c>
      <c r="AJI11" s="96" t="n">
        <f aca="false">[1]ВИБУЛО2!LE3</f>
        <v>0</v>
      </c>
      <c r="AJJ11" s="97" t="n">
        <f aca="false">AJJ10-AJI11+AJH11</f>
        <v>0</v>
      </c>
      <c r="AJK11" s="95" t="n">
        <f aca="false">[1]НАДІЙШЛО2!LF3</f>
        <v>0</v>
      </c>
      <c r="AJL11" s="96" t="n">
        <f aca="false">[1]ВИБУЛО2!LF3</f>
        <v>0</v>
      </c>
      <c r="AJM11" s="97" t="n">
        <f aca="false">AJM10-AJL11+AJK11</f>
        <v>0</v>
      </c>
      <c r="AJN11" s="95" t="n">
        <f aca="false">[1]НАДІЙШЛО2!LG3</f>
        <v>0</v>
      </c>
      <c r="AJO11" s="96" t="n">
        <f aca="false">[1]ВИБУЛО2!LG3</f>
        <v>0</v>
      </c>
      <c r="AJP11" s="97" t="n">
        <f aca="false">AJP10-AJO11+AJN11</f>
        <v>0</v>
      </c>
      <c r="AJQ11" s="95" t="n">
        <f aca="false">[1]НАДІЙШЛО2!LH3</f>
        <v>0</v>
      </c>
      <c r="AJR11" s="96" t="n">
        <f aca="false">[1]ВИБУЛО2!LH3</f>
        <v>0</v>
      </c>
      <c r="AJS11" s="97" t="n">
        <f aca="false">AJS10-AJR11+AJQ11</f>
        <v>0</v>
      </c>
      <c r="AJT11" s="95" t="n">
        <f aca="false">[1]НАДІЙШЛО2!LI3</f>
        <v>0</v>
      </c>
      <c r="AJU11" s="96" t="n">
        <f aca="false">[1]ВИБУЛО2!LI3</f>
        <v>0</v>
      </c>
      <c r="AJV11" s="97" t="n">
        <f aca="false">AJV10-AJU11+AJT11</f>
        <v>0</v>
      </c>
      <c r="AJW11" s="95" t="n">
        <f aca="false">[1]НАДІЙШЛО2!LJ3</f>
        <v>0</v>
      </c>
      <c r="AJX11" s="96" t="n">
        <f aca="false">[1]ВИБУЛО2!LJ3</f>
        <v>0</v>
      </c>
      <c r="AJY11" s="97" t="n">
        <f aca="false">AJY10-AJX11+AJW11</f>
        <v>0</v>
      </c>
      <c r="AJZ11" s="95" t="n">
        <f aca="false">[1]НАДІЙШЛО2!LK3</f>
        <v>0</v>
      </c>
      <c r="AKA11" s="96" t="n">
        <f aca="false">[1]ВИБУЛО2!LK3</f>
        <v>0</v>
      </c>
      <c r="AKB11" s="97" t="n">
        <f aca="false">AKB10-AKA11+AJZ11</f>
        <v>0</v>
      </c>
      <c r="AKC11" s="95" t="n">
        <f aca="false">[1]НАДІЙШЛО2!LL3</f>
        <v>0</v>
      </c>
      <c r="AKD11" s="96" t="n">
        <f aca="false">[1]ВИБУЛО2!LL3</f>
        <v>0</v>
      </c>
      <c r="AKE11" s="97" t="n">
        <f aca="false">AKE10-AKD11+AKC11</f>
        <v>0</v>
      </c>
      <c r="AKF11" s="95" t="n">
        <f aca="false">[1]НАДІЙШЛО2!LM3</f>
        <v>0</v>
      </c>
      <c r="AKG11" s="96" t="n">
        <f aca="false">[1]ВИБУЛО2!LM3</f>
        <v>0</v>
      </c>
      <c r="AKH11" s="97" t="n">
        <f aca="false">AKH10-AKG11+AKF11</f>
        <v>0</v>
      </c>
      <c r="AKI11" s="95" t="n">
        <f aca="false">[1]НАДІЙШЛО2!LN3</f>
        <v>0</v>
      </c>
      <c r="AKJ11" s="96" t="n">
        <f aca="false">[1]ВИБУЛО2!LN3</f>
        <v>0</v>
      </c>
      <c r="AKK11" s="97" t="n">
        <f aca="false">AKK10-AKJ11+AKI11</f>
        <v>0</v>
      </c>
      <c r="AKL11" s="95" t="n">
        <f aca="false">[1]НАДІЙШЛО2!LO3</f>
        <v>0</v>
      </c>
      <c r="AKM11" s="96" t="n">
        <f aca="false">[1]ВИБУЛО2!LO3</f>
        <v>0</v>
      </c>
      <c r="AKN11" s="97" t="n">
        <f aca="false">AKN10-AKM11+AKL11</f>
        <v>0</v>
      </c>
      <c r="AKO11" s="95" t="n">
        <f aca="false">[1]НАДІЙШЛО2!LP3</f>
        <v>0</v>
      </c>
      <c r="AKP11" s="96" t="n">
        <f aca="false">[1]ВИБУЛО2!LP3</f>
        <v>0</v>
      </c>
      <c r="AKQ11" s="97" t="n">
        <f aca="false">AKQ10-AKP11+AKO11</f>
        <v>0</v>
      </c>
      <c r="AKR11" s="95" t="n">
        <f aca="false">[1]НАДІЙШЛО2!LQ3</f>
        <v>0</v>
      </c>
      <c r="AKS11" s="96" t="n">
        <f aca="false">[1]ВИБУЛО2!LQ3</f>
        <v>0</v>
      </c>
      <c r="AKT11" s="97" t="n">
        <f aca="false">AKT10-AKS11+AKR11</f>
        <v>0</v>
      </c>
      <c r="AKU11" s="95" t="n">
        <f aca="false">[1]НАДІЙШЛО2!LR3</f>
        <v>0</v>
      </c>
      <c r="AKV11" s="96" t="n">
        <f aca="false">[1]ВИБУЛО2!LR3</f>
        <v>0</v>
      </c>
      <c r="AKW11" s="97" t="n">
        <f aca="false">AKW10-AKV11+AKU11</f>
        <v>0</v>
      </c>
      <c r="AKX11" s="95" t="n">
        <f aca="false">[1]НАДІЙШЛО2!LS3</f>
        <v>0</v>
      </c>
      <c r="AKY11" s="96" t="n">
        <f aca="false">[1]ВИБУЛО2!LS3</f>
        <v>0</v>
      </c>
      <c r="AKZ11" s="97" t="n">
        <f aca="false">AKZ10-AKY11+AKX11</f>
        <v>0</v>
      </c>
      <c r="ALA11" s="95" t="n">
        <f aca="false">[1]НАДІЙШЛО2!LT3</f>
        <v>0</v>
      </c>
      <c r="ALB11" s="96" t="n">
        <f aca="false">[1]ВИБУЛО2!LT3</f>
        <v>0</v>
      </c>
      <c r="ALC11" s="97" t="n">
        <f aca="false">ALC10-ALB11+ALA11</f>
        <v>0</v>
      </c>
      <c r="ALD11" s="95" t="n">
        <f aca="false">[1]НАДІЙШЛО2!LU3</f>
        <v>0</v>
      </c>
      <c r="ALE11" s="96" t="n">
        <f aca="false">[1]ВИБУЛО2!LU3</f>
        <v>0</v>
      </c>
      <c r="ALF11" s="97" t="n">
        <f aca="false">ALF10-ALE11+ALD11</f>
        <v>0</v>
      </c>
      <c r="ALG11" s="95" t="n">
        <f aca="false">[1]НАДІЙШЛО2!LV3</f>
        <v>0</v>
      </c>
      <c r="ALH11" s="96" t="n">
        <f aca="false">[1]ВИБУЛО2!LV3</f>
        <v>0</v>
      </c>
      <c r="ALI11" s="97" t="n">
        <f aca="false">ALI10-ALH11+ALG11</f>
        <v>0</v>
      </c>
      <c r="ALJ11" s="95" t="n">
        <f aca="false">[1]НАДІЙШЛО2!LW3</f>
        <v>0</v>
      </c>
      <c r="ALK11" s="96" t="n">
        <f aca="false">[1]ВИБУЛО2!LW3</f>
        <v>0</v>
      </c>
      <c r="ALL11" s="97" t="n">
        <f aca="false">ALL10-ALK11+ALJ11</f>
        <v>0</v>
      </c>
      <c r="ALM11" s="95" t="n">
        <f aca="false">[1]НАДІЙШЛО2!LX3</f>
        <v>0</v>
      </c>
      <c r="ALN11" s="96" t="n">
        <f aca="false">[1]ВИБУЛО2!LX3</f>
        <v>0</v>
      </c>
      <c r="ALO11" s="97" t="n">
        <f aca="false">ALO10-ALN11+ALM11</f>
        <v>0</v>
      </c>
      <c r="ALP11" s="95" t="n">
        <f aca="false">[1]НАДІЙШЛО2!LY3</f>
        <v>0</v>
      </c>
      <c r="ALQ11" s="96" t="n">
        <f aca="false">[1]ВИБУЛО2!LY3</f>
        <v>0</v>
      </c>
      <c r="ALR11" s="97" t="n">
        <f aca="false">ALR10-ALQ11+ALP11</f>
        <v>0</v>
      </c>
      <c r="ALS11" s="95" t="n">
        <f aca="false">[1]НАДІЙШЛО2!LZ3</f>
        <v>0</v>
      </c>
      <c r="ALT11" s="96" t="n">
        <f aca="false">[1]ВИБУЛО2!LZ3</f>
        <v>0</v>
      </c>
      <c r="ALU11" s="97" t="n">
        <f aca="false">ALU10-ALT11+ALS11</f>
        <v>0</v>
      </c>
      <c r="ALV11" s="95" t="n">
        <f aca="false">[1]НАДІЙШЛО2!MA3</f>
        <v>0</v>
      </c>
      <c r="ALW11" s="96" t="n">
        <f aca="false">[1]ВИБУЛО2!MA3</f>
        <v>0</v>
      </c>
      <c r="ALX11" s="97" t="n">
        <f aca="false">ALX10-ALW11+ALV11</f>
        <v>0</v>
      </c>
      <c r="ALY11" s="95" t="n">
        <f aca="false">[1]НАДІЙШЛО2!MB3</f>
        <v>0</v>
      </c>
      <c r="ALZ11" s="96" t="n">
        <f aca="false">[1]ВИБУЛО2!MB3</f>
        <v>0</v>
      </c>
      <c r="AMA11" s="97" t="n">
        <f aca="false">AMA10-ALZ11+ALY11</f>
        <v>0</v>
      </c>
      <c r="AMB11" s="95" t="n">
        <f aca="false">[1]НАДІЙШЛО2!MC3</f>
        <v>0</v>
      </c>
      <c r="AMC11" s="96" t="n">
        <f aca="false">[1]ВИБУЛО2!MC3</f>
        <v>0</v>
      </c>
      <c r="AMD11" s="97" t="n">
        <f aca="false">AMD10-AMC11+AMB11</f>
        <v>0</v>
      </c>
      <c r="AME11" s="95" t="n">
        <f aca="false">[1]НАДІЙШЛО2!MD3</f>
        <v>0</v>
      </c>
      <c r="AMF11" s="96" t="n">
        <f aca="false">[1]ВИБУЛО2!MD3</f>
        <v>0</v>
      </c>
      <c r="AMG11" s="97" t="n">
        <f aca="false">AMG10-AMF11+AME11</f>
        <v>0</v>
      </c>
      <c r="AMH11" s="95" t="n">
        <f aca="false">[1]НАДІЙШЛО2!ME3</f>
        <v>0</v>
      </c>
      <c r="AMI11" s="96" t="n">
        <f aca="false">[1]ВИБУЛО2!ME3</f>
        <v>0</v>
      </c>
      <c r="AMJ11" s="97" t="n">
        <f aca="false">AMJ10-AMI11+AMH11</f>
        <v>0</v>
      </c>
    </row>
    <row r="12" s="98" customFormat="true" ht="16.5" hidden="false" customHeight="false" outlineLevel="0" collapsed="false">
      <c r="B12" s="99"/>
      <c r="C12" s="100"/>
      <c r="D12" s="101"/>
      <c r="E12" s="95" t="n">
        <f aca="false">[1]НАДІЙШЛО2!D4</f>
        <v>0</v>
      </c>
      <c r="F12" s="96" t="n">
        <f aca="false">[1]ВИБУЛО2!D4</f>
        <v>0</v>
      </c>
      <c r="G12" s="97" t="n">
        <f aca="false">G11-F12+E12</f>
        <v>0</v>
      </c>
      <c r="H12" s="95" t="n">
        <f aca="false">[1]НАДІЙШЛО2!E4</f>
        <v>0</v>
      </c>
      <c r="I12" s="96" t="n">
        <f aca="false">[1]ВИБУЛО2!E4</f>
        <v>0</v>
      </c>
      <c r="J12" s="97" t="n">
        <f aca="false">J11-I12+H12</f>
        <v>0</v>
      </c>
      <c r="K12" s="95" t="n">
        <f aca="false">[1]НАДІЙШЛО2!F4</f>
        <v>0</v>
      </c>
      <c r="L12" s="96" t="n">
        <f aca="false">[1]ВИБУЛО2!F4</f>
        <v>0</v>
      </c>
      <c r="M12" s="97" t="n">
        <f aca="false">M11-L12+K12</f>
        <v>2.06</v>
      </c>
      <c r="N12" s="95" t="n">
        <f aca="false">[1]НАДІЙШЛО2!G4</f>
        <v>0</v>
      </c>
      <c r="O12" s="96" t="n">
        <f aca="false">[1]ВИБУЛО2!G4</f>
        <v>0</v>
      </c>
      <c r="P12" s="97" t="n">
        <f aca="false">P11-O12+N12</f>
        <v>0</v>
      </c>
      <c r="Q12" s="95" t="n">
        <f aca="false">[1]НАДІЙШЛО2!H4</f>
        <v>0</v>
      </c>
      <c r="R12" s="96" t="n">
        <f aca="false">[1]ВИБУЛО2!H4</f>
        <v>0</v>
      </c>
      <c r="S12" s="97" t="n">
        <f aca="false">S11-R12+Q12</f>
        <v>0</v>
      </c>
      <c r="T12" s="95" t="n">
        <f aca="false">[1]НАДІЙШЛО2!I4</f>
        <v>0</v>
      </c>
      <c r="U12" s="96" t="n">
        <f aca="false">[1]ВИБУЛО2!I4</f>
        <v>0</v>
      </c>
      <c r="V12" s="97" t="n">
        <f aca="false">V11-U12+T12</f>
        <v>0</v>
      </c>
      <c r="W12" s="95" t="n">
        <f aca="false">[1]НАДІЙШЛО2!J4</f>
        <v>0</v>
      </c>
      <c r="X12" s="96" t="n">
        <f aca="false">[1]ВИБУЛО2!J4</f>
        <v>0</v>
      </c>
      <c r="Y12" s="97" t="n">
        <f aca="false">Y11-X12+W12</f>
        <v>0</v>
      </c>
      <c r="Z12" s="95" t="n">
        <f aca="false">[1]НАДІЙШЛО2!K4</f>
        <v>0</v>
      </c>
      <c r="AA12" s="96" t="n">
        <f aca="false">[1]ВИБУЛО2!K4</f>
        <v>0</v>
      </c>
      <c r="AB12" s="97" t="n">
        <f aca="false">AB11-AA12+Z12</f>
        <v>0</v>
      </c>
      <c r="AC12" s="95" t="n">
        <f aca="false">[1]НАДІЙШЛО2!L4</f>
        <v>0</v>
      </c>
      <c r="AD12" s="96" t="n">
        <f aca="false">[1]ВИБУЛО2!L4</f>
        <v>0</v>
      </c>
      <c r="AE12" s="97" t="n">
        <f aca="false">AE11-AD12+AC12</f>
        <v>0</v>
      </c>
      <c r="AF12" s="95" t="n">
        <f aca="false">[1]НАДІЙШЛО2!M4</f>
        <v>0</v>
      </c>
      <c r="AG12" s="96" t="n">
        <f aca="false">[1]ВИБУЛО2!M4</f>
        <v>0</v>
      </c>
      <c r="AH12" s="97" t="n">
        <f aca="false">AH11-AG12+AF12</f>
        <v>0</v>
      </c>
      <c r="AI12" s="95" t="n">
        <f aca="false">[1]НАДІЙШЛО2!N4</f>
        <v>0</v>
      </c>
      <c r="AJ12" s="96" t="n">
        <f aca="false">[1]ВИБУЛО2!N4</f>
        <v>0</v>
      </c>
      <c r="AK12" s="97" t="n">
        <f aca="false">AK11-AJ12+AI12</f>
        <v>0</v>
      </c>
      <c r="AL12" s="95" t="n">
        <f aca="false">[1]НАДІЙШЛО2!O4</f>
        <v>0</v>
      </c>
      <c r="AM12" s="96" t="n">
        <f aca="false">[1]ВИБУЛО2!O4</f>
        <v>0</v>
      </c>
      <c r="AN12" s="97" t="n">
        <f aca="false">AN11-AM12+AL12</f>
        <v>0</v>
      </c>
      <c r="AO12" s="95" t="n">
        <f aca="false">[1]НАДІЙШЛО2!P4</f>
        <v>0</v>
      </c>
      <c r="AP12" s="96" t="n">
        <f aca="false">[1]ВИБУЛО2!P4</f>
        <v>0</v>
      </c>
      <c r="AQ12" s="97" t="n">
        <f aca="false">AQ11-AP12+AO12</f>
        <v>0</v>
      </c>
      <c r="AR12" s="95" t="n">
        <f aca="false">[1]НАДІЙШЛО2!Q4</f>
        <v>0</v>
      </c>
      <c r="AS12" s="96" t="n">
        <f aca="false">[1]ВИБУЛО2!Q4</f>
        <v>0</v>
      </c>
      <c r="AT12" s="97" t="n">
        <f aca="false">AT11-AS12+AR12</f>
        <v>0</v>
      </c>
      <c r="AU12" s="95" t="n">
        <f aca="false">[1]НАДІЙШЛО2!R4</f>
        <v>0</v>
      </c>
      <c r="AV12" s="96" t="n">
        <f aca="false">[1]ВИБУЛО2!R4</f>
        <v>0</v>
      </c>
      <c r="AW12" s="97" t="n">
        <f aca="false">AW11-AV12+AU12</f>
        <v>0</v>
      </c>
      <c r="AX12" s="95" t="n">
        <f aca="false">[1]НАДІЙШЛО2!S4</f>
        <v>0</v>
      </c>
      <c r="AY12" s="96" t="n">
        <f aca="false">[1]ВИБУЛО2!S4</f>
        <v>0</v>
      </c>
      <c r="AZ12" s="97" t="n">
        <f aca="false">AZ11-AY12+AX12</f>
        <v>0</v>
      </c>
      <c r="BA12" s="95" t="n">
        <f aca="false">[1]НАДІЙШЛО2!T4</f>
        <v>0</v>
      </c>
      <c r="BB12" s="96" t="n">
        <f aca="false">[1]ВИБУЛО2!T4</f>
        <v>0</v>
      </c>
      <c r="BC12" s="97" t="n">
        <f aca="false">BC11-BB12+BA12</f>
        <v>0</v>
      </c>
      <c r="BD12" s="95" t="n">
        <f aca="false">[1]НАДІЙШЛО2!U4</f>
        <v>0</v>
      </c>
      <c r="BE12" s="96" t="n">
        <f aca="false">[1]ВИБУЛО2!U4</f>
        <v>0</v>
      </c>
      <c r="BF12" s="97" t="n">
        <f aca="false">BF11-BE12+BD12</f>
        <v>0</v>
      </c>
      <c r="BG12" s="95" t="n">
        <f aca="false">[1]НАДІЙШЛО2!V4</f>
        <v>0</v>
      </c>
      <c r="BH12" s="96" t="n">
        <f aca="false">[1]ВИБУЛО2!V4</f>
        <v>0</v>
      </c>
      <c r="BI12" s="97" t="n">
        <f aca="false">BI11-BH12+BG12</f>
        <v>0</v>
      </c>
      <c r="BJ12" s="95" t="n">
        <f aca="false">[1]НАДІЙШЛО2!W4</f>
        <v>0</v>
      </c>
      <c r="BK12" s="96" t="n">
        <f aca="false">[1]ВИБУЛО2!W4</f>
        <v>0</v>
      </c>
      <c r="BL12" s="97" t="n">
        <f aca="false">BL11-BK12+BJ12</f>
        <v>0</v>
      </c>
      <c r="BM12" s="95" t="n">
        <f aca="false">[1]НАДІЙШЛО2!X4</f>
        <v>0</v>
      </c>
      <c r="BN12" s="96" t="n">
        <f aca="false">[1]ВИБУЛО2!X4</f>
        <v>0</v>
      </c>
      <c r="BO12" s="97" t="n">
        <f aca="false">BO11-BN12+BM12</f>
        <v>0</v>
      </c>
      <c r="BP12" s="95" t="n">
        <f aca="false">[1]НАДІЙШЛО2!Y4</f>
        <v>0</v>
      </c>
      <c r="BQ12" s="96" t="n">
        <f aca="false">[1]ВИБУЛО2!Y4</f>
        <v>0</v>
      </c>
      <c r="BR12" s="97" t="n">
        <f aca="false">BR11-BQ12+BP12</f>
        <v>0</v>
      </c>
      <c r="BS12" s="95" t="n">
        <f aca="false">[1]НАДІЙШЛО2!Z4</f>
        <v>0</v>
      </c>
      <c r="BT12" s="96" t="n">
        <f aca="false">[1]ВИБУЛО2!Z4</f>
        <v>0</v>
      </c>
      <c r="BU12" s="97" t="n">
        <f aca="false">BU11-BT12+BS12</f>
        <v>0</v>
      </c>
      <c r="BV12" s="95" t="n">
        <f aca="false">[1]НАДІЙШЛО2!AA4</f>
        <v>0</v>
      </c>
      <c r="BW12" s="96" t="n">
        <f aca="false">[1]ВИБУЛО2!AA4</f>
        <v>0</v>
      </c>
      <c r="BX12" s="97" t="n">
        <f aca="false">BX11-BW12+BV12</f>
        <v>0</v>
      </c>
      <c r="BY12" s="95" t="n">
        <f aca="false">[1]НАДІЙШЛО2!AB4</f>
        <v>0</v>
      </c>
      <c r="BZ12" s="96" t="n">
        <f aca="false">[1]ВИБУЛО2!AB4</f>
        <v>0</v>
      </c>
      <c r="CA12" s="97" t="n">
        <f aca="false">CA11-BZ12+BY12</f>
        <v>0</v>
      </c>
      <c r="CB12" s="95" t="n">
        <f aca="false">[1]НАДІЙШЛО2!AC4</f>
        <v>0</v>
      </c>
      <c r="CC12" s="96" t="n">
        <f aca="false">[1]ВИБУЛО2!AC4</f>
        <v>0</v>
      </c>
      <c r="CD12" s="97" t="n">
        <f aca="false">CD11-CC12+CB12</f>
        <v>0</v>
      </c>
      <c r="CE12" s="95" t="n">
        <f aca="false">[1]НАДІЙШЛО2!AD4</f>
        <v>0</v>
      </c>
      <c r="CF12" s="96" t="n">
        <f aca="false">[1]ВИБУЛО2!AD4</f>
        <v>0</v>
      </c>
      <c r="CG12" s="97" t="n">
        <f aca="false">CG11-CF12+CE12</f>
        <v>0</v>
      </c>
      <c r="CH12" s="95" t="n">
        <f aca="false">[1]НАДІЙШЛО2!AE4</f>
        <v>0</v>
      </c>
      <c r="CI12" s="96" t="n">
        <f aca="false">[1]ВИБУЛО2!AE4</f>
        <v>0</v>
      </c>
      <c r="CJ12" s="97" t="n">
        <f aca="false">CJ11-CI12+CH12</f>
        <v>0</v>
      </c>
      <c r="CK12" s="95" t="n">
        <f aca="false">[1]НАДІЙШЛО2!AF4</f>
        <v>0</v>
      </c>
      <c r="CL12" s="96" t="n">
        <f aca="false">[1]ВИБУЛО2!AF4</f>
        <v>0</v>
      </c>
      <c r="CM12" s="97" t="n">
        <f aca="false">CM11-CL12+CK12</f>
        <v>0</v>
      </c>
      <c r="CN12" s="95" t="n">
        <f aca="false">[1]НАДІЙШЛО2!AG4</f>
        <v>0</v>
      </c>
      <c r="CO12" s="96" t="n">
        <f aca="false">[1]ВИБУЛО2!AG4</f>
        <v>0</v>
      </c>
      <c r="CP12" s="97" t="n">
        <f aca="false">CP11-CO12+CN12</f>
        <v>0</v>
      </c>
      <c r="CQ12" s="95" t="n">
        <f aca="false">[1]НАДІЙШЛО2!AH4</f>
        <v>0</v>
      </c>
      <c r="CR12" s="96" t="n">
        <f aca="false">[1]ВИБУЛО2!AH4</f>
        <v>0</v>
      </c>
      <c r="CS12" s="97" t="n">
        <f aca="false">CS11-CR12+CQ12</f>
        <v>0</v>
      </c>
      <c r="CT12" s="95" t="n">
        <f aca="false">[1]НАДІЙШЛО2!AI4</f>
        <v>0</v>
      </c>
      <c r="CU12" s="96" t="n">
        <f aca="false">[1]ВИБУЛО2!AI4</f>
        <v>0</v>
      </c>
      <c r="CV12" s="97" t="n">
        <f aca="false">CV11-CU12+CT12</f>
        <v>0</v>
      </c>
      <c r="CW12" s="95" t="n">
        <f aca="false">[1]НАДІЙШЛО2!AJ4</f>
        <v>0</v>
      </c>
      <c r="CX12" s="96" t="n">
        <f aca="false">[1]ВИБУЛО2!AJ4</f>
        <v>0</v>
      </c>
      <c r="CY12" s="97" t="n">
        <f aca="false">CY11-CX12+CW12</f>
        <v>0</v>
      </c>
      <c r="CZ12" s="95" t="n">
        <f aca="false">[1]НАДІЙШЛО2!AK4</f>
        <v>0</v>
      </c>
      <c r="DA12" s="96" t="n">
        <f aca="false">[1]ВИБУЛО2!AK4</f>
        <v>0</v>
      </c>
      <c r="DB12" s="97" t="n">
        <f aca="false">DB11-DA12+CZ12</f>
        <v>0</v>
      </c>
      <c r="DC12" s="95" t="n">
        <f aca="false">[1]НАДІЙШЛО2!AL4</f>
        <v>0</v>
      </c>
      <c r="DD12" s="96" t="n">
        <f aca="false">[1]ВИБУЛО2!AL4</f>
        <v>0</v>
      </c>
      <c r="DE12" s="97" t="n">
        <f aca="false">DE11-DD12+DC12</f>
        <v>0</v>
      </c>
      <c r="DF12" s="95" t="n">
        <f aca="false">[1]НАДІЙШЛО2!AM4</f>
        <v>0</v>
      </c>
      <c r="DG12" s="96" t="n">
        <f aca="false">[1]ВИБУЛО2!AM4</f>
        <v>0</v>
      </c>
      <c r="DH12" s="97" t="n">
        <f aca="false">DH11-DG12+DF12</f>
        <v>0</v>
      </c>
      <c r="DI12" s="95" t="n">
        <f aca="false">[1]НАДІЙШЛО2!AN4</f>
        <v>0</v>
      </c>
      <c r="DJ12" s="96" t="n">
        <f aca="false">[1]ВИБУЛО2!AN4</f>
        <v>0</v>
      </c>
      <c r="DK12" s="97" t="n">
        <f aca="false">DK11-DJ12+DI12</f>
        <v>0</v>
      </c>
      <c r="DL12" s="95" t="n">
        <f aca="false">[1]НАДІЙШЛО2!AO4</f>
        <v>0</v>
      </c>
      <c r="DM12" s="96" t="n">
        <f aca="false">[1]ВИБУЛО2!AO4</f>
        <v>0</v>
      </c>
      <c r="DN12" s="97" t="n">
        <f aca="false">DN11-DM12+DL12</f>
        <v>0</v>
      </c>
      <c r="DO12" s="95" t="n">
        <f aca="false">[1]НАДІЙШЛО2!AP4</f>
        <v>0</v>
      </c>
      <c r="DP12" s="96" t="n">
        <f aca="false">[1]ВИБУЛО2!AP4</f>
        <v>0</v>
      </c>
      <c r="DQ12" s="97" t="n">
        <f aca="false">DQ11-DP12+DO12</f>
        <v>0</v>
      </c>
      <c r="DR12" s="95" t="n">
        <f aca="false">[1]НАДІЙШЛО2!AQ4</f>
        <v>0</v>
      </c>
      <c r="DS12" s="96" t="n">
        <f aca="false">[1]ВИБУЛО2!AQ4</f>
        <v>0</v>
      </c>
      <c r="DT12" s="97" t="n">
        <f aca="false">DT11-DS12+DR12</f>
        <v>0</v>
      </c>
      <c r="DU12" s="95" t="n">
        <f aca="false">[1]НАДІЙШЛО2!AR4</f>
        <v>0</v>
      </c>
      <c r="DV12" s="96" t="n">
        <f aca="false">[1]ВИБУЛО2!AR4</f>
        <v>0</v>
      </c>
      <c r="DW12" s="97" t="n">
        <f aca="false">DW11-DV12+DU12</f>
        <v>0</v>
      </c>
      <c r="DX12" s="95" t="n">
        <f aca="false">[1]НАДІЙШЛО2!AS4</f>
        <v>0</v>
      </c>
      <c r="DY12" s="96" t="n">
        <f aca="false">[1]ВИБУЛО2!AS4</f>
        <v>0</v>
      </c>
      <c r="DZ12" s="97" t="n">
        <f aca="false">DZ11-DY12+DX12</f>
        <v>0</v>
      </c>
      <c r="EA12" s="95" t="n">
        <f aca="false">[1]НАДІЙШЛО2!AT4</f>
        <v>0</v>
      </c>
      <c r="EB12" s="96" t="n">
        <f aca="false">[1]ВИБУЛО2!AT4</f>
        <v>0</v>
      </c>
      <c r="EC12" s="97" t="n">
        <f aca="false">EC11-EB12+EA12</f>
        <v>0</v>
      </c>
      <c r="ED12" s="95" t="n">
        <f aca="false">[1]НАДІЙШЛО2!AU4</f>
        <v>0</v>
      </c>
      <c r="EE12" s="96" t="n">
        <f aca="false">[1]ВИБУЛО2!AU4</f>
        <v>0</v>
      </c>
      <c r="EF12" s="97" t="n">
        <f aca="false">EF11-EE12+ED12</f>
        <v>0</v>
      </c>
      <c r="EG12" s="95" t="n">
        <f aca="false">[1]НАДІЙШЛО2!AV4</f>
        <v>0</v>
      </c>
      <c r="EH12" s="96" t="n">
        <f aca="false">[1]ВИБУЛО2!AV4</f>
        <v>0</v>
      </c>
      <c r="EI12" s="97" t="n">
        <f aca="false">EI11-EH12+EG12</f>
        <v>0</v>
      </c>
      <c r="EJ12" s="95" t="n">
        <f aca="false">[1]НАДІЙШЛО2!AW4</f>
        <v>0</v>
      </c>
      <c r="EK12" s="96" t="n">
        <f aca="false">[1]ВИБУЛО2!AW4</f>
        <v>0</v>
      </c>
      <c r="EL12" s="97" t="n">
        <f aca="false">EL11-EK12+EJ12</f>
        <v>0</v>
      </c>
      <c r="EM12" s="95" t="n">
        <f aca="false">[1]НАДІЙШЛО2!AX4</f>
        <v>0</v>
      </c>
      <c r="EN12" s="96" t="n">
        <f aca="false">[1]ВИБУЛО2!AX4</f>
        <v>0</v>
      </c>
      <c r="EO12" s="97" t="n">
        <f aca="false">EO11-EN12+EM12</f>
        <v>0</v>
      </c>
      <c r="EP12" s="95" t="n">
        <f aca="false">[1]НАДІЙШЛО2!AY4</f>
        <v>0</v>
      </c>
      <c r="EQ12" s="96" t="n">
        <f aca="false">[1]ВИБУЛО2!AY4</f>
        <v>0</v>
      </c>
      <c r="ER12" s="97" t="n">
        <f aca="false">ER11-EQ12+EP12</f>
        <v>0</v>
      </c>
      <c r="ES12" s="95" t="n">
        <f aca="false">[1]НАДІЙШЛО2!AZ4</f>
        <v>0</v>
      </c>
      <c r="ET12" s="96" t="n">
        <f aca="false">[1]ВИБУЛО2!AZ4</f>
        <v>0</v>
      </c>
      <c r="EU12" s="97" t="n">
        <f aca="false">EU11-ET12+ES12</f>
        <v>0</v>
      </c>
      <c r="EV12" s="95" t="n">
        <f aca="false">[1]НАДІЙШЛО2!BA4</f>
        <v>0</v>
      </c>
      <c r="EW12" s="96" t="n">
        <f aca="false">[1]ВИБУЛО2!BA4</f>
        <v>0</v>
      </c>
      <c r="EX12" s="97" t="n">
        <f aca="false">EX11-EW12+EV12</f>
        <v>0</v>
      </c>
      <c r="EY12" s="95" t="n">
        <f aca="false">[1]НАДІЙШЛО2!BB4</f>
        <v>0</v>
      </c>
      <c r="EZ12" s="96" t="n">
        <f aca="false">[1]ВИБУЛО2!BB4</f>
        <v>0</v>
      </c>
      <c r="FA12" s="97" t="n">
        <f aca="false">FA11-EZ12+EY12</f>
        <v>0</v>
      </c>
      <c r="FB12" s="95" t="n">
        <f aca="false">[1]НАДІЙШЛО2!BC4</f>
        <v>0</v>
      </c>
      <c r="FC12" s="96" t="n">
        <f aca="false">[1]ВИБУЛО2!BC4</f>
        <v>0</v>
      </c>
      <c r="FD12" s="97" t="n">
        <f aca="false">FD11-FC12+FB12</f>
        <v>0</v>
      </c>
      <c r="FE12" s="95" t="n">
        <f aca="false">[1]НАДІЙШЛО2!BD4</f>
        <v>0</v>
      </c>
      <c r="FF12" s="96" t="n">
        <f aca="false">[1]ВИБУЛО2!BD4</f>
        <v>0</v>
      </c>
      <c r="FG12" s="97" t="n">
        <f aca="false">FG11-FF12+FE12</f>
        <v>0</v>
      </c>
      <c r="FH12" s="95" t="n">
        <f aca="false">[1]НАДІЙШЛО2!BE4</f>
        <v>0</v>
      </c>
      <c r="FI12" s="96" t="n">
        <f aca="false">[1]ВИБУЛО2!BE4</f>
        <v>0</v>
      </c>
      <c r="FJ12" s="97" t="n">
        <f aca="false">FJ11-FI12+FH12</f>
        <v>0</v>
      </c>
      <c r="FK12" s="95" t="n">
        <f aca="false">[1]НАДІЙШЛО2!BF4</f>
        <v>0</v>
      </c>
      <c r="FL12" s="96" t="n">
        <f aca="false">[1]ВИБУЛО2!BF4</f>
        <v>0</v>
      </c>
      <c r="FM12" s="97" t="n">
        <f aca="false">FM11-FL12+FK12</f>
        <v>0</v>
      </c>
      <c r="FN12" s="95" t="n">
        <f aca="false">[1]НАДІЙШЛО2!BG4</f>
        <v>0</v>
      </c>
      <c r="FO12" s="96" t="n">
        <f aca="false">[1]ВИБУЛО2!BG4</f>
        <v>0</v>
      </c>
      <c r="FP12" s="97" t="n">
        <f aca="false">FP11-FO12+FN12</f>
        <v>0</v>
      </c>
      <c r="FQ12" s="95" t="n">
        <f aca="false">[1]НАДІЙШЛО2!BH4</f>
        <v>0</v>
      </c>
      <c r="FR12" s="96" t="n">
        <f aca="false">[1]ВИБУЛО2!BH4</f>
        <v>0</v>
      </c>
      <c r="FS12" s="97" t="n">
        <f aca="false">FS11-FR12+FQ12</f>
        <v>0</v>
      </c>
      <c r="FT12" s="95" t="n">
        <f aca="false">[1]НАДІЙШЛО2!BI4</f>
        <v>0</v>
      </c>
      <c r="FU12" s="96" t="n">
        <f aca="false">[1]ВИБУЛО2!BI4</f>
        <v>0</v>
      </c>
      <c r="FV12" s="97" t="n">
        <f aca="false">FV11-FU12+FT12</f>
        <v>0</v>
      </c>
      <c r="FW12" s="95" t="n">
        <f aca="false">[1]НАДІЙШЛО2!BJ4</f>
        <v>0</v>
      </c>
      <c r="FX12" s="96" t="n">
        <f aca="false">[1]ВИБУЛО2!BJ4</f>
        <v>0</v>
      </c>
      <c r="FY12" s="97" t="n">
        <f aca="false">FY11-FX12+FW12</f>
        <v>0</v>
      </c>
      <c r="FZ12" s="95" t="n">
        <f aca="false">[1]НАДІЙШЛО2!BK4</f>
        <v>0</v>
      </c>
      <c r="GA12" s="96" t="n">
        <f aca="false">[1]ВИБУЛО2!BK4</f>
        <v>0</v>
      </c>
      <c r="GB12" s="97" t="n">
        <f aca="false">GB11-GA12+FZ12</f>
        <v>0</v>
      </c>
      <c r="GC12" s="95" t="n">
        <f aca="false">[1]НАДІЙШЛО2!BL4</f>
        <v>0</v>
      </c>
      <c r="GD12" s="96" t="n">
        <f aca="false">[1]ВИБУЛО2!BL4</f>
        <v>0</v>
      </c>
      <c r="GE12" s="97" t="n">
        <f aca="false">GE11-GD12+GC12</f>
        <v>0</v>
      </c>
      <c r="GF12" s="95" t="n">
        <f aca="false">[1]НАДІЙШЛО2!BM4</f>
        <v>0</v>
      </c>
      <c r="GG12" s="96" t="n">
        <f aca="false">[1]ВИБУЛО2!BM4</f>
        <v>0</v>
      </c>
      <c r="GH12" s="97" t="n">
        <f aca="false">GH11-GG12+GF12</f>
        <v>0</v>
      </c>
      <c r="GI12" s="95" t="n">
        <f aca="false">[1]НАДІЙШЛО2!BN4</f>
        <v>0</v>
      </c>
      <c r="GJ12" s="96" t="n">
        <f aca="false">[1]ВИБУЛО2!BN4</f>
        <v>0</v>
      </c>
      <c r="GK12" s="97" t="n">
        <f aca="false">GK11-GJ12+GI12</f>
        <v>0</v>
      </c>
      <c r="GL12" s="95" t="n">
        <f aca="false">[1]НАДІЙШЛО2!BO4</f>
        <v>0</v>
      </c>
      <c r="GM12" s="96" t="n">
        <f aca="false">[1]ВИБУЛО2!BO4</f>
        <v>0</v>
      </c>
      <c r="GN12" s="97" t="n">
        <f aca="false">GN11-GM12+GL12</f>
        <v>0</v>
      </c>
      <c r="GO12" s="95" t="n">
        <f aca="false">[1]НАДІЙШЛО2!BP4</f>
        <v>0</v>
      </c>
      <c r="GP12" s="96" t="n">
        <f aca="false">[1]ВИБУЛО2!BP4</f>
        <v>0</v>
      </c>
      <c r="GQ12" s="97" t="n">
        <f aca="false">GQ11-GP12+GO12</f>
        <v>0</v>
      </c>
      <c r="GR12" s="95" t="n">
        <f aca="false">[1]НАДІЙШЛО2!BQ4</f>
        <v>0</v>
      </c>
      <c r="GS12" s="96" t="n">
        <f aca="false">[1]ВИБУЛО2!BQ4</f>
        <v>0</v>
      </c>
      <c r="GT12" s="97" t="n">
        <f aca="false">GT11-GS12+GR12</f>
        <v>0</v>
      </c>
      <c r="GU12" s="95" t="n">
        <f aca="false">[1]НАДІЙШЛО2!BR4</f>
        <v>0</v>
      </c>
      <c r="GV12" s="96" t="n">
        <f aca="false">[1]ВИБУЛО2!BR4</f>
        <v>0</v>
      </c>
      <c r="GW12" s="97" t="n">
        <f aca="false">GW11-GV12+GU12</f>
        <v>0</v>
      </c>
      <c r="GX12" s="95" t="n">
        <f aca="false">[1]НАДІЙШЛО2!BS4</f>
        <v>0</v>
      </c>
      <c r="GY12" s="96" t="n">
        <f aca="false">[1]ВИБУЛО2!BS4</f>
        <v>0</v>
      </c>
      <c r="GZ12" s="97" t="n">
        <f aca="false">GZ11-GY12+GX12</f>
        <v>0</v>
      </c>
      <c r="HA12" s="95" t="n">
        <f aca="false">[1]НАДІЙШЛО2!BT4</f>
        <v>0</v>
      </c>
      <c r="HB12" s="96" t="n">
        <f aca="false">[1]ВИБУЛО2!BT4</f>
        <v>0</v>
      </c>
      <c r="HC12" s="97" t="n">
        <f aca="false">HC11-HB12+HA12</f>
        <v>0</v>
      </c>
      <c r="HD12" s="95" t="n">
        <f aca="false">[1]НАДІЙШЛО2!BU4</f>
        <v>0</v>
      </c>
      <c r="HE12" s="96" t="n">
        <f aca="false">[1]ВИБУЛО2!BU4</f>
        <v>0</v>
      </c>
      <c r="HF12" s="97" t="n">
        <f aca="false">HF11-HE12+HD12</f>
        <v>0</v>
      </c>
      <c r="HG12" s="95" t="n">
        <f aca="false">[1]НАДІЙШЛО2!BV4</f>
        <v>0</v>
      </c>
      <c r="HH12" s="96" t="n">
        <f aca="false">[1]ВИБУЛО2!BV4</f>
        <v>0</v>
      </c>
      <c r="HI12" s="97" t="n">
        <f aca="false">HI11-HH12+HG12</f>
        <v>0</v>
      </c>
      <c r="HJ12" s="95" t="n">
        <f aca="false">[1]НАДІЙШЛО2!BW4</f>
        <v>0</v>
      </c>
      <c r="HK12" s="96" t="n">
        <f aca="false">[1]ВИБУЛО2!BW4</f>
        <v>0</v>
      </c>
      <c r="HL12" s="97" t="n">
        <f aca="false">HL11-HK12+HJ12</f>
        <v>0</v>
      </c>
      <c r="HM12" s="95" t="n">
        <f aca="false">[1]НАДІЙШЛО2!BX4</f>
        <v>0</v>
      </c>
      <c r="HN12" s="96" t="n">
        <f aca="false">[1]ВИБУЛО2!BX4</f>
        <v>0</v>
      </c>
      <c r="HO12" s="97" t="n">
        <f aca="false">HO11-HN12+HM12</f>
        <v>0</v>
      </c>
      <c r="HP12" s="95" t="n">
        <f aca="false">[1]НАДІЙШЛО2!BY4</f>
        <v>0</v>
      </c>
      <c r="HQ12" s="96" t="n">
        <f aca="false">[1]ВИБУЛО2!BY4</f>
        <v>0</v>
      </c>
      <c r="HR12" s="97" t="n">
        <f aca="false">HR11-HQ12+HP12</f>
        <v>0</v>
      </c>
      <c r="HS12" s="95" t="n">
        <f aca="false">[1]НАДІЙШЛО2!BZ4</f>
        <v>0</v>
      </c>
      <c r="HT12" s="96" t="n">
        <f aca="false">[1]ВИБУЛО2!BZ4</f>
        <v>0</v>
      </c>
      <c r="HU12" s="97" t="n">
        <f aca="false">HU11-HT12+HS12</f>
        <v>0</v>
      </c>
      <c r="HV12" s="95" t="n">
        <f aca="false">[1]НАДІЙШЛО2!CA4</f>
        <v>0</v>
      </c>
      <c r="HW12" s="96" t="n">
        <f aca="false">[1]ВИБУЛО2!CA4</f>
        <v>0</v>
      </c>
      <c r="HX12" s="97" t="n">
        <f aca="false">HX11-HW12+HV12</f>
        <v>0</v>
      </c>
      <c r="HY12" s="95" t="n">
        <f aca="false">[1]НАДІЙШЛО2!CB4</f>
        <v>0</v>
      </c>
      <c r="HZ12" s="96" t="n">
        <f aca="false">[1]ВИБУЛО2!CB4</f>
        <v>0</v>
      </c>
      <c r="IA12" s="97" t="n">
        <f aca="false">IA11-HZ12+HY12</f>
        <v>0</v>
      </c>
      <c r="IB12" s="95" t="n">
        <f aca="false">[1]НАДІЙШЛО2!CC4</f>
        <v>0</v>
      </c>
      <c r="IC12" s="96" t="n">
        <f aca="false">[1]ВИБУЛО2!CC4</f>
        <v>0</v>
      </c>
      <c r="ID12" s="97" t="n">
        <f aca="false">ID11-IC12+IB12</f>
        <v>0</v>
      </c>
      <c r="IE12" s="95" t="n">
        <f aca="false">[1]НАДІЙШЛО2!CD4</f>
        <v>0</v>
      </c>
      <c r="IF12" s="96" t="n">
        <f aca="false">[1]ВИБУЛО2!CD4</f>
        <v>0</v>
      </c>
      <c r="IG12" s="97" t="n">
        <f aca="false">IG11-IF12+IE12</f>
        <v>0</v>
      </c>
      <c r="IH12" s="95" t="n">
        <f aca="false">[1]НАДІЙШЛО2!CE4</f>
        <v>0</v>
      </c>
      <c r="II12" s="96" t="n">
        <f aca="false">[1]ВИБУЛО2!CE4</f>
        <v>0</v>
      </c>
      <c r="IJ12" s="97" t="n">
        <f aca="false">IJ11-II12+IH12</f>
        <v>0</v>
      </c>
      <c r="IK12" s="95" t="n">
        <f aca="false">[1]НАДІЙШЛО2!CF4</f>
        <v>0</v>
      </c>
      <c r="IL12" s="96" t="n">
        <f aca="false">[1]ВИБУЛО2!CF4</f>
        <v>0</v>
      </c>
      <c r="IM12" s="97" t="n">
        <f aca="false">IM11-IL12+IK12</f>
        <v>0</v>
      </c>
      <c r="IN12" s="95" t="n">
        <f aca="false">[1]НАДІЙШЛО2!CG4</f>
        <v>0</v>
      </c>
      <c r="IO12" s="96" t="n">
        <f aca="false">[1]ВИБУЛО2!CG4</f>
        <v>0</v>
      </c>
      <c r="IP12" s="97" t="n">
        <f aca="false">IP11-IO12+IN12</f>
        <v>0</v>
      </c>
      <c r="IQ12" s="95" t="n">
        <f aca="false">[1]НАДІЙШЛО2!CH4</f>
        <v>0</v>
      </c>
      <c r="IR12" s="96" t="n">
        <f aca="false">[1]ВИБУЛО2!CH4</f>
        <v>0</v>
      </c>
      <c r="IS12" s="97" t="n">
        <f aca="false">IS11-IR12+IQ12</f>
        <v>0</v>
      </c>
      <c r="IT12" s="95" t="n">
        <f aca="false">[1]НАДІЙШЛО2!CI4</f>
        <v>0</v>
      </c>
      <c r="IU12" s="96" t="n">
        <f aca="false">[1]ВИБУЛО2!CI4</f>
        <v>0</v>
      </c>
      <c r="IV12" s="97" t="n">
        <f aca="false">IV11-IU12+IT12</f>
        <v>0</v>
      </c>
      <c r="IW12" s="95" t="n">
        <f aca="false">[1]НАДІЙШЛО2!CJ4</f>
        <v>0</v>
      </c>
      <c r="IX12" s="96" t="n">
        <f aca="false">[1]ВИБУЛО2!CJ4</f>
        <v>0</v>
      </c>
      <c r="IY12" s="97" t="n">
        <f aca="false">IY11-IX12+IW12</f>
        <v>0</v>
      </c>
      <c r="IZ12" s="95" t="n">
        <f aca="false">[1]НАДІЙШЛО2!CK4</f>
        <v>0</v>
      </c>
      <c r="JA12" s="96" t="n">
        <f aca="false">[1]ВИБУЛО2!CK4</f>
        <v>0</v>
      </c>
      <c r="JB12" s="97" t="n">
        <f aca="false">JB11-JA12+IZ12</f>
        <v>0</v>
      </c>
      <c r="JC12" s="95" t="n">
        <f aca="false">[1]НАДІЙШЛО2!CL4</f>
        <v>0</v>
      </c>
      <c r="JD12" s="96" t="n">
        <f aca="false">[1]ВИБУЛО2!CL4</f>
        <v>0</v>
      </c>
      <c r="JE12" s="97" t="n">
        <f aca="false">JE11-JD12+JC12</f>
        <v>0</v>
      </c>
      <c r="JF12" s="95" t="n">
        <f aca="false">[1]НАДІЙШЛО2!CM4</f>
        <v>0</v>
      </c>
      <c r="JG12" s="96" t="n">
        <f aca="false">[1]ВИБУЛО2!CM4</f>
        <v>0</v>
      </c>
      <c r="JH12" s="97" t="n">
        <f aca="false">JH11-JG12+JF12</f>
        <v>0</v>
      </c>
      <c r="JI12" s="95" t="n">
        <f aca="false">[1]НАДІЙШЛО2!CN4</f>
        <v>0</v>
      </c>
      <c r="JJ12" s="96" t="n">
        <f aca="false">[1]ВИБУЛО2!CN4</f>
        <v>0</v>
      </c>
      <c r="JK12" s="97" t="n">
        <f aca="false">JK11-JJ12+JI12</f>
        <v>0</v>
      </c>
      <c r="JL12" s="95" t="n">
        <f aca="false">[1]НАДІЙШЛО2!CO4</f>
        <v>0</v>
      </c>
      <c r="JM12" s="96" t="n">
        <f aca="false">[1]ВИБУЛО2!CO4</f>
        <v>0</v>
      </c>
      <c r="JN12" s="97" t="n">
        <f aca="false">JN11-JM12+JL12</f>
        <v>0</v>
      </c>
      <c r="JO12" s="95" t="n">
        <f aca="false">[1]НАДІЙШЛО2!CP4</f>
        <v>0</v>
      </c>
      <c r="JP12" s="96" t="n">
        <f aca="false">[1]ВИБУЛО2!CP4</f>
        <v>0</v>
      </c>
      <c r="JQ12" s="97" t="n">
        <f aca="false">JQ11-JP12+JO12</f>
        <v>0</v>
      </c>
      <c r="JR12" s="95" t="n">
        <f aca="false">[1]НАДІЙШЛО2!CQ4</f>
        <v>0</v>
      </c>
      <c r="JS12" s="96" t="n">
        <f aca="false">[1]ВИБУЛО2!CQ4</f>
        <v>0</v>
      </c>
      <c r="JT12" s="97" t="n">
        <f aca="false">JT11-JS12+JR12</f>
        <v>0</v>
      </c>
      <c r="JU12" s="95" t="n">
        <f aca="false">[1]НАДІЙШЛО2!CR4</f>
        <v>0</v>
      </c>
      <c r="JV12" s="96" t="n">
        <f aca="false">[1]ВИБУЛО2!CR4</f>
        <v>0</v>
      </c>
      <c r="JW12" s="97" t="n">
        <f aca="false">JW11-JV12+JU12</f>
        <v>0</v>
      </c>
      <c r="JX12" s="95" t="n">
        <f aca="false">[1]НАДІЙШЛО2!CS4</f>
        <v>0</v>
      </c>
      <c r="JY12" s="96" t="n">
        <f aca="false">[1]ВИБУЛО2!CS4</f>
        <v>0</v>
      </c>
      <c r="JZ12" s="97" t="n">
        <f aca="false">JZ11-JY12+JX12</f>
        <v>0</v>
      </c>
      <c r="KA12" s="95" t="n">
        <f aca="false">[1]НАДІЙШЛО2!CT4</f>
        <v>0</v>
      </c>
      <c r="KB12" s="96" t="n">
        <f aca="false">[1]ВИБУЛО2!CT4</f>
        <v>0</v>
      </c>
      <c r="KC12" s="97" t="n">
        <f aca="false">KC11-KB12+KA12</f>
        <v>0</v>
      </c>
      <c r="KD12" s="95" t="n">
        <f aca="false">[1]НАДІЙШЛО2!CU4</f>
        <v>0</v>
      </c>
      <c r="KE12" s="96" t="n">
        <f aca="false">[1]ВИБУЛО2!CU4</f>
        <v>0</v>
      </c>
      <c r="KF12" s="97" t="n">
        <f aca="false">KF11-KE12+KD12</f>
        <v>0</v>
      </c>
      <c r="KG12" s="95" t="n">
        <f aca="false">[1]НАДІЙШЛО2!CV4</f>
        <v>0</v>
      </c>
      <c r="KH12" s="96" t="n">
        <f aca="false">[1]ВИБУЛО2!CV4</f>
        <v>0</v>
      </c>
      <c r="KI12" s="97" t="n">
        <f aca="false">KI11-KH12+KG12</f>
        <v>0</v>
      </c>
      <c r="KJ12" s="95" t="n">
        <f aca="false">[1]НАДІЙШЛО2!CW4</f>
        <v>0</v>
      </c>
      <c r="KK12" s="96" t="n">
        <f aca="false">[1]ВИБУЛО2!CW4</f>
        <v>0</v>
      </c>
      <c r="KL12" s="97" t="n">
        <f aca="false">KL11-KK12+KJ12</f>
        <v>0</v>
      </c>
      <c r="KM12" s="95" t="n">
        <f aca="false">[1]НАДІЙШЛО2!CX4</f>
        <v>0</v>
      </c>
      <c r="KN12" s="96" t="n">
        <f aca="false">[1]ВИБУЛО2!CX4</f>
        <v>0</v>
      </c>
      <c r="KO12" s="97" t="n">
        <f aca="false">KO11-KN12+KM12</f>
        <v>0</v>
      </c>
      <c r="KP12" s="95" t="n">
        <f aca="false">[1]НАДІЙШЛО2!CY4</f>
        <v>0</v>
      </c>
      <c r="KQ12" s="96" t="n">
        <f aca="false">[1]ВИБУЛО2!CY4</f>
        <v>0</v>
      </c>
      <c r="KR12" s="97" t="n">
        <f aca="false">KR11-KQ12+KP12</f>
        <v>0</v>
      </c>
      <c r="KS12" s="95" t="n">
        <f aca="false">[1]НАДІЙШЛО2!CZ4</f>
        <v>0</v>
      </c>
      <c r="KT12" s="96" t="n">
        <f aca="false">[1]ВИБУЛО2!CZ4</f>
        <v>0</v>
      </c>
      <c r="KU12" s="97" t="n">
        <f aca="false">KU11-KT12+KS12</f>
        <v>0</v>
      </c>
      <c r="KV12" s="95" t="n">
        <f aca="false">[1]НАДІЙШЛО2!DA4</f>
        <v>0</v>
      </c>
      <c r="KW12" s="96" t="n">
        <f aca="false">[1]ВИБУЛО2!DA4</f>
        <v>0</v>
      </c>
      <c r="KX12" s="97" t="n">
        <f aca="false">KX11-KW12+KV12</f>
        <v>0</v>
      </c>
      <c r="KY12" s="95" t="n">
        <f aca="false">[1]НАДІЙШЛО2!DB4</f>
        <v>0</v>
      </c>
      <c r="KZ12" s="96" t="n">
        <f aca="false">[1]ВИБУЛО2!DB4</f>
        <v>0</v>
      </c>
      <c r="LA12" s="97" t="n">
        <f aca="false">LA11-KZ12+KY12</f>
        <v>0</v>
      </c>
      <c r="LB12" s="95" t="n">
        <f aca="false">[1]НАДІЙШЛО2!DC4</f>
        <v>0</v>
      </c>
      <c r="LC12" s="96" t="n">
        <f aca="false">[1]ВИБУЛО2!DC4</f>
        <v>0</v>
      </c>
      <c r="LD12" s="97" t="n">
        <f aca="false">LD11-LC12+LB12</f>
        <v>0</v>
      </c>
      <c r="LE12" s="95" t="n">
        <f aca="false">[1]НАДІЙШЛО2!DD4</f>
        <v>0</v>
      </c>
      <c r="LF12" s="96" t="n">
        <f aca="false">[1]ВИБУЛО2!DD4</f>
        <v>0</v>
      </c>
      <c r="LG12" s="97" t="n">
        <f aca="false">LG11-LF12+LE12</f>
        <v>0</v>
      </c>
      <c r="LH12" s="95" t="n">
        <f aca="false">[1]НАДІЙШЛО2!DE4</f>
        <v>0</v>
      </c>
      <c r="LI12" s="96" t="n">
        <f aca="false">[1]ВИБУЛО2!DE4</f>
        <v>0</v>
      </c>
      <c r="LJ12" s="97" t="n">
        <f aca="false">LJ11-LI12+LH12</f>
        <v>0</v>
      </c>
      <c r="LK12" s="95" t="n">
        <f aca="false">[1]НАДІЙШЛО2!DF4</f>
        <v>0</v>
      </c>
      <c r="LL12" s="96" t="n">
        <f aca="false">[1]ВИБУЛО2!DF4</f>
        <v>0</v>
      </c>
      <c r="LM12" s="97" t="n">
        <f aca="false">LM11-LL12+LK12</f>
        <v>0</v>
      </c>
      <c r="LN12" s="95" t="n">
        <f aca="false">[1]НАДІЙШЛО2!DG4</f>
        <v>0</v>
      </c>
      <c r="LO12" s="96" t="n">
        <f aca="false">[1]ВИБУЛО2!DG4</f>
        <v>0</v>
      </c>
      <c r="LP12" s="97" t="n">
        <f aca="false">LP11-LO12+LN12</f>
        <v>0</v>
      </c>
      <c r="LQ12" s="95" t="n">
        <f aca="false">[1]НАДІЙШЛО2!DH4</f>
        <v>0</v>
      </c>
      <c r="LR12" s="96" t="n">
        <f aca="false">[1]ВИБУЛО2!DH4</f>
        <v>0</v>
      </c>
      <c r="LS12" s="97" t="n">
        <f aca="false">LS11-LR12+LQ12</f>
        <v>0</v>
      </c>
      <c r="LT12" s="95" t="n">
        <f aca="false">[1]НАДІЙШЛО2!DI4</f>
        <v>0</v>
      </c>
      <c r="LU12" s="96" t="n">
        <f aca="false">[1]ВИБУЛО2!DI4</f>
        <v>0</v>
      </c>
      <c r="LV12" s="97" t="n">
        <f aca="false">LV11-LU12+LT12</f>
        <v>0</v>
      </c>
      <c r="LW12" s="95" t="n">
        <f aca="false">[1]НАДІЙШЛО2!DJ4</f>
        <v>0</v>
      </c>
      <c r="LX12" s="96" t="n">
        <f aca="false">[1]ВИБУЛО2!DJ4</f>
        <v>0</v>
      </c>
      <c r="LY12" s="97" t="n">
        <f aca="false">LY11-LX12+LW12</f>
        <v>0</v>
      </c>
      <c r="LZ12" s="95" t="n">
        <f aca="false">[1]НАДІЙШЛО2!DK4</f>
        <v>0</v>
      </c>
      <c r="MA12" s="96" t="n">
        <f aca="false">[1]ВИБУЛО2!DK4</f>
        <v>0</v>
      </c>
      <c r="MB12" s="97" t="n">
        <f aca="false">MB11-MA12+LZ12</f>
        <v>0</v>
      </c>
      <c r="MC12" s="95" t="n">
        <f aca="false">[1]НАДІЙШЛО2!DL4</f>
        <v>0</v>
      </c>
      <c r="MD12" s="96" t="n">
        <f aca="false">[1]ВИБУЛО2!DL4</f>
        <v>0</v>
      </c>
      <c r="ME12" s="97" t="n">
        <f aca="false">ME11-MD12+MC12</f>
        <v>0</v>
      </c>
      <c r="MF12" s="95" t="n">
        <f aca="false">[1]НАДІЙШЛО2!DM4</f>
        <v>0</v>
      </c>
      <c r="MG12" s="96" t="n">
        <f aca="false">[1]ВИБУЛО2!DM4</f>
        <v>0</v>
      </c>
      <c r="MH12" s="97" t="n">
        <f aca="false">MH11-MG12+MF12</f>
        <v>0</v>
      </c>
      <c r="MI12" s="95" t="n">
        <f aca="false">[1]НАДІЙШЛО2!DN4</f>
        <v>0</v>
      </c>
      <c r="MJ12" s="96" t="n">
        <f aca="false">[1]ВИБУЛО2!DN4</f>
        <v>0</v>
      </c>
      <c r="MK12" s="97" t="n">
        <f aca="false">MK11-MJ12+MI12</f>
        <v>0</v>
      </c>
      <c r="ML12" s="95" t="n">
        <f aca="false">[1]НАДІЙШЛО2!DO4</f>
        <v>0</v>
      </c>
      <c r="MM12" s="96" t="n">
        <f aca="false">[1]ВИБУЛО2!DO4</f>
        <v>0</v>
      </c>
      <c r="MN12" s="97" t="n">
        <f aca="false">MN11-MM12+ML12</f>
        <v>0</v>
      </c>
      <c r="MO12" s="95" t="n">
        <f aca="false">[1]НАДІЙШЛО2!DP4</f>
        <v>0</v>
      </c>
      <c r="MP12" s="96" t="n">
        <f aca="false">[1]ВИБУЛО2!DP4</f>
        <v>0</v>
      </c>
      <c r="MQ12" s="97" t="n">
        <f aca="false">MQ11-MP12+MO12</f>
        <v>0</v>
      </c>
      <c r="MR12" s="95" t="n">
        <f aca="false">[1]НАДІЙШЛО2!DQ4</f>
        <v>0</v>
      </c>
      <c r="MS12" s="96" t="n">
        <f aca="false">[1]ВИБУЛО2!DQ4</f>
        <v>0</v>
      </c>
      <c r="MT12" s="97" t="n">
        <f aca="false">MT11-MS12+MR12</f>
        <v>0</v>
      </c>
      <c r="MU12" s="95" t="n">
        <f aca="false">[1]НАДІЙШЛО2!DR4</f>
        <v>0</v>
      </c>
      <c r="MV12" s="96" t="n">
        <f aca="false">[1]ВИБУЛО2!DR4</f>
        <v>0</v>
      </c>
      <c r="MW12" s="97" t="n">
        <f aca="false">MW11-MV12+MU12</f>
        <v>0</v>
      </c>
      <c r="MX12" s="95" t="n">
        <f aca="false">[1]НАДІЙШЛО2!DS4</f>
        <v>0</v>
      </c>
      <c r="MY12" s="96" t="n">
        <f aca="false">[1]ВИБУЛО2!DS4</f>
        <v>0</v>
      </c>
      <c r="MZ12" s="97" t="n">
        <f aca="false">MZ11-MY12+MX12</f>
        <v>0</v>
      </c>
      <c r="NA12" s="95" t="n">
        <f aca="false">[1]НАДІЙШЛО2!DT4</f>
        <v>0</v>
      </c>
      <c r="NB12" s="96" t="n">
        <f aca="false">[1]ВИБУЛО2!DT4</f>
        <v>0</v>
      </c>
      <c r="NC12" s="97" t="n">
        <f aca="false">NC11-NB12+NA12</f>
        <v>0</v>
      </c>
      <c r="ND12" s="95" t="n">
        <f aca="false">[1]НАДІЙШЛО2!DU4</f>
        <v>0</v>
      </c>
      <c r="NE12" s="96" t="n">
        <f aca="false">[1]ВИБУЛО2!DU4</f>
        <v>0</v>
      </c>
      <c r="NF12" s="97" t="n">
        <f aca="false">NF11-NE12+ND12</f>
        <v>0</v>
      </c>
      <c r="NG12" s="95" t="n">
        <f aca="false">[1]НАДІЙШЛО2!DV4</f>
        <v>0</v>
      </c>
      <c r="NH12" s="96" t="n">
        <f aca="false">[1]ВИБУЛО2!DV4</f>
        <v>0</v>
      </c>
      <c r="NI12" s="97" t="n">
        <f aca="false">NI11-NH12+NG12</f>
        <v>0</v>
      </c>
      <c r="NJ12" s="95" t="n">
        <f aca="false">[1]НАДІЙШЛО2!DW4</f>
        <v>0</v>
      </c>
      <c r="NK12" s="96" t="n">
        <f aca="false">[1]ВИБУЛО2!DW4</f>
        <v>0</v>
      </c>
      <c r="NL12" s="97" t="n">
        <f aca="false">NL11-NK12+NJ12</f>
        <v>0</v>
      </c>
      <c r="NM12" s="95" t="n">
        <f aca="false">[1]НАДІЙШЛО2!DX4</f>
        <v>0</v>
      </c>
      <c r="NN12" s="96" t="n">
        <f aca="false">[1]ВИБУЛО2!DX4</f>
        <v>0</v>
      </c>
      <c r="NO12" s="97" t="n">
        <f aca="false">NO11-NN12+NM12</f>
        <v>0</v>
      </c>
      <c r="NP12" s="95" t="n">
        <f aca="false">[1]НАДІЙШЛО2!DY4</f>
        <v>0</v>
      </c>
      <c r="NQ12" s="96" t="n">
        <f aca="false">[1]ВИБУЛО2!DY4</f>
        <v>0</v>
      </c>
      <c r="NR12" s="97" t="n">
        <f aca="false">NR11-NQ12+NP12</f>
        <v>0</v>
      </c>
      <c r="NS12" s="95" t="n">
        <f aca="false">[1]НАДІЙШЛО2!DZ4</f>
        <v>0</v>
      </c>
      <c r="NT12" s="96" t="n">
        <f aca="false">[1]ВИБУЛО2!DZ4</f>
        <v>0</v>
      </c>
      <c r="NU12" s="97" t="n">
        <f aca="false">NU11-NT12+NS12</f>
        <v>0</v>
      </c>
      <c r="NV12" s="95" t="n">
        <f aca="false">[1]НАДІЙШЛО2!EA4</f>
        <v>0</v>
      </c>
      <c r="NW12" s="96" t="n">
        <f aca="false">[1]ВИБУЛО2!EA4</f>
        <v>0</v>
      </c>
      <c r="NX12" s="97" t="n">
        <f aca="false">NX11-NW12+NV12</f>
        <v>0</v>
      </c>
      <c r="NY12" s="95" t="n">
        <f aca="false">[1]НАДІЙШЛО2!EB4</f>
        <v>0</v>
      </c>
      <c r="NZ12" s="96" t="n">
        <f aca="false">[1]ВИБУЛО2!EB4</f>
        <v>0</v>
      </c>
      <c r="OA12" s="97" t="n">
        <f aca="false">OA11-NZ12+NY12</f>
        <v>0</v>
      </c>
      <c r="OB12" s="95" t="n">
        <f aca="false">[1]НАДІЙШЛО2!EC4</f>
        <v>0</v>
      </c>
      <c r="OC12" s="96" t="n">
        <f aca="false">[1]ВИБУЛО2!EC4</f>
        <v>0</v>
      </c>
      <c r="OD12" s="97" t="n">
        <f aca="false">OD11-OC12+OB12</f>
        <v>0</v>
      </c>
      <c r="OE12" s="95" t="n">
        <f aca="false">[1]НАДІЙШЛО2!ED4</f>
        <v>0</v>
      </c>
      <c r="OF12" s="96" t="n">
        <f aca="false">[1]ВИБУЛО2!ED4</f>
        <v>0</v>
      </c>
      <c r="OG12" s="97" t="n">
        <f aca="false">OG11-OF12+OE12</f>
        <v>0</v>
      </c>
      <c r="OH12" s="95" t="n">
        <f aca="false">[1]НАДІЙШЛО2!EE4</f>
        <v>0</v>
      </c>
      <c r="OI12" s="96" t="n">
        <f aca="false">[1]ВИБУЛО2!EE4</f>
        <v>0</v>
      </c>
      <c r="OJ12" s="97" t="n">
        <f aca="false">OJ11-OI12+OH12</f>
        <v>0</v>
      </c>
      <c r="OK12" s="95" t="n">
        <f aca="false">[1]НАДІЙШЛО2!EF4</f>
        <v>0</v>
      </c>
      <c r="OL12" s="96" t="n">
        <f aca="false">[1]ВИБУЛО2!EF4</f>
        <v>0</v>
      </c>
      <c r="OM12" s="97" t="n">
        <f aca="false">OM11-OL12+OK12</f>
        <v>0</v>
      </c>
      <c r="ON12" s="95" t="n">
        <f aca="false">[1]НАДІЙШЛО2!EG4</f>
        <v>0</v>
      </c>
      <c r="OO12" s="96" t="n">
        <f aca="false">[1]ВИБУЛО2!EG4</f>
        <v>0</v>
      </c>
      <c r="OP12" s="97" t="n">
        <f aca="false">OP11-OO12+ON12</f>
        <v>0</v>
      </c>
      <c r="OQ12" s="95" t="n">
        <f aca="false">[1]НАДІЙШЛО2!EH4</f>
        <v>0</v>
      </c>
      <c r="OR12" s="96" t="n">
        <f aca="false">[1]ВИБУЛО2!EH4</f>
        <v>0</v>
      </c>
      <c r="OS12" s="97" t="n">
        <f aca="false">OS11-OR12+OQ12</f>
        <v>0</v>
      </c>
      <c r="OT12" s="95" t="n">
        <f aca="false">[1]НАДІЙШЛО2!EI4</f>
        <v>0</v>
      </c>
      <c r="OU12" s="96" t="n">
        <f aca="false">[1]ВИБУЛО2!EI4</f>
        <v>0</v>
      </c>
      <c r="OV12" s="97" t="n">
        <f aca="false">OV11-OU12+OT12</f>
        <v>0</v>
      </c>
      <c r="OW12" s="95" t="n">
        <f aca="false">[1]НАДІЙШЛО2!EJ4</f>
        <v>0</v>
      </c>
      <c r="OX12" s="96" t="n">
        <f aca="false">[1]ВИБУЛО2!EJ4</f>
        <v>0</v>
      </c>
      <c r="OY12" s="97" t="n">
        <f aca="false">OY11-OX12+OW12</f>
        <v>0</v>
      </c>
      <c r="OZ12" s="95" t="n">
        <f aca="false">[1]НАДІЙШЛО2!EK4</f>
        <v>0</v>
      </c>
      <c r="PA12" s="96" t="n">
        <f aca="false">[1]ВИБУЛО2!EK4</f>
        <v>0</v>
      </c>
      <c r="PB12" s="97" t="n">
        <f aca="false">PB11-PA12+OZ12</f>
        <v>0</v>
      </c>
      <c r="PC12" s="95" t="n">
        <f aca="false">[1]НАДІЙШЛО2!EL4</f>
        <v>0</v>
      </c>
      <c r="PD12" s="96" t="n">
        <f aca="false">[1]ВИБУЛО2!EL4</f>
        <v>0</v>
      </c>
      <c r="PE12" s="97" t="n">
        <f aca="false">PE11-PD12+PC12</f>
        <v>0</v>
      </c>
      <c r="PF12" s="95" t="n">
        <f aca="false">[1]НАДІЙШЛО2!EM4</f>
        <v>0</v>
      </c>
      <c r="PG12" s="96" t="n">
        <f aca="false">[1]ВИБУЛО2!EM4</f>
        <v>0</v>
      </c>
      <c r="PH12" s="97" t="n">
        <f aca="false">PH11-PG12+PF12</f>
        <v>0</v>
      </c>
      <c r="PI12" s="95" t="n">
        <f aca="false">[1]НАДІЙШЛО2!EN4</f>
        <v>0</v>
      </c>
      <c r="PJ12" s="96" t="n">
        <f aca="false">[1]ВИБУЛО2!EN4</f>
        <v>0</v>
      </c>
      <c r="PK12" s="97" t="n">
        <f aca="false">PK11-PJ12+PI12</f>
        <v>0</v>
      </c>
      <c r="PL12" s="95" t="n">
        <f aca="false">[1]НАДІЙШЛО2!EO4</f>
        <v>0</v>
      </c>
      <c r="PM12" s="96" t="n">
        <f aca="false">[1]ВИБУЛО2!EO4</f>
        <v>0</v>
      </c>
      <c r="PN12" s="97" t="n">
        <f aca="false">PN11-PM12+PL12</f>
        <v>0</v>
      </c>
      <c r="PO12" s="95" t="n">
        <f aca="false">[1]НАДІЙШЛО2!EP4</f>
        <v>0</v>
      </c>
      <c r="PP12" s="96" t="n">
        <f aca="false">[1]ВИБУЛО2!EP4</f>
        <v>0</v>
      </c>
      <c r="PQ12" s="97" t="n">
        <f aca="false">PQ11-PP12+PO12</f>
        <v>0</v>
      </c>
      <c r="PR12" s="95" t="n">
        <f aca="false">[1]НАДІЙШЛО2!EQ4</f>
        <v>0</v>
      </c>
      <c r="PS12" s="96" t="n">
        <f aca="false">[1]ВИБУЛО2!EQ4</f>
        <v>0</v>
      </c>
      <c r="PT12" s="97" t="n">
        <f aca="false">PT11-PS12+PR12</f>
        <v>0</v>
      </c>
      <c r="PU12" s="95" t="n">
        <f aca="false">[1]НАДІЙШЛО2!ER4</f>
        <v>0</v>
      </c>
      <c r="PV12" s="96" t="n">
        <f aca="false">[1]ВИБУЛО2!ER4</f>
        <v>0</v>
      </c>
      <c r="PW12" s="97" t="n">
        <f aca="false">PW11-PV12+PU12</f>
        <v>0</v>
      </c>
      <c r="PX12" s="95" t="n">
        <f aca="false">[1]НАДІЙШЛО2!ES4</f>
        <v>0</v>
      </c>
      <c r="PY12" s="96" t="n">
        <f aca="false">[1]ВИБУЛО2!ES4</f>
        <v>0</v>
      </c>
      <c r="PZ12" s="97" t="n">
        <f aca="false">PZ11-PY12+PX12</f>
        <v>0</v>
      </c>
      <c r="QA12" s="95" t="n">
        <f aca="false">[1]НАДІЙШЛО2!ET4</f>
        <v>0</v>
      </c>
      <c r="QB12" s="96" t="n">
        <f aca="false">[1]ВИБУЛО2!ET4</f>
        <v>0</v>
      </c>
      <c r="QC12" s="97" t="n">
        <f aca="false">QC11-QB12+QA12</f>
        <v>0</v>
      </c>
      <c r="QD12" s="95" t="n">
        <f aca="false">[1]НАДІЙШЛО2!EU4</f>
        <v>0</v>
      </c>
      <c r="QE12" s="96" t="n">
        <f aca="false">[1]ВИБУЛО2!EU4</f>
        <v>0</v>
      </c>
      <c r="QF12" s="97" t="n">
        <f aca="false">QF11-QE12+QD12</f>
        <v>0</v>
      </c>
      <c r="QG12" s="95" t="n">
        <f aca="false">[1]НАДІЙШЛО2!EV4</f>
        <v>0</v>
      </c>
      <c r="QH12" s="96" t="n">
        <f aca="false">[1]ВИБУЛО2!EV4</f>
        <v>0</v>
      </c>
      <c r="QI12" s="97" t="n">
        <f aca="false">QI11-QH12+QG12</f>
        <v>0</v>
      </c>
      <c r="QJ12" s="95" t="n">
        <f aca="false">[1]НАДІЙШЛО2!EW4</f>
        <v>0</v>
      </c>
      <c r="QK12" s="96" t="n">
        <f aca="false">[1]ВИБУЛО2!EW4</f>
        <v>0</v>
      </c>
      <c r="QL12" s="97" t="n">
        <f aca="false">QL11-QK12+QJ12</f>
        <v>0</v>
      </c>
      <c r="QM12" s="95" t="n">
        <f aca="false">[1]НАДІЙШЛО2!EX4</f>
        <v>0</v>
      </c>
      <c r="QN12" s="96" t="n">
        <f aca="false">[1]ВИБУЛО2!EX4</f>
        <v>0</v>
      </c>
      <c r="QO12" s="97" t="n">
        <f aca="false">QO11-QN12+QM12</f>
        <v>0</v>
      </c>
      <c r="QP12" s="95" t="n">
        <f aca="false">[1]НАДІЙШЛО2!EY4</f>
        <v>0</v>
      </c>
      <c r="QQ12" s="96" t="n">
        <f aca="false">[1]ВИБУЛО2!EY4</f>
        <v>0</v>
      </c>
      <c r="QR12" s="97" t="n">
        <f aca="false">QR11-QQ12+QP12</f>
        <v>0</v>
      </c>
      <c r="QS12" s="95" t="n">
        <f aca="false">[1]НАДІЙШЛО2!EZ4</f>
        <v>0</v>
      </c>
      <c r="QT12" s="96" t="n">
        <f aca="false">[1]ВИБУЛО2!EZ4</f>
        <v>0</v>
      </c>
      <c r="QU12" s="97" t="n">
        <f aca="false">QU11-QT12+QS12</f>
        <v>0</v>
      </c>
      <c r="QV12" s="95" t="n">
        <f aca="false">[1]НАДІЙШЛО2!FA4</f>
        <v>0</v>
      </c>
      <c r="QW12" s="96" t="n">
        <f aca="false">[1]ВИБУЛО2!FA4</f>
        <v>0</v>
      </c>
      <c r="QX12" s="97" t="n">
        <f aca="false">QX11-QW12+QV12</f>
        <v>0</v>
      </c>
      <c r="QY12" s="95" t="n">
        <f aca="false">[1]НАДІЙШЛО2!FB4</f>
        <v>0</v>
      </c>
      <c r="QZ12" s="96" t="n">
        <f aca="false">[1]ВИБУЛО2!FB4</f>
        <v>0</v>
      </c>
      <c r="RA12" s="97" t="n">
        <f aca="false">RA11-QZ12+QY12</f>
        <v>0</v>
      </c>
      <c r="RB12" s="95" t="n">
        <f aca="false">[1]НАДІЙШЛО2!FC4</f>
        <v>0</v>
      </c>
      <c r="RC12" s="96" t="n">
        <f aca="false">[1]ВИБУЛО2!FC4</f>
        <v>0</v>
      </c>
      <c r="RD12" s="97" t="n">
        <f aca="false">RD11-RC12+RB12</f>
        <v>0</v>
      </c>
      <c r="RE12" s="95" t="n">
        <f aca="false">[1]НАДІЙШЛО2!FD4</f>
        <v>0</v>
      </c>
      <c r="RF12" s="96" t="n">
        <f aca="false">[1]ВИБУЛО2!FD4</f>
        <v>0</v>
      </c>
      <c r="RG12" s="97" t="n">
        <f aca="false">RG11-RF12+RE12</f>
        <v>0</v>
      </c>
      <c r="RH12" s="95" t="n">
        <f aca="false">[1]НАДІЙШЛО2!FE4</f>
        <v>0</v>
      </c>
      <c r="RI12" s="96" t="n">
        <f aca="false">[1]ВИБУЛО2!FE4</f>
        <v>0</v>
      </c>
      <c r="RJ12" s="97" t="n">
        <f aca="false">RJ11-RI12+RH12</f>
        <v>0</v>
      </c>
      <c r="RK12" s="95" t="n">
        <f aca="false">[1]НАДІЙШЛО2!FF4</f>
        <v>0</v>
      </c>
      <c r="RL12" s="96" t="n">
        <f aca="false">[1]ВИБУЛО2!FF4</f>
        <v>0</v>
      </c>
      <c r="RM12" s="97" t="n">
        <f aca="false">RM11-RL12+RK12</f>
        <v>0</v>
      </c>
      <c r="RN12" s="95" t="n">
        <f aca="false">[1]НАДІЙШЛО2!FG4</f>
        <v>0</v>
      </c>
      <c r="RO12" s="96" t="n">
        <f aca="false">[1]ВИБУЛО2!FG4</f>
        <v>0</v>
      </c>
      <c r="RP12" s="97" t="n">
        <f aca="false">RP11-RO12+RN12</f>
        <v>0</v>
      </c>
      <c r="RQ12" s="95" t="n">
        <f aca="false">[1]НАДІЙШЛО2!FH4</f>
        <v>0</v>
      </c>
      <c r="RR12" s="96" t="n">
        <f aca="false">[1]ВИБУЛО2!FH4</f>
        <v>0</v>
      </c>
      <c r="RS12" s="97" t="n">
        <f aca="false">RS11-RR12+RQ12</f>
        <v>0</v>
      </c>
      <c r="RT12" s="95" t="n">
        <f aca="false">[1]НАДІЙШЛО2!FI4</f>
        <v>0</v>
      </c>
      <c r="RU12" s="96" t="n">
        <f aca="false">[1]ВИБУЛО2!FI4</f>
        <v>0</v>
      </c>
      <c r="RV12" s="97" t="n">
        <f aca="false">RV11-RU12+RT12</f>
        <v>0</v>
      </c>
      <c r="RW12" s="95" t="n">
        <f aca="false">[1]НАДІЙШЛО2!FJ4</f>
        <v>0</v>
      </c>
      <c r="RX12" s="96" t="n">
        <f aca="false">[1]ВИБУЛО2!FJ4</f>
        <v>0</v>
      </c>
      <c r="RY12" s="97" t="n">
        <f aca="false">RY11-RX12+RW12</f>
        <v>0</v>
      </c>
      <c r="RZ12" s="95" t="n">
        <f aca="false">[1]НАДІЙШЛО2!FK4</f>
        <v>0</v>
      </c>
      <c r="SA12" s="96" t="n">
        <f aca="false">[1]ВИБУЛО2!FK4</f>
        <v>0</v>
      </c>
      <c r="SB12" s="97" t="n">
        <f aca="false">SB11-SA12+RZ12</f>
        <v>0</v>
      </c>
      <c r="SC12" s="95" t="n">
        <f aca="false">[1]НАДІЙШЛО2!FL4</f>
        <v>0</v>
      </c>
      <c r="SD12" s="96" t="n">
        <f aca="false">[1]ВИБУЛО2!FL4</f>
        <v>0</v>
      </c>
      <c r="SE12" s="97" t="n">
        <f aca="false">SE11-SD12+SC12</f>
        <v>0</v>
      </c>
      <c r="SF12" s="95" t="n">
        <f aca="false">[1]НАДІЙШЛО2!FM4</f>
        <v>0</v>
      </c>
      <c r="SG12" s="96" t="n">
        <f aca="false">[1]ВИБУЛО2!FM4</f>
        <v>0</v>
      </c>
      <c r="SH12" s="97" t="n">
        <f aca="false">SH11-SG12+SF12</f>
        <v>0</v>
      </c>
      <c r="SI12" s="95" t="n">
        <f aca="false">[1]НАДІЙШЛО2!FN4</f>
        <v>0</v>
      </c>
      <c r="SJ12" s="96" t="n">
        <f aca="false">[1]ВИБУЛО2!FN4</f>
        <v>0</v>
      </c>
      <c r="SK12" s="97" t="n">
        <f aca="false">SK11-SJ12+SI12</f>
        <v>0</v>
      </c>
      <c r="SL12" s="95" t="n">
        <f aca="false">[1]НАДІЙШЛО2!FO4</f>
        <v>0</v>
      </c>
      <c r="SM12" s="96" t="n">
        <f aca="false">[1]ВИБУЛО2!FO4</f>
        <v>0</v>
      </c>
      <c r="SN12" s="97" t="n">
        <f aca="false">SN11-SM12+SL12</f>
        <v>0</v>
      </c>
      <c r="SO12" s="95" t="n">
        <f aca="false">[1]НАДІЙШЛО2!FP4</f>
        <v>0</v>
      </c>
      <c r="SP12" s="96" t="n">
        <f aca="false">[1]ВИБУЛО2!FP4</f>
        <v>0</v>
      </c>
      <c r="SQ12" s="97" t="n">
        <f aca="false">SQ11-SP12+SO12</f>
        <v>0</v>
      </c>
      <c r="SR12" s="95" t="n">
        <f aca="false">[1]НАДІЙШЛО2!FQ4</f>
        <v>0</v>
      </c>
      <c r="SS12" s="96" t="n">
        <f aca="false">[1]ВИБУЛО2!FQ4</f>
        <v>0</v>
      </c>
      <c r="ST12" s="97" t="n">
        <f aca="false">ST11-SS12+SR12</f>
        <v>0</v>
      </c>
      <c r="SU12" s="95" t="n">
        <f aca="false">[1]НАДІЙШЛО2!FR4</f>
        <v>0</v>
      </c>
      <c r="SV12" s="96" t="n">
        <f aca="false">[1]ВИБУЛО2!FR4</f>
        <v>0</v>
      </c>
      <c r="SW12" s="97" t="n">
        <f aca="false">SW11-SV12+SU12</f>
        <v>0</v>
      </c>
      <c r="SX12" s="95" t="n">
        <f aca="false">[1]НАДІЙШЛО2!FS4</f>
        <v>0</v>
      </c>
      <c r="SY12" s="96" t="n">
        <f aca="false">[1]ВИБУЛО2!FS4</f>
        <v>0</v>
      </c>
      <c r="SZ12" s="97" t="n">
        <f aca="false">SZ11-SY12+SX12</f>
        <v>0</v>
      </c>
      <c r="TA12" s="95" t="n">
        <f aca="false">[1]НАДІЙШЛО2!FT4</f>
        <v>0</v>
      </c>
      <c r="TB12" s="96" t="n">
        <f aca="false">[1]ВИБУЛО2!FT4</f>
        <v>0</v>
      </c>
      <c r="TC12" s="97" t="n">
        <f aca="false">TC11-TB12+TA12</f>
        <v>0</v>
      </c>
      <c r="TD12" s="95" t="n">
        <f aca="false">[1]НАДІЙШЛО2!FU4</f>
        <v>0</v>
      </c>
      <c r="TE12" s="96" t="n">
        <f aca="false">[1]ВИБУЛО2!FU4</f>
        <v>0</v>
      </c>
      <c r="TF12" s="97" t="n">
        <f aca="false">TF11-TE12+TD12</f>
        <v>0</v>
      </c>
      <c r="TG12" s="95" t="n">
        <f aca="false">[1]НАДІЙШЛО2!FV4</f>
        <v>0</v>
      </c>
      <c r="TH12" s="96" t="n">
        <f aca="false">[1]ВИБУЛО2!FV4</f>
        <v>0</v>
      </c>
      <c r="TI12" s="97" t="n">
        <f aca="false">TI11-TH12+TG12</f>
        <v>0</v>
      </c>
      <c r="TJ12" s="95" t="n">
        <f aca="false">[1]НАДІЙШЛО2!FW4</f>
        <v>0</v>
      </c>
      <c r="TK12" s="96" t="n">
        <f aca="false">[1]ВИБУЛО2!FW4</f>
        <v>0</v>
      </c>
      <c r="TL12" s="97" t="n">
        <f aca="false">TL11-TK12+TJ12</f>
        <v>0</v>
      </c>
      <c r="TM12" s="95" t="n">
        <f aca="false">[1]НАДІЙШЛО2!FX4</f>
        <v>0</v>
      </c>
      <c r="TN12" s="96" t="n">
        <f aca="false">[1]ВИБУЛО2!FX4</f>
        <v>0</v>
      </c>
      <c r="TO12" s="97" t="n">
        <f aca="false">TO11-TN12+TM12</f>
        <v>0</v>
      </c>
      <c r="TP12" s="95" t="n">
        <f aca="false">[1]НАДІЙШЛО2!FY4</f>
        <v>0</v>
      </c>
      <c r="TQ12" s="96" t="n">
        <f aca="false">[1]ВИБУЛО2!FY4</f>
        <v>0</v>
      </c>
      <c r="TR12" s="97" t="n">
        <f aca="false">TR11-TQ12+TP12</f>
        <v>0</v>
      </c>
      <c r="TS12" s="95" t="n">
        <f aca="false">[1]НАДІЙШЛО2!FZ4</f>
        <v>0</v>
      </c>
      <c r="TT12" s="96" t="n">
        <f aca="false">[1]ВИБУЛО2!FZ4</f>
        <v>0</v>
      </c>
      <c r="TU12" s="97" t="n">
        <f aca="false">TU11-TT12+TS12</f>
        <v>0</v>
      </c>
      <c r="TV12" s="95" t="n">
        <f aca="false">[1]НАДІЙШЛО2!GA4</f>
        <v>0</v>
      </c>
      <c r="TW12" s="96" t="n">
        <f aca="false">[1]ВИБУЛО2!GA4</f>
        <v>0</v>
      </c>
      <c r="TX12" s="97" t="n">
        <f aca="false">TX11-TW12+TV12</f>
        <v>0</v>
      </c>
      <c r="TY12" s="95" t="n">
        <f aca="false">[1]НАДІЙШЛО2!GB4</f>
        <v>0</v>
      </c>
      <c r="TZ12" s="96" t="n">
        <f aca="false">[1]ВИБУЛО2!GB4</f>
        <v>0</v>
      </c>
      <c r="UA12" s="97" t="n">
        <f aca="false">UA11-TZ12+TY12</f>
        <v>0</v>
      </c>
      <c r="UB12" s="95" t="n">
        <f aca="false">[1]НАДІЙШЛО2!GC4</f>
        <v>0</v>
      </c>
      <c r="UC12" s="96" t="n">
        <f aca="false">[1]ВИБУЛО2!GC4</f>
        <v>0</v>
      </c>
      <c r="UD12" s="97" t="n">
        <f aca="false">UD11-UC12+UB12</f>
        <v>0</v>
      </c>
      <c r="UE12" s="95" t="n">
        <f aca="false">[1]НАДІЙШЛО2!GD4</f>
        <v>0</v>
      </c>
      <c r="UF12" s="96" t="n">
        <f aca="false">[1]ВИБУЛО2!GD4</f>
        <v>0</v>
      </c>
      <c r="UG12" s="97" t="n">
        <f aca="false">UG11-UF12+UE12</f>
        <v>0</v>
      </c>
      <c r="UH12" s="95" t="n">
        <f aca="false">[1]НАДІЙШЛО2!GE4</f>
        <v>0</v>
      </c>
      <c r="UI12" s="96" t="n">
        <f aca="false">[1]ВИБУЛО2!GE4</f>
        <v>0</v>
      </c>
      <c r="UJ12" s="97" t="n">
        <f aca="false">UJ11-UI12+UH12</f>
        <v>0</v>
      </c>
      <c r="UK12" s="95" t="n">
        <f aca="false">[1]НАДІЙШЛО2!GF4</f>
        <v>0</v>
      </c>
      <c r="UL12" s="96" t="n">
        <f aca="false">[1]ВИБУЛО2!GF4</f>
        <v>0</v>
      </c>
      <c r="UM12" s="97" t="n">
        <f aca="false">UM11-UL12+UK12</f>
        <v>0</v>
      </c>
      <c r="UN12" s="95" t="n">
        <f aca="false">[1]НАДІЙШЛО2!GG4</f>
        <v>0</v>
      </c>
      <c r="UO12" s="96" t="n">
        <f aca="false">[1]ВИБУЛО2!GG4</f>
        <v>0</v>
      </c>
      <c r="UP12" s="97" t="n">
        <f aca="false">UP11-UO12+UN12</f>
        <v>0</v>
      </c>
      <c r="UQ12" s="95" t="n">
        <f aca="false">[1]НАДІЙШЛО2!GH4</f>
        <v>0</v>
      </c>
      <c r="UR12" s="96" t="n">
        <f aca="false">[1]ВИБУЛО2!GH4</f>
        <v>0</v>
      </c>
      <c r="US12" s="97" t="n">
        <f aca="false">US11-UR12+UQ12</f>
        <v>0</v>
      </c>
      <c r="UT12" s="95" t="n">
        <f aca="false">[1]НАДІЙШЛО2!GI4</f>
        <v>0</v>
      </c>
      <c r="UU12" s="96" t="n">
        <f aca="false">[1]ВИБУЛО2!GI4</f>
        <v>0</v>
      </c>
      <c r="UV12" s="97" t="n">
        <f aca="false">UV11-UU12+UT12</f>
        <v>0</v>
      </c>
      <c r="UW12" s="95" t="n">
        <f aca="false">[1]НАДІЙШЛО2!GJ4</f>
        <v>0</v>
      </c>
      <c r="UX12" s="96" t="n">
        <f aca="false">[1]ВИБУЛО2!GJ4</f>
        <v>0</v>
      </c>
      <c r="UY12" s="97" t="n">
        <f aca="false">UY11-UX12+UW12</f>
        <v>0</v>
      </c>
      <c r="UZ12" s="95" t="n">
        <f aca="false">[1]НАДІЙШЛО2!GK4</f>
        <v>0</v>
      </c>
      <c r="VA12" s="96" t="n">
        <f aca="false">[1]ВИБУЛО2!GK4</f>
        <v>0</v>
      </c>
      <c r="VB12" s="97" t="n">
        <f aca="false">VB11-VA12+UZ12</f>
        <v>0</v>
      </c>
      <c r="VC12" s="95" t="n">
        <f aca="false">[1]НАДІЙШЛО2!GL4</f>
        <v>0</v>
      </c>
      <c r="VD12" s="96" t="n">
        <f aca="false">[1]ВИБУЛО2!GL4</f>
        <v>0</v>
      </c>
      <c r="VE12" s="97" t="n">
        <f aca="false">VE11-VD12+VC12</f>
        <v>0</v>
      </c>
      <c r="VF12" s="95" t="n">
        <f aca="false">[1]НАДІЙШЛО2!GM4</f>
        <v>0</v>
      </c>
      <c r="VG12" s="96" t="n">
        <f aca="false">[1]ВИБУЛО2!GM4</f>
        <v>0</v>
      </c>
      <c r="VH12" s="97" t="n">
        <f aca="false">VH11-VG12+VF12</f>
        <v>0</v>
      </c>
      <c r="VI12" s="95" t="n">
        <f aca="false">[1]НАДІЙШЛО2!GN4</f>
        <v>0</v>
      </c>
      <c r="VJ12" s="96" t="n">
        <f aca="false">[1]ВИБУЛО2!GN4</f>
        <v>0</v>
      </c>
      <c r="VK12" s="97" t="n">
        <f aca="false">VK11-VJ12+VI12</f>
        <v>0</v>
      </c>
      <c r="VL12" s="95" t="n">
        <f aca="false">[1]НАДІЙШЛО2!GO4</f>
        <v>0</v>
      </c>
      <c r="VM12" s="96" t="n">
        <f aca="false">[1]ВИБУЛО2!GO4</f>
        <v>0</v>
      </c>
      <c r="VN12" s="97" t="n">
        <f aca="false">VN11-VM12+VL12</f>
        <v>0</v>
      </c>
      <c r="VO12" s="95" t="n">
        <f aca="false">[1]НАДІЙШЛО2!GP4</f>
        <v>0</v>
      </c>
      <c r="VP12" s="96" t="n">
        <f aca="false">[1]ВИБУЛО2!GP4</f>
        <v>0</v>
      </c>
      <c r="VQ12" s="97" t="n">
        <f aca="false">VQ11-VP12+VO12</f>
        <v>0</v>
      </c>
      <c r="VR12" s="95" t="n">
        <f aca="false">[1]НАДІЙШЛО2!GQ4</f>
        <v>0</v>
      </c>
      <c r="VS12" s="96" t="n">
        <f aca="false">[1]ВИБУЛО2!GQ4</f>
        <v>0</v>
      </c>
      <c r="VT12" s="97" t="n">
        <f aca="false">VT11-VS12+VR12</f>
        <v>0</v>
      </c>
      <c r="VU12" s="95" t="n">
        <f aca="false">[1]НАДІЙШЛО2!GR4</f>
        <v>0</v>
      </c>
      <c r="VV12" s="96" t="n">
        <f aca="false">[1]ВИБУЛО2!GR4</f>
        <v>0</v>
      </c>
      <c r="VW12" s="97" t="n">
        <f aca="false">VW11-VV12+VU12</f>
        <v>0</v>
      </c>
      <c r="VX12" s="95" t="n">
        <f aca="false">[1]НАДІЙШЛО2!GS4</f>
        <v>0</v>
      </c>
      <c r="VY12" s="96" t="n">
        <f aca="false">[1]ВИБУЛО2!GS4</f>
        <v>0</v>
      </c>
      <c r="VZ12" s="97" t="n">
        <f aca="false">VZ11-VY12+VX12</f>
        <v>0</v>
      </c>
      <c r="WA12" s="95" t="n">
        <f aca="false">[1]НАДІЙШЛО2!GT4</f>
        <v>0</v>
      </c>
      <c r="WB12" s="96" t="n">
        <f aca="false">[1]ВИБУЛО2!GT4</f>
        <v>0</v>
      </c>
      <c r="WC12" s="97" t="n">
        <f aca="false">WC11-WB12+WA12</f>
        <v>0</v>
      </c>
      <c r="WD12" s="95" t="n">
        <f aca="false">[1]НАДІЙШЛО2!GU4</f>
        <v>0</v>
      </c>
      <c r="WE12" s="96" t="n">
        <f aca="false">[1]ВИБУЛО2!GU4</f>
        <v>0</v>
      </c>
      <c r="WF12" s="97" t="n">
        <f aca="false">WF11-WE12+WD12</f>
        <v>0</v>
      </c>
      <c r="WG12" s="95" t="n">
        <f aca="false">[1]НАДІЙШЛО2!GV4</f>
        <v>0</v>
      </c>
      <c r="WH12" s="96" t="n">
        <f aca="false">[1]ВИБУЛО2!GV4</f>
        <v>0</v>
      </c>
      <c r="WI12" s="97" t="n">
        <f aca="false">WI11-WH12+WG12</f>
        <v>0</v>
      </c>
      <c r="WJ12" s="95" t="n">
        <f aca="false">[1]НАДІЙШЛО2!GW4</f>
        <v>0</v>
      </c>
      <c r="WK12" s="96" t="n">
        <f aca="false">[1]ВИБУЛО2!GW4</f>
        <v>0</v>
      </c>
      <c r="WL12" s="97" t="n">
        <f aca="false">WL11-WK12+WJ12</f>
        <v>0</v>
      </c>
      <c r="WM12" s="95" t="n">
        <f aca="false">[1]НАДІЙШЛО2!GX4</f>
        <v>0</v>
      </c>
      <c r="WN12" s="96" t="n">
        <f aca="false">[1]ВИБУЛО2!GX4</f>
        <v>0</v>
      </c>
      <c r="WO12" s="97" t="n">
        <f aca="false">WO11-WN12+WM12</f>
        <v>0</v>
      </c>
      <c r="WP12" s="95" t="n">
        <f aca="false">[1]НАДІЙШЛО2!GY4</f>
        <v>0</v>
      </c>
      <c r="WQ12" s="96" t="n">
        <f aca="false">[1]ВИБУЛО2!GY4</f>
        <v>0</v>
      </c>
      <c r="WR12" s="97" t="n">
        <f aca="false">WR11-WQ12+WP12</f>
        <v>0</v>
      </c>
      <c r="WS12" s="95" t="n">
        <f aca="false">[1]НАДІЙШЛО2!GZ4</f>
        <v>0</v>
      </c>
      <c r="WT12" s="96" t="n">
        <f aca="false">[1]ВИБУЛО2!GZ4</f>
        <v>0</v>
      </c>
      <c r="WU12" s="97" t="n">
        <f aca="false">WU11-WT12+WS12</f>
        <v>0</v>
      </c>
      <c r="WV12" s="95" t="n">
        <f aca="false">[1]НАДІЙШЛО2!HA4</f>
        <v>0</v>
      </c>
      <c r="WW12" s="96" t="n">
        <f aca="false">[1]ВИБУЛО2!HA4</f>
        <v>0</v>
      </c>
      <c r="WX12" s="97" t="n">
        <f aca="false">WX11-WW12+WV12</f>
        <v>0</v>
      </c>
      <c r="WY12" s="95" t="n">
        <f aca="false">[1]НАДІЙШЛО2!HB4</f>
        <v>0</v>
      </c>
      <c r="WZ12" s="96" t="n">
        <f aca="false">[1]ВИБУЛО2!HB4</f>
        <v>0</v>
      </c>
      <c r="XA12" s="97" t="n">
        <f aca="false">XA11-WZ12+WY12</f>
        <v>0</v>
      </c>
      <c r="XB12" s="95" t="n">
        <f aca="false">[1]НАДІЙШЛО2!HC4</f>
        <v>0</v>
      </c>
      <c r="XC12" s="96" t="n">
        <f aca="false">[1]ВИБУЛО2!HC4</f>
        <v>0</v>
      </c>
      <c r="XD12" s="97" t="n">
        <f aca="false">XD11-XC12+XB12</f>
        <v>0</v>
      </c>
      <c r="XE12" s="95" t="n">
        <f aca="false">[1]НАДІЙШЛО2!HD4</f>
        <v>0</v>
      </c>
      <c r="XF12" s="96" t="n">
        <f aca="false">[1]ВИБУЛО2!HD4</f>
        <v>0</v>
      </c>
      <c r="XG12" s="97" t="n">
        <f aca="false">XG11-XF12+XE12</f>
        <v>0</v>
      </c>
      <c r="XH12" s="95" t="n">
        <f aca="false">[1]НАДІЙШЛО2!HE4</f>
        <v>0</v>
      </c>
      <c r="XI12" s="96" t="n">
        <f aca="false">[1]ВИБУЛО2!HE4</f>
        <v>0</v>
      </c>
      <c r="XJ12" s="97" t="n">
        <f aca="false">XJ11-XI12+XH12</f>
        <v>0</v>
      </c>
      <c r="XK12" s="95" t="n">
        <f aca="false">[1]НАДІЙШЛО2!HF4</f>
        <v>0</v>
      </c>
      <c r="XL12" s="96" t="n">
        <f aca="false">[1]ВИБУЛО2!HF4</f>
        <v>0</v>
      </c>
      <c r="XM12" s="97" t="n">
        <f aca="false">XM11-XL12+XK12</f>
        <v>0</v>
      </c>
      <c r="XN12" s="95" t="n">
        <f aca="false">[1]НАДІЙШЛО2!HG4</f>
        <v>0</v>
      </c>
      <c r="XO12" s="96" t="n">
        <f aca="false">[1]ВИБУЛО2!HG4</f>
        <v>0</v>
      </c>
      <c r="XP12" s="97" t="n">
        <f aca="false">XP11-XO12+XN12</f>
        <v>0</v>
      </c>
      <c r="XQ12" s="95" t="n">
        <f aca="false">[1]НАДІЙШЛО2!HH4</f>
        <v>0</v>
      </c>
      <c r="XR12" s="96" t="n">
        <f aca="false">[1]ВИБУЛО2!HH4</f>
        <v>0</v>
      </c>
      <c r="XS12" s="97" t="n">
        <f aca="false">XS11-XR12+XQ12</f>
        <v>0</v>
      </c>
      <c r="XT12" s="95" t="n">
        <f aca="false">[1]НАДІЙШЛО2!HI4</f>
        <v>0</v>
      </c>
      <c r="XU12" s="96" t="n">
        <f aca="false">[1]ВИБУЛО2!HI4</f>
        <v>0</v>
      </c>
      <c r="XV12" s="97" t="n">
        <f aca="false">XV11-XU12+XT12</f>
        <v>0</v>
      </c>
      <c r="XW12" s="95" t="n">
        <f aca="false">[1]НАДІЙШЛО2!HJ4</f>
        <v>0</v>
      </c>
      <c r="XX12" s="96" t="n">
        <f aca="false">[1]ВИБУЛО2!HJ4</f>
        <v>0</v>
      </c>
      <c r="XY12" s="97" t="n">
        <f aca="false">XY11-XX12+XW12</f>
        <v>0</v>
      </c>
      <c r="XZ12" s="95" t="n">
        <f aca="false">[1]НАДІЙШЛО2!HK4</f>
        <v>0</v>
      </c>
      <c r="YA12" s="96" t="n">
        <f aca="false">[1]ВИБУЛО2!HK4</f>
        <v>0</v>
      </c>
      <c r="YB12" s="97" t="n">
        <f aca="false">YB11-YA12+XZ12</f>
        <v>0</v>
      </c>
      <c r="YC12" s="95" t="n">
        <f aca="false">[1]НАДІЙШЛО2!HL4</f>
        <v>0</v>
      </c>
      <c r="YD12" s="96" t="n">
        <f aca="false">[1]ВИБУЛО2!HL4</f>
        <v>0</v>
      </c>
      <c r="YE12" s="97" t="n">
        <f aca="false">YE11-YD12+YC12</f>
        <v>0</v>
      </c>
      <c r="YF12" s="95" t="n">
        <f aca="false">[1]НАДІЙШЛО2!HM4</f>
        <v>0</v>
      </c>
      <c r="YG12" s="96" t="n">
        <f aca="false">[1]ВИБУЛО2!HM4</f>
        <v>0</v>
      </c>
      <c r="YH12" s="97" t="n">
        <f aca="false">YH11-YG12+YF12</f>
        <v>0</v>
      </c>
      <c r="YI12" s="95" t="n">
        <f aca="false">[1]НАДІЙШЛО2!HN4</f>
        <v>0</v>
      </c>
      <c r="YJ12" s="96" t="n">
        <f aca="false">[1]ВИБУЛО2!HN4</f>
        <v>0</v>
      </c>
      <c r="YK12" s="97" t="n">
        <f aca="false">YK11-YJ12+YI12</f>
        <v>0</v>
      </c>
      <c r="YL12" s="95" t="n">
        <f aca="false">[1]НАДІЙШЛО2!HO4</f>
        <v>0</v>
      </c>
      <c r="YM12" s="96" t="n">
        <f aca="false">[1]ВИБУЛО2!HO4</f>
        <v>0</v>
      </c>
      <c r="YN12" s="97" t="n">
        <f aca="false">YN11-YM12+YL12</f>
        <v>0</v>
      </c>
      <c r="YO12" s="95" t="n">
        <f aca="false">[1]НАДІЙШЛО2!HP4</f>
        <v>0</v>
      </c>
      <c r="YP12" s="96" t="n">
        <f aca="false">[1]ВИБУЛО2!HP4</f>
        <v>0</v>
      </c>
      <c r="YQ12" s="97" t="n">
        <f aca="false">YQ11-YP12+YO12</f>
        <v>0</v>
      </c>
      <c r="YR12" s="95" t="n">
        <f aca="false">[1]НАДІЙШЛО2!HQ4</f>
        <v>0</v>
      </c>
      <c r="YS12" s="96" t="n">
        <f aca="false">[1]ВИБУЛО2!HQ4</f>
        <v>0</v>
      </c>
      <c r="YT12" s="97" t="n">
        <f aca="false">YT11-YS12+YR12</f>
        <v>0</v>
      </c>
      <c r="YU12" s="95" t="n">
        <f aca="false">[1]НАДІЙШЛО2!HR4</f>
        <v>0</v>
      </c>
      <c r="YV12" s="96" t="n">
        <f aca="false">[1]ВИБУЛО2!HR4</f>
        <v>0</v>
      </c>
      <c r="YW12" s="97" t="n">
        <f aca="false">YW11-YV12+YU12</f>
        <v>0</v>
      </c>
      <c r="YX12" s="95" t="n">
        <f aca="false">[1]НАДІЙШЛО2!HS4</f>
        <v>0</v>
      </c>
      <c r="YY12" s="96" t="n">
        <f aca="false">[1]ВИБУЛО2!HS4</f>
        <v>0</v>
      </c>
      <c r="YZ12" s="97" t="n">
        <f aca="false">YZ11-YY12+YX12</f>
        <v>0</v>
      </c>
      <c r="ZA12" s="95" t="n">
        <f aca="false">[1]НАДІЙШЛО2!HT4</f>
        <v>0</v>
      </c>
      <c r="ZB12" s="96" t="n">
        <f aca="false">[1]ВИБУЛО2!HT4</f>
        <v>0</v>
      </c>
      <c r="ZC12" s="97" t="n">
        <f aca="false">ZC11-ZB12+ZA12</f>
        <v>0</v>
      </c>
      <c r="ZD12" s="95" t="n">
        <f aca="false">[1]НАДІЙШЛО2!HU4</f>
        <v>0</v>
      </c>
      <c r="ZE12" s="96" t="n">
        <f aca="false">[1]ВИБУЛО2!HU4</f>
        <v>0</v>
      </c>
      <c r="ZF12" s="97" t="n">
        <f aca="false">ZF11-ZE12+ZD12</f>
        <v>0</v>
      </c>
      <c r="ZG12" s="95" t="n">
        <f aca="false">[1]НАДІЙШЛО2!HV4</f>
        <v>0</v>
      </c>
      <c r="ZH12" s="96" t="n">
        <f aca="false">[1]ВИБУЛО2!HV4</f>
        <v>0</v>
      </c>
      <c r="ZI12" s="97" t="n">
        <f aca="false">ZI11-ZH12+ZG12</f>
        <v>0</v>
      </c>
      <c r="ZJ12" s="95" t="n">
        <f aca="false">[1]НАДІЙШЛО2!HW4</f>
        <v>0</v>
      </c>
      <c r="ZK12" s="96" t="n">
        <f aca="false">[1]ВИБУЛО2!HW4</f>
        <v>0</v>
      </c>
      <c r="ZL12" s="97" t="n">
        <f aca="false">ZL11-ZK12+ZJ12</f>
        <v>0</v>
      </c>
      <c r="ZM12" s="95" t="n">
        <f aca="false">[1]НАДІЙШЛО2!HX4</f>
        <v>0</v>
      </c>
      <c r="ZN12" s="96" t="n">
        <f aca="false">[1]ВИБУЛО2!HX4</f>
        <v>0</v>
      </c>
      <c r="ZO12" s="97" t="n">
        <f aca="false">ZO11-ZN12+ZM12</f>
        <v>0</v>
      </c>
      <c r="ZP12" s="95" t="n">
        <f aca="false">[1]НАДІЙШЛО2!HY4</f>
        <v>0</v>
      </c>
      <c r="ZQ12" s="96" t="n">
        <f aca="false">[1]ВИБУЛО2!HY4</f>
        <v>0</v>
      </c>
      <c r="ZR12" s="97" t="n">
        <f aca="false">ZR11-ZQ12+ZP12</f>
        <v>0</v>
      </c>
      <c r="ZS12" s="95" t="n">
        <f aca="false">[1]НАДІЙШЛО2!HZ4</f>
        <v>0</v>
      </c>
      <c r="ZT12" s="96" t="n">
        <f aca="false">[1]ВИБУЛО2!HZ4</f>
        <v>0</v>
      </c>
      <c r="ZU12" s="97" t="n">
        <f aca="false">ZU11-ZT12+ZS12</f>
        <v>0</v>
      </c>
      <c r="ZV12" s="95" t="n">
        <f aca="false">[1]НАДІЙШЛО2!IA4</f>
        <v>0</v>
      </c>
      <c r="ZW12" s="96" t="n">
        <f aca="false">[1]ВИБУЛО2!IA4</f>
        <v>0</v>
      </c>
      <c r="ZX12" s="97" t="n">
        <f aca="false">ZX11-ZW12+ZV12</f>
        <v>0</v>
      </c>
      <c r="ZY12" s="95" t="n">
        <f aca="false">[1]НАДІЙШЛО2!IB4</f>
        <v>0</v>
      </c>
      <c r="ZZ12" s="96" t="n">
        <f aca="false">[1]ВИБУЛО2!IB4</f>
        <v>0</v>
      </c>
      <c r="AAA12" s="97" t="n">
        <f aca="false">AAA11-ZZ12+ZY12</f>
        <v>0</v>
      </c>
      <c r="AAB12" s="95" t="n">
        <f aca="false">[1]НАДІЙШЛО2!IC4</f>
        <v>0</v>
      </c>
      <c r="AAC12" s="96" t="n">
        <f aca="false">[1]ВИБУЛО2!IC4</f>
        <v>0</v>
      </c>
      <c r="AAD12" s="97" t="n">
        <f aca="false">AAD11-AAC12+AAB12</f>
        <v>0</v>
      </c>
      <c r="AAE12" s="95" t="n">
        <f aca="false">[1]НАДІЙШЛО2!ID4</f>
        <v>0</v>
      </c>
      <c r="AAF12" s="96" t="n">
        <f aca="false">[1]ВИБУЛО2!ID4</f>
        <v>0</v>
      </c>
      <c r="AAG12" s="97" t="n">
        <f aca="false">AAG11-AAF12+AAE12</f>
        <v>0</v>
      </c>
      <c r="AAH12" s="95" t="n">
        <f aca="false">[1]НАДІЙШЛО2!IE4</f>
        <v>0</v>
      </c>
      <c r="AAI12" s="96" t="n">
        <f aca="false">[1]ВИБУЛО2!IE4</f>
        <v>0</v>
      </c>
      <c r="AAJ12" s="97" t="n">
        <f aca="false">AAJ11-AAI12+AAH12</f>
        <v>0</v>
      </c>
      <c r="AAK12" s="95" t="n">
        <f aca="false">[1]НАДІЙШЛО2!IF4</f>
        <v>0</v>
      </c>
      <c r="AAL12" s="96" t="n">
        <f aca="false">[1]ВИБУЛО2!IF4</f>
        <v>0</v>
      </c>
      <c r="AAM12" s="97" t="n">
        <f aca="false">AAM11-AAL12+AAK12</f>
        <v>0</v>
      </c>
      <c r="AAN12" s="95" t="n">
        <f aca="false">[1]НАДІЙШЛО2!IG4</f>
        <v>0</v>
      </c>
      <c r="AAO12" s="96" t="n">
        <f aca="false">[1]ВИБУЛО2!IG4</f>
        <v>0</v>
      </c>
      <c r="AAP12" s="97" t="n">
        <f aca="false">AAP11-AAO12+AAN12</f>
        <v>0</v>
      </c>
      <c r="AAQ12" s="95" t="n">
        <f aca="false">[1]НАДІЙШЛО2!IH4</f>
        <v>0</v>
      </c>
      <c r="AAR12" s="96" t="n">
        <f aca="false">[1]ВИБУЛО2!IH4</f>
        <v>0</v>
      </c>
      <c r="AAS12" s="97" t="n">
        <f aca="false">AAS11-AAR12+AAQ12</f>
        <v>0</v>
      </c>
      <c r="AAT12" s="95" t="n">
        <f aca="false">[1]НАДІЙШЛО2!II4</f>
        <v>0</v>
      </c>
      <c r="AAU12" s="96" t="n">
        <f aca="false">[1]ВИБУЛО2!II4</f>
        <v>0</v>
      </c>
      <c r="AAV12" s="97" t="n">
        <f aca="false">AAV11-AAU12+AAT12</f>
        <v>0</v>
      </c>
      <c r="AAW12" s="95" t="n">
        <f aca="false">[1]НАДІЙШЛО2!IJ4</f>
        <v>0</v>
      </c>
      <c r="AAX12" s="96" t="n">
        <f aca="false">[1]ВИБУЛО2!IJ4</f>
        <v>0</v>
      </c>
      <c r="AAY12" s="97" t="n">
        <f aca="false">AAY11-AAX12+AAW12</f>
        <v>0</v>
      </c>
      <c r="AAZ12" s="95" t="n">
        <f aca="false">[1]НАДІЙШЛО2!IK4</f>
        <v>0</v>
      </c>
      <c r="ABA12" s="96" t="n">
        <f aca="false">[1]ВИБУЛО2!IK4</f>
        <v>0</v>
      </c>
      <c r="ABB12" s="97" t="n">
        <f aca="false">ABB11-ABA12+AAZ12</f>
        <v>0</v>
      </c>
      <c r="ABC12" s="95" t="n">
        <f aca="false">[1]НАДІЙШЛО2!IL4</f>
        <v>0</v>
      </c>
      <c r="ABD12" s="96" t="n">
        <f aca="false">[1]ВИБУЛО2!IL4</f>
        <v>0</v>
      </c>
      <c r="ABE12" s="97" t="n">
        <f aca="false">ABE11-ABD12+ABC12</f>
        <v>0</v>
      </c>
      <c r="ABF12" s="95" t="n">
        <f aca="false">[1]НАДІЙШЛО2!IM4</f>
        <v>0</v>
      </c>
      <c r="ABG12" s="96" t="n">
        <f aca="false">[1]ВИБУЛО2!IM4</f>
        <v>0</v>
      </c>
      <c r="ABH12" s="97" t="n">
        <f aca="false">ABH11-ABG12+ABF12</f>
        <v>0</v>
      </c>
      <c r="ABI12" s="95" t="n">
        <f aca="false">[1]НАДІЙШЛО2!IN4</f>
        <v>0</v>
      </c>
      <c r="ABJ12" s="96" t="n">
        <f aca="false">[1]ВИБУЛО2!IN4</f>
        <v>0</v>
      </c>
      <c r="ABK12" s="97" t="n">
        <f aca="false">ABK11-ABJ12+ABI12</f>
        <v>0</v>
      </c>
      <c r="ABL12" s="95" t="n">
        <f aca="false">[1]НАДІЙШЛО2!IO4</f>
        <v>0</v>
      </c>
      <c r="ABM12" s="96" t="n">
        <f aca="false">[1]ВИБУЛО2!IO4</f>
        <v>0</v>
      </c>
      <c r="ABN12" s="97" t="n">
        <f aca="false">ABN11-ABM12+ABL12</f>
        <v>0</v>
      </c>
      <c r="ABO12" s="95" t="n">
        <f aca="false">[1]НАДІЙШЛО2!IP4</f>
        <v>0</v>
      </c>
      <c r="ABP12" s="96" t="n">
        <f aca="false">[1]ВИБУЛО2!IP4</f>
        <v>0</v>
      </c>
      <c r="ABQ12" s="97" t="n">
        <f aca="false">ABQ11-ABP12+ABO12</f>
        <v>0</v>
      </c>
      <c r="ABR12" s="95" t="n">
        <f aca="false">[1]НАДІЙШЛО2!IQ4</f>
        <v>0</v>
      </c>
      <c r="ABS12" s="96" t="n">
        <f aca="false">[1]ВИБУЛО2!IQ4</f>
        <v>0</v>
      </c>
      <c r="ABT12" s="97" t="n">
        <f aca="false">ABT11-ABS12+ABR12</f>
        <v>0</v>
      </c>
      <c r="ABU12" s="95" t="n">
        <f aca="false">[1]НАДІЙШЛО2!IR4</f>
        <v>0</v>
      </c>
      <c r="ABV12" s="96" t="n">
        <f aca="false">[1]ВИБУЛО2!IR4</f>
        <v>0</v>
      </c>
      <c r="ABW12" s="97" t="n">
        <f aca="false">ABW11-ABV12+ABU12</f>
        <v>0</v>
      </c>
      <c r="ABX12" s="95" t="n">
        <f aca="false">[1]НАДІЙШЛО2!IS4</f>
        <v>0</v>
      </c>
      <c r="ABY12" s="96" t="n">
        <f aca="false">[1]ВИБУЛО2!IS4</f>
        <v>0</v>
      </c>
      <c r="ABZ12" s="97" t="n">
        <f aca="false">ABZ11-ABY12+ABX12</f>
        <v>0</v>
      </c>
      <c r="ACA12" s="95" t="n">
        <f aca="false">[1]НАДІЙШЛО2!IT4</f>
        <v>0</v>
      </c>
      <c r="ACB12" s="96" t="n">
        <f aca="false">[1]ВИБУЛО2!IT4</f>
        <v>0</v>
      </c>
      <c r="ACC12" s="97" t="n">
        <f aca="false">ACC11-ACB12+ACA12</f>
        <v>0</v>
      </c>
      <c r="ACD12" s="95" t="n">
        <f aca="false">[1]НАДІЙШЛО2!IU4</f>
        <v>0</v>
      </c>
      <c r="ACE12" s="96" t="n">
        <f aca="false">[1]ВИБУЛО2!IU4</f>
        <v>0</v>
      </c>
      <c r="ACF12" s="97" t="n">
        <f aca="false">ACF11-ACE12+ACD12</f>
        <v>0</v>
      </c>
      <c r="ACG12" s="95" t="n">
        <f aca="false">[1]НАДІЙШЛО2!IV4</f>
        <v>0</v>
      </c>
      <c r="ACH12" s="96" t="n">
        <f aca="false">[1]ВИБУЛО2!IV4</f>
        <v>0</v>
      </c>
      <c r="ACI12" s="97" t="n">
        <f aca="false">ACI11-ACH12+ACG12</f>
        <v>0</v>
      </c>
      <c r="ACJ12" s="95" t="n">
        <f aca="false">[1]НАДІЙШЛО2!IW4</f>
        <v>0</v>
      </c>
      <c r="ACK12" s="96" t="n">
        <f aca="false">[1]ВИБУЛО2!IW4</f>
        <v>0</v>
      </c>
      <c r="ACL12" s="97" t="n">
        <f aca="false">ACL11-ACK12+ACJ12</f>
        <v>0</v>
      </c>
      <c r="ACM12" s="95" t="n">
        <f aca="false">[1]НАДІЙШЛО2!IX4</f>
        <v>0</v>
      </c>
      <c r="ACN12" s="96" t="n">
        <f aca="false">[1]ВИБУЛО2!IX4</f>
        <v>0</v>
      </c>
      <c r="ACO12" s="97" t="n">
        <f aca="false">ACO11-ACN12+ACM12</f>
        <v>0</v>
      </c>
      <c r="ACP12" s="95" t="n">
        <f aca="false">[1]НАДІЙШЛО2!IY4</f>
        <v>0</v>
      </c>
      <c r="ACQ12" s="96" t="n">
        <f aca="false">[1]ВИБУЛО2!IY4</f>
        <v>0</v>
      </c>
      <c r="ACR12" s="97" t="n">
        <f aca="false">ACR11-ACQ12+ACP12</f>
        <v>0</v>
      </c>
      <c r="ACS12" s="95" t="n">
        <f aca="false">[1]НАДІЙШЛО2!IZ4</f>
        <v>0</v>
      </c>
      <c r="ACT12" s="96" t="n">
        <f aca="false">[1]ВИБУЛО2!IZ4</f>
        <v>0</v>
      </c>
      <c r="ACU12" s="97" t="n">
        <f aca="false">ACU11-ACT12+ACS12</f>
        <v>0</v>
      </c>
      <c r="ACV12" s="95" t="n">
        <f aca="false">[1]НАДІЙШЛО2!JA4</f>
        <v>0</v>
      </c>
      <c r="ACW12" s="96" t="n">
        <f aca="false">[1]ВИБУЛО2!JA4</f>
        <v>0</v>
      </c>
      <c r="ACX12" s="97" t="n">
        <f aca="false">ACX11-ACW12+ACV12</f>
        <v>0</v>
      </c>
      <c r="ACY12" s="95" t="n">
        <f aca="false">[1]НАДІЙШЛО2!JB4</f>
        <v>0</v>
      </c>
      <c r="ACZ12" s="96" t="n">
        <f aca="false">[1]ВИБУЛО2!JB4</f>
        <v>0</v>
      </c>
      <c r="ADA12" s="97" t="n">
        <f aca="false">ADA11-ACZ12+ACY12</f>
        <v>0</v>
      </c>
      <c r="ADB12" s="95" t="n">
        <f aca="false">[1]НАДІЙШЛО2!JC4</f>
        <v>0</v>
      </c>
      <c r="ADC12" s="96" t="n">
        <f aca="false">[1]ВИБУЛО2!JC4</f>
        <v>0</v>
      </c>
      <c r="ADD12" s="97" t="n">
        <f aca="false">ADD11-ADC12+ADB12</f>
        <v>0</v>
      </c>
      <c r="ADE12" s="95" t="n">
        <f aca="false">[1]НАДІЙШЛО2!JD4</f>
        <v>0</v>
      </c>
      <c r="ADF12" s="96" t="n">
        <f aca="false">[1]ВИБУЛО2!JD4</f>
        <v>0</v>
      </c>
      <c r="ADG12" s="97" t="n">
        <f aca="false">ADG11-ADF12+ADE12</f>
        <v>0</v>
      </c>
      <c r="ADH12" s="95" t="n">
        <f aca="false">[1]НАДІЙШЛО2!JE4</f>
        <v>0</v>
      </c>
      <c r="ADI12" s="96" t="n">
        <f aca="false">[1]ВИБУЛО2!JE4</f>
        <v>0</v>
      </c>
      <c r="ADJ12" s="97" t="n">
        <f aca="false">ADJ11-ADI12+ADH12</f>
        <v>0</v>
      </c>
      <c r="ADK12" s="95" t="n">
        <f aca="false">[1]НАДІЙШЛО2!JF4</f>
        <v>0</v>
      </c>
      <c r="ADL12" s="96" t="n">
        <f aca="false">[1]ВИБУЛО2!JF4</f>
        <v>0</v>
      </c>
      <c r="ADM12" s="97" t="n">
        <f aca="false">ADM11-ADL12+ADK12</f>
        <v>0</v>
      </c>
      <c r="ADN12" s="95" t="n">
        <f aca="false">[1]НАДІЙШЛО2!JG4</f>
        <v>0</v>
      </c>
      <c r="ADO12" s="96" t="n">
        <f aca="false">[1]ВИБУЛО2!JG4</f>
        <v>0</v>
      </c>
      <c r="ADP12" s="97" t="n">
        <f aca="false">ADP11-ADO12+ADN12</f>
        <v>0</v>
      </c>
      <c r="ADQ12" s="95" t="n">
        <f aca="false">[1]НАДІЙШЛО2!JH4</f>
        <v>0</v>
      </c>
      <c r="ADR12" s="96" t="n">
        <f aca="false">[1]ВИБУЛО2!JH4</f>
        <v>0</v>
      </c>
      <c r="ADS12" s="97" t="n">
        <f aca="false">ADS11-ADR12+ADQ12</f>
        <v>0</v>
      </c>
      <c r="ADT12" s="95" t="n">
        <f aca="false">[1]НАДІЙШЛО2!JI4</f>
        <v>0</v>
      </c>
      <c r="ADU12" s="96" t="n">
        <f aca="false">[1]ВИБУЛО2!JI4</f>
        <v>0</v>
      </c>
      <c r="ADV12" s="97" t="n">
        <f aca="false">ADV11-ADU12+ADT12</f>
        <v>0</v>
      </c>
      <c r="ADW12" s="95" t="n">
        <f aca="false">[1]НАДІЙШЛО2!JJ4</f>
        <v>0</v>
      </c>
      <c r="ADX12" s="96" t="n">
        <f aca="false">[1]ВИБУЛО2!JJ4</f>
        <v>0</v>
      </c>
      <c r="ADY12" s="97" t="n">
        <f aca="false">ADY11-ADX12+ADW12</f>
        <v>0</v>
      </c>
      <c r="ADZ12" s="95" t="n">
        <f aca="false">[1]НАДІЙШЛО2!JK4</f>
        <v>0</v>
      </c>
      <c r="AEA12" s="96" t="n">
        <f aca="false">[1]ВИБУЛО2!JK4</f>
        <v>0</v>
      </c>
      <c r="AEB12" s="97" t="n">
        <f aca="false">AEB11-AEA12+ADZ12</f>
        <v>0</v>
      </c>
      <c r="AEC12" s="95" t="n">
        <f aca="false">[1]НАДІЙШЛО2!JL4</f>
        <v>0</v>
      </c>
      <c r="AED12" s="96" t="n">
        <f aca="false">[1]ВИБУЛО2!JL4</f>
        <v>0</v>
      </c>
      <c r="AEE12" s="97" t="n">
        <f aca="false">AEE11-AED12+AEC12</f>
        <v>0</v>
      </c>
      <c r="AEF12" s="95" t="n">
        <f aca="false">[1]НАДІЙШЛО2!JM4</f>
        <v>0</v>
      </c>
      <c r="AEG12" s="96" t="n">
        <f aca="false">[1]ВИБУЛО2!JM4</f>
        <v>0</v>
      </c>
      <c r="AEH12" s="97" t="n">
        <f aca="false">AEH11-AEG12+AEF12</f>
        <v>0</v>
      </c>
      <c r="AEI12" s="95" t="n">
        <f aca="false">[1]НАДІЙШЛО2!JN4</f>
        <v>0</v>
      </c>
      <c r="AEJ12" s="96" t="n">
        <f aca="false">[1]ВИБУЛО2!JN4</f>
        <v>0</v>
      </c>
      <c r="AEK12" s="97" t="n">
        <f aca="false">AEK11-AEJ12+AEI12</f>
        <v>0</v>
      </c>
      <c r="AEL12" s="95" t="n">
        <f aca="false">[1]НАДІЙШЛО2!JO4</f>
        <v>0</v>
      </c>
      <c r="AEM12" s="96" t="n">
        <f aca="false">[1]ВИБУЛО2!JO4</f>
        <v>0</v>
      </c>
      <c r="AEN12" s="97" t="n">
        <f aca="false">AEN11-AEM12+AEL12</f>
        <v>0</v>
      </c>
      <c r="AEO12" s="95" t="n">
        <f aca="false">[1]НАДІЙШЛО2!JP4</f>
        <v>0</v>
      </c>
      <c r="AEP12" s="96" t="n">
        <f aca="false">[1]ВИБУЛО2!JP4</f>
        <v>0</v>
      </c>
      <c r="AEQ12" s="97" t="n">
        <f aca="false">AEQ11-AEP12+AEO12</f>
        <v>0</v>
      </c>
      <c r="AER12" s="95" t="n">
        <f aca="false">[1]НАДІЙШЛО2!JQ4</f>
        <v>0</v>
      </c>
      <c r="AES12" s="96" t="n">
        <f aca="false">[1]ВИБУЛО2!JQ4</f>
        <v>0</v>
      </c>
      <c r="AET12" s="97" t="n">
        <f aca="false">AET11-AES12+AER12</f>
        <v>0</v>
      </c>
      <c r="AEU12" s="95" t="n">
        <f aca="false">[1]НАДІЙШЛО2!JR4</f>
        <v>0</v>
      </c>
      <c r="AEV12" s="96" t="n">
        <f aca="false">[1]ВИБУЛО2!JR4</f>
        <v>0</v>
      </c>
      <c r="AEW12" s="97" t="n">
        <f aca="false">AEW11-AEV12+AEU12</f>
        <v>0</v>
      </c>
      <c r="AEX12" s="95" t="n">
        <f aca="false">[1]НАДІЙШЛО2!JS4</f>
        <v>0</v>
      </c>
      <c r="AEY12" s="96" t="n">
        <f aca="false">[1]ВИБУЛО2!JS4</f>
        <v>0</v>
      </c>
      <c r="AEZ12" s="97" t="n">
        <f aca="false">AEZ11-AEY12+AEX12</f>
        <v>0</v>
      </c>
      <c r="AFA12" s="95" t="n">
        <f aca="false">[1]НАДІЙШЛО2!JT4</f>
        <v>0</v>
      </c>
      <c r="AFB12" s="96" t="n">
        <f aca="false">[1]ВИБУЛО2!JT4</f>
        <v>0</v>
      </c>
      <c r="AFC12" s="97" t="n">
        <f aca="false">AFC11-AFB12+AFA12</f>
        <v>0</v>
      </c>
      <c r="AFD12" s="95" t="n">
        <f aca="false">[1]НАДІЙШЛО2!JU4</f>
        <v>0</v>
      </c>
      <c r="AFE12" s="96" t="n">
        <f aca="false">[1]ВИБУЛО2!JU4</f>
        <v>0</v>
      </c>
      <c r="AFF12" s="97" t="n">
        <f aca="false">AFF11-AFE12+AFD12</f>
        <v>0</v>
      </c>
      <c r="AFG12" s="95" t="n">
        <f aca="false">[1]НАДІЙШЛО2!JV4</f>
        <v>0</v>
      </c>
      <c r="AFH12" s="96" t="n">
        <f aca="false">[1]ВИБУЛО2!JV4</f>
        <v>0</v>
      </c>
      <c r="AFI12" s="97" t="n">
        <f aca="false">AFI11-AFH12+AFG12</f>
        <v>0</v>
      </c>
      <c r="AFJ12" s="95" t="n">
        <f aca="false">[1]НАДІЙШЛО2!JW4</f>
        <v>0</v>
      </c>
      <c r="AFK12" s="96" t="n">
        <f aca="false">[1]ВИБУЛО2!JW4</f>
        <v>0</v>
      </c>
      <c r="AFL12" s="97" t="n">
        <f aca="false">AFL11-AFK12+AFJ12</f>
        <v>0</v>
      </c>
      <c r="AFM12" s="95" t="n">
        <f aca="false">[1]НАДІЙШЛО2!JX4</f>
        <v>0</v>
      </c>
      <c r="AFN12" s="96" t="n">
        <f aca="false">[1]ВИБУЛО2!JX4</f>
        <v>0</v>
      </c>
      <c r="AFO12" s="97" t="n">
        <f aca="false">AFO11-AFN12+AFM12</f>
        <v>0</v>
      </c>
      <c r="AFP12" s="95" t="n">
        <f aca="false">[1]НАДІЙШЛО2!JY4</f>
        <v>0</v>
      </c>
      <c r="AFQ12" s="96" t="n">
        <f aca="false">[1]ВИБУЛО2!JY4</f>
        <v>0</v>
      </c>
      <c r="AFR12" s="97" t="n">
        <f aca="false">AFR11-AFQ12+AFP12</f>
        <v>0</v>
      </c>
      <c r="AFS12" s="95" t="n">
        <f aca="false">[1]НАДІЙШЛО2!JZ4</f>
        <v>0</v>
      </c>
      <c r="AFT12" s="96" t="n">
        <f aca="false">[1]ВИБУЛО2!JZ4</f>
        <v>0</v>
      </c>
      <c r="AFU12" s="97" t="n">
        <f aca="false">AFU11-AFT12+AFS12</f>
        <v>0</v>
      </c>
      <c r="AFV12" s="95" t="n">
        <f aca="false">[1]НАДІЙШЛО2!KA4</f>
        <v>0</v>
      </c>
      <c r="AFW12" s="96" t="n">
        <f aca="false">[1]ВИБУЛО2!KA4</f>
        <v>0</v>
      </c>
      <c r="AFX12" s="97" t="n">
        <f aca="false">AFX11-AFW12+AFV12</f>
        <v>0</v>
      </c>
      <c r="AFY12" s="95" t="n">
        <f aca="false">[1]НАДІЙШЛО2!KB4</f>
        <v>0</v>
      </c>
      <c r="AFZ12" s="96" t="n">
        <f aca="false">[1]ВИБУЛО2!KB4</f>
        <v>0</v>
      </c>
      <c r="AGA12" s="97" t="n">
        <f aca="false">AGA11-AFZ12+AFY12</f>
        <v>0</v>
      </c>
      <c r="AGB12" s="95" t="n">
        <f aca="false">[1]НАДІЙШЛО2!KC4</f>
        <v>0</v>
      </c>
      <c r="AGC12" s="96" t="n">
        <f aca="false">[1]ВИБУЛО2!KC4</f>
        <v>0</v>
      </c>
      <c r="AGD12" s="97" t="n">
        <f aca="false">AGD11-AGC12+AGB12</f>
        <v>0</v>
      </c>
      <c r="AGE12" s="95" t="n">
        <f aca="false">[1]НАДІЙШЛО2!KD4</f>
        <v>0</v>
      </c>
      <c r="AGF12" s="96" t="n">
        <f aca="false">[1]ВИБУЛО2!KD4</f>
        <v>0</v>
      </c>
      <c r="AGG12" s="97" t="n">
        <f aca="false">AGG11-AGF12+AGE12</f>
        <v>0</v>
      </c>
      <c r="AGH12" s="95" t="n">
        <f aca="false">[1]НАДІЙШЛО2!KE4</f>
        <v>0</v>
      </c>
      <c r="AGI12" s="96" t="n">
        <f aca="false">[1]ВИБУЛО2!KE4</f>
        <v>0</v>
      </c>
      <c r="AGJ12" s="97" t="n">
        <f aca="false">AGJ11-AGI12+AGH12</f>
        <v>0</v>
      </c>
      <c r="AGK12" s="95" t="n">
        <f aca="false">[1]НАДІЙШЛО2!KF4</f>
        <v>0</v>
      </c>
      <c r="AGL12" s="96" t="n">
        <f aca="false">[1]ВИБУЛО2!KF4</f>
        <v>0</v>
      </c>
      <c r="AGM12" s="97" t="n">
        <f aca="false">AGM11-AGL12+AGK12</f>
        <v>0</v>
      </c>
      <c r="AGN12" s="95" t="n">
        <f aca="false">[1]НАДІЙШЛО2!KG4</f>
        <v>0</v>
      </c>
      <c r="AGO12" s="96" t="n">
        <f aca="false">[1]ВИБУЛО2!KG4</f>
        <v>0</v>
      </c>
      <c r="AGP12" s="97" t="n">
        <f aca="false">AGP11-AGO12+AGN12</f>
        <v>0</v>
      </c>
      <c r="AGQ12" s="95" t="n">
        <f aca="false">[1]НАДІЙШЛО2!KH4</f>
        <v>0</v>
      </c>
      <c r="AGR12" s="96" t="n">
        <f aca="false">[1]ВИБУЛО2!KH4</f>
        <v>0</v>
      </c>
      <c r="AGS12" s="97" t="n">
        <f aca="false">AGS11-AGR12+AGQ12</f>
        <v>0</v>
      </c>
      <c r="AGT12" s="95" t="n">
        <f aca="false">[1]НАДІЙШЛО2!KI4</f>
        <v>0</v>
      </c>
      <c r="AGU12" s="96" t="n">
        <f aca="false">[1]ВИБУЛО2!KI4</f>
        <v>0</v>
      </c>
      <c r="AGV12" s="97" t="n">
        <f aca="false">AGV11-AGU12+AGT12</f>
        <v>0</v>
      </c>
      <c r="AGW12" s="95" t="n">
        <f aca="false">[1]НАДІЙШЛО2!KJ4</f>
        <v>0</v>
      </c>
      <c r="AGX12" s="96" t="n">
        <f aca="false">[1]ВИБУЛО2!KJ4</f>
        <v>0</v>
      </c>
      <c r="AGY12" s="97" t="n">
        <f aca="false">AGY11-AGX12+AGW12</f>
        <v>0</v>
      </c>
      <c r="AGZ12" s="95" t="n">
        <f aca="false">[1]НАДІЙШЛО2!KK4</f>
        <v>0</v>
      </c>
      <c r="AHA12" s="96" t="n">
        <f aca="false">[1]ВИБУЛО2!KK4</f>
        <v>0</v>
      </c>
      <c r="AHB12" s="97" t="n">
        <f aca="false">AHB11-AHA12+AGZ12</f>
        <v>0</v>
      </c>
      <c r="AHC12" s="95" t="n">
        <f aca="false">[1]НАДІЙШЛО2!KL4</f>
        <v>0</v>
      </c>
      <c r="AHD12" s="96" t="n">
        <f aca="false">[1]ВИБУЛО2!KL4</f>
        <v>0</v>
      </c>
      <c r="AHE12" s="97" t="n">
        <f aca="false">AHE11-AHD12+AHC12</f>
        <v>0</v>
      </c>
      <c r="AHF12" s="95" t="n">
        <f aca="false">[1]НАДІЙШЛО2!KM4</f>
        <v>0</v>
      </c>
      <c r="AHG12" s="96" t="n">
        <f aca="false">[1]ВИБУЛО2!KM4</f>
        <v>0</v>
      </c>
      <c r="AHH12" s="97" t="n">
        <f aca="false">AHH11-AHG12+AHF12</f>
        <v>0</v>
      </c>
      <c r="AHI12" s="95" t="n">
        <f aca="false">[1]НАДІЙШЛО2!KN4</f>
        <v>0</v>
      </c>
      <c r="AHJ12" s="96" t="n">
        <f aca="false">[1]ВИБУЛО2!KN4</f>
        <v>0</v>
      </c>
      <c r="AHK12" s="97" t="n">
        <f aca="false">AHK11-AHJ12+AHI12</f>
        <v>0</v>
      </c>
      <c r="AHL12" s="95" t="n">
        <f aca="false">[1]НАДІЙШЛО2!KO4</f>
        <v>0</v>
      </c>
      <c r="AHM12" s="96" t="n">
        <f aca="false">[1]ВИБУЛО2!KO4</f>
        <v>0</v>
      </c>
      <c r="AHN12" s="97" t="n">
        <f aca="false">AHN11-AHM12+AHL12</f>
        <v>0</v>
      </c>
      <c r="AHO12" s="95" t="n">
        <f aca="false">[1]НАДІЙШЛО2!KP4</f>
        <v>0</v>
      </c>
      <c r="AHP12" s="96" t="n">
        <f aca="false">[1]ВИБУЛО2!KP4</f>
        <v>0</v>
      </c>
      <c r="AHQ12" s="97" t="n">
        <f aca="false">AHQ11-AHP12+AHO12</f>
        <v>0</v>
      </c>
      <c r="AHR12" s="95" t="n">
        <f aca="false">[1]НАДІЙШЛО2!KQ4</f>
        <v>0</v>
      </c>
      <c r="AHS12" s="96" t="n">
        <f aca="false">[1]ВИБУЛО2!KQ4</f>
        <v>0</v>
      </c>
      <c r="AHT12" s="97" t="n">
        <f aca="false">AHT11-AHS12+AHR12</f>
        <v>0</v>
      </c>
      <c r="AHU12" s="95" t="n">
        <f aca="false">[1]НАДІЙШЛО2!KR4</f>
        <v>0</v>
      </c>
      <c r="AHV12" s="96" t="n">
        <f aca="false">[1]ВИБУЛО2!KR4</f>
        <v>0</v>
      </c>
      <c r="AHW12" s="97" t="n">
        <f aca="false">AHW11-AHV12+AHU12</f>
        <v>0</v>
      </c>
      <c r="AHX12" s="95" t="n">
        <f aca="false">[1]НАДІЙШЛО2!KS4</f>
        <v>0</v>
      </c>
      <c r="AHY12" s="96" t="n">
        <f aca="false">[1]ВИБУЛО2!KS4</f>
        <v>0</v>
      </c>
      <c r="AHZ12" s="97" t="n">
        <f aca="false">AHZ11-AHY12+AHX12</f>
        <v>0</v>
      </c>
      <c r="AIA12" s="95" t="n">
        <f aca="false">[1]НАДІЙШЛО2!KT4</f>
        <v>0</v>
      </c>
      <c r="AIB12" s="96" t="n">
        <f aca="false">[1]ВИБУЛО2!KT4</f>
        <v>0</v>
      </c>
      <c r="AIC12" s="97" t="n">
        <f aca="false">AIC11-AIB12+AIA12</f>
        <v>0</v>
      </c>
      <c r="AID12" s="95" t="n">
        <f aca="false">[1]НАДІЙШЛО2!KU4</f>
        <v>0</v>
      </c>
      <c r="AIE12" s="96" t="n">
        <f aca="false">[1]ВИБУЛО2!KU4</f>
        <v>0</v>
      </c>
      <c r="AIF12" s="97" t="n">
        <f aca="false">AIF11-AIE12+AID12</f>
        <v>0</v>
      </c>
      <c r="AIG12" s="95" t="n">
        <f aca="false">[1]НАДІЙШЛО2!KV4</f>
        <v>0</v>
      </c>
      <c r="AIH12" s="96" t="n">
        <f aca="false">[1]ВИБУЛО2!KV4</f>
        <v>0</v>
      </c>
      <c r="AII12" s="97" t="n">
        <f aca="false">AII11-AIH12+AIG12</f>
        <v>0</v>
      </c>
      <c r="AIJ12" s="95" t="n">
        <f aca="false">[1]НАДІЙШЛО2!KW4</f>
        <v>0</v>
      </c>
      <c r="AIK12" s="96" t="n">
        <f aca="false">[1]ВИБУЛО2!KW4</f>
        <v>0</v>
      </c>
      <c r="AIL12" s="97" t="n">
        <f aca="false">AIL11-AIK12+AIJ12</f>
        <v>0</v>
      </c>
      <c r="AIM12" s="95" t="n">
        <f aca="false">[1]НАДІЙШЛО2!KX4</f>
        <v>0</v>
      </c>
      <c r="AIN12" s="96" t="n">
        <f aca="false">[1]ВИБУЛО2!KX4</f>
        <v>0</v>
      </c>
      <c r="AIO12" s="97" t="n">
        <f aca="false">AIO11-AIN12+AIM12</f>
        <v>0</v>
      </c>
      <c r="AIP12" s="95" t="n">
        <f aca="false">[1]НАДІЙШЛО2!KY4</f>
        <v>0</v>
      </c>
      <c r="AIQ12" s="96" t="n">
        <f aca="false">[1]ВИБУЛО2!KY4</f>
        <v>0</v>
      </c>
      <c r="AIR12" s="97" t="n">
        <f aca="false">AIR11-AIQ12+AIP12</f>
        <v>0</v>
      </c>
      <c r="AIS12" s="95" t="n">
        <f aca="false">[1]НАДІЙШЛО2!KZ4</f>
        <v>0</v>
      </c>
      <c r="AIT12" s="96" t="n">
        <f aca="false">[1]ВИБУЛО2!KZ4</f>
        <v>0</v>
      </c>
      <c r="AIU12" s="97" t="n">
        <f aca="false">AIU11-AIT12+AIS12</f>
        <v>0</v>
      </c>
      <c r="AIV12" s="95" t="n">
        <f aca="false">[1]НАДІЙШЛО2!LA4</f>
        <v>0</v>
      </c>
      <c r="AIW12" s="96" t="n">
        <f aca="false">[1]ВИБУЛО2!LA4</f>
        <v>0</v>
      </c>
      <c r="AIX12" s="97" t="n">
        <f aca="false">AIX11-AIW12+AIV12</f>
        <v>0</v>
      </c>
      <c r="AIY12" s="95" t="n">
        <f aca="false">[1]НАДІЙШЛО2!LB4</f>
        <v>0</v>
      </c>
      <c r="AIZ12" s="96" t="n">
        <f aca="false">[1]ВИБУЛО2!LB4</f>
        <v>0</v>
      </c>
      <c r="AJA12" s="97" t="n">
        <f aca="false">AJA11-AIZ12+AIY12</f>
        <v>0</v>
      </c>
      <c r="AJB12" s="95" t="n">
        <f aca="false">[1]НАДІЙШЛО2!LC4</f>
        <v>0</v>
      </c>
      <c r="AJC12" s="96" t="n">
        <f aca="false">[1]ВИБУЛО2!LC4</f>
        <v>0</v>
      </c>
      <c r="AJD12" s="97" t="n">
        <f aca="false">AJD11-AJC12+AJB12</f>
        <v>0</v>
      </c>
      <c r="AJE12" s="95" t="n">
        <f aca="false">[1]НАДІЙШЛО2!LD4</f>
        <v>0</v>
      </c>
      <c r="AJF12" s="96" t="n">
        <f aca="false">[1]ВИБУЛО2!LD4</f>
        <v>0</v>
      </c>
      <c r="AJG12" s="97" t="n">
        <f aca="false">AJG11-AJF12+AJE12</f>
        <v>0</v>
      </c>
      <c r="AJH12" s="95" t="n">
        <f aca="false">[1]НАДІЙШЛО2!LE4</f>
        <v>0</v>
      </c>
      <c r="AJI12" s="96" t="n">
        <f aca="false">[1]ВИБУЛО2!LE4</f>
        <v>0</v>
      </c>
      <c r="AJJ12" s="97" t="n">
        <f aca="false">AJJ11-AJI12+AJH12</f>
        <v>0</v>
      </c>
      <c r="AJK12" s="95" t="n">
        <f aca="false">[1]НАДІЙШЛО2!LF4</f>
        <v>0</v>
      </c>
      <c r="AJL12" s="96" t="n">
        <f aca="false">[1]ВИБУЛО2!LF4</f>
        <v>0</v>
      </c>
      <c r="AJM12" s="97" t="n">
        <f aca="false">AJM11-AJL12+AJK12</f>
        <v>0</v>
      </c>
      <c r="AJN12" s="95" t="n">
        <f aca="false">[1]НАДІЙШЛО2!LG4</f>
        <v>0</v>
      </c>
      <c r="AJO12" s="96" t="n">
        <f aca="false">[1]ВИБУЛО2!LG4</f>
        <v>0</v>
      </c>
      <c r="AJP12" s="97" t="n">
        <f aca="false">AJP11-AJO12+AJN12</f>
        <v>0</v>
      </c>
      <c r="AJQ12" s="95" t="n">
        <f aca="false">[1]НАДІЙШЛО2!LH4</f>
        <v>0</v>
      </c>
      <c r="AJR12" s="96" t="n">
        <f aca="false">[1]ВИБУЛО2!LH4</f>
        <v>0</v>
      </c>
      <c r="AJS12" s="97" t="n">
        <f aca="false">AJS11-AJR12+AJQ12</f>
        <v>0</v>
      </c>
      <c r="AJT12" s="95" t="n">
        <f aca="false">[1]НАДІЙШЛО2!LI4</f>
        <v>0</v>
      </c>
      <c r="AJU12" s="96" t="n">
        <f aca="false">[1]ВИБУЛО2!LI4</f>
        <v>0</v>
      </c>
      <c r="AJV12" s="97" t="n">
        <f aca="false">AJV11-AJU12+AJT12</f>
        <v>0</v>
      </c>
      <c r="AJW12" s="95" t="n">
        <f aca="false">[1]НАДІЙШЛО2!LJ4</f>
        <v>0</v>
      </c>
      <c r="AJX12" s="96" t="n">
        <f aca="false">[1]ВИБУЛО2!LJ4</f>
        <v>0</v>
      </c>
      <c r="AJY12" s="97" t="n">
        <f aca="false">AJY11-AJX12+AJW12</f>
        <v>0</v>
      </c>
      <c r="AJZ12" s="95" t="n">
        <f aca="false">[1]НАДІЙШЛО2!LK4</f>
        <v>0</v>
      </c>
      <c r="AKA12" s="96" t="n">
        <f aca="false">[1]ВИБУЛО2!LK4</f>
        <v>0</v>
      </c>
      <c r="AKB12" s="97" t="n">
        <f aca="false">AKB11-AKA12+AJZ12</f>
        <v>0</v>
      </c>
      <c r="AKC12" s="95" t="n">
        <f aca="false">[1]НАДІЙШЛО2!LL4</f>
        <v>0</v>
      </c>
      <c r="AKD12" s="96" t="n">
        <f aca="false">[1]ВИБУЛО2!LL4</f>
        <v>0</v>
      </c>
      <c r="AKE12" s="97" t="n">
        <f aca="false">AKE11-AKD12+AKC12</f>
        <v>0</v>
      </c>
      <c r="AKF12" s="95" t="n">
        <f aca="false">[1]НАДІЙШЛО2!LM4</f>
        <v>0</v>
      </c>
      <c r="AKG12" s="96" t="n">
        <f aca="false">[1]ВИБУЛО2!LM4</f>
        <v>0</v>
      </c>
      <c r="AKH12" s="97" t="n">
        <f aca="false">AKH11-AKG12+AKF12</f>
        <v>0</v>
      </c>
      <c r="AKI12" s="95" t="n">
        <f aca="false">[1]НАДІЙШЛО2!LN4</f>
        <v>0</v>
      </c>
      <c r="AKJ12" s="96" t="n">
        <f aca="false">[1]ВИБУЛО2!LN4</f>
        <v>0</v>
      </c>
      <c r="AKK12" s="97" t="n">
        <f aca="false">AKK11-AKJ12+AKI12</f>
        <v>0</v>
      </c>
      <c r="AKL12" s="95" t="n">
        <f aca="false">[1]НАДІЙШЛО2!LO4</f>
        <v>0</v>
      </c>
      <c r="AKM12" s="96" t="n">
        <f aca="false">[1]ВИБУЛО2!LO4</f>
        <v>0</v>
      </c>
      <c r="AKN12" s="97" t="n">
        <f aca="false">AKN11-AKM12+AKL12</f>
        <v>0</v>
      </c>
      <c r="AKO12" s="95" t="n">
        <f aca="false">[1]НАДІЙШЛО2!LP4</f>
        <v>0</v>
      </c>
      <c r="AKP12" s="96" t="n">
        <f aca="false">[1]ВИБУЛО2!LP4</f>
        <v>0</v>
      </c>
      <c r="AKQ12" s="97" t="n">
        <f aca="false">AKQ11-AKP12+AKO12</f>
        <v>0</v>
      </c>
      <c r="AKR12" s="95" t="n">
        <f aca="false">[1]НАДІЙШЛО2!LQ4</f>
        <v>0</v>
      </c>
      <c r="AKS12" s="96" t="n">
        <f aca="false">[1]ВИБУЛО2!LQ4</f>
        <v>0</v>
      </c>
      <c r="AKT12" s="97" t="n">
        <f aca="false">AKT11-AKS12+AKR12</f>
        <v>0</v>
      </c>
      <c r="AKU12" s="95" t="n">
        <f aca="false">[1]НАДІЙШЛО2!LR4</f>
        <v>0</v>
      </c>
      <c r="AKV12" s="96" t="n">
        <f aca="false">[1]ВИБУЛО2!LR4</f>
        <v>0</v>
      </c>
      <c r="AKW12" s="97" t="n">
        <f aca="false">AKW11-AKV12+AKU12</f>
        <v>0</v>
      </c>
      <c r="AKX12" s="95" t="n">
        <f aca="false">[1]НАДІЙШЛО2!LS4</f>
        <v>0</v>
      </c>
      <c r="AKY12" s="96" t="n">
        <f aca="false">[1]ВИБУЛО2!LS4</f>
        <v>0</v>
      </c>
      <c r="AKZ12" s="97" t="n">
        <f aca="false">AKZ11-AKY12+AKX12</f>
        <v>0</v>
      </c>
      <c r="ALA12" s="95" t="n">
        <f aca="false">[1]НАДІЙШЛО2!LT4</f>
        <v>0</v>
      </c>
      <c r="ALB12" s="96" t="n">
        <f aca="false">[1]ВИБУЛО2!LT4</f>
        <v>0</v>
      </c>
      <c r="ALC12" s="97" t="n">
        <f aca="false">ALC11-ALB12+ALA12</f>
        <v>0</v>
      </c>
      <c r="ALD12" s="95" t="n">
        <f aca="false">[1]НАДІЙШЛО2!LU4</f>
        <v>0</v>
      </c>
      <c r="ALE12" s="96" t="n">
        <f aca="false">[1]ВИБУЛО2!LU4</f>
        <v>0</v>
      </c>
      <c r="ALF12" s="97" t="n">
        <f aca="false">ALF11-ALE12+ALD12</f>
        <v>0</v>
      </c>
      <c r="ALG12" s="95" t="n">
        <f aca="false">[1]НАДІЙШЛО2!LV4</f>
        <v>0</v>
      </c>
      <c r="ALH12" s="96" t="n">
        <f aca="false">[1]ВИБУЛО2!LV4</f>
        <v>0</v>
      </c>
      <c r="ALI12" s="97" t="n">
        <f aca="false">ALI11-ALH12+ALG12</f>
        <v>0</v>
      </c>
      <c r="ALJ12" s="95" t="n">
        <f aca="false">[1]НАДІЙШЛО2!LW4</f>
        <v>0</v>
      </c>
      <c r="ALK12" s="96" t="n">
        <f aca="false">[1]ВИБУЛО2!LW4</f>
        <v>0</v>
      </c>
      <c r="ALL12" s="97" t="n">
        <f aca="false">ALL11-ALK12+ALJ12</f>
        <v>0</v>
      </c>
      <c r="ALM12" s="95" t="n">
        <f aca="false">[1]НАДІЙШЛО2!LX4</f>
        <v>0</v>
      </c>
      <c r="ALN12" s="96" t="n">
        <f aca="false">[1]ВИБУЛО2!LX4</f>
        <v>0</v>
      </c>
      <c r="ALO12" s="97" t="n">
        <f aca="false">ALO11-ALN12+ALM12</f>
        <v>0</v>
      </c>
      <c r="ALP12" s="95" t="n">
        <f aca="false">[1]НАДІЙШЛО2!LY4</f>
        <v>0</v>
      </c>
      <c r="ALQ12" s="96" t="n">
        <f aca="false">[1]ВИБУЛО2!LY4</f>
        <v>0</v>
      </c>
      <c r="ALR12" s="97" t="n">
        <f aca="false">ALR11-ALQ12+ALP12</f>
        <v>0</v>
      </c>
      <c r="ALS12" s="95" t="n">
        <f aca="false">[1]НАДІЙШЛО2!LZ4</f>
        <v>0</v>
      </c>
      <c r="ALT12" s="96" t="n">
        <f aca="false">[1]ВИБУЛО2!LZ4</f>
        <v>0</v>
      </c>
      <c r="ALU12" s="97" t="n">
        <f aca="false">ALU11-ALT12+ALS12</f>
        <v>0</v>
      </c>
      <c r="ALV12" s="95" t="n">
        <f aca="false">[1]НАДІЙШЛО2!MA4</f>
        <v>0</v>
      </c>
      <c r="ALW12" s="96" t="n">
        <f aca="false">[1]ВИБУЛО2!MA4</f>
        <v>0</v>
      </c>
      <c r="ALX12" s="97" t="n">
        <f aca="false">ALX11-ALW12+ALV12</f>
        <v>0</v>
      </c>
      <c r="ALY12" s="95" t="n">
        <f aca="false">[1]НАДІЙШЛО2!MB4</f>
        <v>0</v>
      </c>
      <c r="ALZ12" s="96" t="n">
        <f aca="false">[1]ВИБУЛО2!MB4</f>
        <v>0</v>
      </c>
      <c r="AMA12" s="97" t="n">
        <f aca="false">AMA11-ALZ12+ALY12</f>
        <v>0</v>
      </c>
      <c r="AMB12" s="95" t="n">
        <f aca="false">[1]НАДІЙШЛО2!MC4</f>
        <v>0</v>
      </c>
      <c r="AMC12" s="96" t="n">
        <f aca="false">[1]ВИБУЛО2!MC4</f>
        <v>0</v>
      </c>
      <c r="AMD12" s="97" t="n">
        <f aca="false">AMD11-AMC12+AMB12</f>
        <v>0</v>
      </c>
      <c r="AME12" s="95" t="n">
        <f aca="false">[1]НАДІЙШЛО2!MD4</f>
        <v>0</v>
      </c>
      <c r="AMF12" s="96" t="n">
        <f aca="false">[1]ВИБУЛО2!MD4</f>
        <v>0</v>
      </c>
      <c r="AMG12" s="97" t="n">
        <f aca="false">AMG11-AMF12+AME12</f>
        <v>0</v>
      </c>
      <c r="AMH12" s="95" t="n">
        <f aca="false">[1]НАДІЙШЛО2!ME4</f>
        <v>0</v>
      </c>
      <c r="AMI12" s="96" t="n">
        <f aca="false">[1]ВИБУЛО2!ME4</f>
        <v>0</v>
      </c>
      <c r="AMJ12" s="97" t="n">
        <f aca="false">AMJ11-AMI12+AMH12</f>
        <v>0</v>
      </c>
    </row>
    <row r="13" s="98" customFormat="true" ht="16.5" hidden="false" customHeight="false" outlineLevel="0" collapsed="false">
      <c r="B13" s="99"/>
      <c r="C13" s="102"/>
      <c r="D13" s="103"/>
      <c r="E13" s="95" t="n">
        <f aca="false">[1]НАДІЙШЛО2!D5</f>
        <v>0</v>
      </c>
      <c r="F13" s="96" t="n">
        <f aca="false">[1]ВИБУЛО2!D5</f>
        <v>0</v>
      </c>
      <c r="G13" s="97" t="n">
        <f aca="false">G12-F13+E13</f>
        <v>0</v>
      </c>
      <c r="H13" s="95" t="n">
        <f aca="false">[1]НАДІЙШЛО2!E5</f>
        <v>0</v>
      </c>
      <c r="I13" s="96" t="n">
        <f aca="false">[1]ВИБУЛО2!E5</f>
        <v>0</v>
      </c>
      <c r="J13" s="97" t="n">
        <f aca="false">J12-I13+H13</f>
        <v>0</v>
      </c>
      <c r="K13" s="95" t="n">
        <f aca="false">[1]НАДІЙШЛО2!F5</f>
        <v>0</v>
      </c>
      <c r="L13" s="96" t="n">
        <f aca="false">[1]ВИБУЛО2!F5</f>
        <v>0</v>
      </c>
      <c r="M13" s="97" t="n">
        <f aca="false">M12-L13+K13</f>
        <v>2.06</v>
      </c>
      <c r="N13" s="95" t="n">
        <f aca="false">[1]НАДІЙШЛО2!G5</f>
        <v>0</v>
      </c>
      <c r="O13" s="96" t="n">
        <f aca="false">[1]ВИБУЛО2!G5</f>
        <v>0</v>
      </c>
      <c r="P13" s="97" t="n">
        <f aca="false">P12-O13+N13</f>
        <v>0</v>
      </c>
      <c r="Q13" s="95" t="n">
        <f aca="false">[1]НАДІЙШЛО2!H5</f>
        <v>0</v>
      </c>
      <c r="R13" s="96" t="n">
        <f aca="false">[1]ВИБУЛО2!H5</f>
        <v>0</v>
      </c>
      <c r="S13" s="97" t="n">
        <f aca="false">S12-R13+Q13</f>
        <v>0</v>
      </c>
      <c r="T13" s="95" t="n">
        <f aca="false">[1]НАДІЙШЛО2!I5</f>
        <v>0</v>
      </c>
      <c r="U13" s="96" t="n">
        <f aca="false">[1]ВИБУЛО2!I5</f>
        <v>0</v>
      </c>
      <c r="V13" s="97" t="n">
        <f aca="false">V12-U13+T13</f>
        <v>0</v>
      </c>
      <c r="W13" s="95" t="n">
        <f aca="false">[1]НАДІЙШЛО2!J5</f>
        <v>0</v>
      </c>
      <c r="X13" s="96" t="n">
        <f aca="false">[1]ВИБУЛО2!J5</f>
        <v>0</v>
      </c>
      <c r="Y13" s="97" t="n">
        <f aca="false">Y12-X13+W13</f>
        <v>0</v>
      </c>
      <c r="Z13" s="95" t="n">
        <f aca="false">[1]НАДІЙШЛО2!K5</f>
        <v>0</v>
      </c>
      <c r="AA13" s="96" t="n">
        <f aca="false">[1]ВИБУЛО2!K5</f>
        <v>0</v>
      </c>
      <c r="AB13" s="97" t="n">
        <f aca="false">AB12-AA13+Z13</f>
        <v>0</v>
      </c>
      <c r="AC13" s="95" t="n">
        <f aca="false">[1]НАДІЙШЛО2!L5</f>
        <v>0</v>
      </c>
      <c r="AD13" s="96" t="n">
        <f aca="false">[1]ВИБУЛО2!L5</f>
        <v>0</v>
      </c>
      <c r="AE13" s="97" t="n">
        <f aca="false">AE12-AD13+AC13</f>
        <v>0</v>
      </c>
      <c r="AF13" s="95" t="n">
        <f aca="false">[1]НАДІЙШЛО2!M5</f>
        <v>0</v>
      </c>
      <c r="AG13" s="96" t="n">
        <f aca="false">[1]ВИБУЛО2!M5</f>
        <v>0</v>
      </c>
      <c r="AH13" s="97" t="n">
        <f aca="false">AH12-AG13+AF13</f>
        <v>0</v>
      </c>
      <c r="AI13" s="95" t="n">
        <f aca="false">[1]НАДІЙШЛО2!N5</f>
        <v>0</v>
      </c>
      <c r="AJ13" s="96" t="n">
        <f aca="false">[1]ВИБУЛО2!N5</f>
        <v>0</v>
      </c>
      <c r="AK13" s="97" t="n">
        <f aca="false">AK12-AJ13+AI13</f>
        <v>0</v>
      </c>
      <c r="AL13" s="95" t="n">
        <f aca="false">[1]НАДІЙШЛО2!O5</f>
        <v>0</v>
      </c>
      <c r="AM13" s="96" t="n">
        <f aca="false">[1]ВИБУЛО2!O5</f>
        <v>0</v>
      </c>
      <c r="AN13" s="97" t="n">
        <f aca="false">AN12-AM13+AL13</f>
        <v>0</v>
      </c>
      <c r="AO13" s="95" t="n">
        <f aca="false">[1]НАДІЙШЛО2!P5</f>
        <v>0</v>
      </c>
      <c r="AP13" s="96" t="n">
        <f aca="false">[1]ВИБУЛО2!P5</f>
        <v>0</v>
      </c>
      <c r="AQ13" s="97" t="n">
        <f aca="false">AQ12-AP13+AO13</f>
        <v>0</v>
      </c>
      <c r="AR13" s="95" t="n">
        <f aca="false">[1]НАДІЙШЛО2!Q5</f>
        <v>0</v>
      </c>
      <c r="AS13" s="96" t="n">
        <f aca="false">[1]ВИБУЛО2!Q5</f>
        <v>0</v>
      </c>
      <c r="AT13" s="97" t="n">
        <f aca="false">AT12-AS13+AR13</f>
        <v>0</v>
      </c>
      <c r="AU13" s="95" t="n">
        <f aca="false">[1]НАДІЙШЛО2!R5</f>
        <v>0</v>
      </c>
      <c r="AV13" s="96" t="n">
        <f aca="false">[1]ВИБУЛО2!R5</f>
        <v>0</v>
      </c>
      <c r="AW13" s="97" t="n">
        <f aca="false">AW12-AV13+AU13</f>
        <v>0</v>
      </c>
      <c r="AX13" s="95" t="n">
        <f aca="false">[1]НАДІЙШЛО2!S5</f>
        <v>0</v>
      </c>
      <c r="AY13" s="96" t="n">
        <f aca="false">[1]ВИБУЛО2!S5</f>
        <v>0</v>
      </c>
      <c r="AZ13" s="97" t="n">
        <f aca="false">AZ12-AY13+AX13</f>
        <v>0</v>
      </c>
      <c r="BA13" s="95" t="n">
        <f aca="false">[1]НАДІЙШЛО2!T5</f>
        <v>0</v>
      </c>
      <c r="BB13" s="96" t="n">
        <f aca="false">[1]ВИБУЛО2!T5</f>
        <v>0</v>
      </c>
      <c r="BC13" s="97" t="n">
        <f aca="false">BC12-BB13+BA13</f>
        <v>0</v>
      </c>
      <c r="BD13" s="95" t="n">
        <f aca="false">[1]НАДІЙШЛО2!U5</f>
        <v>0</v>
      </c>
      <c r="BE13" s="96" t="n">
        <f aca="false">[1]ВИБУЛО2!U5</f>
        <v>0</v>
      </c>
      <c r="BF13" s="97" t="n">
        <f aca="false">BF12-BE13+BD13</f>
        <v>0</v>
      </c>
      <c r="BG13" s="95" t="n">
        <f aca="false">[1]НАДІЙШЛО2!V5</f>
        <v>0</v>
      </c>
      <c r="BH13" s="96" t="n">
        <f aca="false">[1]ВИБУЛО2!V5</f>
        <v>0</v>
      </c>
      <c r="BI13" s="97" t="n">
        <f aca="false">BI12-BH13+BG13</f>
        <v>0</v>
      </c>
      <c r="BJ13" s="95" t="n">
        <f aca="false">[1]НАДІЙШЛО2!W5</f>
        <v>0</v>
      </c>
      <c r="BK13" s="96" t="n">
        <f aca="false">[1]ВИБУЛО2!W5</f>
        <v>0</v>
      </c>
      <c r="BL13" s="97" t="n">
        <f aca="false">BL12-BK13+BJ13</f>
        <v>0</v>
      </c>
      <c r="BM13" s="95" t="n">
        <f aca="false">[1]НАДІЙШЛО2!X5</f>
        <v>0</v>
      </c>
      <c r="BN13" s="96" t="n">
        <f aca="false">[1]ВИБУЛО2!X5</f>
        <v>0</v>
      </c>
      <c r="BO13" s="97" t="n">
        <f aca="false">BO12-BN13+BM13</f>
        <v>0</v>
      </c>
      <c r="BP13" s="95" t="n">
        <f aca="false">[1]НАДІЙШЛО2!Y5</f>
        <v>0</v>
      </c>
      <c r="BQ13" s="96" t="n">
        <f aca="false">[1]ВИБУЛО2!Y5</f>
        <v>0</v>
      </c>
      <c r="BR13" s="97" t="n">
        <f aca="false">BR12-BQ13+BP13</f>
        <v>0</v>
      </c>
      <c r="BS13" s="95" t="n">
        <f aca="false">[1]НАДІЙШЛО2!Z5</f>
        <v>0</v>
      </c>
      <c r="BT13" s="96" t="n">
        <f aca="false">[1]ВИБУЛО2!Z5</f>
        <v>0</v>
      </c>
      <c r="BU13" s="97" t="n">
        <f aca="false">BU12-BT13+BS13</f>
        <v>0</v>
      </c>
      <c r="BV13" s="95" t="n">
        <f aca="false">[1]НАДІЙШЛО2!AA5</f>
        <v>0</v>
      </c>
      <c r="BW13" s="96" t="n">
        <f aca="false">[1]ВИБУЛО2!AA5</f>
        <v>0</v>
      </c>
      <c r="BX13" s="97" t="n">
        <f aca="false">BX12-BW13+BV13</f>
        <v>0</v>
      </c>
      <c r="BY13" s="95" t="n">
        <f aca="false">[1]НАДІЙШЛО2!AB5</f>
        <v>0</v>
      </c>
      <c r="BZ13" s="96" t="n">
        <f aca="false">[1]ВИБУЛО2!AB5</f>
        <v>0</v>
      </c>
      <c r="CA13" s="97" t="n">
        <f aca="false">CA12-BZ13+BY13</f>
        <v>0</v>
      </c>
      <c r="CB13" s="95" t="n">
        <f aca="false">[1]НАДІЙШЛО2!AC5</f>
        <v>0</v>
      </c>
      <c r="CC13" s="96" t="n">
        <f aca="false">[1]ВИБУЛО2!AC5</f>
        <v>0</v>
      </c>
      <c r="CD13" s="97" t="n">
        <f aca="false">CD12-CC13+CB13</f>
        <v>0</v>
      </c>
      <c r="CE13" s="95" t="n">
        <f aca="false">[1]НАДІЙШЛО2!AD5</f>
        <v>0</v>
      </c>
      <c r="CF13" s="96" t="n">
        <f aca="false">[1]ВИБУЛО2!AD5</f>
        <v>0</v>
      </c>
      <c r="CG13" s="97" t="n">
        <f aca="false">CG12-CF13+CE13</f>
        <v>0</v>
      </c>
      <c r="CH13" s="95" t="n">
        <f aca="false">[1]НАДІЙШЛО2!AE5</f>
        <v>0</v>
      </c>
      <c r="CI13" s="96" t="n">
        <f aca="false">[1]ВИБУЛО2!AE5</f>
        <v>0</v>
      </c>
      <c r="CJ13" s="97" t="n">
        <f aca="false">CJ12-CI13+CH13</f>
        <v>0</v>
      </c>
      <c r="CK13" s="95" t="n">
        <f aca="false">[1]НАДІЙШЛО2!AF5</f>
        <v>0</v>
      </c>
      <c r="CL13" s="96" t="n">
        <f aca="false">[1]ВИБУЛО2!AF5</f>
        <v>0</v>
      </c>
      <c r="CM13" s="97" t="n">
        <f aca="false">CM12-CL13+CK13</f>
        <v>0</v>
      </c>
      <c r="CN13" s="95" t="n">
        <f aca="false">[1]НАДІЙШЛО2!AG5</f>
        <v>0</v>
      </c>
      <c r="CO13" s="96" t="n">
        <f aca="false">[1]ВИБУЛО2!AG5</f>
        <v>0</v>
      </c>
      <c r="CP13" s="97" t="n">
        <f aca="false">CP12-CO13+CN13</f>
        <v>0</v>
      </c>
      <c r="CQ13" s="95" t="n">
        <f aca="false">[1]НАДІЙШЛО2!AH5</f>
        <v>0</v>
      </c>
      <c r="CR13" s="96" t="n">
        <f aca="false">[1]ВИБУЛО2!AH5</f>
        <v>0</v>
      </c>
      <c r="CS13" s="97" t="n">
        <f aca="false">CS12-CR13+CQ13</f>
        <v>0</v>
      </c>
      <c r="CT13" s="95" t="n">
        <f aca="false">[1]НАДІЙШЛО2!AI5</f>
        <v>0</v>
      </c>
      <c r="CU13" s="96" t="n">
        <f aca="false">[1]ВИБУЛО2!AI5</f>
        <v>0</v>
      </c>
      <c r="CV13" s="97" t="n">
        <f aca="false">CV12-CU13+CT13</f>
        <v>0</v>
      </c>
      <c r="CW13" s="95" t="n">
        <f aca="false">[1]НАДІЙШЛО2!AJ5</f>
        <v>0</v>
      </c>
      <c r="CX13" s="96" t="n">
        <f aca="false">[1]ВИБУЛО2!AJ5</f>
        <v>0</v>
      </c>
      <c r="CY13" s="97" t="n">
        <f aca="false">CY12-CX13+CW13</f>
        <v>0</v>
      </c>
      <c r="CZ13" s="95" t="n">
        <f aca="false">[1]НАДІЙШЛО2!AK5</f>
        <v>0</v>
      </c>
      <c r="DA13" s="96" t="n">
        <f aca="false">[1]ВИБУЛО2!AK5</f>
        <v>0</v>
      </c>
      <c r="DB13" s="97" t="n">
        <f aca="false">DB12-DA13+CZ13</f>
        <v>0</v>
      </c>
      <c r="DC13" s="95" t="n">
        <f aca="false">[1]НАДІЙШЛО2!AL5</f>
        <v>0</v>
      </c>
      <c r="DD13" s="96" t="n">
        <f aca="false">[1]ВИБУЛО2!AL5</f>
        <v>0</v>
      </c>
      <c r="DE13" s="97" t="n">
        <f aca="false">DE12-DD13+DC13</f>
        <v>0</v>
      </c>
      <c r="DF13" s="95" t="n">
        <f aca="false">[1]НАДІЙШЛО2!AM5</f>
        <v>0</v>
      </c>
      <c r="DG13" s="96" t="n">
        <f aca="false">[1]ВИБУЛО2!AM5</f>
        <v>0</v>
      </c>
      <c r="DH13" s="97" t="n">
        <f aca="false">DH12-DG13+DF13</f>
        <v>0</v>
      </c>
      <c r="DI13" s="95" t="n">
        <f aca="false">[1]НАДІЙШЛО2!AN5</f>
        <v>0</v>
      </c>
      <c r="DJ13" s="96" t="n">
        <f aca="false">[1]ВИБУЛО2!AN5</f>
        <v>0</v>
      </c>
      <c r="DK13" s="97" t="n">
        <f aca="false">DK12-DJ13+DI13</f>
        <v>0</v>
      </c>
      <c r="DL13" s="95" t="n">
        <f aca="false">[1]НАДІЙШЛО2!AO5</f>
        <v>0</v>
      </c>
      <c r="DM13" s="96" t="n">
        <f aca="false">[1]ВИБУЛО2!AO5</f>
        <v>0</v>
      </c>
      <c r="DN13" s="97" t="n">
        <f aca="false">DN12-DM13+DL13</f>
        <v>0</v>
      </c>
      <c r="DO13" s="95" t="n">
        <f aca="false">[1]НАДІЙШЛО2!AP5</f>
        <v>0</v>
      </c>
      <c r="DP13" s="96" t="n">
        <f aca="false">[1]ВИБУЛО2!AP5</f>
        <v>0</v>
      </c>
      <c r="DQ13" s="97" t="n">
        <f aca="false">DQ12-DP13+DO13</f>
        <v>0</v>
      </c>
      <c r="DR13" s="95" t="n">
        <f aca="false">[1]НАДІЙШЛО2!AQ5</f>
        <v>0</v>
      </c>
      <c r="DS13" s="96" t="n">
        <f aca="false">[1]ВИБУЛО2!AQ5</f>
        <v>0</v>
      </c>
      <c r="DT13" s="97" t="n">
        <f aca="false">DT12-DS13+DR13</f>
        <v>0</v>
      </c>
      <c r="DU13" s="95" t="n">
        <f aca="false">[1]НАДІЙШЛО2!AR5</f>
        <v>0</v>
      </c>
      <c r="DV13" s="96" t="n">
        <f aca="false">[1]ВИБУЛО2!AR5</f>
        <v>0</v>
      </c>
      <c r="DW13" s="97" t="n">
        <f aca="false">DW12-DV13+DU13</f>
        <v>0</v>
      </c>
      <c r="DX13" s="95" t="n">
        <f aca="false">[1]НАДІЙШЛО2!AS5</f>
        <v>0</v>
      </c>
      <c r="DY13" s="96" t="n">
        <f aca="false">[1]ВИБУЛО2!AS5</f>
        <v>0</v>
      </c>
      <c r="DZ13" s="97" t="n">
        <f aca="false">DZ12-DY13+DX13</f>
        <v>0</v>
      </c>
      <c r="EA13" s="95" t="n">
        <f aca="false">[1]НАДІЙШЛО2!AT5</f>
        <v>0</v>
      </c>
      <c r="EB13" s="96" t="n">
        <f aca="false">[1]ВИБУЛО2!AT5</f>
        <v>0</v>
      </c>
      <c r="EC13" s="97" t="n">
        <f aca="false">EC12-EB13+EA13</f>
        <v>0</v>
      </c>
      <c r="ED13" s="95" t="n">
        <f aca="false">[1]НАДІЙШЛО2!AU5</f>
        <v>0</v>
      </c>
      <c r="EE13" s="96" t="n">
        <f aca="false">[1]ВИБУЛО2!AU5</f>
        <v>0</v>
      </c>
      <c r="EF13" s="97" t="n">
        <f aca="false">EF12-EE13+ED13</f>
        <v>0</v>
      </c>
      <c r="EG13" s="95" t="n">
        <f aca="false">[1]НАДІЙШЛО2!AV5</f>
        <v>0</v>
      </c>
      <c r="EH13" s="96" t="n">
        <f aca="false">[1]ВИБУЛО2!AV5</f>
        <v>0</v>
      </c>
      <c r="EI13" s="97" t="n">
        <f aca="false">EI12-EH13+EG13</f>
        <v>0</v>
      </c>
      <c r="EJ13" s="95" t="n">
        <f aca="false">[1]НАДІЙШЛО2!AW5</f>
        <v>0</v>
      </c>
      <c r="EK13" s="96" t="n">
        <f aca="false">[1]ВИБУЛО2!AW5</f>
        <v>0</v>
      </c>
      <c r="EL13" s="97" t="n">
        <f aca="false">EL12-EK13+EJ13</f>
        <v>0</v>
      </c>
      <c r="EM13" s="95" t="n">
        <f aca="false">[1]НАДІЙШЛО2!AX5</f>
        <v>0</v>
      </c>
      <c r="EN13" s="96" t="n">
        <f aca="false">[1]ВИБУЛО2!AX5</f>
        <v>0</v>
      </c>
      <c r="EO13" s="97" t="n">
        <f aca="false">EO12-EN13+EM13</f>
        <v>0</v>
      </c>
      <c r="EP13" s="95" t="n">
        <f aca="false">[1]НАДІЙШЛО2!AY5</f>
        <v>0</v>
      </c>
      <c r="EQ13" s="96" t="n">
        <f aca="false">[1]ВИБУЛО2!AY5</f>
        <v>0</v>
      </c>
      <c r="ER13" s="97" t="n">
        <f aca="false">ER12-EQ13+EP13</f>
        <v>0</v>
      </c>
      <c r="ES13" s="95" t="n">
        <f aca="false">[1]НАДІЙШЛО2!AZ5</f>
        <v>0</v>
      </c>
      <c r="ET13" s="96" t="n">
        <f aca="false">[1]ВИБУЛО2!AZ5</f>
        <v>0</v>
      </c>
      <c r="EU13" s="97" t="n">
        <f aca="false">EU12-ET13+ES13</f>
        <v>0</v>
      </c>
      <c r="EV13" s="95" t="n">
        <f aca="false">[1]НАДІЙШЛО2!BA5</f>
        <v>0</v>
      </c>
      <c r="EW13" s="96" t="n">
        <f aca="false">[1]ВИБУЛО2!BA5</f>
        <v>0</v>
      </c>
      <c r="EX13" s="97" t="n">
        <f aca="false">EX12-EW13+EV13</f>
        <v>0</v>
      </c>
      <c r="EY13" s="95" t="n">
        <f aca="false">[1]НАДІЙШЛО2!BB5</f>
        <v>0</v>
      </c>
      <c r="EZ13" s="96" t="n">
        <f aca="false">[1]ВИБУЛО2!BB5</f>
        <v>0</v>
      </c>
      <c r="FA13" s="97" t="n">
        <f aca="false">FA12-EZ13+EY13</f>
        <v>0</v>
      </c>
      <c r="FB13" s="95" t="n">
        <f aca="false">[1]НАДІЙШЛО2!BC5</f>
        <v>0</v>
      </c>
      <c r="FC13" s="96" t="n">
        <f aca="false">[1]ВИБУЛО2!BC5</f>
        <v>0</v>
      </c>
      <c r="FD13" s="97" t="n">
        <f aca="false">FD12-FC13+FB13</f>
        <v>0</v>
      </c>
      <c r="FE13" s="95" t="n">
        <f aca="false">[1]НАДІЙШЛО2!BD5</f>
        <v>0</v>
      </c>
      <c r="FF13" s="96" t="n">
        <f aca="false">[1]ВИБУЛО2!BD5</f>
        <v>0</v>
      </c>
      <c r="FG13" s="97" t="n">
        <f aca="false">FG12-FF13+FE13</f>
        <v>0</v>
      </c>
      <c r="FH13" s="95" t="n">
        <f aca="false">[1]НАДІЙШЛО2!BE5</f>
        <v>0</v>
      </c>
      <c r="FI13" s="96" t="n">
        <f aca="false">[1]ВИБУЛО2!BE5</f>
        <v>0</v>
      </c>
      <c r="FJ13" s="97" t="n">
        <f aca="false">FJ12-FI13+FH13</f>
        <v>0</v>
      </c>
      <c r="FK13" s="95" t="n">
        <f aca="false">[1]НАДІЙШЛО2!BF5</f>
        <v>0</v>
      </c>
      <c r="FL13" s="96" t="n">
        <f aca="false">[1]ВИБУЛО2!BF5</f>
        <v>0</v>
      </c>
      <c r="FM13" s="97" t="n">
        <f aca="false">FM12-FL13+FK13</f>
        <v>0</v>
      </c>
      <c r="FN13" s="95" t="n">
        <f aca="false">[1]НАДІЙШЛО2!BG5</f>
        <v>0</v>
      </c>
      <c r="FO13" s="96" t="n">
        <f aca="false">[1]ВИБУЛО2!BG5</f>
        <v>0</v>
      </c>
      <c r="FP13" s="97" t="n">
        <f aca="false">FP12-FO13+FN13</f>
        <v>0</v>
      </c>
      <c r="FQ13" s="95" t="n">
        <f aca="false">[1]НАДІЙШЛО2!BH5</f>
        <v>0</v>
      </c>
      <c r="FR13" s="96" t="n">
        <f aca="false">[1]ВИБУЛО2!BH5</f>
        <v>0</v>
      </c>
      <c r="FS13" s="97" t="n">
        <f aca="false">FS12-FR13+FQ13</f>
        <v>0</v>
      </c>
      <c r="FT13" s="95" t="n">
        <f aca="false">[1]НАДІЙШЛО2!BI5</f>
        <v>0</v>
      </c>
      <c r="FU13" s="96" t="n">
        <f aca="false">[1]ВИБУЛО2!BI5</f>
        <v>0</v>
      </c>
      <c r="FV13" s="97" t="n">
        <f aca="false">FV12-FU13+FT13</f>
        <v>0</v>
      </c>
      <c r="FW13" s="95" t="n">
        <f aca="false">[1]НАДІЙШЛО2!BJ5</f>
        <v>0</v>
      </c>
      <c r="FX13" s="96" t="n">
        <f aca="false">[1]ВИБУЛО2!BJ5</f>
        <v>0</v>
      </c>
      <c r="FY13" s="97" t="n">
        <f aca="false">FY12-FX13+FW13</f>
        <v>0</v>
      </c>
      <c r="FZ13" s="95" t="n">
        <f aca="false">[1]НАДІЙШЛО2!BK5</f>
        <v>0</v>
      </c>
      <c r="GA13" s="96" t="n">
        <f aca="false">[1]ВИБУЛО2!BK5</f>
        <v>0</v>
      </c>
      <c r="GB13" s="97" t="n">
        <f aca="false">GB12-GA13+FZ13</f>
        <v>0</v>
      </c>
      <c r="GC13" s="95" t="n">
        <f aca="false">[1]НАДІЙШЛО2!BL5</f>
        <v>0</v>
      </c>
      <c r="GD13" s="96" t="n">
        <f aca="false">[1]ВИБУЛО2!BL5</f>
        <v>0</v>
      </c>
      <c r="GE13" s="97" t="n">
        <f aca="false">GE12-GD13+GC13</f>
        <v>0</v>
      </c>
      <c r="GF13" s="95" t="n">
        <f aca="false">[1]НАДІЙШЛО2!BM5</f>
        <v>0</v>
      </c>
      <c r="GG13" s="96" t="n">
        <f aca="false">[1]ВИБУЛО2!BM5</f>
        <v>0</v>
      </c>
      <c r="GH13" s="97" t="n">
        <f aca="false">GH12-GG13+GF13</f>
        <v>0</v>
      </c>
      <c r="GI13" s="95" t="n">
        <f aca="false">[1]НАДІЙШЛО2!BN5</f>
        <v>0</v>
      </c>
      <c r="GJ13" s="96" t="n">
        <f aca="false">[1]ВИБУЛО2!BN5</f>
        <v>0</v>
      </c>
      <c r="GK13" s="97" t="n">
        <f aca="false">GK12-GJ13+GI13</f>
        <v>0</v>
      </c>
      <c r="GL13" s="95" t="n">
        <f aca="false">[1]НАДІЙШЛО2!BO5</f>
        <v>0</v>
      </c>
      <c r="GM13" s="96" t="n">
        <f aca="false">[1]ВИБУЛО2!BO5</f>
        <v>0</v>
      </c>
      <c r="GN13" s="97" t="n">
        <f aca="false">GN12-GM13+GL13</f>
        <v>0</v>
      </c>
      <c r="GO13" s="95" t="n">
        <f aca="false">[1]НАДІЙШЛО2!BP5</f>
        <v>0</v>
      </c>
      <c r="GP13" s="96" t="n">
        <f aca="false">[1]ВИБУЛО2!BP5</f>
        <v>0</v>
      </c>
      <c r="GQ13" s="97" t="n">
        <f aca="false">GQ12-GP13+GO13</f>
        <v>0</v>
      </c>
      <c r="GR13" s="95" t="n">
        <f aca="false">[1]НАДІЙШЛО2!BQ5</f>
        <v>0</v>
      </c>
      <c r="GS13" s="96" t="n">
        <f aca="false">[1]ВИБУЛО2!BQ5</f>
        <v>0</v>
      </c>
      <c r="GT13" s="97" t="n">
        <f aca="false">GT12-GS13+GR13</f>
        <v>0</v>
      </c>
      <c r="GU13" s="95" t="n">
        <f aca="false">[1]НАДІЙШЛО2!BR5</f>
        <v>0</v>
      </c>
      <c r="GV13" s="96" t="n">
        <f aca="false">[1]ВИБУЛО2!BR5</f>
        <v>0</v>
      </c>
      <c r="GW13" s="97" t="n">
        <f aca="false">GW12-GV13+GU13</f>
        <v>0</v>
      </c>
      <c r="GX13" s="95" t="n">
        <f aca="false">[1]НАДІЙШЛО2!BS5</f>
        <v>0</v>
      </c>
      <c r="GY13" s="96" t="n">
        <f aca="false">[1]ВИБУЛО2!BS5</f>
        <v>0</v>
      </c>
      <c r="GZ13" s="97" t="n">
        <f aca="false">GZ12-GY13+GX13</f>
        <v>0</v>
      </c>
      <c r="HA13" s="95" t="n">
        <f aca="false">[1]НАДІЙШЛО2!BT5</f>
        <v>0</v>
      </c>
      <c r="HB13" s="96" t="n">
        <f aca="false">[1]ВИБУЛО2!BT5</f>
        <v>0</v>
      </c>
      <c r="HC13" s="97" t="n">
        <f aca="false">HC12-HB13+HA13</f>
        <v>0</v>
      </c>
      <c r="HD13" s="95" t="n">
        <f aca="false">[1]НАДІЙШЛО2!BU5</f>
        <v>0</v>
      </c>
      <c r="HE13" s="96" t="n">
        <f aca="false">[1]ВИБУЛО2!BU5</f>
        <v>0</v>
      </c>
      <c r="HF13" s="97" t="n">
        <f aca="false">HF12-HE13+HD13</f>
        <v>0</v>
      </c>
      <c r="HG13" s="95" t="n">
        <f aca="false">[1]НАДІЙШЛО2!BV5</f>
        <v>0</v>
      </c>
      <c r="HH13" s="96" t="n">
        <f aca="false">[1]ВИБУЛО2!BV5</f>
        <v>0</v>
      </c>
      <c r="HI13" s="97" t="n">
        <f aca="false">HI12-HH13+HG13</f>
        <v>0</v>
      </c>
      <c r="HJ13" s="95" t="n">
        <f aca="false">[1]НАДІЙШЛО2!BW5</f>
        <v>0</v>
      </c>
      <c r="HK13" s="96" t="n">
        <f aca="false">[1]ВИБУЛО2!BW5</f>
        <v>0</v>
      </c>
      <c r="HL13" s="97" t="n">
        <f aca="false">HL12-HK13+HJ13</f>
        <v>0</v>
      </c>
      <c r="HM13" s="95" t="n">
        <f aca="false">[1]НАДІЙШЛО2!BX5</f>
        <v>0</v>
      </c>
      <c r="HN13" s="96" t="n">
        <f aca="false">[1]ВИБУЛО2!BX5</f>
        <v>0</v>
      </c>
      <c r="HO13" s="97" t="n">
        <f aca="false">HO12-HN13+HM13</f>
        <v>0</v>
      </c>
      <c r="HP13" s="95" t="n">
        <f aca="false">[1]НАДІЙШЛО2!BY5</f>
        <v>0</v>
      </c>
      <c r="HQ13" s="96" t="n">
        <f aca="false">[1]ВИБУЛО2!BY5</f>
        <v>0</v>
      </c>
      <c r="HR13" s="97" t="n">
        <f aca="false">HR12-HQ13+HP13</f>
        <v>0</v>
      </c>
      <c r="HS13" s="95" t="n">
        <f aca="false">[1]НАДІЙШЛО2!BZ5</f>
        <v>0</v>
      </c>
      <c r="HT13" s="96" t="n">
        <f aca="false">[1]ВИБУЛО2!BZ5</f>
        <v>0</v>
      </c>
      <c r="HU13" s="97" t="n">
        <f aca="false">HU12-HT13+HS13</f>
        <v>0</v>
      </c>
      <c r="HV13" s="95" t="n">
        <f aca="false">[1]НАДІЙШЛО2!CA5</f>
        <v>0</v>
      </c>
      <c r="HW13" s="96" t="n">
        <f aca="false">[1]ВИБУЛО2!CA5</f>
        <v>0</v>
      </c>
      <c r="HX13" s="97" t="n">
        <f aca="false">HX12-HW13+HV13</f>
        <v>0</v>
      </c>
      <c r="HY13" s="95" t="n">
        <f aca="false">[1]НАДІЙШЛО2!CB5</f>
        <v>0</v>
      </c>
      <c r="HZ13" s="96" t="n">
        <f aca="false">[1]ВИБУЛО2!CB5</f>
        <v>0</v>
      </c>
      <c r="IA13" s="97" t="n">
        <f aca="false">IA12-HZ13+HY13</f>
        <v>0</v>
      </c>
      <c r="IB13" s="95" t="n">
        <f aca="false">[1]НАДІЙШЛО2!CC5</f>
        <v>0</v>
      </c>
      <c r="IC13" s="96" t="n">
        <f aca="false">[1]ВИБУЛО2!CC5</f>
        <v>0</v>
      </c>
      <c r="ID13" s="97" t="n">
        <f aca="false">ID12-IC13+IB13</f>
        <v>0</v>
      </c>
      <c r="IE13" s="95" t="n">
        <f aca="false">[1]НАДІЙШЛО2!CD5</f>
        <v>0</v>
      </c>
      <c r="IF13" s="96" t="n">
        <f aca="false">[1]ВИБУЛО2!CD5</f>
        <v>0</v>
      </c>
      <c r="IG13" s="97" t="n">
        <f aca="false">IG12-IF13+IE13</f>
        <v>0</v>
      </c>
      <c r="IH13" s="95" t="n">
        <f aca="false">[1]НАДІЙШЛО2!CE5</f>
        <v>0</v>
      </c>
      <c r="II13" s="96" t="n">
        <f aca="false">[1]ВИБУЛО2!CE5</f>
        <v>0</v>
      </c>
      <c r="IJ13" s="97" t="n">
        <f aca="false">IJ12-II13+IH13</f>
        <v>0</v>
      </c>
      <c r="IK13" s="95" t="n">
        <f aca="false">[1]НАДІЙШЛО2!CF5</f>
        <v>0</v>
      </c>
      <c r="IL13" s="96" t="n">
        <f aca="false">[1]ВИБУЛО2!CF5</f>
        <v>0</v>
      </c>
      <c r="IM13" s="97" t="n">
        <f aca="false">IM12-IL13+IK13</f>
        <v>0</v>
      </c>
      <c r="IN13" s="95" t="n">
        <f aca="false">[1]НАДІЙШЛО2!CG5</f>
        <v>0</v>
      </c>
      <c r="IO13" s="96" t="n">
        <f aca="false">[1]ВИБУЛО2!CG5</f>
        <v>0</v>
      </c>
      <c r="IP13" s="97" t="n">
        <f aca="false">IP12-IO13+IN13</f>
        <v>0</v>
      </c>
      <c r="IQ13" s="95" t="n">
        <f aca="false">[1]НАДІЙШЛО2!CH5</f>
        <v>0</v>
      </c>
      <c r="IR13" s="96" t="n">
        <f aca="false">[1]ВИБУЛО2!CH5</f>
        <v>0</v>
      </c>
      <c r="IS13" s="97" t="n">
        <f aca="false">IS12-IR13+IQ13</f>
        <v>0</v>
      </c>
      <c r="IT13" s="95" t="n">
        <f aca="false">[1]НАДІЙШЛО2!CI5</f>
        <v>0</v>
      </c>
      <c r="IU13" s="96" t="n">
        <f aca="false">[1]ВИБУЛО2!CI5</f>
        <v>0</v>
      </c>
      <c r="IV13" s="97" t="n">
        <f aca="false">IV12-IU13+IT13</f>
        <v>0</v>
      </c>
      <c r="IW13" s="95" t="n">
        <f aca="false">[1]НАДІЙШЛО2!CJ5</f>
        <v>0</v>
      </c>
      <c r="IX13" s="96" t="n">
        <f aca="false">[1]ВИБУЛО2!CJ5</f>
        <v>0</v>
      </c>
      <c r="IY13" s="97" t="n">
        <f aca="false">IY12-IX13+IW13</f>
        <v>0</v>
      </c>
      <c r="IZ13" s="95" t="n">
        <f aca="false">[1]НАДІЙШЛО2!CK5</f>
        <v>0</v>
      </c>
      <c r="JA13" s="96" t="n">
        <f aca="false">[1]ВИБУЛО2!CK5</f>
        <v>0</v>
      </c>
      <c r="JB13" s="97" t="n">
        <f aca="false">JB12-JA13+IZ13</f>
        <v>0</v>
      </c>
      <c r="JC13" s="95" t="n">
        <f aca="false">[1]НАДІЙШЛО2!CL5</f>
        <v>0</v>
      </c>
      <c r="JD13" s="96" t="n">
        <f aca="false">[1]ВИБУЛО2!CL5</f>
        <v>0</v>
      </c>
      <c r="JE13" s="97" t="n">
        <f aca="false">JE12-JD13+JC13</f>
        <v>0</v>
      </c>
      <c r="JF13" s="95" t="n">
        <f aca="false">[1]НАДІЙШЛО2!CM5</f>
        <v>0</v>
      </c>
      <c r="JG13" s="96" t="n">
        <f aca="false">[1]ВИБУЛО2!CM5</f>
        <v>0</v>
      </c>
      <c r="JH13" s="97" t="n">
        <f aca="false">JH12-JG13+JF13</f>
        <v>0</v>
      </c>
      <c r="JI13" s="95" t="n">
        <f aca="false">[1]НАДІЙШЛО2!CN5</f>
        <v>0</v>
      </c>
      <c r="JJ13" s="96" t="n">
        <f aca="false">[1]ВИБУЛО2!CN5</f>
        <v>0</v>
      </c>
      <c r="JK13" s="97" t="n">
        <f aca="false">JK12-JJ13+JI13</f>
        <v>0</v>
      </c>
      <c r="JL13" s="95" t="n">
        <f aca="false">[1]НАДІЙШЛО2!CO5</f>
        <v>0</v>
      </c>
      <c r="JM13" s="96" t="n">
        <f aca="false">[1]ВИБУЛО2!CO5</f>
        <v>0</v>
      </c>
      <c r="JN13" s="97" t="n">
        <f aca="false">JN12-JM13+JL13</f>
        <v>0</v>
      </c>
      <c r="JO13" s="95" t="n">
        <f aca="false">[1]НАДІЙШЛО2!CP5</f>
        <v>0</v>
      </c>
      <c r="JP13" s="96" t="n">
        <f aca="false">[1]ВИБУЛО2!CP5</f>
        <v>0</v>
      </c>
      <c r="JQ13" s="97" t="n">
        <f aca="false">JQ12-JP13+JO13</f>
        <v>0</v>
      </c>
      <c r="JR13" s="95" t="n">
        <f aca="false">[1]НАДІЙШЛО2!CQ5</f>
        <v>0</v>
      </c>
      <c r="JS13" s="96" t="n">
        <f aca="false">[1]ВИБУЛО2!CQ5</f>
        <v>0</v>
      </c>
      <c r="JT13" s="97" t="n">
        <f aca="false">JT12-JS13+JR13</f>
        <v>0</v>
      </c>
      <c r="JU13" s="95" t="n">
        <f aca="false">[1]НАДІЙШЛО2!CR5</f>
        <v>0</v>
      </c>
      <c r="JV13" s="96" t="n">
        <f aca="false">[1]ВИБУЛО2!CR5</f>
        <v>0</v>
      </c>
      <c r="JW13" s="97" t="n">
        <f aca="false">JW12-JV13+JU13</f>
        <v>0</v>
      </c>
      <c r="JX13" s="95" t="n">
        <f aca="false">[1]НАДІЙШЛО2!CS5</f>
        <v>0</v>
      </c>
      <c r="JY13" s="96" t="n">
        <f aca="false">[1]ВИБУЛО2!CS5</f>
        <v>0</v>
      </c>
      <c r="JZ13" s="97" t="n">
        <f aca="false">JZ12-JY13+JX13</f>
        <v>0</v>
      </c>
      <c r="KA13" s="95" t="n">
        <f aca="false">[1]НАДІЙШЛО2!CT5</f>
        <v>0</v>
      </c>
      <c r="KB13" s="96" t="n">
        <f aca="false">[1]ВИБУЛО2!CT5</f>
        <v>0</v>
      </c>
      <c r="KC13" s="97" t="n">
        <f aca="false">KC12-KB13+KA13</f>
        <v>0</v>
      </c>
      <c r="KD13" s="95" t="n">
        <f aca="false">[1]НАДІЙШЛО2!CU5</f>
        <v>0</v>
      </c>
      <c r="KE13" s="96" t="n">
        <f aca="false">[1]ВИБУЛО2!CU5</f>
        <v>0</v>
      </c>
      <c r="KF13" s="97" t="n">
        <f aca="false">KF12-KE13+KD13</f>
        <v>0</v>
      </c>
      <c r="KG13" s="95" t="n">
        <f aca="false">[1]НАДІЙШЛО2!CV5</f>
        <v>0</v>
      </c>
      <c r="KH13" s="96" t="n">
        <f aca="false">[1]ВИБУЛО2!CV5</f>
        <v>0</v>
      </c>
      <c r="KI13" s="97" t="n">
        <f aca="false">KI12-KH13+KG13</f>
        <v>0</v>
      </c>
      <c r="KJ13" s="95" t="n">
        <f aca="false">[1]НАДІЙШЛО2!CW5</f>
        <v>0</v>
      </c>
      <c r="KK13" s="96" t="n">
        <f aca="false">[1]ВИБУЛО2!CW5</f>
        <v>0</v>
      </c>
      <c r="KL13" s="97" t="n">
        <f aca="false">KL12-KK13+KJ13</f>
        <v>0</v>
      </c>
      <c r="KM13" s="95" t="n">
        <f aca="false">[1]НАДІЙШЛО2!CX5</f>
        <v>0</v>
      </c>
      <c r="KN13" s="96" t="n">
        <f aca="false">[1]ВИБУЛО2!CX5</f>
        <v>0</v>
      </c>
      <c r="KO13" s="97" t="n">
        <f aca="false">KO12-KN13+KM13</f>
        <v>0</v>
      </c>
      <c r="KP13" s="95" t="n">
        <f aca="false">[1]НАДІЙШЛО2!CY5</f>
        <v>0</v>
      </c>
      <c r="KQ13" s="96" t="n">
        <f aca="false">[1]ВИБУЛО2!CY5</f>
        <v>0</v>
      </c>
      <c r="KR13" s="97" t="n">
        <f aca="false">KR12-KQ13+KP13</f>
        <v>0</v>
      </c>
      <c r="KS13" s="95" t="n">
        <f aca="false">[1]НАДІЙШЛО2!CZ5</f>
        <v>0</v>
      </c>
      <c r="KT13" s="96" t="n">
        <f aca="false">[1]ВИБУЛО2!CZ5</f>
        <v>0</v>
      </c>
      <c r="KU13" s="97" t="n">
        <f aca="false">KU12-KT13+KS13</f>
        <v>0</v>
      </c>
      <c r="KV13" s="95" t="n">
        <f aca="false">[1]НАДІЙШЛО2!DA5</f>
        <v>0</v>
      </c>
      <c r="KW13" s="96" t="n">
        <f aca="false">[1]ВИБУЛО2!DA5</f>
        <v>0</v>
      </c>
      <c r="KX13" s="97" t="n">
        <f aca="false">KX12-KW13+KV13</f>
        <v>0</v>
      </c>
      <c r="KY13" s="95" t="n">
        <f aca="false">[1]НАДІЙШЛО2!DB5</f>
        <v>0</v>
      </c>
      <c r="KZ13" s="96" t="n">
        <f aca="false">[1]ВИБУЛО2!DB5</f>
        <v>0</v>
      </c>
      <c r="LA13" s="97" t="n">
        <f aca="false">LA12-KZ13+KY13</f>
        <v>0</v>
      </c>
      <c r="LB13" s="95" t="n">
        <f aca="false">[1]НАДІЙШЛО2!DC5</f>
        <v>0</v>
      </c>
      <c r="LC13" s="96" t="n">
        <f aca="false">[1]ВИБУЛО2!DC5</f>
        <v>0</v>
      </c>
      <c r="LD13" s="97" t="n">
        <f aca="false">LD12-LC13+LB13</f>
        <v>0</v>
      </c>
      <c r="LE13" s="95" t="n">
        <f aca="false">[1]НАДІЙШЛО2!DD5</f>
        <v>0</v>
      </c>
      <c r="LF13" s="96" t="n">
        <f aca="false">[1]ВИБУЛО2!DD5</f>
        <v>0</v>
      </c>
      <c r="LG13" s="97" t="n">
        <f aca="false">LG12-LF13+LE13</f>
        <v>0</v>
      </c>
      <c r="LH13" s="95" t="n">
        <f aca="false">[1]НАДІЙШЛО2!DE5</f>
        <v>0</v>
      </c>
      <c r="LI13" s="96" t="n">
        <f aca="false">[1]ВИБУЛО2!DE5</f>
        <v>0</v>
      </c>
      <c r="LJ13" s="97" t="n">
        <f aca="false">LJ12-LI13+LH13</f>
        <v>0</v>
      </c>
      <c r="LK13" s="95" t="n">
        <f aca="false">[1]НАДІЙШЛО2!DF5</f>
        <v>0</v>
      </c>
      <c r="LL13" s="96" t="n">
        <f aca="false">[1]ВИБУЛО2!DF5</f>
        <v>0</v>
      </c>
      <c r="LM13" s="97" t="n">
        <f aca="false">LM12-LL13+LK13</f>
        <v>0</v>
      </c>
      <c r="LN13" s="95" t="n">
        <f aca="false">[1]НАДІЙШЛО2!DG5</f>
        <v>0</v>
      </c>
      <c r="LO13" s="96" t="n">
        <f aca="false">[1]ВИБУЛО2!DG5</f>
        <v>0</v>
      </c>
      <c r="LP13" s="97" t="n">
        <f aca="false">LP12-LO13+LN13</f>
        <v>0</v>
      </c>
      <c r="LQ13" s="95" t="n">
        <f aca="false">[1]НАДІЙШЛО2!DH5</f>
        <v>0</v>
      </c>
      <c r="LR13" s="96" t="n">
        <f aca="false">[1]ВИБУЛО2!DH5</f>
        <v>0</v>
      </c>
      <c r="LS13" s="97" t="n">
        <f aca="false">LS12-LR13+LQ13</f>
        <v>0</v>
      </c>
      <c r="LT13" s="95" t="n">
        <f aca="false">[1]НАДІЙШЛО2!DI5</f>
        <v>0</v>
      </c>
      <c r="LU13" s="96" t="n">
        <f aca="false">[1]ВИБУЛО2!DI5</f>
        <v>0</v>
      </c>
      <c r="LV13" s="97" t="n">
        <f aca="false">LV12-LU13+LT13</f>
        <v>0</v>
      </c>
      <c r="LW13" s="95" t="n">
        <f aca="false">[1]НАДІЙШЛО2!DJ5</f>
        <v>0</v>
      </c>
      <c r="LX13" s="96" t="n">
        <f aca="false">[1]ВИБУЛО2!DJ5</f>
        <v>0</v>
      </c>
      <c r="LY13" s="97" t="n">
        <f aca="false">LY12-LX13+LW13</f>
        <v>0</v>
      </c>
      <c r="LZ13" s="95" t="n">
        <f aca="false">[1]НАДІЙШЛО2!DK5</f>
        <v>0</v>
      </c>
      <c r="MA13" s="96" t="n">
        <f aca="false">[1]ВИБУЛО2!DK5</f>
        <v>0</v>
      </c>
      <c r="MB13" s="97" t="n">
        <f aca="false">MB12-MA13+LZ13</f>
        <v>0</v>
      </c>
      <c r="MC13" s="95" t="n">
        <f aca="false">[1]НАДІЙШЛО2!DL5</f>
        <v>0</v>
      </c>
      <c r="MD13" s="96" t="n">
        <f aca="false">[1]ВИБУЛО2!DL5</f>
        <v>0</v>
      </c>
      <c r="ME13" s="97" t="n">
        <f aca="false">ME12-MD13+MC13</f>
        <v>0</v>
      </c>
      <c r="MF13" s="95" t="n">
        <f aca="false">[1]НАДІЙШЛО2!DM5</f>
        <v>0</v>
      </c>
      <c r="MG13" s="96" t="n">
        <f aca="false">[1]ВИБУЛО2!DM5</f>
        <v>0</v>
      </c>
      <c r="MH13" s="97" t="n">
        <f aca="false">MH12-MG13+MF13</f>
        <v>0</v>
      </c>
      <c r="MI13" s="95" t="n">
        <f aca="false">[1]НАДІЙШЛО2!DN5</f>
        <v>0</v>
      </c>
      <c r="MJ13" s="96" t="n">
        <f aca="false">[1]ВИБУЛО2!DN5</f>
        <v>0</v>
      </c>
      <c r="MK13" s="97" t="n">
        <f aca="false">MK12-MJ13+MI13</f>
        <v>0</v>
      </c>
      <c r="ML13" s="95" t="n">
        <f aca="false">[1]НАДІЙШЛО2!DO5</f>
        <v>0</v>
      </c>
      <c r="MM13" s="96" t="n">
        <f aca="false">[1]ВИБУЛО2!DO5</f>
        <v>0</v>
      </c>
      <c r="MN13" s="97" t="n">
        <f aca="false">MN12-MM13+ML13</f>
        <v>0</v>
      </c>
      <c r="MO13" s="95" t="n">
        <f aca="false">[1]НАДІЙШЛО2!DP5</f>
        <v>0</v>
      </c>
      <c r="MP13" s="96" t="n">
        <f aca="false">[1]ВИБУЛО2!DP5</f>
        <v>0</v>
      </c>
      <c r="MQ13" s="97" t="n">
        <f aca="false">MQ12-MP13+MO13</f>
        <v>0</v>
      </c>
      <c r="MR13" s="95" t="n">
        <f aca="false">[1]НАДІЙШЛО2!DQ5</f>
        <v>0</v>
      </c>
      <c r="MS13" s="96" t="n">
        <f aca="false">[1]ВИБУЛО2!DQ5</f>
        <v>0</v>
      </c>
      <c r="MT13" s="97" t="n">
        <f aca="false">MT12-MS13+MR13</f>
        <v>0</v>
      </c>
      <c r="MU13" s="95" t="n">
        <f aca="false">[1]НАДІЙШЛО2!DR5</f>
        <v>0</v>
      </c>
      <c r="MV13" s="96" t="n">
        <f aca="false">[1]ВИБУЛО2!DR5</f>
        <v>0</v>
      </c>
      <c r="MW13" s="97" t="n">
        <f aca="false">MW12-MV13+MU13</f>
        <v>0</v>
      </c>
      <c r="MX13" s="95" t="n">
        <f aca="false">[1]НАДІЙШЛО2!DS5</f>
        <v>0</v>
      </c>
      <c r="MY13" s="96" t="n">
        <f aca="false">[1]ВИБУЛО2!DS5</f>
        <v>0</v>
      </c>
      <c r="MZ13" s="97" t="n">
        <f aca="false">MZ12-MY13+MX13</f>
        <v>0</v>
      </c>
      <c r="NA13" s="95" t="n">
        <f aca="false">[1]НАДІЙШЛО2!DT5</f>
        <v>0</v>
      </c>
      <c r="NB13" s="96" t="n">
        <f aca="false">[1]ВИБУЛО2!DT5</f>
        <v>0</v>
      </c>
      <c r="NC13" s="97" t="n">
        <f aca="false">NC12-NB13+NA13</f>
        <v>0</v>
      </c>
      <c r="ND13" s="95" t="n">
        <f aca="false">[1]НАДІЙШЛО2!DU5</f>
        <v>0</v>
      </c>
      <c r="NE13" s="96" t="n">
        <f aca="false">[1]ВИБУЛО2!DU5</f>
        <v>0</v>
      </c>
      <c r="NF13" s="97" t="n">
        <f aca="false">NF12-NE13+ND13</f>
        <v>0</v>
      </c>
      <c r="NG13" s="95" t="n">
        <f aca="false">[1]НАДІЙШЛО2!DV5</f>
        <v>0</v>
      </c>
      <c r="NH13" s="96" t="n">
        <f aca="false">[1]ВИБУЛО2!DV5</f>
        <v>0</v>
      </c>
      <c r="NI13" s="97" t="n">
        <f aca="false">NI12-NH13+NG13</f>
        <v>0</v>
      </c>
      <c r="NJ13" s="95" t="n">
        <f aca="false">[1]НАДІЙШЛО2!DW5</f>
        <v>0</v>
      </c>
      <c r="NK13" s="96" t="n">
        <f aca="false">[1]ВИБУЛО2!DW5</f>
        <v>0</v>
      </c>
      <c r="NL13" s="97" t="n">
        <f aca="false">NL12-NK13+NJ13</f>
        <v>0</v>
      </c>
      <c r="NM13" s="95" t="n">
        <f aca="false">[1]НАДІЙШЛО2!DX5</f>
        <v>0</v>
      </c>
      <c r="NN13" s="96" t="n">
        <f aca="false">[1]ВИБУЛО2!DX5</f>
        <v>0</v>
      </c>
      <c r="NO13" s="97" t="n">
        <f aca="false">NO12-NN13+NM13</f>
        <v>0</v>
      </c>
      <c r="NP13" s="95" t="n">
        <f aca="false">[1]НАДІЙШЛО2!DY5</f>
        <v>0</v>
      </c>
      <c r="NQ13" s="96" t="n">
        <f aca="false">[1]ВИБУЛО2!DY5</f>
        <v>0</v>
      </c>
      <c r="NR13" s="97" t="n">
        <f aca="false">NR12-NQ13+NP13</f>
        <v>0</v>
      </c>
      <c r="NS13" s="95" t="n">
        <f aca="false">[1]НАДІЙШЛО2!DZ5</f>
        <v>0</v>
      </c>
      <c r="NT13" s="96" t="n">
        <f aca="false">[1]ВИБУЛО2!DZ5</f>
        <v>0</v>
      </c>
      <c r="NU13" s="97" t="n">
        <f aca="false">NU12-NT13+NS13</f>
        <v>0</v>
      </c>
      <c r="NV13" s="95" t="n">
        <f aca="false">[1]НАДІЙШЛО2!EA5</f>
        <v>0</v>
      </c>
      <c r="NW13" s="96" t="n">
        <f aca="false">[1]ВИБУЛО2!EA5</f>
        <v>0</v>
      </c>
      <c r="NX13" s="97" t="n">
        <f aca="false">NX12-NW13+NV13</f>
        <v>0</v>
      </c>
      <c r="NY13" s="95" t="n">
        <f aca="false">[1]НАДІЙШЛО2!EB5</f>
        <v>0</v>
      </c>
      <c r="NZ13" s="96" t="n">
        <f aca="false">[1]ВИБУЛО2!EB5</f>
        <v>0</v>
      </c>
      <c r="OA13" s="97" t="n">
        <f aca="false">OA12-NZ13+NY13</f>
        <v>0</v>
      </c>
      <c r="OB13" s="95" t="n">
        <f aca="false">[1]НАДІЙШЛО2!EC5</f>
        <v>0</v>
      </c>
      <c r="OC13" s="96" t="n">
        <f aca="false">[1]ВИБУЛО2!EC5</f>
        <v>0</v>
      </c>
      <c r="OD13" s="97" t="n">
        <f aca="false">OD12-OC13+OB13</f>
        <v>0</v>
      </c>
      <c r="OE13" s="95" t="n">
        <f aca="false">[1]НАДІЙШЛО2!ED5</f>
        <v>0</v>
      </c>
      <c r="OF13" s="96" t="n">
        <f aca="false">[1]ВИБУЛО2!ED5</f>
        <v>0</v>
      </c>
      <c r="OG13" s="97" t="n">
        <f aca="false">OG12-OF13+OE13</f>
        <v>0</v>
      </c>
      <c r="OH13" s="95" t="n">
        <f aca="false">[1]НАДІЙШЛО2!EE5</f>
        <v>0</v>
      </c>
      <c r="OI13" s="96" t="n">
        <f aca="false">[1]ВИБУЛО2!EE5</f>
        <v>0</v>
      </c>
      <c r="OJ13" s="97" t="n">
        <f aca="false">OJ12-OI13+OH13</f>
        <v>0</v>
      </c>
      <c r="OK13" s="95" t="n">
        <f aca="false">[1]НАДІЙШЛО2!EF5</f>
        <v>0</v>
      </c>
      <c r="OL13" s="96" t="n">
        <f aca="false">[1]ВИБУЛО2!EF5</f>
        <v>0</v>
      </c>
      <c r="OM13" s="97" t="n">
        <f aca="false">OM12-OL13+OK13</f>
        <v>0</v>
      </c>
      <c r="ON13" s="95" t="n">
        <f aca="false">[1]НАДІЙШЛО2!EG5</f>
        <v>0</v>
      </c>
      <c r="OO13" s="96" t="n">
        <f aca="false">[1]ВИБУЛО2!EG5</f>
        <v>0</v>
      </c>
      <c r="OP13" s="97" t="n">
        <f aca="false">OP12-OO13+ON13</f>
        <v>0</v>
      </c>
      <c r="OQ13" s="95" t="n">
        <f aca="false">[1]НАДІЙШЛО2!EH5</f>
        <v>0</v>
      </c>
      <c r="OR13" s="96" t="n">
        <f aca="false">[1]ВИБУЛО2!EH5</f>
        <v>0</v>
      </c>
      <c r="OS13" s="97" t="n">
        <f aca="false">OS12-OR13+OQ13</f>
        <v>0</v>
      </c>
      <c r="OT13" s="95" t="n">
        <f aca="false">[1]НАДІЙШЛО2!EI5</f>
        <v>0</v>
      </c>
      <c r="OU13" s="96" t="n">
        <f aca="false">[1]ВИБУЛО2!EI5</f>
        <v>0</v>
      </c>
      <c r="OV13" s="97" t="n">
        <f aca="false">OV12-OU13+OT13</f>
        <v>0</v>
      </c>
      <c r="OW13" s="95" t="n">
        <f aca="false">[1]НАДІЙШЛО2!EJ5</f>
        <v>0</v>
      </c>
      <c r="OX13" s="96" t="n">
        <f aca="false">[1]ВИБУЛО2!EJ5</f>
        <v>0</v>
      </c>
      <c r="OY13" s="97" t="n">
        <f aca="false">OY12-OX13+OW13</f>
        <v>0</v>
      </c>
      <c r="OZ13" s="95" t="n">
        <f aca="false">[1]НАДІЙШЛО2!EK5</f>
        <v>0</v>
      </c>
      <c r="PA13" s="96" t="n">
        <f aca="false">[1]ВИБУЛО2!EK5</f>
        <v>0</v>
      </c>
      <c r="PB13" s="97" t="n">
        <f aca="false">PB12-PA13+OZ13</f>
        <v>0</v>
      </c>
      <c r="PC13" s="95" t="n">
        <f aca="false">[1]НАДІЙШЛО2!EL5</f>
        <v>0</v>
      </c>
      <c r="PD13" s="96" t="n">
        <f aca="false">[1]ВИБУЛО2!EL5</f>
        <v>0</v>
      </c>
      <c r="PE13" s="97" t="n">
        <f aca="false">PE12-PD13+PC13</f>
        <v>0</v>
      </c>
      <c r="PF13" s="95" t="n">
        <f aca="false">[1]НАДІЙШЛО2!EM5</f>
        <v>0</v>
      </c>
      <c r="PG13" s="96" t="n">
        <f aca="false">[1]ВИБУЛО2!EM5</f>
        <v>0</v>
      </c>
      <c r="PH13" s="97" t="n">
        <f aca="false">PH12-PG13+PF13</f>
        <v>0</v>
      </c>
      <c r="PI13" s="95" t="n">
        <f aca="false">[1]НАДІЙШЛО2!EN5</f>
        <v>0</v>
      </c>
      <c r="PJ13" s="96" t="n">
        <f aca="false">[1]ВИБУЛО2!EN5</f>
        <v>0</v>
      </c>
      <c r="PK13" s="97" t="n">
        <f aca="false">PK12-PJ13+PI13</f>
        <v>0</v>
      </c>
      <c r="PL13" s="95" t="n">
        <f aca="false">[1]НАДІЙШЛО2!EO5</f>
        <v>0</v>
      </c>
      <c r="PM13" s="96" t="n">
        <f aca="false">[1]ВИБУЛО2!EO5</f>
        <v>0</v>
      </c>
      <c r="PN13" s="97" t="n">
        <f aca="false">PN12-PM13+PL13</f>
        <v>0</v>
      </c>
      <c r="PO13" s="95" t="n">
        <f aca="false">[1]НАДІЙШЛО2!EP5</f>
        <v>0</v>
      </c>
      <c r="PP13" s="96" t="n">
        <f aca="false">[1]ВИБУЛО2!EP5</f>
        <v>0</v>
      </c>
      <c r="PQ13" s="97" t="n">
        <f aca="false">PQ12-PP13+PO13</f>
        <v>0</v>
      </c>
      <c r="PR13" s="95" t="n">
        <f aca="false">[1]НАДІЙШЛО2!EQ5</f>
        <v>0</v>
      </c>
      <c r="PS13" s="96" t="n">
        <f aca="false">[1]ВИБУЛО2!EQ5</f>
        <v>0</v>
      </c>
      <c r="PT13" s="97" t="n">
        <f aca="false">PT12-PS13+PR13</f>
        <v>0</v>
      </c>
      <c r="PU13" s="95" t="n">
        <f aca="false">[1]НАДІЙШЛО2!ER5</f>
        <v>0</v>
      </c>
      <c r="PV13" s="96" t="n">
        <f aca="false">[1]ВИБУЛО2!ER5</f>
        <v>0</v>
      </c>
      <c r="PW13" s="97" t="n">
        <f aca="false">PW12-PV13+PU13</f>
        <v>0</v>
      </c>
      <c r="PX13" s="95" t="n">
        <f aca="false">[1]НАДІЙШЛО2!ES5</f>
        <v>0</v>
      </c>
      <c r="PY13" s="96" t="n">
        <f aca="false">[1]ВИБУЛО2!ES5</f>
        <v>0</v>
      </c>
      <c r="PZ13" s="97" t="n">
        <f aca="false">PZ12-PY13+PX13</f>
        <v>0</v>
      </c>
      <c r="QA13" s="95" t="n">
        <f aca="false">[1]НАДІЙШЛО2!ET5</f>
        <v>0</v>
      </c>
      <c r="QB13" s="96" t="n">
        <f aca="false">[1]ВИБУЛО2!ET5</f>
        <v>0</v>
      </c>
      <c r="QC13" s="97" t="n">
        <f aca="false">QC12-QB13+QA13</f>
        <v>0</v>
      </c>
      <c r="QD13" s="95" t="n">
        <f aca="false">[1]НАДІЙШЛО2!EU5</f>
        <v>0</v>
      </c>
      <c r="QE13" s="96" t="n">
        <f aca="false">[1]ВИБУЛО2!EU5</f>
        <v>0</v>
      </c>
      <c r="QF13" s="97" t="n">
        <f aca="false">QF12-QE13+QD13</f>
        <v>0</v>
      </c>
      <c r="QG13" s="95" t="n">
        <f aca="false">[1]НАДІЙШЛО2!EV5</f>
        <v>0</v>
      </c>
      <c r="QH13" s="96" t="n">
        <f aca="false">[1]ВИБУЛО2!EV5</f>
        <v>0</v>
      </c>
      <c r="QI13" s="97" t="n">
        <f aca="false">QI12-QH13+QG13</f>
        <v>0</v>
      </c>
      <c r="QJ13" s="95" t="n">
        <f aca="false">[1]НАДІЙШЛО2!EW5</f>
        <v>0</v>
      </c>
      <c r="QK13" s="96" t="n">
        <f aca="false">[1]ВИБУЛО2!EW5</f>
        <v>0</v>
      </c>
      <c r="QL13" s="97" t="n">
        <f aca="false">QL12-QK13+QJ13</f>
        <v>0</v>
      </c>
      <c r="QM13" s="95" t="n">
        <f aca="false">[1]НАДІЙШЛО2!EX5</f>
        <v>0</v>
      </c>
      <c r="QN13" s="96" t="n">
        <f aca="false">[1]ВИБУЛО2!EX5</f>
        <v>0</v>
      </c>
      <c r="QO13" s="97" t="n">
        <f aca="false">QO12-QN13+QM13</f>
        <v>0</v>
      </c>
      <c r="QP13" s="95" t="n">
        <f aca="false">[1]НАДІЙШЛО2!EY5</f>
        <v>0</v>
      </c>
      <c r="QQ13" s="96" t="n">
        <f aca="false">[1]ВИБУЛО2!EY5</f>
        <v>0</v>
      </c>
      <c r="QR13" s="97" t="n">
        <f aca="false">QR12-QQ13+QP13</f>
        <v>0</v>
      </c>
      <c r="QS13" s="95" t="n">
        <f aca="false">[1]НАДІЙШЛО2!EZ5</f>
        <v>0</v>
      </c>
      <c r="QT13" s="96" t="n">
        <f aca="false">[1]ВИБУЛО2!EZ5</f>
        <v>0</v>
      </c>
      <c r="QU13" s="97" t="n">
        <f aca="false">QU12-QT13+QS13</f>
        <v>0</v>
      </c>
      <c r="QV13" s="95" t="n">
        <f aca="false">[1]НАДІЙШЛО2!FA5</f>
        <v>0</v>
      </c>
      <c r="QW13" s="96" t="n">
        <f aca="false">[1]ВИБУЛО2!FA5</f>
        <v>0</v>
      </c>
      <c r="QX13" s="97" t="n">
        <f aca="false">QX12-QW13+QV13</f>
        <v>0</v>
      </c>
      <c r="QY13" s="95" t="n">
        <f aca="false">[1]НАДІЙШЛО2!FB5</f>
        <v>0</v>
      </c>
      <c r="QZ13" s="96" t="n">
        <f aca="false">[1]ВИБУЛО2!FB5</f>
        <v>0</v>
      </c>
      <c r="RA13" s="97" t="n">
        <f aca="false">RA12-QZ13+QY13</f>
        <v>0</v>
      </c>
      <c r="RB13" s="95" t="n">
        <f aca="false">[1]НАДІЙШЛО2!FC5</f>
        <v>0</v>
      </c>
      <c r="RC13" s="96" t="n">
        <f aca="false">[1]ВИБУЛО2!FC5</f>
        <v>0</v>
      </c>
      <c r="RD13" s="97" t="n">
        <f aca="false">RD12-RC13+RB13</f>
        <v>0</v>
      </c>
      <c r="RE13" s="95" t="n">
        <f aca="false">[1]НАДІЙШЛО2!FD5</f>
        <v>0</v>
      </c>
      <c r="RF13" s="96" t="n">
        <f aca="false">[1]ВИБУЛО2!FD5</f>
        <v>0</v>
      </c>
      <c r="RG13" s="97" t="n">
        <f aca="false">RG12-RF13+RE13</f>
        <v>0</v>
      </c>
      <c r="RH13" s="95" t="n">
        <f aca="false">[1]НАДІЙШЛО2!FE5</f>
        <v>0</v>
      </c>
      <c r="RI13" s="96" t="n">
        <f aca="false">[1]ВИБУЛО2!FE5</f>
        <v>0</v>
      </c>
      <c r="RJ13" s="97" t="n">
        <f aca="false">RJ12-RI13+RH13</f>
        <v>0</v>
      </c>
      <c r="RK13" s="95" t="n">
        <f aca="false">[1]НАДІЙШЛО2!FF5</f>
        <v>0</v>
      </c>
      <c r="RL13" s="96" t="n">
        <f aca="false">[1]ВИБУЛО2!FF5</f>
        <v>0</v>
      </c>
      <c r="RM13" s="97" t="n">
        <f aca="false">RM12-RL13+RK13</f>
        <v>0</v>
      </c>
      <c r="RN13" s="95" t="n">
        <f aca="false">[1]НАДІЙШЛО2!FG5</f>
        <v>0</v>
      </c>
      <c r="RO13" s="96" t="n">
        <f aca="false">[1]ВИБУЛО2!FG5</f>
        <v>0</v>
      </c>
      <c r="RP13" s="97" t="n">
        <f aca="false">RP12-RO13+RN13</f>
        <v>0</v>
      </c>
      <c r="RQ13" s="95" t="n">
        <f aca="false">[1]НАДІЙШЛО2!FH5</f>
        <v>0</v>
      </c>
      <c r="RR13" s="96" t="n">
        <f aca="false">[1]ВИБУЛО2!FH5</f>
        <v>0</v>
      </c>
      <c r="RS13" s="97" t="n">
        <f aca="false">RS12-RR13+RQ13</f>
        <v>0</v>
      </c>
      <c r="RT13" s="95" t="n">
        <f aca="false">[1]НАДІЙШЛО2!FI5</f>
        <v>0</v>
      </c>
      <c r="RU13" s="96" t="n">
        <f aca="false">[1]ВИБУЛО2!FI5</f>
        <v>0</v>
      </c>
      <c r="RV13" s="97" t="n">
        <f aca="false">RV12-RU13+RT13</f>
        <v>0</v>
      </c>
      <c r="RW13" s="95" t="n">
        <f aca="false">[1]НАДІЙШЛО2!FJ5</f>
        <v>0</v>
      </c>
      <c r="RX13" s="96" t="n">
        <f aca="false">[1]ВИБУЛО2!FJ5</f>
        <v>0</v>
      </c>
      <c r="RY13" s="97" t="n">
        <f aca="false">RY12-RX13+RW13</f>
        <v>0</v>
      </c>
      <c r="RZ13" s="95" t="n">
        <f aca="false">[1]НАДІЙШЛО2!FK5</f>
        <v>0</v>
      </c>
      <c r="SA13" s="96" t="n">
        <f aca="false">[1]ВИБУЛО2!FK5</f>
        <v>0</v>
      </c>
      <c r="SB13" s="97" t="n">
        <f aca="false">SB12-SA13+RZ13</f>
        <v>0</v>
      </c>
      <c r="SC13" s="95" t="n">
        <f aca="false">[1]НАДІЙШЛО2!FL5</f>
        <v>0</v>
      </c>
      <c r="SD13" s="96" t="n">
        <f aca="false">[1]ВИБУЛО2!FL5</f>
        <v>0</v>
      </c>
      <c r="SE13" s="97" t="n">
        <f aca="false">SE12-SD13+SC13</f>
        <v>0</v>
      </c>
      <c r="SF13" s="95" t="n">
        <f aca="false">[1]НАДІЙШЛО2!FM5</f>
        <v>0</v>
      </c>
      <c r="SG13" s="96" t="n">
        <f aca="false">[1]ВИБУЛО2!FM5</f>
        <v>0</v>
      </c>
      <c r="SH13" s="97" t="n">
        <f aca="false">SH12-SG13+SF13</f>
        <v>0</v>
      </c>
      <c r="SI13" s="95" t="n">
        <f aca="false">[1]НАДІЙШЛО2!FN5</f>
        <v>0</v>
      </c>
      <c r="SJ13" s="96" t="n">
        <f aca="false">[1]ВИБУЛО2!FN5</f>
        <v>0</v>
      </c>
      <c r="SK13" s="97" t="n">
        <f aca="false">SK12-SJ13+SI13</f>
        <v>0</v>
      </c>
      <c r="SL13" s="95" t="n">
        <f aca="false">[1]НАДІЙШЛО2!FO5</f>
        <v>0</v>
      </c>
      <c r="SM13" s="96" t="n">
        <f aca="false">[1]ВИБУЛО2!FO5</f>
        <v>0</v>
      </c>
      <c r="SN13" s="97" t="n">
        <f aca="false">SN12-SM13+SL13</f>
        <v>0</v>
      </c>
      <c r="SO13" s="95" t="n">
        <f aca="false">[1]НАДІЙШЛО2!FP5</f>
        <v>0</v>
      </c>
      <c r="SP13" s="96" t="n">
        <f aca="false">[1]ВИБУЛО2!FP5</f>
        <v>0</v>
      </c>
      <c r="SQ13" s="97" t="n">
        <f aca="false">SQ12-SP13+SO13</f>
        <v>0</v>
      </c>
      <c r="SR13" s="95" t="n">
        <f aca="false">[1]НАДІЙШЛО2!FQ5</f>
        <v>0</v>
      </c>
      <c r="SS13" s="96" t="n">
        <f aca="false">[1]ВИБУЛО2!FQ5</f>
        <v>0</v>
      </c>
      <c r="ST13" s="97" t="n">
        <f aca="false">ST12-SS13+SR13</f>
        <v>0</v>
      </c>
      <c r="SU13" s="95" t="n">
        <f aca="false">[1]НАДІЙШЛО2!FR5</f>
        <v>0</v>
      </c>
      <c r="SV13" s="96" t="n">
        <f aca="false">[1]ВИБУЛО2!FR5</f>
        <v>0</v>
      </c>
      <c r="SW13" s="97" t="n">
        <f aca="false">SW12-SV13+SU13</f>
        <v>0</v>
      </c>
      <c r="SX13" s="95" t="n">
        <f aca="false">[1]НАДІЙШЛО2!FS5</f>
        <v>0</v>
      </c>
      <c r="SY13" s="96" t="n">
        <f aca="false">[1]ВИБУЛО2!FS5</f>
        <v>0</v>
      </c>
      <c r="SZ13" s="97" t="n">
        <f aca="false">SZ12-SY13+SX13</f>
        <v>0</v>
      </c>
      <c r="TA13" s="95" t="n">
        <f aca="false">[1]НАДІЙШЛО2!FT5</f>
        <v>0</v>
      </c>
      <c r="TB13" s="96" t="n">
        <f aca="false">[1]ВИБУЛО2!FT5</f>
        <v>0</v>
      </c>
      <c r="TC13" s="97" t="n">
        <f aca="false">TC12-TB13+TA13</f>
        <v>0</v>
      </c>
      <c r="TD13" s="95" t="n">
        <f aca="false">[1]НАДІЙШЛО2!FU5</f>
        <v>0</v>
      </c>
      <c r="TE13" s="96" t="n">
        <f aca="false">[1]ВИБУЛО2!FU5</f>
        <v>0</v>
      </c>
      <c r="TF13" s="97" t="n">
        <f aca="false">TF12-TE13+TD13</f>
        <v>0</v>
      </c>
      <c r="TG13" s="95" t="n">
        <f aca="false">[1]НАДІЙШЛО2!FV5</f>
        <v>0</v>
      </c>
      <c r="TH13" s="96" t="n">
        <f aca="false">[1]ВИБУЛО2!FV5</f>
        <v>0</v>
      </c>
      <c r="TI13" s="97" t="n">
        <f aca="false">TI12-TH13+TG13</f>
        <v>0</v>
      </c>
      <c r="TJ13" s="95" t="n">
        <f aca="false">[1]НАДІЙШЛО2!FW5</f>
        <v>0</v>
      </c>
      <c r="TK13" s="96" t="n">
        <f aca="false">[1]ВИБУЛО2!FW5</f>
        <v>0</v>
      </c>
      <c r="TL13" s="97" t="n">
        <f aca="false">TL12-TK13+TJ13</f>
        <v>0</v>
      </c>
      <c r="TM13" s="95" t="n">
        <f aca="false">[1]НАДІЙШЛО2!FX5</f>
        <v>0</v>
      </c>
      <c r="TN13" s="96" t="n">
        <f aca="false">[1]ВИБУЛО2!FX5</f>
        <v>0</v>
      </c>
      <c r="TO13" s="97" t="n">
        <f aca="false">TO12-TN13+TM13</f>
        <v>0</v>
      </c>
      <c r="TP13" s="95" t="n">
        <f aca="false">[1]НАДІЙШЛО2!FY5</f>
        <v>0</v>
      </c>
      <c r="TQ13" s="96" t="n">
        <f aca="false">[1]ВИБУЛО2!FY5</f>
        <v>0</v>
      </c>
      <c r="TR13" s="97" t="n">
        <f aca="false">TR12-TQ13+TP13</f>
        <v>0</v>
      </c>
      <c r="TS13" s="95" t="n">
        <f aca="false">[1]НАДІЙШЛО2!FZ5</f>
        <v>0</v>
      </c>
      <c r="TT13" s="96" t="n">
        <f aca="false">[1]ВИБУЛО2!FZ5</f>
        <v>0</v>
      </c>
      <c r="TU13" s="97" t="n">
        <f aca="false">TU12-TT13+TS13</f>
        <v>0</v>
      </c>
      <c r="TV13" s="95" t="n">
        <f aca="false">[1]НАДІЙШЛО2!GA5</f>
        <v>0</v>
      </c>
      <c r="TW13" s="96" t="n">
        <f aca="false">[1]ВИБУЛО2!GA5</f>
        <v>0</v>
      </c>
      <c r="TX13" s="97" t="n">
        <f aca="false">TX12-TW13+TV13</f>
        <v>0</v>
      </c>
      <c r="TY13" s="95" t="n">
        <f aca="false">[1]НАДІЙШЛО2!GB5</f>
        <v>0</v>
      </c>
      <c r="TZ13" s="96" t="n">
        <f aca="false">[1]ВИБУЛО2!GB5</f>
        <v>0</v>
      </c>
      <c r="UA13" s="97" t="n">
        <f aca="false">UA12-TZ13+TY13</f>
        <v>0</v>
      </c>
      <c r="UB13" s="95" t="n">
        <f aca="false">[1]НАДІЙШЛО2!GC5</f>
        <v>0</v>
      </c>
      <c r="UC13" s="96" t="n">
        <f aca="false">[1]ВИБУЛО2!GC5</f>
        <v>0</v>
      </c>
      <c r="UD13" s="97" t="n">
        <f aca="false">UD12-UC13+UB13</f>
        <v>0</v>
      </c>
      <c r="UE13" s="95" t="n">
        <f aca="false">[1]НАДІЙШЛО2!GD5</f>
        <v>0</v>
      </c>
      <c r="UF13" s="96" t="n">
        <f aca="false">[1]ВИБУЛО2!GD5</f>
        <v>0</v>
      </c>
      <c r="UG13" s="97" t="n">
        <f aca="false">UG12-UF13+UE13</f>
        <v>0</v>
      </c>
      <c r="UH13" s="95" t="n">
        <f aca="false">[1]НАДІЙШЛО2!GE5</f>
        <v>0</v>
      </c>
      <c r="UI13" s="96" t="n">
        <f aca="false">[1]ВИБУЛО2!GE5</f>
        <v>0</v>
      </c>
      <c r="UJ13" s="97" t="n">
        <f aca="false">UJ12-UI13+UH13</f>
        <v>0</v>
      </c>
      <c r="UK13" s="95" t="n">
        <f aca="false">[1]НАДІЙШЛО2!GF5</f>
        <v>0</v>
      </c>
      <c r="UL13" s="96" t="n">
        <f aca="false">[1]ВИБУЛО2!GF5</f>
        <v>0</v>
      </c>
      <c r="UM13" s="97" t="n">
        <f aca="false">UM12-UL13+UK13</f>
        <v>0</v>
      </c>
      <c r="UN13" s="95" t="n">
        <f aca="false">[1]НАДІЙШЛО2!GG5</f>
        <v>0</v>
      </c>
      <c r="UO13" s="96" t="n">
        <f aca="false">[1]ВИБУЛО2!GG5</f>
        <v>0</v>
      </c>
      <c r="UP13" s="97" t="n">
        <f aca="false">UP12-UO13+UN13</f>
        <v>0</v>
      </c>
      <c r="UQ13" s="95" t="n">
        <f aca="false">[1]НАДІЙШЛО2!GH5</f>
        <v>0</v>
      </c>
      <c r="UR13" s="96" t="n">
        <f aca="false">[1]ВИБУЛО2!GH5</f>
        <v>0</v>
      </c>
      <c r="US13" s="97" t="n">
        <f aca="false">US12-UR13+UQ13</f>
        <v>0</v>
      </c>
      <c r="UT13" s="95" t="n">
        <f aca="false">[1]НАДІЙШЛО2!GI5</f>
        <v>0</v>
      </c>
      <c r="UU13" s="96" t="n">
        <f aca="false">[1]ВИБУЛО2!GI5</f>
        <v>0</v>
      </c>
      <c r="UV13" s="97" t="n">
        <f aca="false">UV12-UU13+UT13</f>
        <v>0</v>
      </c>
      <c r="UW13" s="95" t="n">
        <f aca="false">[1]НАДІЙШЛО2!GJ5</f>
        <v>0</v>
      </c>
      <c r="UX13" s="96" t="n">
        <f aca="false">[1]ВИБУЛО2!GJ5</f>
        <v>0</v>
      </c>
      <c r="UY13" s="97" t="n">
        <f aca="false">UY12-UX13+UW13</f>
        <v>0</v>
      </c>
      <c r="UZ13" s="95" t="n">
        <f aca="false">[1]НАДІЙШЛО2!GK5</f>
        <v>0</v>
      </c>
      <c r="VA13" s="96" t="n">
        <f aca="false">[1]ВИБУЛО2!GK5</f>
        <v>0</v>
      </c>
      <c r="VB13" s="97" t="n">
        <f aca="false">VB12-VA13+UZ13</f>
        <v>0</v>
      </c>
      <c r="VC13" s="95" t="n">
        <f aca="false">[1]НАДІЙШЛО2!GL5</f>
        <v>0</v>
      </c>
      <c r="VD13" s="96" t="n">
        <f aca="false">[1]ВИБУЛО2!GL5</f>
        <v>0</v>
      </c>
      <c r="VE13" s="97" t="n">
        <f aca="false">VE12-VD13+VC13</f>
        <v>0</v>
      </c>
      <c r="VF13" s="95" t="n">
        <f aca="false">[1]НАДІЙШЛО2!GM5</f>
        <v>0</v>
      </c>
      <c r="VG13" s="96" t="n">
        <f aca="false">[1]ВИБУЛО2!GM5</f>
        <v>0</v>
      </c>
      <c r="VH13" s="97" t="n">
        <f aca="false">VH12-VG13+VF13</f>
        <v>0</v>
      </c>
      <c r="VI13" s="95" t="n">
        <f aca="false">[1]НАДІЙШЛО2!GN5</f>
        <v>0</v>
      </c>
      <c r="VJ13" s="96" t="n">
        <f aca="false">[1]ВИБУЛО2!GN5</f>
        <v>0</v>
      </c>
      <c r="VK13" s="97" t="n">
        <f aca="false">VK12-VJ13+VI13</f>
        <v>0</v>
      </c>
      <c r="VL13" s="95" t="n">
        <f aca="false">[1]НАДІЙШЛО2!GO5</f>
        <v>0</v>
      </c>
      <c r="VM13" s="96" t="n">
        <f aca="false">[1]ВИБУЛО2!GO5</f>
        <v>0</v>
      </c>
      <c r="VN13" s="97" t="n">
        <f aca="false">VN12-VM13+VL13</f>
        <v>0</v>
      </c>
      <c r="VO13" s="95" t="n">
        <f aca="false">[1]НАДІЙШЛО2!GP5</f>
        <v>0</v>
      </c>
      <c r="VP13" s="96" t="n">
        <f aca="false">[1]ВИБУЛО2!GP5</f>
        <v>0</v>
      </c>
      <c r="VQ13" s="97" t="n">
        <f aca="false">VQ12-VP13+VO13</f>
        <v>0</v>
      </c>
      <c r="VR13" s="95" t="n">
        <f aca="false">[1]НАДІЙШЛО2!GQ5</f>
        <v>0</v>
      </c>
      <c r="VS13" s="96" t="n">
        <f aca="false">[1]ВИБУЛО2!GQ5</f>
        <v>0</v>
      </c>
      <c r="VT13" s="97" t="n">
        <f aca="false">VT12-VS13+VR13</f>
        <v>0</v>
      </c>
      <c r="VU13" s="95" t="n">
        <f aca="false">[1]НАДІЙШЛО2!GR5</f>
        <v>0</v>
      </c>
      <c r="VV13" s="96" t="n">
        <f aca="false">[1]ВИБУЛО2!GR5</f>
        <v>0</v>
      </c>
      <c r="VW13" s="97" t="n">
        <f aca="false">VW12-VV13+VU13</f>
        <v>0</v>
      </c>
      <c r="VX13" s="95" t="n">
        <f aca="false">[1]НАДІЙШЛО2!GS5</f>
        <v>0</v>
      </c>
      <c r="VY13" s="96" t="n">
        <f aca="false">[1]ВИБУЛО2!GS5</f>
        <v>0</v>
      </c>
      <c r="VZ13" s="97" t="n">
        <f aca="false">VZ12-VY13+VX13</f>
        <v>0</v>
      </c>
      <c r="WA13" s="95" t="n">
        <f aca="false">[1]НАДІЙШЛО2!GT5</f>
        <v>0</v>
      </c>
      <c r="WB13" s="96" t="n">
        <f aca="false">[1]ВИБУЛО2!GT5</f>
        <v>0</v>
      </c>
      <c r="WC13" s="97" t="n">
        <f aca="false">WC12-WB13+WA13</f>
        <v>0</v>
      </c>
      <c r="WD13" s="95" t="n">
        <f aca="false">[1]НАДІЙШЛО2!GU5</f>
        <v>0</v>
      </c>
      <c r="WE13" s="96" t="n">
        <f aca="false">[1]ВИБУЛО2!GU5</f>
        <v>0</v>
      </c>
      <c r="WF13" s="97" t="n">
        <f aca="false">WF12-WE13+WD13</f>
        <v>0</v>
      </c>
      <c r="WG13" s="95" t="n">
        <f aca="false">[1]НАДІЙШЛО2!GV5</f>
        <v>0</v>
      </c>
      <c r="WH13" s="96" t="n">
        <f aca="false">[1]ВИБУЛО2!GV5</f>
        <v>0</v>
      </c>
      <c r="WI13" s="97" t="n">
        <f aca="false">WI12-WH13+WG13</f>
        <v>0</v>
      </c>
      <c r="WJ13" s="95" t="n">
        <f aca="false">[1]НАДІЙШЛО2!GW5</f>
        <v>0</v>
      </c>
      <c r="WK13" s="96" t="n">
        <f aca="false">[1]ВИБУЛО2!GW5</f>
        <v>0</v>
      </c>
      <c r="WL13" s="97" t="n">
        <f aca="false">WL12-WK13+WJ13</f>
        <v>0</v>
      </c>
      <c r="WM13" s="95" t="n">
        <f aca="false">[1]НАДІЙШЛО2!GX5</f>
        <v>0</v>
      </c>
      <c r="WN13" s="96" t="n">
        <f aca="false">[1]ВИБУЛО2!GX5</f>
        <v>0</v>
      </c>
      <c r="WO13" s="97" t="n">
        <f aca="false">WO12-WN13+WM13</f>
        <v>0</v>
      </c>
      <c r="WP13" s="95" t="n">
        <f aca="false">[1]НАДІЙШЛО2!GY5</f>
        <v>0</v>
      </c>
      <c r="WQ13" s="96" t="n">
        <f aca="false">[1]ВИБУЛО2!GY5</f>
        <v>0</v>
      </c>
      <c r="WR13" s="97" t="n">
        <f aca="false">WR12-WQ13+WP13</f>
        <v>0</v>
      </c>
      <c r="WS13" s="95" t="n">
        <f aca="false">[1]НАДІЙШЛО2!GZ5</f>
        <v>0</v>
      </c>
      <c r="WT13" s="96" t="n">
        <f aca="false">[1]ВИБУЛО2!GZ5</f>
        <v>0</v>
      </c>
      <c r="WU13" s="97" t="n">
        <f aca="false">WU12-WT13+WS13</f>
        <v>0</v>
      </c>
      <c r="WV13" s="95" t="n">
        <f aca="false">[1]НАДІЙШЛО2!HA5</f>
        <v>0</v>
      </c>
      <c r="WW13" s="96" t="n">
        <f aca="false">[1]ВИБУЛО2!HA5</f>
        <v>0</v>
      </c>
      <c r="WX13" s="97" t="n">
        <f aca="false">WX12-WW13+WV13</f>
        <v>0</v>
      </c>
      <c r="WY13" s="95" t="n">
        <f aca="false">[1]НАДІЙШЛО2!HB5</f>
        <v>0</v>
      </c>
      <c r="WZ13" s="96" t="n">
        <f aca="false">[1]ВИБУЛО2!HB5</f>
        <v>0</v>
      </c>
      <c r="XA13" s="97" t="n">
        <f aca="false">XA12-WZ13+WY13</f>
        <v>0</v>
      </c>
      <c r="XB13" s="95" t="n">
        <f aca="false">[1]НАДІЙШЛО2!HC5</f>
        <v>0</v>
      </c>
      <c r="XC13" s="96" t="n">
        <f aca="false">[1]ВИБУЛО2!HC5</f>
        <v>0</v>
      </c>
      <c r="XD13" s="97" t="n">
        <f aca="false">XD12-XC13+XB13</f>
        <v>0</v>
      </c>
      <c r="XE13" s="95" t="n">
        <f aca="false">[1]НАДІЙШЛО2!HD5</f>
        <v>0</v>
      </c>
      <c r="XF13" s="96" t="n">
        <f aca="false">[1]ВИБУЛО2!HD5</f>
        <v>0</v>
      </c>
      <c r="XG13" s="97" t="n">
        <f aca="false">XG12-XF13+XE13</f>
        <v>0</v>
      </c>
      <c r="XH13" s="95" t="n">
        <f aca="false">[1]НАДІЙШЛО2!HE5</f>
        <v>0</v>
      </c>
      <c r="XI13" s="96" t="n">
        <f aca="false">[1]ВИБУЛО2!HE5</f>
        <v>0</v>
      </c>
      <c r="XJ13" s="97" t="n">
        <f aca="false">XJ12-XI13+XH13</f>
        <v>0</v>
      </c>
      <c r="XK13" s="95" t="n">
        <f aca="false">[1]НАДІЙШЛО2!HF5</f>
        <v>0</v>
      </c>
      <c r="XL13" s="96" t="n">
        <f aca="false">[1]ВИБУЛО2!HF5</f>
        <v>0</v>
      </c>
      <c r="XM13" s="97" t="n">
        <f aca="false">XM12-XL13+XK13</f>
        <v>0</v>
      </c>
      <c r="XN13" s="95" t="n">
        <f aca="false">[1]НАДІЙШЛО2!HG5</f>
        <v>0</v>
      </c>
      <c r="XO13" s="96" t="n">
        <f aca="false">[1]ВИБУЛО2!HG5</f>
        <v>0</v>
      </c>
      <c r="XP13" s="97" t="n">
        <f aca="false">XP12-XO13+XN13</f>
        <v>0</v>
      </c>
      <c r="XQ13" s="95" t="n">
        <f aca="false">[1]НАДІЙШЛО2!HH5</f>
        <v>0</v>
      </c>
      <c r="XR13" s="96" t="n">
        <f aca="false">[1]ВИБУЛО2!HH5</f>
        <v>0</v>
      </c>
      <c r="XS13" s="97" t="n">
        <f aca="false">XS12-XR13+XQ13</f>
        <v>0</v>
      </c>
      <c r="XT13" s="95" t="n">
        <f aca="false">[1]НАДІЙШЛО2!HI5</f>
        <v>0</v>
      </c>
      <c r="XU13" s="96" t="n">
        <f aca="false">[1]ВИБУЛО2!HI5</f>
        <v>0</v>
      </c>
      <c r="XV13" s="97" t="n">
        <f aca="false">XV12-XU13+XT13</f>
        <v>0</v>
      </c>
      <c r="XW13" s="95" t="n">
        <f aca="false">[1]НАДІЙШЛО2!HJ5</f>
        <v>0</v>
      </c>
      <c r="XX13" s="96" t="n">
        <f aca="false">[1]ВИБУЛО2!HJ5</f>
        <v>0</v>
      </c>
      <c r="XY13" s="97" t="n">
        <f aca="false">XY12-XX13+XW13</f>
        <v>0</v>
      </c>
      <c r="XZ13" s="95" t="n">
        <f aca="false">[1]НАДІЙШЛО2!HK5</f>
        <v>0</v>
      </c>
      <c r="YA13" s="96" t="n">
        <f aca="false">[1]ВИБУЛО2!HK5</f>
        <v>0</v>
      </c>
      <c r="YB13" s="97" t="n">
        <f aca="false">YB12-YA13+XZ13</f>
        <v>0</v>
      </c>
      <c r="YC13" s="95" t="n">
        <f aca="false">[1]НАДІЙШЛО2!HL5</f>
        <v>0</v>
      </c>
      <c r="YD13" s="96" t="n">
        <f aca="false">[1]ВИБУЛО2!HL5</f>
        <v>0</v>
      </c>
      <c r="YE13" s="97" t="n">
        <f aca="false">YE12-YD13+YC13</f>
        <v>0</v>
      </c>
      <c r="YF13" s="95" t="n">
        <f aca="false">[1]НАДІЙШЛО2!HM5</f>
        <v>0</v>
      </c>
      <c r="YG13" s="96" t="n">
        <f aca="false">[1]ВИБУЛО2!HM5</f>
        <v>0</v>
      </c>
      <c r="YH13" s="97" t="n">
        <f aca="false">YH12-YG13+YF13</f>
        <v>0</v>
      </c>
      <c r="YI13" s="95" t="n">
        <f aca="false">[1]НАДІЙШЛО2!HN5</f>
        <v>0</v>
      </c>
      <c r="YJ13" s="96" t="n">
        <f aca="false">[1]ВИБУЛО2!HN5</f>
        <v>0</v>
      </c>
      <c r="YK13" s="97" t="n">
        <f aca="false">YK12-YJ13+YI13</f>
        <v>0</v>
      </c>
      <c r="YL13" s="95" t="n">
        <f aca="false">[1]НАДІЙШЛО2!HO5</f>
        <v>0</v>
      </c>
      <c r="YM13" s="96" t="n">
        <f aca="false">[1]ВИБУЛО2!HO5</f>
        <v>0</v>
      </c>
      <c r="YN13" s="97" t="n">
        <f aca="false">YN12-YM13+YL13</f>
        <v>0</v>
      </c>
      <c r="YO13" s="95" t="n">
        <f aca="false">[1]НАДІЙШЛО2!HP5</f>
        <v>0</v>
      </c>
      <c r="YP13" s="96" t="n">
        <f aca="false">[1]ВИБУЛО2!HP5</f>
        <v>0</v>
      </c>
      <c r="YQ13" s="97" t="n">
        <f aca="false">YQ12-YP13+YO13</f>
        <v>0</v>
      </c>
      <c r="YR13" s="95" t="n">
        <f aca="false">[1]НАДІЙШЛО2!HQ5</f>
        <v>0</v>
      </c>
      <c r="YS13" s="96" t="n">
        <f aca="false">[1]ВИБУЛО2!HQ5</f>
        <v>0</v>
      </c>
      <c r="YT13" s="97" t="n">
        <f aca="false">YT12-YS13+YR13</f>
        <v>0</v>
      </c>
      <c r="YU13" s="95" t="n">
        <f aca="false">[1]НАДІЙШЛО2!HR5</f>
        <v>0</v>
      </c>
      <c r="YV13" s="96" t="n">
        <f aca="false">[1]ВИБУЛО2!HR5</f>
        <v>0</v>
      </c>
      <c r="YW13" s="97" t="n">
        <f aca="false">YW12-YV13+YU13</f>
        <v>0</v>
      </c>
      <c r="YX13" s="95" t="n">
        <f aca="false">[1]НАДІЙШЛО2!HS5</f>
        <v>0</v>
      </c>
      <c r="YY13" s="96" t="n">
        <f aca="false">[1]ВИБУЛО2!HS5</f>
        <v>0</v>
      </c>
      <c r="YZ13" s="97" t="n">
        <f aca="false">YZ12-YY13+YX13</f>
        <v>0</v>
      </c>
      <c r="ZA13" s="95" t="n">
        <f aca="false">[1]НАДІЙШЛО2!HT5</f>
        <v>0</v>
      </c>
      <c r="ZB13" s="96" t="n">
        <f aca="false">[1]ВИБУЛО2!HT5</f>
        <v>0</v>
      </c>
      <c r="ZC13" s="97" t="n">
        <f aca="false">ZC12-ZB13+ZA13</f>
        <v>0</v>
      </c>
      <c r="ZD13" s="95" t="n">
        <f aca="false">[1]НАДІЙШЛО2!HU5</f>
        <v>0</v>
      </c>
      <c r="ZE13" s="96" t="n">
        <f aca="false">[1]ВИБУЛО2!HU5</f>
        <v>0</v>
      </c>
      <c r="ZF13" s="97" t="n">
        <f aca="false">ZF12-ZE13+ZD13</f>
        <v>0</v>
      </c>
      <c r="ZG13" s="95" t="n">
        <f aca="false">[1]НАДІЙШЛО2!HV5</f>
        <v>0</v>
      </c>
      <c r="ZH13" s="96" t="n">
        <f aca="false">[1]ВИБУЛО2!HV5</f>
        <v>0</v>
      </c>
      <c r="ZI13" s="97" t="n">
        <f aca="false">ZI12-ZH13+ZG13</f>
        <v>0</v>
      </c>
      <c r="ZJ13" s="95" t="n">
        <f aca="false">[1]НАДІЙШЛО2!HW5</f>
        <v>0</v>
      </c>
      <c r="ZK13" s="96" t="n">
        <f aca="false">[1]ВИБУЛО2!HW5</f>
        <v>0</v>
      </c>
      <c r="ZL13" s="97" t="n">
        <f aca="false">ZL12-ZK13+ZJ13</f>
        <v>0</v>
      </c>
      <c r="ZM13" s="95" t="n">
        <f aca="false">[1]НАДІЙШЛО2!HX5</f>
        <v>0</v>
      </c>
      <c r="ZN13" s="96" t="n">
        <f aca="false">[1]ВИБУЛО2!HX5</f>
        <v>0</v>
      </c>
      <c r="ZO13" s="97" t="n">
        <f aca="false">ZO12-ZN13+ZM13</f>
        <v>0</v>
      </c>
      <c r="ZP13" s="95" t="n">
        <f aca="false">[1]НАДІЙШЛО2!HY5</f>
        <v>0</v>
      </c>
      <c r="ZQ13" s="96" t="n">
        <f aca="false">[1]ВИБУЛО2!HY5</f>
        <v>0</v>
      </c>
      <c r="ZR13" s="97" t="n">
        <f aca="false">ZR12-ZQ13+ZP13</f>
        <v>0</v>
      </c>
      <c r="ZS13" s="95" t="n">
        <f aca="false">[1]НАДІЙШЛО2!HZ5</f>
        <v>0</v>
      </c>
      <c r="ZT13" s="96" t="n">
        <f aca="false">[1]ВИБУЛО2!HZ5</f>
        <v>0</v>
      </c>
      <c r="ZU13" s="97" t="n">
        <f aca="false">ZU12-ZT13+ZS13</f>
        <v>0</v>
      </c>
      <c r="ZV13" s="95" t="n">
        <f aca="false">[1]НАДІЙШЛО2!IA5</f>
        <v>0</v>
      </c>
      <c r="ZW13" s="96" t="n">
        <f aca="false">[1]ВИБУЛО2!IA5</f>
        <v>0</v>
      </c>
      <c r="ZX13" s="97" t="n">
        <f aca="false">ZX12-ZW13+ZV13</f>
        <v>0</v>
      </c>
      <c r="ZY13" s="95" t="n">
        <f aca="false">[1]НАДІЙШЛО2!IB5</f>
        <v>0</v>
      </c>
      <c r="ZZ13" s="96" t="n">
        <f aca="false">[1]ВИБУЛО2!IB5</f>
        <v>0</v>
      </c>
      <c r="AAA13" s="97" t="n">
        <f aca="false">AAA12-ZZ13+ZY13</f>
        <v>0</v>
      </c>
      <c r="AAB13" s="95" t="n">
        <f aca="false">[1]НАДІЙШЛО2!IC5</f>
        <v>0</v>
      </c>
      <c r="AAC13" s="96" t="n">
        <f aca="false">[1]ВИБУЛО2!IC5</f>
        <v>0</v>
      </c>
      <c r="AAD13" s="97" t="n">
        <f aca="false">AAD12-AAC13+AAB13</f>
        <v>0</v>
      </c>
      <c r="AAE13" s="95" t="n">
        <f aca="false">[1]НАДІЙШЛО2!ID5</f>
        <v>0</v>
      </c>
      <c r="AAF13" s="96" t="n">
        <f aca="false">[1]ВИБУЛО2!ID5</f>
        <v>0</v>
      </c>
      <c r="AAG13" s="97" t="n">
        <f aca="false">AAG12-AAF13+AAE13</f>
        <v>0</v>
      </c>
      <c r="AAH13" s="95" t="n">
        <f aca="false">[1]НАДІЙШЛО2!IE5</f>
        <v>0</v>
      </c>
      <c r="AAI13" s="96" t="n">
        <f aca="false">[1]ВИБУЛО2!IE5</f>
        <v>0</v>
      </c>
      <c r="AAJ13" s="97" t="n">
        <f aca="false">AAJ12-AAI13+AAH13</f>
        <v>0</v>
      </c>
      <c r="AAK13" s="95" t="n">
        <f aca="false">[1]НАДІЙШЛО2!IF5</f>
        <v>0</v>
      </c>
      <c r="AAL13" s="96" t="n">
        <f aca="false">[1]ВИБУЛО2!IF5</f>
        <v>0</v>
      </c>
      <c r="AAM13" s="97" t="n">
        <f aca="false">AAM12-AAL13+AAK13</f>
        <v>0</v>
      </c>
      <c r="AAN13" s="95" t="n">
        <f aca="false">[1]НАДІЙШЛО2!IG5</f>
        <v>0</v>
      </c>
      <c r="AAO13" s="96" t="n">
        <f aca="false">[1]ВИБУЛО2!IG5</f>
        <v>0</v>
      </c>
      <c r="AAP13" s="97" t="n">
        <f aca="false">AAP12-AAO13+AAN13</f>
        <v>0</v>
      </c>
      <c r="AAQ13" s="95" t="n">
        <f aca="false">[1]НАДІЙШЛО2!IH5</f>
        <v>0</v>
      </c>
      <c r="AAR13" s="96" t="n">
        <f aca="false">[1]ВИБУЛО2!IH5</f>
        <v>0</v>
      </c>
      <c r="AAS13" s="97" t="n">
        <f aca="false">AAS12-AAR13+AAQ13</f>
        <v>0</v>
      </c>
      <c r="AAT13" s="95" t="n">
        <f aca="false">[1]НАДІЙШЛО2!II5</f>
        <v>0</v>
      </c>
      <c r="AAU13" s="96" t="n">
        <f aca="false">[1]ВИБУЛО2!II5</f>
        <v>0</v>
      </c>
      <c r="AAV13" s="97" t="n">
        <f aca="false">AAV12-AAU13+AAT13</f>
        <v>0</v>
      </c>
      <c r="AAW13" s="95" t="n">
        <f aca="false">[1]НАДІЙШЛО2!IJ5</f>
        <v>0</v>
      </c>
      <c r="AAX13" s="96" t="n">
        <f aca="false">[1]ВИБУЛО2!IJ5</f>
        <v>0</v>
      </c>
      <c r="AAY13" s="97" t="n">
        <f aca="false">AAY12-AAX13+AAW13</f>
        <v>0</v>
      </c>
      <c r="AAZ13" s="95" t="n">
        <f aca="false">[1]НАДІЙШЛО2!IK5</f>
        <v>0</v>
      </c>
      <c r="ABA13" s="96" t="n">
        <f aca="false">[1]ВИБУЛО2!IK5</f>
        <v>0</v>
      </c>
      <c r="ABB13" s="97" t="n">
        <f aca="false">ABB12-ABA13+AAZ13</f>
        <v>0</v>
      </c>
      <c r="ABC13" s="95" t="n">
        <f aca="false">[1]НАДІЙШЛО2!IL5</f>
        <v>0</v>
      </c>
      <c r="ABD13" s="96" t="n">
        <f aca="false">[1]ВИБУЛО2!IL5</f>
        <v>0</v>
      </c>
      <c r="ABE13" s="97" t="n">
        <f aca="false">ABE12-ABD13+ABC13</f>
        <v>0</v>
      </c>
      <c r="ABF13" s="95" t="n">
        <f aca="false">[1]НАДІЙШЛО2!IM5</f>
        <v>0</v>
      </c>
      <c r="ABG13" s="96" t="n">
        <f aca="false">[1]ВИБУЛО2!IM5</f>
        <v>0</v>
      </c>
      <c r="ABH13" s="97" t="n">
        <f aca="false">ABH12-ABG13+ABF13</f>
        <v>0</v>
      </c>
      <c r="ABI13" s="95" t="n">
        <f aca="false">[1]НАДІЙШЛО2!IN5</f>
        <v>0</v>
      </c>
      <c r="ABJ13" s="96" t="n">
        <f aca="false">[1]ВИБУЛО2!IN5</f>
        <v>0</v>
      </c>
      <c r="ABK13" s="97" t="n">
        <f aca="false">ABK12-ABJ13+ABI13</f>
        <v>0</v>
      </c>
      <c r="ABL13" s="95" t="n">
        <f aca="false">[1]НАДІЙШЛО2!IO5</f>
        <v>0</v>
      </c>
      <c r="ABM13" s="96" t="n">
        <f aca="false">[1]ВИБУЛО2!IO5</f>
        <v>0</v>
      </c>
      <c r="ABN13" s="97" t="n">
        <f aca="false">ABN12-ABM13+ABL13</f>
        <v>0</v>
      </c>
      <c r="ABO13" s="95" t="n">
        <f aca="false">[1]НАДІЙШЛО2!IP5</f>
        <v>0</v>
      </c>
      <c r="ABP13" s="96" t="n">
        <f aca="false">[1]ВИБУЛО2!IP5</f>
        <v>0</v>
      </c>
      <c r="ABQ13" s="97" t="n">
        <f aca="false">ABQ12-ABP13+ABO13</f>
        <v>0</v>
      </c>
      <c r="ABR13" s="95" t="n">
        <f aca="false">[1]НАДІЙШЛО2!IQ5</f>
        <v>0</v>
      </c>
      <c r="ABS13" s="96" t="n">
        <f aca="false">[1]ВИБУЛО2!IQ5</f>
        <v>0</v>
      </c>
      <c r="ABT13" s="97" t="n">
        <f aca="false">ABT12-ABS13+ABR13</f>
        <v>0</v>
      </c>
      <c r="ABU13" s="95" t="n">
        <f aca="false">[1]НАДІЙШЛО2!IR5</f>
        <v>0</v>
      </c>
      <c r="ABV13" s="96" t="n">
        <f aca="false">[1]ВИБУЛО2!IR5</f>
        <v>0</v>
      </c>
      <c r="ABW13" s="97" t="n">
        <f aca="false">ABW12-ABV13+ABU13</f>
        <v>0</v>
      </c>
      <c r="ABX13" s="95" t="n">
        <f aca="false">[1]НАДІЙШЛО2!IS5</f>
        <v>0</v>
      </c>
      <c r="ABY13" s="96" t="n">
        <f aca="false">[1]ВИБУЛО2!IS5</f>
        <v>0</v>
      </c>
      <c r="ABZ13" s="97" t="n">
        <f aca="false">ABZ12-ABY13+ABX13</f>
        <v>0</v>
      </c>
      <c r="ACA13" s="95" t="n">
        <f aca="false">[1]НАДІЙШЛО2!IT5</f>
        <v>0</v>
      </c>
      <c r="ACB13" s="96" t="n">
        <f aca="false">[1]ВИБУЛО2!IT5</f>
        <v>0</v>
      </c>
      <c r="ACC13" s="97" t="n">
        <f aca="false">ACC12-ACB13+ACA13</f>
        <v>0</v>
      </c>
      <c r="ACD13" s="95" t="n">
        <f aca="false">[1]НАДІЙШЛО2!IU5</f>
        <v>0</v>
      </c>
      <c r="ACE13" s="96" t="n">
        <f aca="false">[1]ВИБУЛО2!IU5</f>
        <v>0</v>
      </c>
      <c r="ACF13" s="97" t="n">
        <f aca="false">ACF12-ACE13+ACD13</f>
        <v>0</v>
      </c>
      <c r="ACG13" s="95" t="n">
        <f aca="false">[1]НАДІЙШЛО2!IV5</f>
        <v>0</v>
      </c>
      <c r="ACH13" s="96" t="n">
        <f aca="false">[1]ВИБУЛО2!IV5</f>
        <v>0</v>
      </c>
      <c r="ACI13" s="97" t="n">
        <f aca="false">ACI12-ACH13+ACG13</f>
        <v>0</v>
      </c>
      <c r="ACJ13" s="95" t="n">
        <f aca="false">[1]НАДІЙШЛО2!IW5</f>
        <v>0</v>
      </c>
      <c r="ACK13" s="96" t="n">
        <f aca="false">[1]ВИБУЛО2!IW5</f>
        <v>0</v>
      </c>
      <c r="ACL13" s="97" t="n">
        <f aca="false">ACL12-ACK13+ACJ13</f>
        <v>0</v>
      </c>
      <c r="ACM13" s="95" t="n">
        <f aca="false">[1]НАДІЙШЛО2!IX5</f>
        <v>0</v>
      </c>
      <c r="ACN13" s="96" t="n">
        <f aca="false">[1]ВИБУЛО2!IX5</f>
        <v>0</v>
      </c>
      <c r="ACO13" s="97" t="n">
        <f aca="false">ACO12-ACN13+ACM13</f>
        <v>0</v>
      </c>
      <c r="ACP13" s="95" t="n">
        <f aca="false">[1]НАДІЙШЛО2!IY5</f>
        <v>0</v>
      </c>
      <c r="ACQ13" s="96" t="n">
        <f aca="false">[1]ВИБУЛО2!IY5</f>
        <v>0</v>
      </c>
      <c r="ACR13" s="97" t="n">
        <f aca="false">ACR12-ACQ13+ACP13</f>
        <v>0</v>
      </c>
      <c r="ACS13" s="95" t="n">
        <f aca="false">[1]НАДІЙШЛО2!IZ5</f>
        <v>0</v>
      </c>
      <c r="ACT13" s="96" t="n">
        <f aca="false">[1]ВИБУЛО2!IZ5</f>
        <v>0</v>
      </c>
      <c r="ACU13" s="97" t="n">
        <f aca="false">ACU12-ACT13+ACS13</f>
        <v>0</v>
      </c>
      <c r="ACV13" s="95" t="n">
        <f aca="false">[1]НАДІЙШЛО2!JA5</f>
        <v>0</v>
      </c>
      <c r="ACW13" s="96" t="n">
        <f aca="false">[1]ВИБУЛО2!JA5</f>
        <v>0</v>
      </c>
      <c r="ACX13" s="97" t="n">
        <f aca="false">ACX12-ACW13+ACV13</f>
        <v>0</v>
      </c>
      <c r="ACY13" s="95" t="n">
        <f aca="false">[1]НАДІЙШЛО2!JB5</f>
        <v>0</v>
      </c>
      <c r="ACZ13" s="96" t="n">
        <f aca="false">[1]ВИБУЛО2!JB5</f>
        <v>0</v>
      </c>
      <c r="ADA13" s="97" t="n">
        <f aca="false">ADA12-ACZ13+ACY13</f>
        <v>0</v>
      </c>
      <c r="ADB13" s="95" t="n">
        <f aca="false">[1]НАДІЙШЛО2!JC5</f>
        <v>0</v>
      </c>
      <c r="ADC13" s="96" t="n">
        <f aca="false">[1]ВИБУЛО2!JC5</f>
        <v>0</v>
      </c>
      <c r="ADD13" s="97" t="n">
        <f aca="false">ADD12-ADC13+ADB13</f>
        <v>0</v>
      </c>
      <c r="ADE13" s="95" t="n">
        <f aca="false">[1]НАДІЙШЛО2!JD5</f>
        <v>0</v>
      </c>
      <c r="ADF13" s="96" t="n">
        <f aca="false">[1]ВИБУЛО2!JD5</f>
        <v>0</v>
      </c>
      <c r="ADG13" s="97" t="n">
        <f aca="false">ADG12-ADF13+ADE13</f>
        <v>0</v>
      </c>
      <c r="ADH13" s="95" t="n">
        <f aca="false">[1]НАДІЙШЛО2!JE5</f>
        <v>0</v>
      </c>
      <c r="ADI13" s="96" t="n">
        <f aca="false">[1]ВИБУЛО2!JE5</f>
        <v>0</v>
      </c>
      <c r="ADJ13" s="97" t="n">
        <f aca="false">ADJ12-ADI13+ADH13</f>
        <v>0</v>
      </c>
      <c r="ADK13" s="95" t="n">
        <f aca="false">[1]НАДІЙШЛО2!JF5</f>
        <v>0</v>
      </c>
      <c r="ADL13" s="96" t="n">
        <f aca="false">[1]ВИБУЛО2!JF5</f>
        <v>0</v>
      </c>
      <c r="ADM13" s="97" t="n">
        <f aca="false">ADM12-ADL13+ADK13</f>
        <v>0</v>
      </c>
      <c r="ADN13" s="95" t="n">
        <f aca="false">[1]НАДІЙШЛО2!JG5</f>
        <v>0</v>
      </c>
      <c r="ADO13" s="96" t="n">
        <f aca="false">[1]ВИБУЛО2!JG5</f>
        <v>0</v>
      </c>
      <c r="ADP13" s="97" t="n">
        <f aca="false">ADP12-ADO13+ADN13</f>
        <v>0</v>
      </c>
      <c r="ADQ13" s="95" t="n">
        <f aca="false">[1]НАДІЙШЛО2!JH5</f>
        <v>0</v>
      </c>
      <c r="ADR13" s="96" t="n">
        <f aca="false">[1]ВИБУЛО2!JH5</f>
        <v>0</v>
      </c>
      <c r="ADS13" s="97" t="n">
        <f aca="false">ADS12-ADR13+ADQ13</f>
        <v>0</v>
      </c>
      <c r="ADT13" s="95" t="n">
        <f aca="false">[1]НАДІЙШЛО2!JI5</f>
        <v>0</v>
      </c>
      <c r="ADU13" s="96" t="n">
        <f aca="false">[1]ВИБУЛО2!JI5</f>
        <v>0</v>
      </c>
      <c r="ADV13" s="97" t="n">
        <f aca="false">ADV12-ADU13+ADT13</f>
        <v>0</v>
      </c>
      <c r="ADW13" s="95" t="n">
        <f aca="false">[1]НАДІЙШЛО2!JJ5</f>
        <v>0</v>
      </c>
      <c r="ADX13" s="96" t="n">
        <f aca="false">[1]ВИБУЛО2!JJ5</f>
        <v>0</v>
      </c>
      <c r="ADY13" s="97" t="n">
        <f aca="false">ADY12-ADX13+ADW13</f>
        <v>0</v>
      </c>
      <c r="ADZ13" s="95" t="n">
        <f aca="false">[1]НАДІЙШЛО2!JK5</f>
        <v>0</v>
      </c>
      <c r="AEA13" s="96" t="n">
        <f aca="false">[1]ВИБУЛО2!JK5</f>
        <v>0</v>
      </c>
      <c r="AEB13" s="97" t="n">
        <f aca="false">AEB12-AEA13+ADZ13</f>
        <v>0</v>
      </c>
      <c r="AEC13" s="95" t="n">
        <f aca="false">[1]НАДІЙШЛО2!JL5</f>
        <v>0</v>
      </c>
      <c r="AED13" s="96" t="n">
        <f aca="false">[1]ВИБУЛО2!JL5</f>
        <v>0</v>
      </c>
      <c r="AEE13" s="97" t="n">
        <f aca="false">AEE12-AED13+AEC13</f>
        <v>0</v>
      </c>
      <c r="AEF13" s="95" t="n">
        <f aca="false">[1]НАДІЙШЛО2!JM5</f>
        <v>0</v>
      </c>
      <c r="AEG13" s="96" t="n">
        <f aca="false">[1]ВИБУЛО2!JM5</f>
        <v>0</v>
      </c>
      <c r="AEH13" s="97" t="n">
        <f aca="false">AEH12-AEG13+AEF13</f>
        <v>0</v>
      </c>
      <c r="AEI13" s="95" t="n">
        <f aca="false">[1]НАДІЙШЛО2!JN5</f>
        <v>0</v>
      </c>
      <c r="AEJ13" s="96" t="n">
        <f aca="false">[1]ВИБУЛО2!JN5</f>
        <v>0</v>
      </c>
      <c r="AEK13" s="97" t="n">
        <f aca="false">AEK12-AEJ13+AEI13</f>
        <v>0</v>
      </c>
      <c r="AEL13" s="95" t="n">
        <f aca="false">[1]НАДІЙШЛО2!JO5</f>
        <v>0</v>
      </c>
      <c r="AEM13" s="96" t="n">
        <f aca="false">[1]ВИБУЛО2!JO5</f>
        <v>0</v>
      </c>
      <c r="AEN13" s="97" t="n">
        <f aca="false">AEN12-AEM13+AEL13</f>
        <v>0</v>
      </c>
      <c r="AEO13" s="95" t="n">
        <f aca="false">[1]НАДІЙШЛО2!JP5</f>
        <v>0</v>
      </c>
      <c r="AEP13" s="96" t="n">
        <f aca="false">[1]ВИБУЛО2!JP5</f>
        <v>0</v>
      </c>
      <c r="AEQ13" s="97" t="n">
        <f aca="false">AEQ12-AEP13+AEO13</f>
        <v>0</v>
      </c>
      <c r="AER13" s="95" t="n">
        <f aca="false">[1]НАДІЙШЛО2!JQ5</f>
        <v>0</v>
      </c>
      <c r="AES13" s="96" t="n">
        <f aca="false">[1]ВИБУЛО2!JQ5</f>
        <v>0</v>
      </c>
      <c r="AET13" s="97" t="n">
        <f aca="false">AET12-AES13+AER13</f>
        <v>0</v>
      </c>
      <c r="AEU13" s="95" t="n">
        <f aca="false">[1]НАДІЙШЛО2!JR5</f>
        <v>0</v>
      </c>
      <c r="AEV13" s="96" t="n">
        <f aca="false">[1]ВИБУЛО2!JR5</f>
        <v>0</v>
      </c>
      <c r="AEW13" s="97" t="n">
        <f aca="false">AEW12-AEV13+AEU13</f>
        <v>0</v>
      </c>
      <c r="AEX13" s="95" t="n">
        <f aca="false">[1]НАДІЙШЛО2!JS5</f>
        <v>0</v>
      </c>
      <c r="AEY13" s="96" t="n">
        <f aca="false">[1]ВИБУЛО2!JS5</f>
        <v>0</v>
      </c>
      <c r="AEZ13" s="97" t="n">
        <f aca="false">AEZ12-AEY13+AEX13</f>
        <v>0</v>
      </c>
      <c r="AFA13" s="95" t="n">
        <f aca="false">[1]НАДІЙШЛО2!JT5</f>
        <v>0</v>
      </c>
      <c r="AFB13" s="96" t="n">
        <f aca="false">[1]ВИБУЛО2!JT5</f>
        <v>0</v>
      </c>
      <c r="AFC13" s="97" t="n">
        <f aca="false">AFC12-AFB13+AFA13</f>
        <v>0</v>
      </c>
      <c r="AFD13" s="95" t="n">
        <f aca="false">[1]НАДІЙШЛО2!JU5</f>
        <v>0</v>
      </c>
      <c r="AFE13" s="96" t="n">
        <f aca="false">[1]ВИБУЛО2!JU5</f>
        <v>0</v>
      </c>
      <c r="AFF13" s="97" t="n">
        <f aca="false">AFF12-AFE13+AFD13</f>
        <v>0</v>
      </c>
      <c r="AFG13" s="95" t="n">
        <f aca="false">[1]НАДІЙШЛО2!JV5</f>
        <v>0</v>
      </c>
      <c r="AFH13" s="96" t="n">
        <f aca="false">[1]ВИБУЛО2!JV5</f>
        <v>0</v>
      </c>
      <c r="AFI13" s="97" t="n">
        <f aca="false">AFI12-AFH13+AFG13</f>
        <v>0</v>
      </c>
      <c r="AFJ13" s="95" t="n">
        <f aca="false">[1]НАДІЙШЛО2!JW5</f>
        <v>0</v>
      </c>
      <c r="AFK13" s="96" t="n">
        <f aca="false">[1]ВИБУЛО2!JW5</f>
        <v>0</v>
      </c>
      <c r="AFL13" s="97" t="n">
        <f aca="false">AFL12-AFK13+AFJ13</f>
        <v>0</v>
      </c>
      <c r="AFM13" s="95" t="n">
        <f aca="false">[1]НАДІЙШЛО2!JX5</f>
        <v>0</v>
      </c>
      <c r="AFN13" s="96" t="n">
        <f aca="false">[1]ВИБУЛО2!JX5</f>
        <v>0</v>
      </c>
      <c r="AFO13" s="97" t="n">
        <f aca="false">AFO12-AFN13+AFM13</f>
        <v>0</v>
      </c>
      <c r="AFP13" s="95" t="n">
        <f aca="false">[1]НАДІЙШЛО2!JY5</f>
        <v>0</v>
      </c>
      <c r="AFQ13" s="96" t="n">
        <f aca="false">[1]ВИБУЛО2!JY5</f>
        <v>0</v>
      </c>
      <c r="AFR13" s="97" t="n">
        <f aca="false">AFR12-AFQ13+AFP13</f>
        <v>0</v>
      </c>
      <c r="AFS13" s="95" t="n">
        <f aca="false">[1]НАДІЙШЛО2!JZ5</f>
        <v>0</v>
      </c>
      <c r="AFT13" s="96" t="n">
        <f aca="false">[1]ВИБУЛО2!JZ5</f>
        <v>0</v>
      </c>
      <c r="AFU13" s="97" t="n">
        <f aca="false">AFU12-AFT13+AFS13</f>
        <v>0</v>
      </c>
      <c r="AFV13" s="95" t="n">
        <f aca="false">[1]НАДІЙШЛО2!KA5</f>
        <v>0</v>
      </c>
      <c r="AFW13" s="96" t="n">
        <f aca="false">[1]ВИБУЛО2!KA5</f>
        <v>0</v>
      </c>
      <c r="AFX13" s="97" t="n">
        <f aca="false">AFX12-AFW13+AFV13</f>
        <v>0</v>
      </c>
      <c r="AFY13" s="95" t="n">
        <f aca="false">[1]НАДІЙШЛО2!KB5</f>
        <v>0</v>
      </c>
      <c r="AFZ13" s="96" t="n">
        <f aca="false">[1]ВИБУЛО2!KB5</f>
        <v>0</v>
      </c>
      <c r="AGA13" s="97" t="n">
        <f aca="false">AGA12-AFZ13+AFY13</f>
        <v>0</v>
      </c>
      <c r="AGB13" s="95" t="n">
        <f aca="false">[1]НАДІЙШЛО2!KC5</f>
        <v>0</v>
      </c>
      <c r="AGC13" s="96" t="n">
        <f aca="false">[1]ВИБУЛО2!KC5</f>
        <v>0</v>
      </c>
      <c r="AGD13" s="97" t="n">
        <f aca="false">AGD12-AGC13+AGB13</f>
        <v>0</v>
      </c>
      <c r="AGE13" s="95" t="n">
        <f aca="false">[1]НАДІЙШЛО2!KD5</f>
        <v>0</v>
      </c>
      <c r="AGF13" s="96" t="n">
        <f aca="false">[1]ВИБУЛО2!KD5</f>
        <v>0</v>
      </c>
      <c r="AGG13" s="97" t="n">
        <f aca="false">AGG12-AGF13+AGE13</f>
        <v>0</v>
      </c>
      <c r="AGH13" s="95" t="n">
        <f aca="false">[1]НАДІЙШЛО2!KE5</f>
        <v>0</v>
      </c>
      <c r="AGI13" s="96" t="n">
        <f aca="false">[1]ВИБУЛО2!KE5</f>
        <v>0</v>
      </c>
      <c r="AGJ13" s="97" t="n">
        <f aca="false">AGJ12-AGI13+AGH13</f>
        <v>0</v>
      </c>
      <c r="AGK13" s="95" t="n">
        <f aca="false">[1]НАДІЙШЛО2!KF5</f>
        <v>0</v>
      </c>
      <c r="AGL13" s="96" t="n">
        <f aca="false">[1]ВИБУЛО2!KF5</f>
        <v>0</v>
      </c>
      <c r="AGM13" s="97" t="n">
        <f aca="false">AGM12-AGL13+AGK13</f>
        <v>0</v>
      </c>
      <c r="AGN13" s="95" t="n">
        <f aca="false">[1]НАДІЙШЛО2!KG5</f>
        <v>0</v>
      </c>
      <c r="AGO13" s="96" t="n">
        <f aca="false">[1]ВИБУЛО2!KG5</f>
        <v>0</v>
      </c>
      <c r="AGP13" s="97" t="n">
        <f aca="false">AGP12-AGO13+AGN13</f>
        <v>0</v>
      </c>
      <c r="AGQ13" s="95" t="n">
        <f aca="false">[1]НАДІЙШЛО2!KH5</f>
        <v>0</v>
      </c>
      <c r="AGR13" s="96" t="n">
        <f aca="false">[1]ВИБУЛО2!KH5</f>
        <v>0</v>
      </c>
      <c r="AGS13" s="97" t="n">
        <f aca="false">AGS12-AGR13+AGQ13</f>
        <v>0</v>
      </c>
      <c r="AGT13" s="95" t="n">
        <f aca="false">[1]НАДІЙШЛО2!KI5</f>
        <v>0</v>
      </c>
      <c r="AGU13" s="96" t="n">
        <f aca="false">[1]ВИБУЛО2!KI5</f>
        <v>0</v>
      </c>
      <c r="AGV13" s="97" t="n">
        <f aca="false">AGV12-AGU13+AGT13</f>
        <v>0</v>
      </c>
      <c r="AGW13" s="95" t="n">
        <f aca="false">[1]НАДІЙШЛО2!KJ5</f>
        <v>0</v>
      </c>
      <c r="AGX13" s="96" t="n">
        <f aca="false">[1]ВИБУЛО2!KJ5</f>
        <v>0</v>
      </c>
      <c r="AGY13" s="97" t="n">
        <f aca="false">AGY12-AGX13+AGW13</f>
        <v>0</v>
      </c>
      <c r="AGZ13" s="95" t="n">
        <f aca="false">[1]НАДІЙШЛО2!KK5</f>
        <v>0</v>
      </c>
      <c r="AHA13" s="96" t="n">
        <f aca="false">[1]ВИБУЛО2!KK5</f>
        <v>0</v>
      </c>
      <c r="AHB13" s="97" t="n">
        <f aca="false">AHB12-AHA13+AGZ13</f>
        <v>0</v>
      </c>
      <c r="AHC13" s="95" t="n">
        <f aca="false">[1]НАДІЙШЛО2!KL5</f>
        <v>0</v>
      </c>
      <c r="AHD13" s="96" t="n">
        <f aca="false">[1]ВИБУЛО2!KL5</f>
        <v>0</v>
      </c>
      <c r="AHE13" s="97" t="n">
        <f aca="false">AHE12-AHD13+AHC13</f>
        <v>0</v>
      </c>
      <c r="AHF13" s="95" t="n">
        <f aca="false">[1]НАДІЙШЛО2!KM5</f>
        <v>0</v>
      </c>
      <c r="AHG13" s="96" t="n">
        <f aca="false">[1]ВИБУЛО2!KM5</f>
        <v>0</v>
      </c>
      <c r="AHH13" s="97" t="n">
        <f aca="false">AHH12-AHG13+AHF13</f>
        <v>0</v>
      </c>
      <c r="AHI13" s="95" t="n">
        <f aca="false">[1]НАДІЙШЛО2!KN5</f>
        <v>0</v>
      </c>
      <c r="AHJ13" s="96" t="n">
        <f aca="false">[1]ВИБУЛО2!KN5</f>
        <v>0</v>
      </c>
      <c r="AHK13" s="97" t="n">
        <f aca="false">AHK12-AHJ13+AHI13</f>
        <v>0</v>
      </c>
      <c r="AHL13" s="95" t="n">
        <f aca="false">[1]НАДІЙШЛО2!KO5</f>
        <v>0</v>
      </c>
      <c r="AHM13" s="96" t="n">
        <f aca="false">[1]ВИБУЛО2!KO5</f>
        <v>0</v>
      </c>
      <c r="AHN13" s="97" t="n">
        <f aca="false">AHN12-AHM13+AHL13</f>
        <v>0</v>
      </c>
      <c r="AHO13" s="95" t="n">
        <f aca="false">[1]НАДІЙШЛО2!KP5</f>
        <v>0</v>
      </c>
      <c r="AHP13" s="96" t="n">
        <f aca="false">[1]ВИБУЛО2!KP5</f>
        <v>0</v>
      </c>
      <c r="AHQ13" s="97" t="n">
        <f aca="false">AHQ12-AHP13+AHO13</f>
        <v>0</v>
      </c>
      <c r="AHR13" s="95" t="n">
        <f aca="false">[1]НАДІЙШЛО2!KQ5</f>
        <v>0</v>
      </c>
      <c r="AHS13" s="96" t="n">
        <f aca="false">[1]ВИБУЛО2!KQ5</f>
        <v>0</v>
      </c>
      <c r="AHT13" s="97" t="n">
        <f aca="false">AHT12-AHS13+AHR13</f>
        <v>0</v>
      </c>
      <c r="AHU13" s="95" t="n">
        <f aca="false">[1]НАДІЙШЛО2!KR5</f>
        <v>0</v>
      </c>
      <c r="AHV13" s="96" t="n">
        <f aca="false">[1]ВИБУЛО2!KR5</f>
        <v>0</v>
      </c>
      <c r="AHW13" s="97" t="n">
        <f aca="false">AHW12-AHV13+AHU13</f>
        <v>0</v>
      </c>
      <c r="AHX13" s="95" t="n">
        <f aca="false">[1]НАДІЙШЛО2!KS5</f>
        <v>0</v>
      </c>
      <c r="AHY13" s="96" t="n">
        <f aca="false">[1]ВИБУЛО2!KS5</f>
        <v>0</v>
      </c>
      <c r="AHZ13" s="97" t="n">
        <f aca="false">AHZ12-AHY13+AHX13</f>
        <v>0</v>
      </c>
      <c r="AIA13" s="95" t="n">
        <f aca="false">[1]НАДІЙШЛО2!KT5</f>
        <v>0</v>
      </c>
      <c r="AIB13" s="96" t="n">
        <f aca="false">[1]ВИБУЛО2!KT5</f>
        <v>0</v>
      </c>
      <c r="AIC13" s="97" t="n">
        <f aca="false">AIC12-AIB13+AIA13</f>
        <v>0</v>
      </c>
      <c r="AID13" s="95" t="n">
        <f aca="false">[1]НАДІЙШЛО2!KU5</f>
        <v>0</v>
      </c>
      <c r="AIE13" s="96" t="n">
        <f aca="false">[1]ВИБУЛО2!KU5</f>
        <v>0</v>
      </c>
      <c r="AIF13" s="97" t="n">
        <f aca="false">AIF12-AIE13+AID13</f>
        <v>0</v>
      </c>
      <c r="AIG13" s="95" t="n">
        <f aca="false">[1]НАДІЙШЛО2!KV5</f>
        <v>0</v>
      </c>
      <c r="AIH13" s="96" t="n">
        <f aca="false">[1]ВИБУЛО2!KV5</f>
        <v>0</v>
      </c>
      <c r="AII13" s="97" t="n">
        <f aca="false">AII12-AIH13+AIG13</f>
        <v>0</v>
      </c>
      <c r="AIJ13" s="95" t="n">
        <f aca="false">[1]НАДІЙШЛО2!KW5</f>
        <v>0</v>
      </c>
      <c r="AIK13" s="96" t="n">
        <f aca="false">[1]ВИБУЛО2!KW5</f>
        <v>0</v>
      </c>
      <c r="AIL13" s="97" t="n">
        <f aca="false">AIL12-AIK13+AIJ13</f>
        <v>0</v>
      </c>
      <c r="AIM13" s="95" t="n">
        <f aca="false">[1]НАДІЙШЛО2!KX5</f>
        <v>0</v>
      </c>
      <c r="AIN13" s="96" t="n">
        <f aca="false">[1]ВИБУЛО2!KX5</f>
        <v>0</v>
      </c>
      <c r="AIO13" s="97" t="n">
        <f aca="false">AIO12-AIN13+AIM13</f>
        <v>0</v>
      </c>
      <c r="AIP13" s="95" t="n">
        <f aca="false">[1]НАДІЙШЛО2!KY5</f>
        <v>0</v>
      </c>
      <c r="AIQ13" s="96" t="n">
        <f aca="false">[1]ВИБУЛО2!KY5</f>
        <v>0</v>
      </c>
      <c r="AIR13" s="97" t="n">
        <f aca="false">AIR12-AIQ13+AIP13</f>
        <v>0</v>
      </c>
      <c r="AIS13" s="95" t="n">
        <f aca="false">[1]НАДІЙШЛО2!KZ5</f>
        <v>0</v>
      </c>
      <c r="AIT13" s="96" t="n">
        <f aca="false">[1]ВИБУЛО2!KZ5</f>
        <v>0</v>
      </c>
      <c r="AIU13" s="97" t="n">
        <f aca="false">AIU12-AIT13+AIS13</f>
        <v>0</v>
      </c>
      <c r="AIV13" s="95" t="n">
        <f aca="false">[1]НАДІЙШЛО2!LA5</f>
        <v>0</v>
      </c>
      <c r="AIW13" s="96" t="n">
        <f aca="false">[1]ВИБУЛО2!LA5</f>
        <v>0</v>
      </c>
      <c r="AIX13" s="97" t="n">
        <f aca="false">AIX12-AIW13+AIV13</f>
        <v>0</v>
      </c>
      <c r="AIY13" s="95" t="n">
        <f aca="false">[1]НАДІЙШЛО2!LB5</f>
        <v>0</v>
      </c>
      <c r="AIZ13" s="96" t="n">
        <f aca="false">[1]ВИБУЛО2!LB5</f>
        <v>0</v>
      </c>
      <c r="AJA13" s="97" t="n">
        <f aca="false">AJA12-AIZ13+AIY13</f>
        <v>0</v>
      </c>
      <c r="AJB13" s="95" t="n">
        <f aca="false">[1]НАДІЙШЛО2!LC5</f>
        <v>0</v>
      </c>
      <c r="AJC13" s="96" t="n">
        <f aca="false">[1]ВИБУЛО2!LC5</f>
        <v>0</v>
      </c>
      <c r="AJD13" s="97" t="n">
        <f aca="false">AJD12-AJC13+AJB13</f>
        <v>0</v>
      </c>
      <c r="AJE13" s="95" t="n">
        <f aca="false">[1]НАДІЙШЛО2!LD5</f>
        <v>0</v>
      </c>
      <c r="AJF13" s="96" t="n">
        <f aca="false">[1]ВИБУЛО2!LD5</f>
        <v>0</v>
      </c>
      <c r="AJG13" s="97" t="n">
        <f aca="false">AJG12-AJF13+AJE13</f>
        <v>0</v>
      </c>
      <c r="AJH13" s="95" t="n">
        <f aca="false">[1]НАДІЙШЛО2!LE5</f>
        <v>0</v>
      </c>
      <c r="AJI13" s="96" t="n">
        <f aca="false">[1]ВИБУЛО2!LE5</f>
        <v>0</v>
      </c>
      <c r="AJJ13" s="97" t="n">
        <f aca="false">AJJ12-AJI13+AJH13</f>
        <v>0</v>
      </c>
      <c r="AJK13" s="95" t="n">
        <f aca="false">[1]НАДІЙШЛО2!LF5</f>
        <v>0</v>
      </c>
      <c r="AJL13" s="96" t="n">
        <f aca="false">[1]ВИБУЛО2!LF5</f>
        <v>0</v>
      </c>
      <c r="AJM13" s="97" t="n">
        <f aca="false">AJM12-AJL13+AJK13</f>
        <v>0</v>
      </c>
      <c r="AJN13" s="95" t="n">
        <f aca="false">[1]НАДІЙШЛО2!LG5</f>
        <v>0</v>
      </c>
      <c r="AJO13" s="96" t="n">
        <f aca="false">[1]ВИБУЛО2!LG5</f>
        <v>0</v>
      </c>
      <c r="AJP13" s="97" t="n">
        <f aca="false">AJP12-AJO13+AJN13</f>
        <v>0</v>
      </c>
      <c r="AJQ13" s="95" t="n">
        <f aca="false">[1]НАДІЙШЛО2!LH5</f>
        <v>0</v>
      </c>
      <c r="AJR13" s="96" t="n">
        <f aca="false">[1]ВИБУЛО2!LH5</f>
        <v>0</v>
      </c>
      <c r="AJS13" s="97" t="n">
        <f aca="false">AJS12-AJR13+AJQ13</f>
        <v>0</v>
      </c>
      <c r="AJT13" s="95" t="n">
        <f aca="false">[1]НАДІЙШЛО2!LI5</f>
        <v>0</v>
      </c>
      <c r="AJU13" s="96" t="n">
        <f aca="false">[1]ВИБУЛО2!LI5</f>
        <v>0</v>
      </c>
      <c r="AJV13" s="97" t="n">
        <f aca="false">AJV12-AJU13+AJT13</f>
        <v>0</v>
      </c>
      <c r="AJW13" s="95" t="n">
        <f aca="false">[1]НАДІЙШЛО2!LJ5</f>
        <v>0</v>
      </c>
      <c r="AJX13" s="96" t="n">
        <f aca="false">[1]ВИБУЛО2!LJ5</f>
        <v>0</v>
      </c>
      <c r="AJY13" s="97" t="n">
        <f aca="false">AJY12-AJX13+AJW13</f>
        <v>0</v>
      </c>
      <c r="AJZ13" s="95" t="n">
        <f aca="false">[1]НАДІЙШЛО2!LK5</f>
        <v>0</v>
      </c>
      <c r="AKA13" s="96" t="n">
        <f aca="false">[1]ВИБУЛО2!LK5</f>
        <v>0</v>
      </c>
      <c r="AKB13" s="97" t="n">
        <f aca="false">AKB12-AKA13+AJZ13</f>
        <v>0</v>
      </c>
      <c r="AKC13" s="95" t="n">
        <f aca="false">[1]НАДІЙШЛО2!LL5</f>
        <v>0</v>
      </c>
      <c r="AKD13" s="96" t="n">
        <f aca="false">[1]ВИБУЛО2!LL5</f>
        <v>0</v>
      </c>
      <c r="AKE13" s="97" t="n">
        <f aca="false">AKE12-AKD13+AKC13</f>
        <v>0</v>
      </c>
      <c r="AKF13" s="95" t="n">
        <f aca="false">[1]НАДІЙШЛО2!LM5</f>
        <v>0</v>
      </c>
      <c r="AKG13" s="96" t="n">
        <f aca="false">[1]ВИБУЛО2!LM5</f>
        <v>0</v>
      </c>
      <c r="AKH13" s="97" t="n">
        <f aca="false">AKH12-AKG13+AKF13</f>
        <v>0</v>
      </c>
      <c r="AKI13" s="95" t="n">
        <f aca="false">[1]НАДІЙШЛО2!LN5</f>
        <v>0</v>
      </c>
      <c r="AKJ13" s="96" t="n">
        <f aca="false">[1]ВИБУЛО2!LN5</f>
        <v>0</v>
      </c>
      <c r="AKK13" s="97" t="n">
        <f aca="false">AKK12-AKJ13+AKI13</f>
        <v>0</v>
      </c>
      <c r="AKL13" s="95" t="n">
        <f aca="false">[1]НАДІЙШЛО2!LO5</f>
        <v>0</v>
      </c>
      <c r="AKM13" s="96" t="n">
        <f aca="false">[1]ВИБУЛО2!LO5</f>
        <v>0</v>
      </c>
      <c r="AKN13" s="97" t="n">
        <f aca="false">AKN12-AKM13+AKL13</f>
        <v>0</v>
      </c>
      <c r="AKO13" s="95" t="n">
        <f aca="false">[1]НАДІЙШЛО2!LP5</f>
        <v>0</v>
      </c>
      <c r="AKP13" s="96" t="n">
        <f aca="false">[1]ВИБУЛО2!LP5</f>
        <v>0</v>
      </c>
      <c r="AKQ13" s="97" t="n">
        <f aca="false">AKQ12-AKP13+AKO13</f>
        <v>0</v>
      </c>
      <c r="AKR13" s="95" t="n">
        <f aca="false">[1]НАДІЙШЛО2!LQ5</f>
        <v>0</v>
      </c>
      <c r="AKS13" s="96" t="n">
        <f aca="false">[1]ВИБУЛО2!LQ5</f>
        <v>0</v>
      </c>
      <c r="AKT13" s="97" t="n">
        <f aca="false">AKT12-AKS13+AKR13</f>
        <v>0</v>
      </c>
      <c r="AKU13" s="95" t="n">
        <f aca="false">[1]НАДІЙШЛО2!LR5</f>
        <v>0</v>
      </c>
      <c r="AKV13" s="96" t="n">
        <f aca="false">[1]ВИБУЛО2!LR5</f>
        <v>0</v>
      </c>
      <c r="AKW13" s="97" t="n">
        <f aca="false">AKW12-AKV13+AKU13</f>
        <v>0</v>
      </c>
      <c r="AKX13" s="95" t="n">
        <f aca="false">[1]НАДІЙШЛО2!LS5</f>
        <v>0</v>
      </c>
      <c r="AKY13" s="96" t="n">
        <f aca="false">[1]ВИБУЛО2!LS5</f>
        <v>0</v>
      </c>
      <c r="AKZ13" s="97" t="n">
        <f aca="false">AKZ12-AKY13+AKX13</f>
        <v>0</v>
      </c>
      <c r="ALA13" s="95" t="n">
        <f aca="false">[1]НАДІЙШЛО2!LT5</f>
        <v>0</v>
      </c>
      <c r="ALB13" s="96" t="n">
        <f aca="false">[1]ВИБУЛО2!LT5</f>
        <v>0</v>
      </c>
      <c r="ALC13" s="97" t="n">
        <f aca="false">ALC12-ALB13+ALA13</f>
        <v>0</v>
      </c>
      <c r="ALD13" s="95" t="n">
        <f aca="false">[1]НАДІЙШЛО2!LU5</f>
        <v>0</v>
      </c>
      <c r="ALE13" s="96" t="n">
        <f aca="false">[1]ВИБУЛО2!LU5</f>
        <v>0</v>
      </c>
      <c r="ALF13" s="97" t="n">
        <f aca="false">ALF12-ALE13+ALD13</f>
        <v>0</v>
      </c>
      <c r="ALG13" s="95" t="n">
        <f aca="false">[1]НАДІЙШЛО2!LV5</f>
        <v>0</v>
      </c>
      <c r="ALH13" s="96" t="n">
        <f aca="false">[1]ВИБУЛО2!LV5</f>
        <v>0</v>
      </c>
      <c r="ALI13" s="97" t="n">
        <f aca="false">ALI12-ALH13+ALG13</f>
        <v>0</v>
      </c>
      <c r="ALJ13" s="95" t="n">
        <f aca="false">[1]НАДІЙШЛО2!LW5</f>
        <v>0</v>
      </c>
      <c r="ALK13" s="96" t="n">
        <f aca="false">[1]ВИБУЛО2!LW5</f>
        <v>0</v>
      </c>
      <c r="ALL13" s="97" t="n">
        <f aca="false">ALL12-ALK13+ALJ13</f>
        <v>0</v>
      </c>
      <c r="ALM13" s="95" t="n">
        <f aca="false">[1]НАДІЙШЛО2!LX5</f>
        <v>0</v>
      </c>
      <c r="ALN13" s="96" t="n">
        <f aca="false">[1]ВИБУЛО2!LX5</f>
        <v>0</v>
      </c>
      <c r="ALO13" s="97" t="n">
        <f aca="false">ALO12-ALN13+ALM13</f>
        <v>0</v>
      </c>
      <c r="ALP13" s="95" t="n">
        <f aca="false">[1]НАДІЙШЛО2!LY5</f>
        <v>0</v>
      </c>
      <c r="ALQ13" s="96" t="n">
        <f aca="false">[1]ВИБУЛО2!LY5</f>
        <v>0</v>
      </c>
      <c r="ALR13" s="97" t="n">
        <f aca="false">ALR12-ALQ13+ALP13</f>
        <v>0</v>
      </c>
      <c r="ALS13" s="95" t="n">
        <f aca="false">[1]НАДІЙШЛО2!LZ5</f>
        <v>0</v>
      </c>
      <c r="ALT13" s="96" t="n">
        <f aca="false">[1]ВИБУЛО2!LZ5</f>
        <v>0</v>
      </c>
      <c r="ALU13" s="97" t="n">
        <f aca="false">ALU12-ALT13+ALS13</f>
        <v>0</v>
      </c>
      <c r="ALV13" s="95" t="n">
        <f aca="false">[1]НАДІЙШЛО2!MA5</f>
        <v>0</v>
      </c>
      <c r="ALW13" s="96" t="n">
        <f aca="false">[1]ВИБУЛО2!MA5</f>
        <v>0</v>
      </c>
      <c r="ALX13" s="97" t="n">
        <f aca="false">ALX12-ALW13+ALV13</f>
        <v>0</v>
      </c>
      <c r="ALY13" s="95" t="n">
        <f aca="false">[1]НАДІЙШЛО2!MB5</f>
        <v>0</v>
      </c>
      <c r="ALZ13" s="96" t="n">
        <f aca="false">[1]ВИБУЛО2!MB5</f>
        <v>0</v>
      </c>
      <c r="AMA13" s="97" t="n">
        <f aca="false">AMA12-ALZ13+ALY13</f>
        <v>0</v>
      </c>
      <c r="AMB13" s="95" t="n">
        <f aca="false">[1]НАДІЙШЛО2!MC5</f>
        <v>0</v>
      </c>
      <c r="AMC13" s="96" t="n">
        <f aca="false">[1]ВИБУЛО2!MC5</f>
        <v>0</v>
      </c>
      <c r="AMD13" s="97" t="n">
        <f aca="false">AMD12-AMC13+AMB13</f>
        <v>0</v>
      </c>
      <c r="AME13" s="95" t="n">
        <f aca="false">[1]НАДІЙШЛО2!MD5</f>
        <v>0</v>
      </c>
      <c r="AMF13" s="96" t="n">
        <f aca="false">[1]ВИБУЛО2!MD5</f>
        <v>0</v>
      </c>
      <c r="AMG13" s="97" t="n">
        <f aca="false">AMG12-AMF13+AME13</f>
        <v>0</v>
      </c>
      <c r="AMH13" s="95" t="n">
        <f aca="false">[1]НАДІЙШЛО2!ME5</f>
        <v>0</v>
      </c>
      <c r="AMI13" s="96" t="n">
        <f aca="false">[1]ВИБУЛО2!ME5</f>
        <v>0</v>
      </c>
      <c r="AMJ13" s="97" t="n">
        <f aca="false">AMJ12-AMI13+AMH13</f>
        <v>0</v>
      </c>
    </row>
    <row r="14" s="99" customFormat="true" ht="16.5" hidden="false" customHeight="false" outlineLevel="0" collapsed="false">
      <c r="A14" s="98"/>
      <c r="D14" s="103"/>
      <c r="E14" s="95" t="n">
        <f aca="false">[1]НАДІЙШЛО2!D6</f>
        <v>0</v>
      </c>
      <c r="F14" s="96" t="n">
        <f aca="false">[1]ВИБУЛО2!D6</f>
        <v>0</v>
      </c>
      <c r="G14" s="97" t="n">
        <f aca="false">G13-F14+E14</f>
        <v>0</v>
      </c>
      <c r="H14" s="95" t="n">
        <f aca="false">[1]НАДІЙШЛО2!E6</f>
        <v>0</v>
      </c>
      <c r="I14" s="96" t="n">
        <f aca="false">[1]ВИБУЛО2!E6</f>
        <v>0</v>
      </c>
      <c r="J14" s="97" t="n">
        <f aca="false">J13-I14+H14</f>
        <v>0</v>
      </c>
      <c r="K14" s="95" t="n">
        <f aca="false">[1]НАДІЙШЛО2!F6</f>
        <v>0</v>
      </c>
      <c r="L14" s="96" t="n">
        <f aca="false">[1]ВИБУЛО2!F6</f>
        <v>0</v>
      </c>
      <c r="M14" s="97" t="n">
        <f aca="false">M13-L14+K14</f>
        <v>2.06</v>
      </c>
      <c r="N14" s="95" t="n">
        <f aca="false">[1]НАДІЙШЛО2!G6</f>
        <v>0</v>
      </c>
      <c r="O14" s="96" t="n">
        <f aca="false">[1]ВИБУЛО2!G6</f>
        <v>0</v>
      </c>
      <c r="P14" s="97" t="n">
        <f aca="false">P13-O14+N14</f>
        <v>0</v>
      </c>
      <c r="Q14" s="95" t="n">
        <f aca="false">[1]НАДІЙШЛО2!H6</f>
        <v>0</v>
      </c>
      <c r="R14" s="96" t="n">
        <f aca="false">[1]ВИБУЛО2!H6</f>
        <v>0</v>
      </c>
      <c r="S14" s="97" t="n">
        <f aca="false">S13-R14+Q14</f>
        <v>0</v>
      </c>
      <c r="T14" s="95" t="n">
        <f aca="false">[1]НАДІЙШЛО2!I6</f>
        <v>0</v>
      </c>
      <c r="U14" s="96" t="n">
        <f aca="false">[1]ВИБУЛО2!I6</f>
        <v>0</v>
      </c>
      <c r="V14" s="97" t="n">
        <f aca="false">V13-U14+T14</f>
        <v>0</v>
      </c>
      <c r="W14" s="95" t="n">
        <f aca="false">[1]НАДІЙШЛО2!J6</f>
        <v>0</v>
      </c>
      <c r="X14" s="96" t="n">
        <f aca="false">[1]ВИБУЛО2!J6</f>
        <v>0</v>
      </c>
      <c r="Y14" s="97" t="n">
        <f aca="false">Y13-X14+W14</f>
        <v>0</v>
      </c>
      <c r="Z14" s="95" t="n">
        <f aca="false">[1]НАДІЙШЛО2!K6</f>
        <v>0</v>
      </c>
      <c r="AA14" s="96" t="n">
        <f aca="false">[1]ВИБУЛО2!K6</f>
        <v>0</v>
      </c>
      <c r="AB14" s="97" t="n">
        <f aca="false">AB13-AA14+Z14</f>
        <v>0</v>
      </c>
      <c r="AC14" s="95" t="n">
        <f aca="false">[1]НАДІЙШЛО2!L6</f>
        <v>0</v>
      </c>
      <c r="AD14" s="96" t="n">
        <f aca="false">[1]ВИБУЛО2!L6</f>
        <v>0</v>
      </c>
      <c r="AE14" s="97" t="n">
        <f aca="false">AE13-AD14+AC14</f>
        <v>0</v>
      </c>
      <c r="AF14" s="95" t="n">
        <f aca="false">[1]НАДІЙШЛО2!M6</f>
        <v>0</v>
      </c>
      <c r="AG14" s="96" t="n">
        <f aca="false">[1]ВИБУЛО2!M6</f>
        <v>0</v>
      </c>
      <c r="AH14" s="97" t="n">
        <f aca="false">AH13-AG14+AF14</f>
        <v>0</v>
      </c>
      <c r="AI14" s="95" t="n">
        <f aca="false">[1]НАДІЙШЛО2!N6</f>
        <v>0</v>
      </c>
      <c r="AJ14" s="96" t="n">
        <f aca="false">[1]ВИБУЛО2!N6</f>
        <v>0</v>
      </c>
      <c r="AK14" s="97" t="n">
        <f aca="false">AK13-AJ14+AI14</f>
        <v>0</v>
      </c>
      <c r="AL14" s="95" t="n">
        <f aca="false">[1]НАДІЙШЛО2!O6</f>
        <v>0</v>
      </c>
      <c r="AM14" s="96" t="n">
        <f aca="false">[1]ВИБУЛО2!O6</f>
        <v>0</v>
      </c>
      <c r="AN14" s="97" t="n">
        <f aca="false">AN13-AM14+AL14</f>
        <v>0</v>
      </c>
      <c r="AO14" s="95" t="n">
        <f aca="false">[1]НАДІЙШЛО2!P6</f>
        <v>0</v>
      </c>
      <c r="AP14" s="96" t="n">
        <f aca="false">[1]ВИБУЛО2!P6</f>
        <v>0</v>
      </c>
      <c r="AQ14" s="97" t="n">
        <f aca="false">AQ13-AP14+AO14</f>
        <v>0</v>
      </c>
      <c r="AR14" s="95" t="n">
        <f aca="false">[1]НАДІЙШЛО2!Q6</f>
        <v>0</v>
      </c>
      <c r="AS14" s="96" t="n">
        <f aca="false">[1]ВИБУЛО2!Q6</f>
        <v>0</v>
      </c>
      <c r="AT14" s="97" t="n">
        <f aca="false">AT13-AS14+AR14</f>
        <v>0</v>
      </c>
      <c r="AU14" s="95" t="n">
        <f aca="false">[1]НАДІЙШЛО2!R6</f>
        <v>0</v>
      </c>
      <c r="AV14" s="96" t="n">
        <f aca="false">[1]ВИБУЛО2!R6</f>
        <v>0</v>
      </c>
      <c r="AW14" s="97" t="n">
        <f aca="false">AW13-AV14+AU14</f>
        <v>0</v>
      </c>
      <c r="AX14" s="95" t="n">
        <f aca="false">[1]НАДІЙШЛО2!S6</f>
        <v>0</v>
      </c>
      <c r="AY14" s="96" t="n">
        <f aca="false">[1]ВИБУЛО2!S6</f>
        <v>0</v>
      </c>
      <c r="AZ14" s="97" t="n">
        <f aca="false">AZ13-AY14+AX14</f>
        <v>0</v>
      </c>
      <c r="BA14" s="95" t="n">
        <f aca="false">[1]НАДІЙШЛО2!T6</f>
        <v>0</v>
      </c>
      <c r="BB14" s="96" t="n">
        <f aca="false">[1]ВИБУЛО2!T6</f>
        <v>0</v>
      </c>
      <c r="BC14" s="97" t="n">
        <f aca="false">BC13-BB14+BA14</f>
        <v>0</v>
      </c>
      <c r="BD14" s="95" t="n">
        <f aca="false">[1]НАДІЙШЛО2!U6</f>
        <v>0</v>
      </c>
      <c r="BE14" s="96" t="n">
        <f aca="false">[1]ВИБУЛО2!U6</f>
        <v>0</v>
      </c>
      <c r="BF14" s="97" t="n">
        <f aca="false">BF13-BE14+BD14</f>
        <v>0</v>
      </c>
      <c r="BG14" s="95" t="n">
        <f aca="false">[1]НАДІЙШЛО2!V6</f>
        <v>0</v>
      </c>
      <c r="BH14" s="96" t="n">
        <f aca="false">[1]ВИБУЛО2!V6</f>
        <v>0</v>
      </c>
      <c r="BI14" s="97" t="n">
        <f aca="false">BI13-BH14+BG14</f>
        <v>0</v>
      </c>
      <c r="BJ14" s="95" t="n">
        <f aca="false">[1]НАДІЙШЛО2!W6</f>
        <v>0</v>
      </c>
      <c r="BK14" s="96" t="n">
        <f aca="false">[1]ВИБУЛО2!W6</f>
        <v>0</v>
      </c>
      <c r="BL14" s="97" t="n">
        <f aca="false">BL13-BK14+BJ14</f>
        <v>0</v>
      </c>
      <c r="BM14" s="95" t="n">
        <f aca="false">[1]НАДІЙШЛО2!X6</f>
        <v>0</v>
      </c>
      <c r="BN14" s="96" t="n">
        <f aca="false">[1]ВИБУЛО2!X6</f>
        <v>0</v>
      </c>
      <c r="BO14" s="97" t="n">
        <f aca="false">BO13-BN14+BM14</f>
        <v>0</v>
      </c>
      <c r="BP14" s="95" t="n">
        <f aca="false">[1]НАДІЙШЛО2!Y6</f>
        <v>0</v>
      </c>
      <c r="BQ14" s="96" t="n">
        <f aca="false">[1]ВИБУЛО2!Y6</f>
        <v>0</v>
      </c>
      <c r="BR14" s="97" t="n">
        <f aca="false">BR13-BQ14+BP14</f>
        <v>0</v>
      </c>
      <c r="BS14" s="95" t="n">
        <f aca="false">[1]НАДІЙШЛО2!Z6</f>
        <v>0</v>
      </c>
      <c r="BT14" s="96" t="n">
        <f aca="false">[1]ВИБУЛО2!Z6</f>
        <v>0</v>
      </c>
      <c r="BU14" s="97" t="n">
        <f aca="false">BU13-BT14+BS14</f>
        <v>0</v>
      </c>
      <c r="BV14" s="95" t="n">
        <f aca="false">[1]НАДІЙШЛО2!AA6</f>
        <v>0</v>
      </c>
      <c r="BW14" s="96" t="n">
        <f aca="false">[1]ВИБУЛО2!AA6</f>
        <v>0</v>
      </c>
      <c r="BX14" s="97" t="n">
        <f aca="false">BX13-BW14+BV14</f>
        <v>0</v>
      </c>
      <c r="BY14" s="95" t="n">
        <f aca="false">[1]НАДІЙШЛО2!AB6</f>
        <v>0</v>
      </c>
      <c r="BZ14" s="96" t="n">
        <f aca="false">[1]ВИБУЛО2!AB6</f>
        <v>0</v>
      </c>
      <c r="CA14" s="97" t="n">
        <f aca="false">CA13-BZ14+BY14</f>
        <v>0</v>
      </c>
      <c r="CB14" s="95" t="n">
        <f aca="false">[1]НАДІЙШЛО2!AC6</f>
        <v>0</v>
      </c>
      <c r="CC14" s="96" t="n">
        <f aca="false">[1]ВИБУЛО2!AC6</f>
        <v>0</v>
      </c>
      <c r="CD14" s="97" t="n">
        <f aca="false">CD13-CC14+CB14</f>
        <v>0</v>
      </c>
      <c r="CE14" s="95" t="n">
        <f aca="false">[1]НАДІЙШЛО2!AD6</f>
        <v>0</v>
      </c>
      <c r="CF14" s="96" t="n">
        <f aca="false">[1]ВИБУЛО2!AD6</f>
        <v>0</v>
      </c>
      <c r="CG14" s="97" t="n">
        <f aca="false">CG13-CF14+CE14</f>
        <v>0</v>
      </c>
      <c r="CH14" s="95" t="n">
        <f aca="false">[1]НАДІЙШЛО2!AE6</f>
        <v>0</v>
      </c>
      <c r="CI14" s="96" t="n">
        <f aca="false">[1]ВИБУЛО2!AE6</f>
        <v>0</v>
      </c>
      <c r="CJ14" s="97" t="n">
        <f aca="false">CJ13-CI14+CH14</f>
        <v>0</v>
      </c>
      <c r="CK14" s="95" t="n">
        <f aca="false">[1]НАДІЙШЛО2!AF6</f>
        <v>0</v>
      </c>
      <c r="CL14" s="96" t="n">
        <f aca="false">[1]ВИБУЛО2!AF6</f>
        <v>0</v>
      </c>
      <c r="CM14" s="97" t="n">
        <f aca="false">CM13-CL14+CK14</f>
        <v>0</v>
      </c>
      <c r="CN14" s="95" t="n">
        <f aca="false">[1]НАДІЙШЛО2!AG6</f>
        <v>0</v>
      </c>
      <c r="CO14" s="96" t="n">
        <f aca="false">[1]ВИБУЛО2!AG6</f>
        <v>0</v>
      </c>
      <c r="CP14" s="97" t="n">
        <f aca="false">CP13-CO14+CN14</f>
        <v>0</v>
      </c>
      <c r="CQ14" s="95" t="n">
        <f aca="false">[1]НАДІЙШЛО2!AH6</f>
        <v>0</v>
      </c>
      <c r="CR14" s="96" t="n">
        <f aca="false">[1]ВИБУЛО2!AH6</f>
        <v>0</v>
      </c>
      <c r="CS14" s="97" t="n">
        <f aca="false">CS13-CR14+CQ14</f>
        <v>0</v>
      </c>
      <c r="CT14" s="95" t="n">
        <f aca="false">[1]НАДІЙШЛО2!AI6</f>
        <v>0</v>
      </c>
      <c r="CU14" s="96" t="n">
        <f aca="false">[1]ВИБУЛО2!AI6</f>
        <v>0</v>
      </c>
      <c r="CV14" s="97" t="n">
        <f aca="false">CV13-CU14+CT14</f>
        <v>0</v>
      </c>
      <c r="CW14" s="95" t="n">
        <f aca="false">[1]НАДІЙШЛО2!AJ6</f>
        <v>0</v>
      </c>
      <c r="CX14" s="96" t="n">
        <f aca="false">[1]ВИБУЛО2!AJ6</f>
        <v>0</v>
      </c>
      <c r="CY14" s="97" t="n">
        <f aca="false">CY13-CX14+CW14</f>
        <v>0</v>
      </c>
      <c r="CZ14" s="95" t="n">
        <f aca="false">[1]НАДІЙШЛО2!AK6</f>
        <v>0</v>
      </c>
      <c r="DA14" s="96" t="n">
        <f aca="false">[1]ВИБУЛО2!AK6</f>
        <v>0</v>
      </c>
      <c r="DB14" s="97" t="n">
        <f aca="false">DB13-DA14+CZ14</f>
        <v>0</v>
      </c>
      <c r="DC14" s="95" t="n">
        <f aca="false">[1]НАДІЙШЛО2!AL6</f>
        <v>0</v>
      </c>
      <c r="DD14" s="96" t="n">
        <f aca="false">[1]ВИБУЛО2!AL6</f>
        <v>0</v>
      </c>
      <c r="DE14" s="97" t="n">
        <f aca="false">DE13-DD14+DC14</f>
        <v>0</v>
      </c>
      <c r="DF14" s="95" t="n">
        <f aca="false">[1]НАДІЙШЛО2!AM6</f>
        <v>0</v>
      </c>
      <c r="DG14" s="96" t="n">
        <f aca="false">[1]ВИБУЛО2!AM6</f>
        <v>0</v>
      </c>
      <c r="DH14" s="97" t="n">
        <f aca="false">DH13-DG14+DF14</f>
        <v>0</v>
      </c>
      <c r="DI14" s="95" t="n">
        <f aca="false">[1]НАДІЙШЛО2!AN6</f>
        <v>0</v>
      </c>
      <c r="DJ14" s="96" t="n">
        <f aca="false">[1]ВИБУЛО2!AN6</f>
        <v>0</v>
      </c>
      <c r="DK14" s="97" t="n">
        <f aca="false">DK13-DJ14+DI14</f>
        <v>0</v>
      </c>
      <c r="DL14" s="95" t="n">
        <f aca="false">[1]НАДІЙШЛО2!AO6</f>
        <v>0</v>
      </c>
      <c r="DM14" s="96" t="n">
        <f aca="false">[1]ВИБУЛО2!AO6</f>
        <v>0</v>
      </c>
      <c r="DN14" s="97" t="n">
        <f aca="false">DN13-DM14+DL14</f>
        <v>0</v>
      </c>
      <c r="DO14" s="95" t="n">
        <f aca="false">[1]НАДІЙШЛО2!AP6</f>
        <v>0</v>
      </c>
      <c r="DP14" s="96" t="n">
        <f aca="false">[1]ВИБУЛО2!AP6</f>
        <v>0</v>
      </c>
      <c r="DQ14" s="97" t="n">
        <f aca="false">DQ13-DP14+DO14</f>
        <v>0</v>
      </c>
      <c r="DR14" s="95" t="n">
        <f aca="false">[1]НАДІЙШЛО2!AQ6</f>
        <v>0</v>
      </c>
      <c r="DS14" s="96" t="n">
        <f aca="false">[1]ВИБУЛО2!AQ6</f>
        <v>0</v>
      </c>
      <c r="DT14" s="97" t="n">
        <f aca="false">DT13-DS14+DR14</f>
        <v>0</v>
      </c>
      <c r="DU14" s="95" t="n">
        <f aca="false">[1]НАДІЙШЛО2!AR6</f>
        <v>0</v>
      </c>
      <c r="DV14" s="96" t="n">
        <f aca="false">[1]ВИБУЛО2!AR6</f>
        <v>0</v>
      </c>
      <c r="DW14" s="97" t="n">
        <f aca="false">DW13-DV14+DU14</f>
        <v>0</v>
      </c>
      <c r="DX14" s="95" t="n">
        <f aca="false">[1]НАДІЙШЛО2!AS6</f>
        <v>0</v>
      </c>
      <c r="DY14" s="96" t="n">
        <f aca="false">[1]ВИБУЛО2!AS6</f>
        <v>0</v>
      </c>
      <c r="DZ14" s="97" t="n">
        <f aca="false">DZ13-DY14+DX14</f>
        <v>0</v>
      </c>
      <c r="EA14" s="95" t="n">
        <f aca="false">[1]НАДІЙШЛО2!AT6</f>
        <v>0</v>
      </c>
      <c r="EB14" s="96" t="n">
        <f aca="false">[1]ВИБУЛО2!AT6</f>
        <v>0</v>
      </c>
      <c r="EC14" s="97" t="n">
        <f aca="false">EC13-EB14+EA14</f>
        <v>0</v>
      </c>
      <c r="ED14" s="95" t="n">
        <f aca="false">[1]НАДІЙШЛО2!AU6</f>
        <v>0</v>
      </c>
      <c r="EE14" s="96" t="n">
        <f aca="false">[1]ВИБУЛО2!AU6</f>
        <v>0</v>
      </c>
      <c r="EF14" s="97" t="n">
        <f aca="false">EF13-EE14+ED14</f>
        <v>0</v>
      </c>
      <c r="EG14" s="95" t="n">
        <f aca="false">[1]НАДІЙШЛО2!AV6</f>
        <v>0</v>
      </c>
      <c r="EH14" s="96" t="n">
        <f aca="false">[1]ВИБУЛО2!AV6</f>
        <v>0</v>
      </c>
      <c r="EI14" s="97" t="n">
        <f aca="false">EI13-EH14+EG14</f>
        <v>0</v>
      </c>
      <c r="EJ14" s="95" t="n">
        <f aca="false">[1]НАДІЙШЛО2!AW6</f>
        <v>0</v>
      </c>
      <c r="EK14" s="96" t="n">
        <f aca="false">[1]ВИБУЛО2!AW6</f>
        <v>0</v>
      </c>
      <c r="EL14" s="97" t="n">
        <f aca="false">EL13-EK14+EJ14</f>
        <v>0</v>
      </c>
      <c r="EM14" s="95" t="n">
        <f aca="false">[1]НАДІЙШЛО2!AX6</f>
        <v>0</v>
      </c>
      <c r="EN14" s="96" t="n">
        <f aca="false">[1]ВИБУЛО2!AX6</f>
        <v>0</v>
      </c>
      <c r="EO14" s="97" t="n">
        <f aca="false">EO13-EN14+EM14</f>
        <v>0</v>
      </c>
      <c r="EP14" s="95" t="n">
        <f aca="false">[1]НАДІЙШЛО2!AY6</f>
        <v>0</v>
      </c>
      <c r="EQ14" s="96" t="n">
        <f aca="false">[1]ВИБУЛО2!AY6</f>
        <v>0</v>
      </c>
      <c r="ER14" s="97" t="n">
        <f aca="false">ER13-EQ14+EP14</f>
        <v>0</v>
      </c>
      <c r="ES14" s="95" t="n">
        <f aca="false">[1]НАДІЙШЛО2!AZ6</f>
        <v>0</v>
      </c>
      <c r="ET14" s="96" t="n">
        <f aca="false">[1]ВИБУЛО2!AZ6</f>
        <v>0</v>
      </c>
      <c r="EU14" s="97" t="n">
        <f aca="false">EU13-ET14+ES14</f>
        <v>0</v>
      </c>
      <c r="EV14" s="95" t="n">
        <f aca="false">[1]НАДІЙШЛО2!BA6</f>
        <v>0</v>
      </c>
      <c r="EW14" s="96" t="n">
        <f aca="false">[1]ВИБУЛО2!BA6</f>
        <v>0</v>
      </c>
      <c r="EX14" s="97" t="n">
        <f aca="false">EX13-EW14+EV14</f>
        <v>0</v>
      </c>
      <c r="EY14" s="95" t="n">
        <f aca="false">[1]НАДІЙШЛО2!BB6</f>
        <v>0</v>
      </c>
      <c r="EZ14" s="96" t="n">
        <f aca="false">[1]ВИБУЛО2!BB6</f>
        <v>0</v>
      </c>
      <c r="FA14" s="97" t="n">
        <f aca="false">FA13-EZ14+EY14</f>
        <v>0</v>
      </c>
      <c r="FB14" s="95" t="n">
        <f aca="false">[1]НАДІЙШЛО2!BC6</f>
        <v>0</v>
      </c>
      <c r="FC14" s="96" t="n">
        <f aca="false">[1]ВИБУЛО2!BC6</f>
        <v>0</v>
      </c>
      <c r="FD14" s="97" t="n">
        <f aca="false">FD13-FC14+FB14</f>
        <v>0</v>
      </c>
      <c r="FE14" s="95" t="n">
        <f aca="false">[1]НАДІЙШЛО2!BD6</f>
        <v>0</v>
      </c>
      <c r="FF14" s="96" t="n">
        <f aca="false">[1]ВИБУЛО2!BD6</f>
        <v>0</v>
      </c>
      <c r="FG14" s="97" t="n">
        <f aca="false">FG13-FF14+FE14</f>
        <v>0</v>
      </c>
      <c r="FH14" s="95" t="n">
        <f aca="false">[1]НАДІЙШЛО2!BE6</f>
        <v>0</v>
      </c>
      <c r="FI14" s="96" t="n">
        <f aca="false">[1]ВИБУЛО2!BE6</f>
        <v>0</v>
      </c>
      <c r="FJ14" s="97" t="n">
        <f aca="false">FJ13-FI14+FH14</f>
        <v>0</v>
      </c>
      <c r="FK14" s="95" t="n">
        <f aca="false">[1]НАДІЙШЛО2!BF6</f>
        <v>0</v>
      </c>
      <c r="FL14" s="96" t="n">
        <f aca="false">[1]ВИБУЛО2!BF6</f>
        <v>0</v>
      </c>
      <c r="FM14" s="97" t="n">
        <f aca="false">FM13-FL14+FK14</f>
        <v>0</v>
      </c>
      <c r="FN14" s="95" t="n">
        <f aca="false">[1]НАДІЙШЛО2!BG6</f>
        <v>0</v>
      </c>
      <c r="FO14" s="96" t="n">
        <f aca="false">[1]ВИБУЛО2!BG6</f>
        <v>0</v>
      </c>
      <c r="FP14" s="97" t="n">
        <f aca="false">FP13-FO14+FN14</f>
        <v>0</v>
      </c>
      <c r="FQ14" s="95" t="n">
        <f aca="false">[1]НАДІЙШЛО2!BH6</f>
        <v>0</v>
      </c>
      <c r="FR14" s="96" t="n">
        <f aca="false">[1]ВИБУЛО2!BH6</f>
        <v>0</v>
      </c>
      <c r="FS14" s="97" t="n">
        <f aca="false">FS13-FR14+FQ14</f>
        <v>0</v>
      </c>
      <c r="FT14" s="95" t="n">
        <f aca="false">[1]НАДІЙШЛО2!BI6</f>
        <v>0</v>
      </c>
      <c r="FU14" s="96" t="n">
        <f aca="false">[1]ВИБУЛО2!BI6</f>
        <v>0</v>
      </c>
      <c r="FV14" s="97" t="n">
        <f aca="false">FV13-FU14+FT14</f>
        <v>0</v>
      </c>
      <c r="FW14" s="95" t="n">
        <f aca="false">[1]НАДІЙШЛО2!BJ6</f>
        <v>0</v>
      </c>
      <c r="FX14" s="96" t="n">
        <f aca="false">[1]ВИБУЛО2!BJ6</f>
        <v>0</v>
      </c>
      <c r="FY14" s="97" t="n">
        <f aca="false">FY13-FX14+FW14</f>
        <v>0</v>
      </c>
      <c r="FZ14" s="95" t="n">
        <f aca="false">[1]НАДІЙШЛО2!BK6</f>
        <v>0</v>
      </c>
      <c r="GA14" s="96" t="n">
        <f aca="false">[1]ВИБУЛО2!BK6</f>
        <v>0</v>
      </c>
      <c r="GB14" s="97" t="n">
        <f aca="false">GB13-GA14+FZ14</f>
        <v>0</v>
      </c>
      <c r="GC14" s="95" t="n">
        <f aca="false">[1]НАДІЙШЛО2!BL6</f>
        <v>0</v>
      </c>
      <c r="GD14" s="96" t="n">
        <f aca="false">[1]ВИБУЛО2!BL6</f>
        <v>0</v>
      </c>
      <c r="GE14" s="97" t="n">
        <f aca="false">GE13-GD14+GC14</f>
        <v>0</v>
      </c>
      <c r="GF14" s="95" t="n">
        <f aca="false">[1]НАДІЙШЛО2!BM6</f>
        <v>0</v>
      </c>
      <c r="GG14" s="96" t="n">
        <f aca="false">[1]ВИБУЛО2!BM6</f>
        <v>0</v>
      </c>
      <c r="GH14" s="97" t="n">
        <f aca="false">GH13-GG14+GF14</f>
        <v>0</v>
      </c>
      <c r="GI14" s="95" t="n">
        <f aca="false">[1]НАДІЙШЛО2!BN6</f>
        <v>0</v>
      </c>
      <c r="GJ14" s="96" t="n">
        <f aca="false">[1]ВИБУЛО2!BN6</f>
        <v>0</v>
      </c>
      <c r="GK14" s="97" t="n">
        <f aca="false">GK13-GJ14+GI14</f>
        <v>0</v>
      </c>
      <c r="GL14" s="95" t="n">
        <f aca="false">[1]НАДІЙШЛО2!BO6</f>
        <v>0</v>
      </c>
      <c r="GM14" s="96" t="n">
        <f aca="false">[1]ВИБУЛО2!BO6</f>
        <v>0</v>
      </c>
      <c r="GN14" s="97" t="n">
        <f aca="false">GN13-GM14+GL14</f>
        <v>0</v>
      </c>
      <c r="GO14" s="95" t="n">
        <f aca="false">[1]НАДІЙШЛО2!BP6</f>
        <v>0</v>
      </c>
      <c r="GP14" s="96" t="n">
        <f aca="false">[1]ВИБУЛО2!BP6</f>
        <v>0</v>
      </c>
      <c r="GQ14" s="97" t="n">
        <f aca="false">GQ13-GP14+GO14</f>
        <v>0</v>
      </c>
      <c r="GR14" s="95" t="n">
        <f aca="false">[1]НАДІЙШЛО2!BQ6</f>
        <v>0</v>
      </c>
      <c r="GS14" s="96" t="n">
        <f aca="false">[1]ВИБУЛО2!BQ6</f>
        <v>0</v>
      </c>
      <c r="GT14" s="97" t="n">
        <f aca="false">GT13-GS14+GR14</f>
        <v>0</v>
      </c>
      <c r="GU14" s="95" t="n">
        <f aca="false">[1]НАДІЙШЛО2!BR6</f>
        <v>0</v>
      </c>
      <c r="GV14" s="96" t="n">
        <f aca="false">[1]ВИБУЛО2!BR6</f>
        <v>0</v>
      </c>
      <c r="GW14" s="97" t="n">
        <f aca="false">GW13-GV14+GU14</f>
        <v>0</v>
      </c>
      <c r="GX14" s="95" t="n">
        <f aca="false">[1]НАДІЙШЛО2!BS6</f>
        <v>0</v>
      </c>
      <c r="GY14" s="96" t="n">
        <f aca="false">[1]ВИБУЛО2!BS6</f>
        <v>0</v>
      </c>
      <c r="GZ14" s="97" t="n">
        <f aca="false">GZ13-GY14+GX14</f>
        <v>0</v>
      </c>
      <c r="HA14" s="95" t="n">
        <f aca="false">[1]НАДІЙШЛО2!BT6</f>
        <v>0</v>
      </c>
      <c r="HB14" s="96" t="n">
        <f aca="false">[1]ВИБУЛО2!BT6</f>
        <v>0</v>
      </c>
      <c r="HC14" s="97" t="n">
        <f aca="false">HC13-HB14+HA14</f>
        <v>0</v>
      </c>
      <c r="HD14" s="95" t="n">
        <f aca="false">[1]НАДІЙШЛО2!BU6</f>
        <v>0</v>
      </c>
      <c r="HE14" s="96" t="n">
        <f aca="false">[1]ВИБУЛО2!BU6</f>
        <v>0</v>
      </c>
      <c r="HF14" s="97" t="n">
        <f aca="false">HF13-HE14+HD14</f>
        <v>0</v>
      </c>
      <c r="HG14" s="95" t="n">
        <f aca="false">[1]НАДІЙШЛО2!BV6</f>
        <v>0</v>
      </c>
      <c r="HH14" s="96" t="n">
        <f aca="false">[1]ВИБУЛО2!BV6</f>
        <v>0</v>
      </c>
      <c r="HI14" s="97" t="n">
        <f aca="false">HI13-HH14+HG14</f>
        <v>0</v>
      </c>
      <c r="HJ14" s="95" t="n">
        <f aca="false">[1]НАДІЙШЛО2!BW6</f>
        <v>0</v>
      </c>
      <c r="HK14" s="96" t="n">
        <f aca="false">[1]ВИБУЛО2!BW6</f>
        <v>0</v>
      </c>
      <c r="HL14" s="97" t="n">
        <f aca="false">HL13-HK14+HJ14</f>
        <v>0</v>
      </c>
      <c r="HM14" s="95" t="n">
        <f aca="false">[1]НАДІЙШЛО2!BX6</f>
        <v>0</v>
      </c>
      <c r="HN14" s="96" t="n">
        <f aca="false">[1]ВИБУЛО2!BX6</f>
        <v>0</v>
      </c>
      <c r="HO14" s="97" t="n">
        <f aca="false">HO13-HN14+HM14</f>
        <v>0</v>
      </c>
      <c r="HP14" s="95" t="n">
        <f aca="false">[1]НАДІЙШЛО2!BY6</f>
        <v>0</v>
      </c>
      <c r="HQ14" s="96" t="n">
        <f aca="false">[1]ВИБУЛО2!BY6</f>
        <v>0</v>
      </c>
      <c r="HR14" s="97" t="n">
        <f aca="false">HR13-HQ14+HP14</f>
        <v>0</v>
      </c>
      <c r="HS14" s="95" t="n">
        <f aca="false">[1]НАДІЙШЛО2!BZ6</f>
        <v>0</v>
      </c>
      <c r="HT14" s="96" t="n">
        <f aca="false">[1]ВИБУЛО2!BZ6</f>
        <v>0</v>
      </c>
      <c r="HU14" s="97" t="n">
        <f aca="false">HU13-HT14+HS14</f>
        <v>0</v>
      </c>
      <c r="HV14" s="95" t="n">
        <f aca="false">[1]НАДІЙШЛО2!CA6</f>
        <v>0</v>
      </c>
      <c r="HW14" s="96" t="n">
        <f aca="false">[1]ВИБУЛО2!CA6</f>
        <v>0</v>
      </c>
      <c r="HX14" s="97" t="n">
        <f aca="false">HX13-HW14+HV14</f>
        <v>0</v>
      </c>
      <c r="HY14" s="95" t="n">
        <f aca="false">[1]НАДІЙШЛО2!CB6</f>
        <v>0</v>
      </c>
      <c r="HZ14" s="96" t="n">
        <f aca="false">[1]ВИБУЛО2!CB6</f>
        <v>0</v>
      </c>
      <c r="IA14" s="97" t="n">
        <f aca="false">IA13-HZ14+HY14</f>
        <v>0</v>
      </c>
      <c r="IB14" s="95" t="n">
        <f aca="false">[1]НАДІЙШЛО2!CC6</f>
        <v>0</v>
      </c>
      <c r="IC14" s="96" t="n">
        <f aca="false">[1]ВИБУЛО2!CC6</f>
        <v>0</v>
      </c>
      <c r="ID14" s="97" t="n">
        <f aca="false">ID13-IC14+IB14</f>
        <v>0</v>
      </c>
      <c r="IE14" s="95" t="n">
        <f aca="false">[1]НАДІЙШЛО2!CD6</f>
        <v>0</v>
      </c>
      <c r="IF14" s="96" t="n">
        <f aca="false">[1]ВИБУЛО2!CD6</f>
        <v>0</v>
      </c>
      <c r="IG14" s="97" t="n">
        <f aca="false">IG13-IF14+IE14</f>
        <v>0</v>
      </c>
      <c r="IH14" s="95" t="n">
        <f aca="false">[1]НАДІЙШЛО2!CE6</f>
        <v>0</v>
      </c>
      <c r="II14" s="96" t="n">
        <f aca="false">[1]ВИБУЛО2!CE6</f>
        <v>0</v>
      </c>
      <c r="IJ14" s="97" t="n">
        <f aca="false">IJ13-II14+IH14</f>
        <v>0</v>
      </c>
      <c r="IK14" s="95" t="n">
        <f aca="false">[1]НАДІЙШЛО2!CF6</f>
        <v>0</v>
      </c>
      <c r="IL14" s="96" t="n">
        <f aca="false">[1]ВИБУЛО2!CF6</f>
        <v>0</v>
      </c>
      <c r="IM14" s="97" t="n">
        <f aca="false">IM13-IL14+IK14</f>
        <v>0</v>
      </c>
      <c r="IN14" s="95" t="n">
        <f aca="false">[1]НАДІЙШЛО2!CG6</f>
        <v>0</v>
      </c>
      <c r="IO14" s="96" t="n">
        <f aca="false">[1]ВИБУЛО2!CG6</f>
        <v>0</v>
      </c>
      <c r="IP14" s="97" t="n">
        <f aca="false">IP13-IO14+IN14</f>
        <v>0</v>
      </c>
      <c r="IQ14" s="95" t="n">
        <f aca="false">[1]НАДІЙШЛО2!CH6</f>
        <v>0</v>
      </c>
      <c r="IR14" s="96" t="n">
        <f aca="false">[1]ВИБУЛО2!CH6</f>
        <v>0</v>
      </c>
      <c r="IS14" s="97" t="n">
        <f aca="false">IS13-IR14+IQ14</f>
        <v>0</v>
      </c>
      <c r="IT14" s="95" t="n">
        <f aca="false">[1]НАДІЙШЛО2!CI6</f>
        <v>0</v>
      </c>
      <c r="IU14" s="96" t="n">
        <f aca="false">[1]ВИБУЛО2!CI6</f>
        <v>0</v>
      </c>
      <c r="IV14" s="97" t="n">
        <f aca="false">IV13-IU14+IT14</f>
        <v>0</v>
      </c>
      <c r="IW14" s="95" t="n">
        <f aca="false">[1]НАДІЙШЛО2!CJ6</f>
        <v>0</v>
      </c>
      <c r="IX14" s="96" t="n">
        <f aca="false">[1]ВИБУЛО2!CJ6</f>
        <v>0</v>
      </c>
      <c r="IY14" s="97" t="n">
        <f aca="false">IY13-IX14+IW14</f>
        <v>0</v>
      </c>
      <c r="IZ14" s="95" t="n">
        <f aca="false">[1]НАДІЙШЛО2!CK6</f>
        <v>0</v>
      </c>
      <c r="JA14" s="96" t="n">
        <f aca="false">[1]ВИБУЛО2!CK6</f>
        <v>0</v>
      </c>
      <c r="JB14" s="97" t="n">
        <f aca="false">JB13-JA14+IZ14</f>
        <v>0</v>
      </c>
      <c r="JC14" s="95" t="n">
        <f aca="false">[1]НАДІЙШЛО2!CL6</f>
        <v>0</v>
      </c>
      <c r="JD14" s="96" t="n">
        <f aca="false">[1]ВИБУЛО2!CL6</f>
        <v>0</v>
      </c>
      <c r="JE14" s="97" t="n">
        <f aca="false">JE13-JD14+JC14</f>
        <v>0</v>
      </c>
      <c r="JF14" s="95" t="n">
        <f aca="false">[1]НАДІЙШЛО2!CM6</f>
        <v>0</v>
      </c>
      <c r="JG14" s="96" t="n">
        <f aca="false">[1]ВИБУЛО2!CM6</f>
        <v>0</v>
      </c>
      <c r="JH14" s="97" t="n">
        <f aca="false">JH13-JG14+JF14</f>
        <v>0</v>
      </c>
      <c r="JI14" s="95" t="n">
        <f aca="false">[1]НАДІЙШЛО2!CN6</f>
        <v>0</v>
      </c>
      <c r="JJ14" s="96" t="n">
        <f aca="false">[1]ВИБУЛО2!CN6</f>
        <v>0</v>
      </c>
      <c r="JK14" s="97" t="n">
        <f aca="false">JK13-JJ14+JI14</f>
        <v>0</v>
      </c>
      <c r="JL14" s="95" t="n">
        <f aca="false">[1]НАДІЙШЛО2!CO6</f>
        <v>0</v>
      </c>
      <c r="JM14" s="96" t="n">
        <f aca="false">[1]ВИБУЛО2!CO6</f>
        <v>0</v>
      </c>
      <c r="JN14" s="97" t="n">
        <f aca="false">JN13-JM14+JL14</f>
        <v>0</v>
      </c>
      <c r="JO14" s="95" t="n">
        <f aca="false">[1]НАДІЙШЛО2!CP6</f>
        <v>0</v>
      </c>
      <c r="JP14" s="96" t="n">
        <f aca="false">[1]ВИБУЛО2!CP6</f>
        <v>0</v>
      </c>
      <c r="JQ14" s="97" t="n">
        <f aca="false">JQ13-JP14+JO14</f>
        <v>0</v>
      </c>
      <c r="JR14" s="95" t="n">
        <f aca="false">[1]НАДІЙШЛО2!CQ6</f>
        <v>0</v>
      </c>
      <c r="JS14" s="96" t="n">
        <f aca="false">[1]ВИБУЛО2!CQ6</f>
        <v>0</v>
      </c>
      <c r="JT14" s="97" t="n">
        <f aca="false">JT13-JS14+JR14</f>
        <v>0</v>
      </c>
      <c r="JU14" s="95" t="n">
        <f aca="false">[1]НАДІЙШЛО2!CR6</f>
        <v>0</v>
      </c>
      <c r="JV14" s="96" t="n">
        <f aca="false">[1]ВИБУЛО2!CR6</f>
        <v>0</v>
      </c>
      <c r="JW14" s="97" t="n">
        <f aca="false">JW13-JV14+JU14</f>
        <v>0</v>
      </c>
      <c r="JX14" s="95" t="n">
        <f aca="false">[1]НАДІЙШЛО2!CS6</f>
        <v>0</v>
      </c>
      <c r="JY14" s="96" t="n">
        <f aca="false">[1]ВИБУЛО2!CS6</f>
        <v>0</v>
      </c>
      <c r="JZ14" s="97" t="n">
        <f aca="false">JZ13-JY14+JX14</f>
        <v>0</v>
      </c>
      <c r="KA14" s="95" t="n">
        <f aca="false">[1]НАДІЙШЛО2!CT6</f>
        <v>0</v>
      </c>
      <c r="KB14" s="96" t="n">
        <f aca="false">[1]ВИБУЛО2!CT6</f>
        <v>0</v>
      </c>
      <c r="KC14" s="97" t="n">
        <f aca="false">KC13-KB14+KA14</f>
        <v>0</v>
      </c>
      <c r="KD14" s="95" t="n">
        <f aca="false">[1]НАДІЙШЛО2!CU6</f>
        <v>0</v>
      </c>
      <c r="KE14" s="96" t="n">
        <f aca="false">[1]ВИБУЛО2!CU6</f>
        <v>0</v>
      </c>
      <c r="KF14" s="97" t="n">
        <f aca="false">KF13-KE14+KD14</f>
        <v>0</v>
      </c>
      <c r="KG14" s="95" t="n">
        <f aca="false">[1]НАДІЙШЛО2!CV6</f>
        <v>0</v>
      </c>
      <c r="KH14" s="96" t="n">
        <f aca="false">[1]ВИБУЛО2!CV6</f>
        <v>0</v>
      </c>
      <c r="KI14" s="97" t="n">
        <f aca="false">KI13-KH14+KG14</f>
        <v>0</v>
      </c>
      <c r="KJ14" s="95" t="n">
        <f aca="false">[1]НАДІЙШЛО2!CW6</f>
        <v>0</v>
      </c>
      <c r="KK14" s="96" t="n">
        <f aca="false">[1]ВИБУЛО2!CW6</f>
        <v>0</v>
      </c>
      <c r="KL14" s="97" t="n">
        <f aca="false">KL13-KK14+KJ14</f>
        <v>0</v>
      </c>
      <c r="KM14" s="95" t="n">
        <f aca="false">[1]НАДІЙШЛО2!CX6</f>
        <v>0</v>
      </c>
      <c r="KN14" s="96" t="n">
        <f aca="false">[1]ВИБУЛО2!CX6</f>
        <v>0</v>
      </c>
      <c r="KO14" s="97" t="n">
        <f aca="false">KO13-KN14+KM14</f>
        <v>0</v>
      </c>
      <c r="KP14" s="95" t="n">
        <f aca="false">[1]НАДІЙШЛО2!CY6</f>
        <v>0</v>
      </c>
      <c r="KQ14" s="96" t="n">
        <f aca="false">[1]ВИБУЛО2!CY6</f>
        <v>0</v>
      </c>
      <c r="KR14" s="97" t="n">
        <f aca="false">KR13-KQ14+KP14</f>
        <v>0</v>
      </c>
      <c r="KS14" s="95" t="n">
        <f aca="false">[1]НАДІЙШЛО2!CZ6</f>
        <v>0</v>
      </c>
      <c r="KT14" s="96" t="n">
        <f aca="false">[1]ВИБУЛО2!CZ6</f>
        <v>0</v>
      </c>
      <c r="KU14" s="97" t="n">
        <f aca="false">KU13-KT14+KS14</f>
        <v>0</v>
      </c>
      <c r="KV14" s="95" t="n">
        <f aca="false">[1]НАДІЙШЛО2!DA6</f>
        <v>0</v>
      </c>
      <c r="KW14" s="96" t="n">
        <f aca="false">[1]ВИБУЛО2!DA6</f>
        <v>0</v>
      </c>
      <c r="KX14" s="97" t="n">
        <f aca="false">KX13-KW14+KV14</f>
        <v>0</v>
      </c>
      <c r="KY14" s="95" t="n">
        <f aca="false">[1]НАДІЙШЛО2!DB6</f>
        <v>0</v>
      </c>
      <c r="KZ14" s="96" t="n">
        <f aca="false">[1]ВИБУЛО2!DB6</f>
        <v>0</v>
      </c>
      <c r="LA14" s="97" t="n">
        <f aca="false">LA13-KZ14+KY14</f>
        <v>0</v>
      </c>
      <c r="LB14" s="95" t="n">
        <f aca="false">[1]НАДІЙШЛО2!DC6</f>
        <v>0</v>
      </c>
      <c r="LC14" s="96" t="n">
        <f aca="false">[1]ВИБУЛО2!DC6</f>
        <v>0</v>
      </c>
      <c r="LD14" s="97" t="n">
        <f aca="false">LD13-LC14+LB14</f>
        <v>0</v>
      </c>
      <c r="LE14" s="95" t="n">
        <f aca="false">[1]НАДІЙШЛО2!DD6</f>
        <v>0</v>
      </c>
      <c r="LF14" s="96" t="n">
        <f aca="false">[1]ВИБУЛО2!DD6</f>
        <v>0</v>
      </c>
      <c r="LG14" s="97" t="n">
        <f aca="false">LG13-LF14+LE14</f>
        <v>0</v>
      </c>
      <c r="LH14" s="95" t="n">
        <f aca="false">[1]НАДІЙШЛО2!DE6</f>
        <v>0</v>
      </c>
      <c r="LI14" s="96" t="n">
        <f aca="false">[1]ВИБУЛО2!DE6</f>
        <v>0</v>
      </c>
      <c r="LJ14" s="97" t="n">
        <f aca="false">LJ13-LI14+LH14</f>
        <v>0</v>
      </c>
      <c r="LK14" s="95" t="n">
        <f aca="false">[1]НАДІЙШЛО2!DF6</f>
        <v>0</v>
      </c>
      <c r="LL14" s="96" t="n">
        <f aca="false">[1]ВИБУЛО2!DF6</f>
        <v>0</v>
      </c>
      <c r="LM14" s="97" t="n">
        <f aca="false">LM13-LL14+LK14</f>
        <v>0</v>
      </c>
      <c r="LN14" s="95" t="n">
        <f aca="false">[1]НАДІЙШЛО2!DG6</f>
        <v>0</v>
      </c>
      <c r="LO14" s="96" t="n">
        <f aca="false">[1]ВИБУЛО2!DG6</f>
        <v>0</v>
      </c>
      <c r="LP14" s="97" t="n">
        <f aca="false">LP13-LO14+LN14</f>
        <v>0</v>
      </c>
      <c r="LQ14" s="95" t="n">
        <f aca="false">[1]НАДІЙШЛО2!DH6</f>
        <v>0</v>
      </c>
      <c r="LR14" s="96" t="n">
        <f aca="false">[1]ВИБУЛО2!DH6</f>
        <v>0</v>
      </c>
      <c r="LS14" s="97" t="n">
        <f aca="false">LS13-LR14+LQ14</f>
        <v>0</v>
      </c>
      <c r="LT14" s="95" t="n">
        <f aca="false">[1]НАДІЙШЛО2!DI6</f>
        <v>0</v>
      </c>
      <c r="LU14" s="96" t="n">
        <f aca="false">[1]ВИБУЛО2!DI6</f>
        <v>0</v>
      </c>
      <c r="LV14" s="97" t="n">
        <f aca="false">LV13-LU14+LT14</f>
        <v>0</v>
      </c>
      <c r="LW14" s="95" t="n">
        <f aca="false">[1]НАДІЙШЛО2!DJ6</f>
        <v>0</v>
      </c>
      <c r="LX14" s="96" t="n">
        <f aca="false">[1]ВИБУЛО2!DJ6</f>
        <v>0</v>
      </c>
      <c r="LY14" s="97" t="n">
        <f aca="false">LY13-LX14+LW14</f>
        <v>0</v>
      </c>
      <c r="LZ14" s="95" t="n">
        <f aca="false">[1]НАДІЙШЛО2!DK6</f>
        <v>0</v>
      </c>
      <c r="MA14" s="96" t="n">
        <f aca="false">[1]ВИБУЛО2!DK6</f>
        <v>0</v>
      </c>
      <c r="MB14" s="97" t="n">
        <f aca="false">MB13-MA14+LZ14</f>
        <v>0</v>
      </c>
      <c r="MC14" s="95" t="n">
        <f aca="false">[1]НАДІЙШЛО2!DL6</f>
        <v>0</v>
      </c>
      <c r="MD14" s="96" t="n">
        <f aca="false">[1]ВИБУЛО2!DL6</f>
        <v>0</v>
      </c>
      <c r="ME14" s="97" t="n">
        <f aca="false">ME13-MD14+MC14</f>
        <v>0</v>
      </c>
      <c r="MF14" s="95" t="n">
        <f aca="false">[1]НАДІЙШЛО2!DM6</f>
        <v>0</v>
      </c>
      <c r="MG14" s="96" t="n">
        <f aca="false">[1]ВИБУЛО2!DM6</f>
        <v>0</v>
      </c>
      <c r="MH14" s="97" t="n">
        <f aca="false">MH13-MG14+MF14</f>
        <v>0</v>
      </c>
      <c r="MI14" s="95" t="n">
        <f aca="false">[1]НАДІЙШЛО2!DN6</f>
        <v>0</v>
      </c>
      <c r="MJ14" s="96" t="n">
        <f aca="false">[1]ВИБУЛО2!DN6</f>
        <v>0</v>
      </c>
      <c r="MK14" s="97" t="n">
        <f aca="false">MK13-MJ14+MI14</f>
        <v>0</v>
      </c>
      <c r="ML14" s="95" t="n">
        <f aca="false">[1]НАДІЙШЛО2!DO6</f>
        <v>0</v>
      </c>
      <c r="MM14" s="96" t="n">
        <f aca="false">[1]ВИБУЛО2!DO6</f>
        <v>0</v>
      </c>
      <c r="MN14" s="97" t="n">
        <f aca="false">MN13-MM14+ML14</f>
        <v>0</v>
      </c>
      <c r="MO14" s="95" t="n">
        <f aca="false">[1]НАДІЙШЛО2!DP6</f>
        <v>0</v>
      </c>
      <c r="MP14" s="96" t="n">
        <f aca="false">[1]ВИБУЛО2!DP6</f>
        <v>0</v>
      </c>
      <c r="MQ14" s="97" t="n">
        <f aca="false">MQ13-MP14+MO14</f>
        <v>0</v>
      </c>
      <c r="MR14" s="95" t="n">
        <f aca="false">[1]НАДІЙШЛО2!DQ6</f>
        <v>0</v>
      </c>
      <c r="MS14" s="96" t="n">
        <f aca="false">[1]ВИБУЛО2!DQ6</f>
        <v>0</v>
      </c>
      <c r="MT14" s="97" t="n">
        <f aca="false">MT13-MS14+MR14</f>
        <v>0</v>
      </c>
      <c r="MU14" s="95" t="n">
        <f aca="false">[1]НАДІЙШЛО2!DR6</f>
        <v>0</v>
      </c>
      <c r="MV14" s="96" t="n">
        <f aca="false">[1]ВИБУЛО2!DR6</f>
        <v>0</v>
      </c>
      <c r="MW14" s="97" t="n">
        <f aca="false">MW13-MV14+MU14</f>
        <v>0</v>
      </c>
      <c r="MX14" s="95" t="n">
        <f aca="false">[1]НАДІЙШЛО2!DS6</f>
        <v>0</v>
      </c>
      <c r="MY14" s="96" t="n">
        <f aca="false">[1]ВИБУЛО2!DS6</f>
        <v>0</v>
      </c>
      <c r="MZ14" s="97" t="n">
        <f aca="false">MZ13-MY14+MX14</f>
        <v>0</v>
      </c>
      <c r="NA14" s="95" t="n">
        <f aca="false">[1]НАДІЙШЛО2!DT6</f>
        <v>0</v>
      </c>
      <c r="NB14" s="96" t="n">
        <f aca="false">[1]ВИБУЛО2!DT6</f>
        <v>0</v>
      </c>
      <c r="NC14" s="97" t="n">
        <f aca="false">NC13-NB14+NA14</f>
        <v>0</v>
      </c>
      <c r="ND14" s="95" t="n">
        <f aca="false">[1]НАДІЙШЛО2!DU6</f>
        <v>0</v>
      </c>
      <c r="NE14" s="96" t="n">
        <f aca="false">[1]ВИБУЛО2!DU6</f>
        <v>0</v>
      </c>
      <c r="NF14" s="97" t="n">
        <f aca="false">NF13-NE14+ND14</f>
        <v>0</v>
      </c>
      <c r="NG14" s="95" t="n">
        <f aca="false">[1]НАДІЙШЛО2!DV6</f>
        <v>0</v>
      </c>
      <c r="NH14" s="96" t="n">
        <f aca="false">[1]ВИБУЛО2!DV6</f>
        <v>0</v>
      </c>
      <c r="NI14" s="97" t="n">
        <f aca="false">NI13-NH14+NG14</f>
        <v>0</v>
      </c>
      <c r="NJ14" s="95" t="n">
        <f aca="false">[1]НАДІЙШЛО2!DW6</f>
        <v>0</v>
      </c>
      <c r="NK14" s="96" t="n">
        <f aca="false">[1]ВИБУЛО2!DW6</f>
        <v>0</v>
      </c>
      <c r="NL14" s="97" t="n">
        <f aca="false">NL13-NK14+NJ14</f>
        <v>0</v>
      </c>
      <c r="NM14" s="95" t="n">
        <f aca="false">[1]НАДІЙШЛО2!DX6</f>
        <v>0</v>
      </c>
      <c r="NN14" s="96" t="n">
        <f aca="false">[1]ВИБУЛО2!DX6</f>
        <v>0</v>
      </c>
      <c r="NO14" s="97" t="n">
        <f aca="false">NO13-NN14+NM14</f>
        <v>0</v>
      </c>
      <c r="NP14" s="95" t="n">
        <f aca="false">[1]НАДІЙШЛО2!DY6</f>
        <v>0</v>
      </c>
      <c r="NQ14" s="96" t="n">
        <f aca="false">[1]ВИБУЛО2!DY6</f>
        <v>0</v>
      </c>
      <c r="NR14" s="97" t="n">
        <f aca="false">NR13-NQ14+NP14</f>
        <v>0</v>
      </c>
      <c r="NS14" s="95" t="n">
        <f aca="false">[1]НАДІЙШЛО2!DZ6</f>
        <v>0</v>
      </c>
      <c r="NT14" s="96" t="n">
        <f aca="false">[1]ВИБУЛО2!DZ6</f>
        <v>0</v>
      </c>
      <c r="NU14" s="97" t="n">
        <f aca="false">NU13-NT14+NS14</f>
        <v>0</v>
      </c>
      <c r="NV14" s="95" t="n">
        <f aca="false">[1]НАДІЙШЛО2!EA6</f>
        <v>0</v>
      </c>
      <c r="NW14" s="96" t="n">
        <f aca="false">[1]ВИБУЛО2!EA6</f>
        <v>0</v>
      </c>
      <c r="NX14" s="97" t="n">
        <f aca="false">NX13-NW14+NV14</f>
        <v>0</v>
      </c>
      <c r="NY14" s="95" t="n">
        <f aca="false">[1]НАДІЙШЛО2!EB6</f>
        <v>0</v>
      </c>
      <c r="NZ14" s="96" t="n">
        <f aca="false">[1]ВИБУЛО2!EB6</f>
        <v>0</v>
      </c>
      <c r="OA14" s="97" t="n">
        <f aca="false">OA13-NZ14+NY14</f>
        <v>0</v>
      </c>
      <c r="OB14" s="95" t="n">
        <f aca="false">[1]НАДІЙШЛО2!EC6</f>
        <v>0</v>
      </c>
      <c r="OC14" s="96" t="n">
        <f aca="false">[1]ВИБУЛО2!EC6</f>
        <v>0</v>
      </c>
      <c r="OD14" s="97" t="n">
        <f aca="false">OD13-OC14+OB14</f>
        <v>0</v>
      </c>
      <c r="OE14" s="95" t="n">
        <f aca="false">[1]НАДІЙШЛО2!ED6</f>
        <v>0</v>
      </c>
      <c r="OF14" s="96" t="n">
        <f aca="false">[1]ВИБУЛО2!ED6</f>
        <v>0</v>
      </c>
      <c r="OG14" s="97" t="n">
        <f aca="false">OG13-OF14+OE14</f>
        <v>0</v>
      </c>
      <c r="OH14" s="95" t="n">
        <f aca="false">[1]НАДІЙШЛО2!EE6</f>
        <v>0</v>
      </c>
      <c r="OI14" s="96" t="n">
        <f aca="false">[1]ВИБУЛО2!EE6</f>
        <v>0</v>
      </c>
      <c r="OJ14" s="97" t="n">
        <f aca="false">OJ13-OI14+OH14</f>
        <v>0</v>
      </c>
      <c r="OK14" s="95" t="n">
        <f aca="false">[1]НАДІЙШЛО2!EF6</f>
        <v>0</v>
      </c>
      <c r="OL14" s="96" t="n">
        <f aca="false">[1]ВИБУЛО2!EF6</f>
        <v>0</v>
      </c>
      <c r="OM14" s="97" t="n">
        <f aca="false">OM13-OL14+OK14</f>
        <v>0</v>
      </c>
      <c r="ON14" s="95" t="n">
        <f aca="false">[1]НАДІЙШЛО2!EG6</f>
        <v>0</v>
      </c>
      <c r="OO14" s="96" t="n">
        <f aca="false">[1]ВИБУЛО2!EG6</f>
        <v>0</v>
      </c>
      <c r="OP14" s="97" t="n">
        <f aca="false">OP13-OO14+ON14</f>
        <v>0</v>
      </c>
      <c r="OQ14" s="95" t="n">
        <f aca="false">[1]НАДІЙШЛО2!EH6</f>
        <v>0</v>
      </c>
      <c r="OR14" s="96" t="n">
        <f aca="false">[1]ВИБУЛО2!EH6</f>
        <v>0</v>
      </c>
      <c r="OS14" s="97" t="n">
        <f aca="false">OS13-OR14+OQ14</f>
        <v>0</v>
      </c>
      <c r="OT14" s="95" t="n">
        <f aca="false">[1]НАДІЙШЛО2!EI6</f>
        <v>0</v>
      </c>
      <c r="OU14" s="96" t="n">
        <f aca="false">[1]ВИБУЛО2!EI6</f>
        <v>0</v>
      </c>
      <c r="OV14" s="97" t="n">
        <f aca="false">OV13-OU14+OT14</f>
        <v>0</v>
      </c>
      <c r="OW14" s="95" t="n">
        <f aca="false">[1]НАДІЙШЛО2!EJ6</f>
        <v>0</v>
      </c>
      <c r="OX14" s="96" t="n">
        <f aca="false">[1]ВИБУЛО2!EJ6</f>
        <v>0</v>
      </c>
      <c r="OY14" s="97" t="n">
        <f aca="false">OY13-OX14+OW14</f>
        <v>0</v>
      </c>
      <c r="OZ14" s="95" t="n">
        <f aca="false">[1]НАДІЙШЛО2!EK6</f>
        <v>0</v>
      </c>
      <c r="PA14" s="96" t="n">
        <f aca="false">[1]ВИБУЛО2!EK6</f>
        <v>0</v>
      </c>
      <c r="PB14" s="97" t="n">
        <f aca="false">PB13-PA14+OZ14</f>
        <v>0</v>
      </c>
      <c r="PC14" s="95" t="n">
        <f aca="false">[1]НАДІЙШЛО2!EL6</f>
        <v>0</v>
      </c>
      <c r="PD14" s="96" t="n">
        <f aca="false">[1]ВИБУЛО2!EL6</f>
        <v>0</v>
      </c>
      <c r="PE14" s="97" t="n">
        <f aca="false">PE13-PD14+PC14</f>
        <v>0</v>
      </c>
      <c r="PF14" s="95" t="n">
        <f aca="false">[1]НАДІЙШЛО2!EM6</f>
        <v>0</v>
      </c>
      <c r="PG14" s="96" t="n">
        <f aca="false">[1]ВИБУЛО2!EM6</f>
        <v>0</v>
      </c>
      <c r="PH14" s="97" t="n">
        <f aca="false">PH13-PG14+PF14</f>
        <v>0</v>
      </c>
      <c r="PI14" s="95" t="n">
        <f aca="false">[1]НАДІЙШЛО2!EN6</f>
        <v>0</v>
      </c>
      <c r="PJ14" s="96" t="n">
        <f aca="false">[1]ВИБУЛО2!EN6</f>
        <v>0</v>
      </c>
      <c r="PK14" s="97" t="n">
        <f aca="false">PK13-PJ14+PI14</f>
        <v>0</v>
      </c>
      <c r="PL14" s="95" t="n">
        <f aca="false">[1]НАДІЙШЛО2!EO6</f>
        <v>0</v>
      </c>
      <c r="PM14" s="96" t="n">
        <f aca="false">[1]ВИБУЛО2!EO6</f>
        <v>0</v>
      </c>
      <c r="PN14" s="97" t="n">
        <f aca="false">PN13-PM14+PL14</f>
        <v>0</v>
      </c>
      <c r="PO14" s="95" t="n">
        <f aca="false">[1]НАДІЙШЛО2!EP6</f>
        <v>0</v>
      </c>
      <c r="PP14" s="96" t="n">
        <f aca="false">[1]ВИБУЛО2!EP6</f>
        <v>0</v>
      </c>
      <c r="PQ14" s="97" t="n">
        <f aca="false">PQ13-PP14+PO14</f>
        <v>0</v>
      </c>
      <c r="PR14" s="95" t="n">
        <f aca="false">[1]НАДІЙШЛО2!EQ6</f>
        <v>0</v>
      </c>
      <c r="PS14" s="96" t="n">
        <f aca="false">[1]ВИБУЛО2!EQ6</f>
        <v>0</v>
      </c>
      <c r="PT14" s="97" t="n">
        <f aca="false">PT13-PS14+PR14</f>
        <v>0</v>
      </c>
      <c r="PU14" s="95" t="n">
        <f aca="false">[1]НАДІЙШЛО2!ER6</f>
        <v>0</v>
      </c>
      <c r="PV14" s="96" t="n">
        <f aca="false">[1]ВИБУЛО2!ER6</f>
        <v>0</v>
      </c>
      <c r="PW14" s="97" t="n">
        <f aca="false">PW13-PV14+PU14</f>
        <v>0</v>
      </c>
      <c r="PX14" s="95" t="n">
        <f aca="false">[1]НАДІЙШЛО2!ES6</f>
        <v>0</v>
      </c>
      <c r="PY14" s="96" t="n">
        <f aca="false">[1]ВИБУЛО2!ES6</f>
        <v>0</v>
      </c>
      <c r="PZ14" s="97" t="n">
        <f aca="false">PZ13-PY14+PX14</f>
        <v>0</v>
      </c>
      <c r="QA14" s="95" t="n">
        <f aca="false">[1]НАДІЙШЛО2!ET6</f>
        <v>0</v>
      </c>
      <c r="QB14" s="96" t="n">
        <f aca="false">[1]ВИБУЛО2!ET6</f>
        <v>0</v>
      </c>
      <c r="QC14" s="97" t="n">
        <f aca="false">QC13-QB14+QA14</f>
        <v>0</v>
      </c>
      <c r="QD14" s="95" t="n">
        <f aca="false">[1]НАДІЙШЛО2!EU6</f>
        <v>0</v>
      </c>
      <c r="QE14" s="96" t="n">
        <f aca="false">[1]ВИБУЛО2!EU6</f>
        <v>0</v>
      </c>
      <c r="QF14" s="97" t="n">
        <f aca="false">QF13-QE14+QD14</f>
        <v>0</v>
      </c>
      <c r="QG14" s="95" t="n">
        <f aca="false">[1]НАДІЙШЛО2!EV6</f>
        <v>0</v>
      </c>
      <c r="QH14" s="96" t="n">
        <f aca="false">[1]ВИБУЛО2!EV6</f>
        <v>0</v>
      </c>
      <c r="QI14" s="97" t="n">
        <f aca="false">QI13-QH14+QG14</f>
        <v>0</v>
      </c>
      <c r="QJ14" s="95" t="n">
        <f aca="false">[1]НАДІЙШЛО2!EW6</f>
        <v>0</v>
      </c>
      <c r="QK14" s="96" t="n">
        <f aca="false">[1]ВИБУЛО2!EW6</f>
        <v>0</v>
      </c>
      <c r="QL14" s="97" t="n">
        <f aca="false">QL13-QK14+QJ14</f>
        <v>0</v>
      </c>
      <c r="QM14" s="95" t="n">
        <f aca="false">[1]НАДІЙШЛО2!EX6</f>
        <v>0</v>
      </c>
      <c r="QN14" s="96" t="n">
        <f aca="false">[1]ВИБУЛО2!EX6</f>
        <v>0</v>
      </c>
      <c r="QO14" s="97" t="n">
        <f aca="false">QO13-QN14+QM14</f>
        <v>0</v>
      </c>
      <c r="QP14" s="95" t="n">
        <f aca="false">[1]НАДІЙШЛО2!EY6</f>
        <v>0</v>
      </c>
      <c r="QQ14" s="96" t="n">
        <f aca="false">[1]ВИБУЛО2!EY6</f>
        <v>0</v>
      </c>
      <c r="QR14" s="97" t="n">
        <f aca="false">QR13-QQ14+QP14</f>
        <v>0</v>
      </c>
      <c r="QS14" s="95" t="n">
        <f aca="false">[1]НАДІЙШЛО2!EZ6</f>
        <v>0</v>
      </c>
      <c r="QT14" s="96" t="n">
        <f aca="false">[1]ВИБУЛО2!EZ6</f>
        <v>0</v>
      </c>
      <c r="QU14" s="97" t="n">
        <f aca="false">QU13-QT14+QS14</f>
        <v>0</v>
      </c>
      <c r="QV14" s="95" t="n">
        <f aca="false">[1]НАДІЙШЛО2!FA6</f>
        <v>0</v>
      </c>
      <c r="QW14" s="96" t="n">
        <f aca="false">[1]ВИБУЛО2!FA6</f>
        <v>0</v>
      </c>
      <c r="QX14" s="97" t="n">
        <f aca="false">QX13-QW14+QV14</f>
        <v>0</v>
      </c>
      <c r="QY14" s="95" t="n">
        <f aca="false">[1]НАДІЙШЛО2!FB6</f>
        <v>0</v>
      </c>
      <c r="QZ14" s="96" t="n">
        <f aca="false">[1]ВИБУЛО2!FB6</f>
        <v>0</v>
      </c>
      <c r="RA14" s="97" t="n">
        <f aca="false">RA13-QZ14+QY14</f>
        <v>0</v>
      </c>
      <c r="RB14" s="95" t="n">
        <f aca="false">[1]НАДІЙШЛО2!FC6</f>
        <v>0</v>
      </c>
      <c r="RC14" s="96" t="n">
        <f aca="false">[1]ВИБУЛО2!FC6</f>
        <v>0</v>
      </c>
      <c r="RD14" s="97" t="n">
        <f aca="false">RD13-RC14+RB14</f>
        <v>0</v>
      </c>
      <c r="RE14" s="95" t="n">
        <f aca="false">[1]НАДІЙШЛО2!FD6</f>
        <v>0</v>
      </c>
      <c r="RF14" s="96" t="n">
        <f aca="false">[1]ВИБУЛО2!FD6</f>
        <v>0</v>
      </c>
      <c r="RG14" s="97" t="n">
        <f aca="false">RG13-RF14+RE14</f>
        <v>0</v>
      </c>
      <c r="RH14" s="95" t="n">
        <f aca="false">[1]НАДІЙШЛО2!FE6</f>
        <v>0</v>
      </c>
      <c r="RI14" s="96" t="n">
        <f aca="false">[1]ВИБУЛО2!FE6</f>
        <v>0</v>
      </c>
      <c r="RJ14" s="97" t="n">
        <f aca="false">RJ13-RI14+RH14</f>
        <v>0</v>
      </c>
      <c r="RK14" s="95" t="n">
        <f aca="false">[1]НАДІЙШЛО2!FF6</f>
        <v>0</v>
      </c>
      <c r="RL14" s="96" t="n">
        <f aca="false">[1]ВИБУЛО2!FF6</f>
        <v>0</v>
      </c>
      <c r="RM14" s="97" t="n">
        <f aca="false">RM13-RL14+RK14</f>
        <v>0</v>
      </c>
      <c r="RN14" s="95" t="n">
        <f aca="false">[1]НАДІЙШЛО2!FG6</f>
        <v>0</v>
      </c>
      <c r="RO14" s="96" t="n">
        <f aca="false">[1]ВИБУЛО2!FG6</f>
        <v>0</v>
      </c>
      <c r="RP14" s="97" t="n">
        <f aca="false">RP13-RO14+RN14</f>
        <v>0</v>
      </c>
      <c r="RQ14" s="95" t="n">
        <f aca="false">[1]НАДІЙШЛО2!FH6</f>
        <v>0</v>
      </c>
      <c r="RR14" s="96" t="n">
        <f aca="false">[1]ВИБУЛО2!FH6</f>
        <v>0</v>
      </c>
      <c r="RS14" s="97" t="n">
        <f aca="false">RS13-RR14+RQ14</f>
        <v>0</v>
      </c>
      <c r="RT14" s="95" t="n">
        <f aca="false">[1]НАДІЙШЛО2!FI6</f>
        <v>0</v>
      </c>
      <c r="RU14" s="96" t="n">
        <f aca="false">[1]ВИБУЛО2!FI6</f>
        <v>0</v>
      </c>
      <c r="RV14" s="97" t="n">
        <f aca="false">RV13-RU14+RT14</f>
        <v>0</v>
      </c>
      <c r="RW14" s="95" t="n">
        <f aca="false">[1]НАДІЙШЛО2!FJ6</f>
        <v>0</v>
      </c>
      <c r="RX14" s="96" t="n">
        <f aca="false">[1]ВИБУЛО2!FJ6</f>
        <v>0</v>
      </c>
      <c r="RY14" s="97" t="n">
        <f aca="false">RY13-RX14+RW14</f>
        <v>0</v>
      </c>
      <c r="RZ14" s="95" t="n">
        <f aca="false">[1]НАДІЙШЛО2!FK6</f>
        <v>0</v>
      </c>
      <c r="SA14" s="96" t="n">
        <f aca="false">[1]ВИБУЛО2!FK6</f>
        <v>0</v>
      </c>
      <c r="SB14" s="97" t="n">
        <f aca="false">SB13-SA14+RZ14</f>
        <v>0</v>
      </c>
      <c r="SC14" s="95" t="n">
        <f aca="false">[1]НАДІЙШЛО2!FL6</f>
        <v>0</v>
      </c>
      <c r="SD14" s="96" t="n">
        <f aca="false">[1]ВИБУЛО2!FL6</f>
        <v>0</v>
      </c>
      <c r="SE14" s="97" t="n">
        <f aca="false">SE13-SD14+SC14</f>
        <v>0</v>
      </c>
      <c r="SF14" s="95" t="n">
        <f aca="false">[1]НАДІЙШЛО2!FM6</f>
        <v>0</v>
      </c>
      <c r="SG14" s="96" t="n">
        <f aca="false">[1]ВИБУЛО2!FM6</f>
        <v>0</v>
      </c>
      <c r="SH14" s="97" t="n">
        <f aca="false">SH13-SG14+SF14</f>
        <v>0</v>
      </c>
      <c r="SI14" s="95" t="n">
        <f aca="false">[1]НАДІЙШЛО2!FN6</f>
        <v>0</v>
      </c>
      <c r="SJ14" s="96" t="n">
        <f aca="false">[1]ВИБУЛО2!FN6</f>
        <v>0</v>
      </c>
      <c r="SK14" s="97" t="n">
        <f aca="false">SK13-SJ14+SI14</f>
        <v>0</v>
      </c>
      <c r="SL14" s="95" t="n">
        <f aca="false">[1]НАДІЙШЛО2!FO6</f>
        <v>0</v>
      </c>
      <c r="SM14" s="96" t="n">
        <f aca="false">[1]ВИБУЛО2!FO6</f>
        <v>0</v>
      </c>
      <c r="SN14" s="97" t="n">
        <f aca="false">SN13-SM14+SL14</f>
        <v>0</v>
      </c>
      <c r="SO14" s="95" t="n">
        <f aca="false">[1]НАДІЙШЛО2!FP6</f>
        <v>0</v>
      </c>
      <c r="SP14" s="96" t="n">
        <f aca="false">[1]ВИБУЛО2!FP6</f>
        <v>0</v>
      </c>
      <c r="SQ14" s="97" t="n">
        <f aca="false">SQ13-SP14+SO14</f>
        <v>0</v>
      </c>
      <c r="SR14" s="95" t="n">
        <f aca="false">[1]НАДІЙШЛО2!FQ6</f>
        <v>0</v>
      </c>
      <c r="SS14" s="96" t="n">
        <f aca="false">[1]ВИБУЛО2!FQ6</f>
        <v>0</v>
      </c>
      <c r="ST14" s="97" t="n">
        <f aca="false">ST13-SS14+SR14</f>
        <v>0</v>
      </c>
      <c r="SU14" s="95" t="n">
        <f aca="false">[1]НАДІЙШЛО2!FR6</f>
        <v>0</v>
      </c>
      <c r="SV14" s="96" t="n">
        <f aca="false">[1]ВИБУЛО2!FR6</f>
        <v>0</v>
      </c>
      <c r="SW14" s="97" t="n">
        <f aca="false">SW13-SV14+SU14</f>
        <v>0</v>
      </c>
      <c r="SX14" s="95" t="n">
        <f aca="false">[1]НАДІЙШЛО2!FS6</f>
        <v>0</v>
      </c>
      <c r="SY14" s="96" t="n">
        <f aca="false">[1]ВИБУЛО2!FS6</f>
        <v>0</v>
      </c>
      <c r="SZ14" s="97" t="n">
        <f aca="false">SZ13-SY14+SX14</f>
        <v>0</v>
      </c>
      <c r="TA14" s="95" t="n">
        <f aca="false">[1]НАДІЙШЛО2!FT6</f>
        <v>0</v>
      </c>
      <c r="TB14" s="96" t="n">
        <f aca="false">[1]ВИБУЛО2!FT6</f>
        <v>0</v>
      </c>
      <c r="TC14" s="97" t="n">
        <f aca="false">TC13-TB14+TA14</f>
        <v>0</v>
      </c>
      <c r="TD14" s="95" t="n">
        <f aca="false">[1]НАДІЙШЛО2!FU6</f>
        <v>0</v>
      </c>
      <c r="TE14" s="96" t="n">
        <f aca="false">[1]ВИБУЛО2!FU6</f>
        <v>0</v>
      </c>
      <c r="TF14" s="97" t="n">
        <f aca="false">TF13-TE14+TD14</f>
        <v>0</v>
      </c>
      <c r="TG14" s="95" t="n">
        <f aca="false">[1]НАДІЙШЛО2!FV6</f>
        <v>0</v>
      </c>
      <c r="TH14" s="96" t="n">
        <f aca="false">[1]ВИБУЛО2!FV6</f>
        <v>0</v>
      </c>
      <c r="TI14" s="97" t="n">
        <f aca="false">TI13-TH14+TG14</f>
        <v>0</v>
      </c>
      <c r="TJ14" s="95" t="n">
        <f aca="false">[1]НАДІЙШЛО2!FW6</f>
        <v>0</v>
      </c>
      <c r="TK14" s="96" t="n">
        <f aca="false">[1]ВИБУЛО2!FW6</f>
        <v>0</v>
      </c>
      <c r="TL14" s="97" t="n">
        <f aca="false">TL13-TK14+TJ14</f>
        <v>0</v>
      </c>
      <c r="TM14" s="95" t="n">
        <f aca="false">[1]НАДІЙШЛО2!FX6</f>
        <v>0</v>
      </c>
      <c r="TN14" s="96" t="n">
        <f aca="false">[1]ВИБУЛО2!FX6</f>
        <v>0</v>
      </c>
      <c r="TO14" s="97" t="n">
        <f aca="false">TO13-TN14+TM14</f>
        <v>0</v>
      </c>
      <c r="TP14" s="95" t="n">
        <f aca="false">[1]НАДІЙШЛО2!FY6</f>
        <v>0</v>
      </c>
      <c r="TQ14" s="96" t="n">
        <f aca="false">[1]ВИБУЛО2!FY6</f>
        <v>0</v>
      </c>
      <c r="TR14" s="97" t="n">
        <f aca="false">TR13-TQ14+TP14</f>
        <v>0</v>
      </c>
      <c r="TS14" s="95" t="n">
        <f aca="false">[1]НАДІЙШЛО2!FZ6</f>
        <v>0</v>
      </c>
      <c r="TT14" s="96" t="n">
        <f aca="false">[1]ВИБУЛО2!FZ6</f>
        <v>0</v>
      </c>
      <c r="TU14" s="97" t="n">
        <f aca="false">TU13-TT14+TS14</f>
        <v>0</v>
      </c>
      <c r="TV14" s="95" t="n">
        <f aca="false">[1]НАДІЙШЛО2!GA6</f>
        <v>0</v>
      </c>
      <c r="TW14" s="96" t="n">
        <f aca="false">[1]ВИБУЛО2!GA6</f>
        <v>0</v>
      </c>
      <c r="TX14" s="97" t="n">
        <f aca="false">TX13-TW14+TV14</f>
        <v>0</v>
      </c>
      <c r="TY14" s="95" t="n">
        <f aca="false">[1]НАДІЙШЛО2!GB6</f>
        <v>0</v>
      </c>
      <c r="TZ14" s="96" t="n">
        <f aca="false">[1]ВИБУЛО2!GB6</f>
        <v>0</v>
      </c>
      <c r="UA14" s="97" t="n">
        <f aca="false">UA13-TZ14+TY14</f>
        <v>0</v>
      </c>
      <c r="UB14" s="95" t="n">
        <f aca="false">[1]НАДІЙШЛО2!GC6</f>
        <v>0</v>
      </c>
      <c r="UC14" s="96" t="n">
        <f aca="false">[1]ВИБУЛО2!GC6</f>
        <v>0</v>
      </c>
      <c r="UD14" s="97" t="n">
        <f aca="false">UD13-UC14+UB14</f>
        <v>0</v>
      </c>
      <c r="UE14" s="95" t="n">
        <f aca="false">[1]НАДІЙШЛО2!GD6</f>
        <v>0</v>
      </c>
      <c r="UF14" s="96" t="n">
        <f aca="false">[1]ВИБУЛО2!GD6</f>
        <v>0</v>
      </c>
      <c r="UG14" s="97" t="n">
        <f aca="false">UG13-UF14+UE14</f>
        <v>0</v>
      </c>
      <c r="UH14" s="95" t="n">
        <f aca="false">[1]НАДІЙШЛО2!GE6</f>
        <v>0</v>
      </c>
      <c r="UI14" s="96" t="n">
        <f aca="false">[1]ВИБУЛО2!GE6</f>
        <v>0</v>
      </c>
      <c r="UJ14" s="97" t="n">
        <f aca="false">UJ13-UI14+UH14</f>
        <v>0</v>
      </c>
      <c r="UK14" s="95" t="n">
        <f aca="false">[1]НАДІЙШЛО2!GF6</f>
        <v>0</v>
      </c>
      <c r="UL14" s="96" t="n">
        <f aca="false">[1]ВИБУЛО2!GF6</f>
        <v>0</v>
      </c>
      <c r="UM14" s="97" t="n">
        <f aca="false">UM13-UL14+UK14</f>
        <v>0</v>
      </c>
      <c r="UN14" s="95" t="n">
        <f aca="false">[1]НАДІЙШЛО2!GG6</f>
        <v>0</v>
      </c>
      <c r="UO14" s="96" t="n">
        <f aca="false">[1]ВИБУЛО2!GG6</f>
        <v>0</v>
      </c>
      <c r="UP14" s="97" t="n">
        <f aca="false">UP13-UO14+UN14</f>
        <v>0</v>
      </c>
      <c r="UQ14" s="95" t="n">
        <f aca="false">[1]НАДІЙШЛО2!GH6</f>
        <v>0</v>
      </c>
      <c r="UR14" s="96" t="n">
        <f aca="false">[1]ВИБУЛО2!GH6</f>
        <v>0</v>
      </c>
      <c r="US14" s="97" t="n">
        <f aca="false">US13-UR14+UQ14</f>
        <v>0</v>
      </c>
      <c r="UT14" s="95" t="n">
        <f aca="false">[1]НАДІЙШЛО2!GI6</f>
        <v>0</v>
      </c>
      <c r="UU14" s="96" t="n">
        <f aca="false">[1]ВИБУЛО2!GI6</f>
        <v>0</v>
      </c>
      <c r="UV14" s="97" t="n">
        <f aca="false">UV13-UU14+UT14</f>
        <v>0</v>
      </c>
      <c r="UW14" s="95" t="n">
        <f aca="false">[1]НАДІЙШЛО2!GJ6</f>
        <v>0</v>
      </c>
      <c r="UX14" s="96" t="n">
        <f aca="false">[1]ВИБУЛО2!GJ6</f>
        <v>0</v>
      </c>
      <c r="UY14" s="97" t="n">
        <f aca="false">UY13-UX14+UW14</f>
        <v>0</v>
      </c>
      <c r="UZ14" s="95" t="n">
        <f aca="false">[1]НАДІЙШЛО2!GK6</f>
        <v>0</v>
      </c>
      <c r="VA14" s="96" t="n">
        <f aca="false">[1]ВИБУЛО2!GK6</f>
        <v>0</v>
      </c>
      <c r="VB14" s="97" t="n">
        <f aca="false">VB13-VA14+UZ14</f>
        <v>0</v>
      </c>
      <c r="VC14" s="95" t="n">
        <f aca="false">[1]НАДІЙШЛО2!GL6</f>
        <v>0</v>
      </c>
      <c r="VD14" s="96" t="n">
        <f aca="false">[1]ВИБУЛО2!GL6</f>
        <v>0</v>
      </c>
      <c r="VE14" s="97" t="n">
        <f aca="false">VE13-VD14+VC14</f>
        <v>0</v>
      </c>
      <c r="VF14" s="95" t="n">
        <f aca="false">[1]НАДІЙШЛО2!GM6</f>
        <v>0</v>
      </c>
      <c r="VG14" s="96" t="n">
        <f aca="false">[1]ВИБУЛО2!GM6</f>
        <v>0</v>
      </c>
      <c r="VH14" s="97" t="n">
        <f aca="false">VH13-VG14+VF14</f>
        <v>0</v>
      </c>
      <c r="VI14" s="95" t="n">
        <f aca="false">[1]НАДІЙШЛО2!GN6</f>
        <v>0</v>
      </c>
      <c r="VJ14" s="96" t="n">
        <f aca="false">[1]ВИБУЛО2!GN6</f>
        <v>0</v>
      </c>
      <c r="VK14" s="97" t="n">
        <f aca="false">VK13-VJ14+VI14</f>
        <v>0</v>
      </c>
      <c r="VL14" s="95" t="n">
        <f aca="false">[1]НАДІЙШЛО2!GO6</f>
        <v>0</v>
      </c>
      <c r="VM14" s="96" t="n">
        <f aca="false">[1]ВИБУЛО2!GO6</f>
        <v>0</v>
      </c>
      <c r="VN14" s="97" t="n">
        <f aca="false">VN13-VM14+VL14</f>
        <v>0</v>
      </c>
      <c r="VO14" s="95" t="n">
        <f aca="false">[1]НАДІЙШЛО2!GP6</f>
        <v>0</v>
      </c>
      <c r="VP14" s="96" t="n">
        <f aca="false">[1]ВИБУЛО2!GP6</f>
        <v>0</v>
      </c>
      <c r="VQ14" s="97" t="n">
        <f aca="false">VQ13-VP14+VO14</f>
        <v>0</v>
      </c>
      <c r="VR14" s="95" t="n">
        <f aca="false">[1]НАДІЙШЛО2!GQ6</f>
        <v>0</v>
      </c>
      <c r="VS14" s="96" t="n">
        <f aca="false">[1]ВИБУЛО2!GQ6</f>
        <v>0</v>
      </c>
      <c r="VT14" s="97" t="n">
        <f aca="false">VT13-VS14+VR14</f>
        <v>0</v>
      </c>
      <c r="VU14" s="95" t="n">
        <f aca="false">[1]НАДІЙШЛО2!GR6</f>
        <v>0</v>
      </c>
      <c r="VV14" s="96" t="n">
        <f aca="false">[1]ВИБУЛО2!GR6</f>
        <v>0</v>
      </c>
      <c r="VW14" s="97" t="n">
        <f aca="false">VW13-VV14+VU14</f>
        <v>0</v>
      </c>
      <c r="VX14" s="95" t="n">
        <f aca="false">[1]НАДІЙШЛО2!GS6</f>
        <v>0</v>
      </c>
      <c r="VY14" s="96" t="n">
        <f aca="false">[1]ВИБУЛО2!GS6</f>
        <v>0</v>
      </c>
      <c r="VZ14" s="97" t="n">
        <f aca="false">VZ13-VY14+VX14</f>
        <v>0</v>
      </c>
      <c r="WA14" s="95" t="n">
        <f aca="false">[1]НАДІЙШЛО2!GT6</f>
        <v>0</v>
      </c>
      <c r="WB14" s="96" t="n">
        <f aca="false">[1]ВИБУЛО2!GT6</f>
        <v>0</v>
      </c>
      <c r="WC14" s="97" t="n">
        <f aca="false">WC13-WB14+WA14</f>
        <v>0</v>
      </c>
      <c r="WD14" s="95" t="n">
        <f aca="false">[1]НАДІЙШЛО2!GU6</f>
        <v>0</v>
      </c>
      <c r="WE14" s="96" t="n">
        <f aca="false">[1]ВИБУЛО2!GU6</f>
        <v>0</v>
      </c>
      <c r="WF14" s="97" t="n">
        <f aca="false">WF13-WE14+WD14</f>
        <v>0</v>
      </c>
      <c r="WG14" s="95" t="n">
        <f aca="false">[1]НАДІЙШЛО2!GV6</f>
        <v>0</v>
      </c>
      <c r="WH14" s="96" t="n">
        <f aca="false">[1]ВИБУЛО2!GV6</f>
        <v>0</v>
      </c>
      <c r="WI14" s="97" t="n">
        <f aca="false">WI13-WH14+WG14</f>
        <v>0</v>
      </c>
      <c r="WJ14" s="95" t="n">
        <f aca="false">[1]НАДІЙШЛО2!GW6</f>
        <v>0</v>
      </c>
      <c r="WK14" s="96" t="n">
        <f aca="false">[1]ВИБУЛО2!GW6</f>
        <v>0</v>
      </c>
      <c r="WL14" s="97" t="n">
        <f aca="false">WL13-WK14+WJ14</f>
        <v>0</v>
      </c>
      <c r="WM14" s="95" t="n">
        <f aca="false">[1]НАДІЙШЛО2!GX6</f>
        <v>0</v>
      </c>
      <c r="WN14" s="96" t="n">
        <f aca="false">[1]ВИБУЛО2!GX6</f>
        <v>0</v>
      </c>
      <c r="WO14" s="97" t="n">
        <f aca="false">WO13-WN14+WM14</f>
        <v>0</v>
      </c>
      <c r="WP14" s="95" t="n">
        <f aca="false">[1]НАДІЙШЛО2!GY6</f>
        <v>0</v>
      </c>
      <c r="WQ14" s="96" t="n">
        <f aca="false">[1]ВИБУЛО2!GY6</f>
        <v>0</v>
      </c>
      <c r="WR14" s="97" t="n">
        <f aca="false">WR13-WQ14+WP14</f>
        <v>0</v>
      </c>
      <c r="WS14" s="95" t="n">
        <f aca="false">[1]НАДІЙШЛО2!GZ6</f>
        <v>0</v>
      </c>
      <c r="WT14" s="96" t="n">
        <f aca="false">[1]ВИБУЛО2!GZ6</f>
        <v>0</v>
      </c>
      <c r="WU14" s="97" t="n">
        <f aca="false">WU13-WT14+WS14</f>
        <v>0</v>
      </c>
      <c r="WV14" s="95" t="n">
        <f aca="false">[1]НАДІЙШЛО2!HA6</f>
        <v>0</v>
      </c>
      <c r="WW14" s="96" t="n">
        <f aca="false">[1]ВИБУЛО2!HA6</f>
        <v>0</v>
      </c>
      <c r="WX14" s="97" t="n">
        <f aca="false">WX13-WW14+WV14</f>
        <v>0</v>
      </c>
      <c r="WY14" s="95" t="n">
        <f aca="false">[1]НАДІЙШЛО2!HB6</f>
        <v>0</v>
      </c>
      <c r="WZ14" s="96" t="n">
        <f aca="false">[1]ВИБУЛО2!HB6</f>
        <v>0</v>
      </c>
      <c r="XA14" s="97" t="n">
        <f aca="false">XA13-WZ14+WY14</f>
        <v>0</v>
      </c>
      <c r="XB14" s="95" t="n">
        <f aca="false">[1]НАДІЙШЛО2!HC6</f>
        <v>0</v>
      </c>
      <c r="XC14" s="96" t="n">
        <f aca="false">[1]ВИБУЛО2!HC6</f>
        <v>0</v>
      </c>
      <c r="XD14" s="97" t="n">
        <f aca="false">XD13-XC14+XB14</f>
        <v>0</v>
      </c>
      <c r="XE14" s="95" t="n">
        <f aca="false">[1]НАДІЙШЛО2!HD6</f>
        <v>0</v>
      </c>
      <c r="XF14" s="96" t="n">
        <f aca="false">[1]ВИБУЛО2!HD6</f>
        <v>0</v>
      </c>
      <c r="XG14" s="97" t="n">
        <f aca="false">XG13-XF14+XE14</f>
        <v>0</v>
      </c>
      <c r="XH14" s="95" t="n">
        <f aca="false">[1]НАДІЙШЛО2!HE6</f>
        <v>0</v>
      </c>
      <c r="XI14" s="96" t="n">
        <f aca="false">[1]ВИБУЛО2!HE6</f>
        <v>0</v>
      </c>
      <c r="XJ14" s="97" t="n">
        <f aca="false">XJ13-XI14+XH14</f>
        <v>0</v>
      </c>
      <c r="XK14" s="95" t="n">
        <f aca="false">[1]НАДІЙШЛО2!HF6</f>
        <v>0</v>
      </c>
      <c r="XL14" s="96" t="n">
        <f aca="false">[1]ВИБУЛО2!HF6</f>
        <v>0</v>
      </c>
      <c r="XM14" s="97" t="n">
        <f aca="false">XM13-XL14+XK14</f>
        <v>0</v>
      </c>
      <c r="XN14" s="95" t="n">
        <f aca="false">[1]НАДІЙШЛО2!HG6</f>
        <v>0</v>
      </c>
      <c r="XO14" s="96" t="n">
        <f aca="false">[1]ВИБУЛО2!HG6</f>
        <v>0</v>
      </c>
      <c r="XP14" s="97" t="n">
        <f aca="false">XP13-XO14+XN14</f>
        <v>0</v>
      </c>
      <c r="XQ14" s="95" t="n">
        <f aca="false">[1]НАДІЙШЛО2!HH6</f>
        <v>0</v>
      </c>
      <c r="XR14" s="96" t="n">
        <f aca="false">[1]ВИБУЛО2!HH6</f>
        <v>0</v>
      </c>
      <c r="XS14" s="97" t="n">
        <f aca="false">XS13-XR14+XQ14</f>
        <v>0</v>
      </c>
      <c r="XT14" s="95" t="n">
        <f aca="false">[1]НАДІЙШЛО2!HI6</f>
        <v>0</v>
      </c>
      <c r="XU14" s="96" t="n">
        <f aca="false">[1]ВИБУЛО2!HI6</f>
        <v>0</v>
      </c>
      <c r="XV14" s="97" t="n">
        <f aca="false">XV13-XU14+XT14</f>
        <v>0</v>
      </c>
      <c r="XW14" s="95" t="n">
        <f aca="false">[1]НАДІЙШЛО2!HJ6</f>
        <v>0</v>
      </c>
      <c r="XX14" s="96" t="n">
        <f aca="false">[1]ВИБУЛО2!HJ6</f>
        <v>0</v>
      </c>
      <c r="XY14" s="97" t="n">
        <f aca="false">XY13-XX14+XW14</f>
        <v>0</v>
      </c>
      <c r="XZ14" s="95" t="n">
        <f aca="false">[1]НАДІЙШЛО2!HK6</f>
        <v>0</v>
      </c>
      <c r="YA14" s="96" t="n">
        <f aca="false">[1]ВИБУЛО2!HK6</f>
        <v>0</v>
      </c>
      <c r="YB14" s="97" t="n">
        <f aca="false">YB13-YA14+XZ14</f>
        <v>0</v>
      </c>
      <c r="YC14" s="95" t="n">
        <f aca="false">[1]НАДІЙШЛО2!HL6</f>
        <v>0</v>
      </c>
      <c r="YD14" s="96" t="n">
        <f aca="false">[1]ВИБУЛО2!HL6</f>
        <v>0</v>
      </c>
      <c r="YE14" s="97" t="n">
        <f aca="false">YE13-YD14+YC14</f>
        <v>0</v>
      </c>
      <c r="YF14" s="95" t="n">
        <f aca="false">[1]НАДІЙШЛО2!HM6</f>
        <v>0</v>
      </c>
      <c r="YG14" s="96" t="n">
        <f aca="false">[1]ВИБУЛО2!HM6</f>
        <v>0</v>
      </c>
      <c r="YH14" s="97" t="n">
        <f aca="false">YH13-YG14+YF14</f>
        <v>0</v>
      </c>
      <c r="YI14" s="95" t="n">
        <f aca="false">[1]НАДІЙШЛО2!HN6</f>
        <v>0</v>
      </c>
      <c r="YJ14" s="96" t="n">
        <f aca="false">[1]ВИБУЛО2!HN6</f>
        <v>0</v>
      </c>
      <c r="YK14" s="97" t="n">
        <f aca="false">YK13-YJ14+YI14</f>
        <v>0</v>
      </c>
      <c r="YL14" s="95" t="n">
        <f aca="false">[1]НАДІЙШЛО2!HO6</f>
        <v>0</v>
      </c>
      <c r="YM14" s="96" t="n">
        <f aca="false">[1]ВИБУЛО2!HO6</f>
        <v>0</v>
      </c>
      <c r="YN14" s="97" t="n">
        <f aca="false">YN13-YM14+YL14</f>
        <v>0</v>
      </c>
      <c r="YO14" s="95" t="n">
        <f aca="false">[1]НАДІЙШЛО2!HP6</f>
        <v>0</v>
      </c>
      <c r="YP14" s="96" t="n">
        <f aca="false">[1]ВИБУЛО2!HP6</f>
        <v>0</v>
      </c>
      <c r="YQ14" s="97" t="n">
        <f aca="false">YQ13-YP14+YO14</f>
        <v>0</v>
      </c>
      <c r="YR14" s="95" t="n">
        <f aca="false">[1]НАДІЙШЛО2!HQ6</f>
        <v>0</v>
      </c>
      <c r="YS14" s="96" t="n">
        <f aca="false">[1]ВИБУЛО2!HQ6</f>
        <v>0</v>
      </c>
      <c r="YT14" s="97" t="n">
        <f aca="false">YT13-YS14+YR14</f>
        <v>0</v>
      </c>
      <c r="YU14" s="95" t="n">
        <f aca="false">[1]НАДІЙШЛО2!HR6</f>
        <v>0</v>
      </c>
      <c r="YV14" s="96" t="n">
        <f aca="false">[1]ВИБУЛО2!HR6</f>
        <v>0</v>
      </c>
      <c r="YW14" s="97" t="n">
        <f aca="false">YW13-YV14+YU14</f>
        <v>0</v>
      </c>
      <c r="YX14" s="95" t="n">
        <f aca="false">[1]НАДІЙШЛО2!HS6</f>
        <v>0</v>
      </c>
      <c r="YY14" s="96" t="n">
        <f aca="false">[1]ВИБУЛО2!HS6</f>
        <v>0</v>
      </c>
      <c r="YZ14" s="97" t="n">
        <f aca="false">YZ13-YY14+YX14</f>
        <v>0</v>
      </c>
      <c r="ZA14" s="95" t="n">
        <f aca="false">[1]НАДІЙШЛО2!HT6</f>
        <v>0</v>
      </c>
      <c r="ZB14" s="96" t="n">
        <f aca="false">[1]ВИБУЛО2!HT6</f>
        <v>0</v>
      </c>
      <c r="ZC14" s="97" t="n">
        <f aca="false">ZC13-ZB14+ZA14</f>
        <v>0</v>
      </c>
      <c r="ZD14" s="95" t="n">
        <f aca="false">[1]НАДІЙШЛО2!HU6</f>
        <v>0</v>
      </c>
      <c r="ZE14" s="96" t="n">
        <f aca="false">[1]ВИБУЛО2!HU6</f>
        <v>0</v>
      </c>
      <c r="ZF14" s="97" t="n">
        <f aca="false">ZF13-ZE14+ZD14</f>
        <v>0</v>
      </c>
      <c r="ZG14" s="95" t="n">
        <f aca="false">[1]НАДІЙШЛО2!HV6</f>
        <v>0</v>
      </c>
      <c r="ZH14" s="96" t="n">
        <f aca="false">[1]ВИБУЛО2!HV6</f>
        <v>0</v>
      </c>
      <c r="ZI14" s="97" t="n">
        <f aca="false">ZI13-ZH14+ZG14</f>
        <v>0</v>
      </c>
      <c r="ZJ14" s="95" t="n">
        <f aca="false">[1]НАДІЙШЛО2!HW6</f>
        <v>0</v>
      </c>
      <c r="ZK14" s="96" t="n">
        <f aca="false">[1]ВИБУЛО2!HW6</f>
        <v>0</v>
      </c>
      <c r="ZL14" s="97" t="n">
        <f aca="false">ZL13-ZK14+ZJ14</f>
        <v>0</v>
      </c>
      <c r="ZM14" s="95" t="n">
        <f aca="false">[1]НАДІЙШЛО2!HX6</f>
        <v>0</v>
      </c>
      <c r="ZN14" s="96" t="n">
        <f aca="false">[1]ВИБУЛО2!HX6</f>
        <v>0</v>
      </c>
      <c r="ZO14" s="97" t="n">
        <f aca="false">ZO13-ZN14+ZM14</f>
        <v>0</v>
      </c>
      <c r="ZP14" s="95" t="n">
        <f aca="false">[1]НАДІЙШЛО2!HY6</f>
        <v>0</v>
      </c>
      <c r="ZQ14" s="96" t="n">
        <f aca="false">[1]ВИБУЛО2!HY6</f>
        <v>0</v>
      </c>
      <c r="ZR14" s="97" t="n">
        <f aca="false">ZR13-ZQ14+ZP14</f>
        <v>0</v>
      </c>
      <c r="ZS14" s="95" t="n">
        <f aca="false">[1]НАДІЙШЛО2!HZ6</f>
        <v>0</v>
      </c>
      <c r="ZT14" s="96" t="n">
        <f aca="false">[1]ВИБУЛО2!HZ6</f>
        <v>0</v>
      </c>
      <c r="ZU14" s="97" t="n">
        <f aca="false">ZU13-ZT14+ZS14</f>
        <v>0</v>
      </c>
      <c r="ZV14" s="95" t="n">
        <f aca="false">[1]НАДІЙШЛО2!IA6</f>
        <v>0</v>
      </c>
      <c r="ZW14" s="96" t="n">
        <f aca="false">[1]ВИБУЛО2!IA6</f>
        <v>0</v>
      </c>
      <c r="ZX14" s="97" t="n">
        <f aca="false">ZX13-ZW14+ZV14</f>
        <v>0</v>
      </c>
      <c r="ZY14" s="95" t="n">
        <f aca="false">[1]НАДІЙШЛО2!IB6</f>
        <v>0</v>
      </c>
      <c r="ZZ14" s="96" t="n">
        <f aca="false">[1]ВИБУЛО2!IB6</f>
        <v>0</v>
      </c>
      <c r="AAA14" s="97" t="n">
        <f aca="false">AAA13-ZZ14+ZY14</f>
        <v>0</v>
      </c>
      <c r="AAB14" s="95" t="n">
        <f aca="false">[1]НАДІЙШЛО2!IC6</f>
        <v>0</v>
      </c>
      <c r="AAC14" s="96" t="n">
        <f aca="false">[1]ВИБУЛО2!IC6</f>
        <v>0</v>
      </c>
      <c r="AAD14" s="97" t="n">
        <f aca="false">AAD13-AAC14+AAB14</f>
        <v>0</v>
      </c>
      <c r="AAE14" s="95" t="n">
        <f aca="false">[1]НАДІЙШЛО2!ID6</f>
        <v>0</v>
      </c>
      <c r="AAF14" s="96" t="n">
        <f aca="false">[1]ВИБУЛО2!ID6</f>
        <v>0</v>
      </c>
      <c r="AAG14" s="97" t="n">
        <f aca="false">AAG13-AAF14+AAE14</f>
        <v>0</v>
      </c>
      <c r="AAH14" s="95" t="n">
        <f aca="false">[1]НАДІЙШЛО2!IE6</f>
        <v>0</v>
      </c>
      <c r="AAI14" s="96" t="n">
        <f aca="false">[1]ВИБУЛО2!IE6</f>
        <v>0</v>
      </c>
      <c r="AAJ14" s="97" t="n">
        <f aca="false">AAJ13-AAI14+AAH14</f>
        <v>0</v>
      </c>
      <c r="AAK14" s="95" t="n">
        <f aca="false">[1]НАДІЙШЛО2!IF6</f>
        <v>0</v>
      </c>
      <c r="AAL14" s="96" t="n">
        <f aca="false">[1]ВИБУЛО2!IF6</f>
        <v>0</v>
      </c>
      <c r="AAM14" s="97" t="n">
        <f aca="false">AAM13-AAL14+AAK14</f>
        <v>0</v>
      </c>
      <c r="AAN14" s="95" t="n">
        <f aca="false">[1]НАДІЙШЛО2!IG6</f>
        <v>0</v>
      </c>
      <c r="AAO14" s="96" t="n">
        <f aca="false">[1]ВИБУЛО2!IG6</f>
        <v>0</v>
      </c>
      <c r="AAP14" s="97" t="n">
        <f aca="false">AAP13-AAO14+AAN14</f>
        <v>0</v>
      </c>
      <c r="AAQ14" s="95" t="n">
        <f aca="false">[1]НАДІЙШЛО2!IH6</f>
        <v>0</v>
      </c>
      <c r="AAR14" s="96" t="n">
        <f aca="false">[1]ВИБУЛО2!IH6</f>
        <v>0</v>
      </c>
      <c r="AAS14" s="97" t="n">
        <f aca="false">AAS13-AAR14+AAQ14</f>
        <v>0</v>
      </c>
      <c r="AAT14" s="95" t="n">
        <f aca="false">[1]НАДІЙШЛО2!II6</f>
        <v>0</v>
      </c>
      <c r="AAU14" s="96" t="n">
        <f aca="false">[1]ВИБУЛО2!II6</f>
        <v>0</v>
      </c>
      <c r="AAV14" s="97" t="n">
        <f aca="false">AAV13-AAU14+AAT14</f>
        <v>0</v>
      </c>
      <c r="AAW14" s="95" t="n">
        <f aca="false">[1]НАДІЙШЛО2!IJ6</f>
        <v>0</v>
      </c>
      <c r="AAX14" s="96" t="n">
        <f aca="false">[1]ВИБУЛО2!IJ6</f>
        <v>0</v>
      </c>
      <c r="AAY14" s="97" t="n">
        <f aca="false">AAY13-AAX14+AAW14</f>
        <v>0</v>
      </c>
      <c r="AAZ14" s="95" t="n">
        <f aca="false">[1]НАДІЙШЛО2!IK6</f>
        <v>0</v>
      </c>
      <c r="ABA14" s="96" t="n">
        <f aca="false">[1]ВИБУЛО2!IK6</f>
        <v>0</v>
      </c>
      <c r="ABB14" s="97" t="n">
        <f aca="false">ABB13-ABA14+AAZ14</f>
        <v>0</v>
      </c>
      <c r="ABC14" s="95" t="n">
        <f aca="false">[1]НАДІЙШЛО2!IL6</f>
        <v>0</v>
      </c>
      <c r="ABD14" s="96" t="n">
        <f aca="false">[1]ВИБУЛО2!IL6</f>
        <v>0</v>
      </c>
      <c r="ABE14" s="97" t="n">
        <f aca="false">ABE13-ABD14+ABC14</f>
        <v>0</v>
      </c>
      <c r="ABF14" s="95" t="n">
        <f aca="false">[1]НАДІЙШЛО2!IM6</f>
        <v>0</v>
      </c>
      <c r="ABG14" s="96" t="n">
        <f aca="false">[1]ВИБУЛО2!IM6</f>
        <v>0</v>
      </c>
      <c r="ABH14" s="97" t="n">
        <f aca="false">ABH13-ABG14+ABF14</f>
        <v>0</v>
      </c>
      <c r="ABI14" s="95" t="n">
        <f aca="false">[1]НАДІЙШЛО2!IN6</f>
        <v>0</v>
      </c>
      <c r="ABJ14" s="96" t="n">
        <f aca="false">[1]ВИБУЛО2!IN6</f>
        <v>0</v>
      </c>
      <c r="ABK14" s="97" t="n">
        <f aca="false">ABK13-ABJ14+ABI14</f>
        <v>0</v>
      </c>
      <c r="ABL14" s="95" t="n">
        <f aca="false">[1]НАДІЙШЛО2!IO6</f>
        <v>0</v>
      </c>
      <c r="ABM14" s="96" t="n">
        <f aca="false">[1]ВИБУЛО2!IO6</f>
        <v>0</v>
      </c>
      <c r="ABN14" s="97" t="n">
        <f aca="false">ABN13-ABM14+ABL14</f>
        <v>0</v>
      </c>
      <c r="ABO14" s="95" t="n">
        <f aca="false">[1]НАДІЙШЛО2!IP6</f>
        <v>0</v>
      </c>
      <c r="ABP14" s="96" t="n">
        <f aca="false">[1]ВИБУЛО2!IP6</f>
        <v>0</v>
      </c>
      <c r="ABQ14" s="97" t="n">
        <f aca="false">ABQ13-ABP14+ABO14</f>
        <v>0</v>
      </c>
      <c r="ABR14" s="95" t="n">
        <f aca="false">[1]НАДІЙШЛО2!IQ6</f>
        <v>0</v>
      </c>
      <c r="ABS14" s="96" t="n">
        <f aca="false">[1]ВИБУЛО2!IQ6</f>
        <v>0</v>
      </c>
      <c r="ABT14" s="97" t="n">
        <f aca="false">ABT13-ABS14+ABR14</f>
        <v>0</v>
      </c>
      <c r="ABU14" s="95" t="n">
        <f aca="false">[1]НАДІЙШЛО2!IR6</f>
        <v>0</v>
      </c>
      <c r="ABV14" s="96" t="n">
        <f aca="false">[1]ВИБУЛО2!IR6</f>
        <v>0</v>
      </c>
      <c r="ABW14" s="97" t="n">
        <f aca="false">ABW13-ABV14+ABU14</f>
        <v>0</v>
      </c>
      <c r="ABX14" s="95" t="n">
        <f aca="false">[1]НАДІЙШЛО2!IS6</f>
        <v>0</v>
      </c>
      <c r="ABY14" s="96" t="n">
        <f aca="false">[1]ВИБУЛО2!IS6</f>
        <v>0</v>
      </c>
      <c r="ABZ14" s="97" t="n">
        <f aca="false">ABZ13-ABY14+ABX14</f>
        <v>0</v>
      </c>
      <c r="ACA14" s="95" t="n">
        <f aca="false">[1]НАДІЙШЛО2!IT6</f>
        <v>0</v>
      </c>
      <c r="ACB14" s="96" t="n">
        <f aca="false">[1]ВИБУЛО2!IT6</f>
        <v>0</v>
      </c>
      <c r="ACC14" s="97" t="n">
        <f aca="false">ACC13-ACB14+ACA14</f>
        <v>0</v>
      </c>
      <c r="ACD14" s="95" t="n">
        <f aca="false">[1]НАДІЙШЛО2!IU6</f>
        <v>0</v>
      </c>
      <c r="ACE14" s="96" t="n">
        <f aca="false">[1]ВИБУЛО2!IU6</f>
        <v>0</v>
      </c>
      <c r="ACF14" s="97" t="n">
        <f aca="false">ACF13-ACE14+ACD14</f>
        <v>0</v>
      </c>
      <c r="ACG14" s="95" t="n">
        <f aca="false">[1]НАДІЙШЛО2!IV6</f>
        <v>0</v>
      </c>
      <c r="ACH14" s="96" t="n">
        <f aca="false">[1]ВИБУЛО2!IV6</f>
        <v>0</v>
      </c>
      <c r="ACI14" s="97" t="n">
        <f aca="false">ACI13-ACH14+ACG14</f>
        <v>0</v>
      </c>
      <c r="ACJ14" s="95" t="n">
        <f aca="false">[1]НАДІЙШЛО2!IW6</f>
        <v>0</v>
      </c>
      <c r="ACK14" s="96" t="n">
        <f aca="false">[1]ВИБУЛО2!IW6</f>
        <v>0</v>
      </c>
      <c r="ACL14" s="97" t="n">
        <f aca="false">ACL13-ACK14+ACJ14</f>
        <v>0</v>
      </c>
      <c r="ACM14" s="95" t="n">
        <f aca="false">[1]НАДІЙШЛО2!IX6</f>
        <v>0</v>
      </c>
      <c r="ACN14" s="96" t="n">
        <f aca="false">[1]ВИБУЛО2!IX6</f>
        <v>0</v>
      </c>
      <c r="ACO14" s="97" t="n">
        <f aca="false">ACO13-ACN14+ACM14</f>
        <v>0</v>
      </c>
      <c r="ACP14" s="95" t="n">
        <f aca="false">[1]НАДІЙШЛО2!IY6</f>
        <v>0</v>
      </c>
      <c r="ACQ14" s="96" t="n">
        <f aca="false">[1]ВИБУЛО2!IY6</f>
        <v>0</v>
      </c>
      <c r="ACR14" s="97" t="n">
        <f aca="false">ACR13-ACQ14+ACP14</f>
        <v>0</v>
      </c>
      <c r="ACS14" s="95" t="n">
        <f aca="false">[1]НАДІЙШЛО2!IZ6</f>
        <v>0</v>
      </c>
      <c r="ACT14" s="96" t="n">
        <f aca="false">[1]ВИБУЛО2!IZ6</f>
        <v>0</v>
      </c>
      <c r="ACU14" s="97" t="n">
        <f aca="false">ACU13-ACT14+ACS14</f>
        <v>0</v>
      </c>
      <c r="ACV14" s="95" t="n">
        <f aca="false">[1]НАДІЙШЛО2!JA6</f>
        <v>0</v>
      </c>
      <c r="ACW14" s="96" t="n">
        <f aca="false">[1]ВИБУЛО2!JA6</f>
        <v>0</v>
      </c>
      <c r="ACX14" s="97" t="n">
        <f aca="false">ACX13-ACW14+ACV14</f>
        <v>0</v>
      </c>
      <c r="ACY14" s="95" t="n">
        <f aca="false">[1]НАДІЙШЛО2!JB6</f>
        <v>0</v>
      </c>
      <c r="ACZ14" s="96" t="n">
        <f aca="false">[1]ВИБУЛО2!JB6</f>
        <v>0</v>
      </c>
      <c r="ADA14" s="97" t="n">
        <f aca="false">ADA13-ACZ14+ACY14</f>
        <v>0</v>
      </c>
      <c r="ADB14" s="95" t="n">
        <f aca="false">[1]НАДІЙШЛО2!JC6</f>
        <v>0</v>
      </c>
      <c r="ADC14" s="96" t="n">
        <f aca="false">[1]ВИБУЛО2!JC6</f>
        <v>0</v>
      </c>
      <c r="ADD14" s="97" t="n">
        <f aca="false">ADD13-ADC14+ADB14</f>
        <v>0</v>
      </c>
      <c r="ADE14" s="95" t="n">
        <f aca="false">[1]НАДІЙШЛО2!JD6</f>
        <v>0</v>
      </c>
      <c r="ADF14" s="96" t="n">
        <f aca="false">[1]ВИБУЛО2!JD6</f>
        <v>0</v>
      </c>
      <c r="ADG14" s="97" t="n">
        <f aca="false">ADG13-ADF14+ADE14</f>
        <v>0</v>
      </c>
      <c r="ADH14" s="95" t="n">
        <f aca="false">[1]НАДІЙШЛО2!JE6</f>
        <v>0</v>
      </c>
      <c r="ADI14" s="96" t="n">
        <f aca="false">[1]ВИБУЛО2!JE6</f>
        <v>0</v>
      </c>
      <c r="ADJ14" s="97" t="n">
        <f aca="false">ADJ13-ADI14+ADH14</f>
        <v>0</v>
      </c>
      <c r="ADK14" s="95" t="n">
        <f aca="false">[1]НАДІЙШЛО2!JF6</f>
        <v>0</v>
      </c>
      <c r="ADL14" s="96" t="n">
        <f aca="false">[1]ВИБУЛО2!JF6</f>
        <v>0</v>
      </c>
      <c r="ADM14" s="97" t="n">
        <f aca="false">ADM13-ADL14+ADK14</f>
        <v>0</v>
      </c>
      <c r="ADN14" s="95" t="n">
        <f aca="false">[1]НАДІЙШЛО2!JG6</f>
        <v>0</v>
      </c>
      <c r="ADO14" s="96" t="n">
        <f aca="false">[1]ВИБУЛО2!JG6</f>
        <v>0</v>
      </c>
      <c r="ADP14" s="97" t="n">
        <f aca="false">ADP13-ADO14+ADN14</f>
        <v>0</v>
      </c>
      <c r="ADQ14" s="95" t="n">
        <f aca="false">[1]НАДІЙШЛО2!JH6</f>
        <v>0</v>
      </c>
      <c r="ADR14" s="96" t="n">
        <f aca="false">[1]ВИБУЛО2!JH6</f>
        <v>0</v>
      </c>
      <c r="ADS14" s="97" t="n">
        <f aca="false">ADS13-ADR14+ADQ14</f>
        <v>0</v>
      </c>
      <c r="ADT14" s="95" t="n">
        <f aca="false">[1]НАДІЙШЛО2!JI6</f>
        <v>0</v>
      </c>
      <c r="ADU14" s="96" t="n">
        <f aca="false">[1]ВИБУЛО2!JI6</f>
        <v>0</v>
      </c>
      <c r="ADV14" s="97" t="n">
        <f aca="false">ADV13-ADU14+ADT14</f>
        <v>0</v>
      </c>
      <c r="ADW14" s="95" t="n">
        <f aca="false">[1]НАДІЙШЛО2!JJ6</f>
        <v>0</v>
      </c>
      <c r="ADX14" s="96" t="n">
        <f aca="false">[1]ВИБУЛО2!JJ6</f>
        <v>0</v>
      </c>
      <c r="ADY14" s="97" t="n">
        <f aca="false">ADY13-ADX14+ADW14</f>
        <v>0</v>
      </c>
      <c r="ADZ14" s="95" t="n">
        <f aca="false">[1]НАДІЙШЛО2!JK6</f>
        <v>0</v>
      </c>
      <c r="AEA14" s="96" t="n">
        <f aca="false">[1]ВИБУЛО2!JK6</f>
        <v>0</v>
      </c>
      <c r="AEB14" s="97" t="n">
        <f aca="false">AEB13-AEA14+ADZ14</f>
        <v>0</v>
      </c>
      <c r="AEC14" s="95" t="n">
        <f aca="false">[1]НАДІЙШЛО2!JL6</f>
        <v>0</v>
      </c>
      <c r="AED14" s="96" t="n">
        <f aca="false">[1]ВИБУЛО2!JL6</f>
        <v>0</v>
      </c>
      <c r="AEE14" s="97" t="n">
        <f aca="false">AEE13-AED14+AEC14</f>
        <v>0</v>
      </c>
      <c r="AEF14" s="95" t="n">
        <f aca="false">[1]НАДІЙШЛО2!JM6</f>
        <v>0</v>
      </c>
      <c r="AEG14" s="96" t="n">
        <f aca="false">[1]ВИБУЛО2!JM6</f>
        <v>0</v>
      </c>
      <c r="AEH14" s="97" t="n">
        <f aca="false">AEH13-AEG14+AEF14</f>
        <v>0</v>
      </c>
      <c r="AEI14" s="95" t="n">
        <f aca="false">[1]НАДІЙШЛО2!JN6</f>
        <v>0</v>
      </c>
      <c r="AEJ14" s="96" t="n">
        <f aca="false">[1]ВИБУЛО2!JN6</f>
        <v>0</v>
      </c>
      <c r="AEK14" s="97" t="n">
        <f aca="false">AEK13-AEJ14+AEI14</f>
        <v>0</v>
      </c>
      <c r="AEL14" s="95" t="n">
        <f aca="false">[1]НАДІЙШЛО2!JO6</f>
        <v>0</v>
      </c>
      <c r="AEM14" s="96" t="n">
        <f aca="false">[1]ВИБУЛО2!JO6</f>
        <v>0</v>
      </c>
      <c r="AEN14" s="97" t="n">
        <f aca="false">AEN13-AEM14+AEL14</f>
        <v>0</v>
      </c>
      <c r="AEO14" s="95" t="n">
        <f aca="false">[1]НАДІЙШЛО2!JP6</f>
        <v>0</v>
      </c>
      <c r="AEP14" s="96" t="n">
        <f aca="false">[1]ВИБУЛО2!JP6</f>
        <v>0</v>
      </c>
      <c r="AEQ14" s="97" t="n">
        <f aca="false">AEQ13-AEP14+AEO14</f>
        <v>0</v>
      </c>
      <c r="AER14" s="95" t="n">
        <f aca="false">[1]НАДІЙШЛО2!JQ6</f>
        <v>0</v>
      </c>
      <c r="AES14" s="96" t="n">
        <f aca="false">[1]ВИБУЛО2!JQ6</f>
        <v>0</v>
      </c>
      <c r="AET14" s="97" t="n">
        <f aca="false">AET13-AES14+AER14</f>
        <v>0</v>
      </c>
      <c r="AEU14" s="95" t="n">
        <f aca="false">[1]НАДІЙШЛО2!JR6</f>
        <v>0</v>
      </c>
      <c r="AEV14" s="96" t="n">
        <f aca="false">[1]ВИБУЛО2!JR6</f>
        <v>0</v>
      </c>
      <c r="AEW14" s="97" t="n">
        <f aca="false">AEW13-AEV14+AEU14</f>
        <v>0</v>
      </c>
      <c r="AEX14" s="95" t="n">
        <f aca="false">[1]НАДІЙШЛО2!JS6</f>
        <v>0</v>
      </c>
      <c r="AEY14" s="96" t="n">
        <f aca="false">[1]ВИБУЛО2!JS6</f>
        <v>0</v>
      </c>
      <c r="AEZ14" s="97" t="n">
        <f aca="false">AEZ13-AEY14+AEX14</f>
        <v>0</v>
      </c>
      <c r="AFA14" s="95" t="n">
        <f aca="false">[1]НАДІЙШЛО2!JT6</f>
        <v>0</v>
      </c>
      <c r="AFB14" s="96" t="n">
        <f aca="false">[1]ВИБУЛО2!JT6</f>
        <v>0</v>
      </c>
      <c r="AFC14" s="97" t="n">
        <f aca="false">AFC13-AFB14+AFA14</f>
        <v>0</v>
      </c>
      <c r="AFD14" s="95" t="n">
        <f aca="false">[1]НАДІЙШЛО2!JU6</f>
        <v>0</v>
      </c>
      <c r="AFE14" s="96" t="n">
        <f aca="false">[1]ВИБУЛО2!JU6</f>
        <v>0</v>
      </c>
      <c r="AFF14" s="97" t="n">
        <f aca="false">AFF13-AFE14+AFD14</f>
        <v>0</v>
      </c>
      <c r="AFG14" s="95" t="n">
        <f aca="false">[1]НАДІЙШЛО2!JV6</f>
        <v>0</v>
      </c>
      <c r="AFH14" s="96" t="n">
        <f aca="false">[1]ВИБУЛО2!JV6</f>
        <v>0</v>
      </c>
      <c r="AFI14" s="97" t="n">
        <f aca="false">AFI13-AFH14+AFG14</f>
        <v>0</v>
      </c>
      <c r="AFJ14" s="95" t="n">
        <f aca="false">[1]НАДІЙШЛО2!JW6</f>
        <v>0</v>
      </c>
      <c r="AFK14" s="96" t="n">
        <f aca="false">[1]ВИБУЛО2!JW6</f>
        <v>0</v>
      </c>
      <c r="AFL14" s="97" t="n">
        <f aca="false">AFL13-AFK14+AFJ14</f>
        <v>0</v>
      </c>
      <c r="AFM14" s="95" t="n">
        <f aca="false">[1]НАДІЙШЛО2!JX6</f>
        <v>0</v>
      </c>
      <c r="AFN14" s="96" t="n">
        <f aca="false">[1]ВИБУЛО2!JX6</f>
        <v>0</v>
      </c>
      <c r="AFO14" s="97" t="n">
        <f aca="false">AFO13-AFN14+AFM14</f>
        <v>0</v>
      </c>
      <c r="AFP14" s="95" t="n">
        <f aca="false">[1]НАДІЙШЛО2!JY6</f>
        <v>0</v>
      </c>
      <c r="AFQ14" s="96" t="n">
        <f aca="false">[1]ВИБУЛО2!JY6</f>
        <v>0</v>
      </c>
      <c r="AFR14" s="97" t="n">
        <f aca="false">AFR13-AFQ14+AFP14</f>
        <v>0</v>
      </c>
      <c r="AFS14" s="95" t="n">
        <f aca="false">[1]НАДІЙШЛО2!JZ6</f>
        <v>0</v>
      </c>
      <c r="AFT14" s="96" t="n">
        <f aca="false">[1]ВИБУЛО2!JZ6</f>
        <v>0</v>
      </c>
      <c r="AFU14" s="97" t="n">
        <f aca="false">AFU13-AFT14+AFS14</f>
        <v>0</v>
      </c>
      <c r="AFV14" s="95" t="n">
        <f aca="false">[1]НАДІЙШЛО2!KA6</f>
        <v>0</v>
      </c>
      <c r="AFW14" s="96" t="n">
        <f aca="false">[1]ВИБУЛО2!KA6</f>
        <v>0</v>
      </c>
      <c r="AFX14" s="97" t="n">
        <f aca="false">AFX13-AFW14+AFV14</f>
        <v>0</v>
      </c>
      <c r="AFY14" s="95" t="n">
        <f aca="false">[1]НАДІЙШЛО2!KB6</f>
        <v>0</v>
      </c>
      <c r="AFZ14" s="96" t="n">
        <f aca="false">[1]ВИБУЛО2!KB6</f>
        <v>0</v>
      </c>
      <c r="AGA14" s="97" t="n">
        <f aca="false">AGA13-AFZ14+AFY14</f>
        <v>0</v>
      </c>
      <c r="AGB14" s="95" t="n">
        <f aca="false">[1]НАДІЙШЛО2!KC6</f>
        <v>0</v>
      </c>
      <c r="AGC14" s="96" t="n">
        <f aca="false">[1]ВИБУЛО2!KC6</f>
        <v>0</v>
      </c>
      <c r="AGD14" s="97" t="n">
        <f aca="false">AGD13-AGC14+AGB14</f>
        <v>0</v>
      </c>
      <c r="AGE14" s="95" t="n">
        <f aca="false">[1]НАДІЙШЛО2!KD6</f>
        <v>0</v>
      </c>
      <c r="AGF14" s="96" t="n">
        <f aca="false">[1]ВИБУЛО2!KD6</f>
        <v>0</v>
      </c>
      <c r="AGG14" s="97" t="n">
        <f aca="false">AGG13-AGF14+AGE14</f>
        <v>0</v>
      </c>
      <c r="AGH14" s="95" t="n">
        <f aca="false">[1]НАДІЙШЛО2!KE6</f>
        <v>0</v>
      </c>
      <c r="AGI14" s="96" t="n">
        <f aca="false">[1]ВИБУЛО2!KE6</f>
        <v>0</v>
      </c>
      <c r="AGJ14" s="97" t="n">
        <f aca="false">AGJ13-AGI14+AGH14</f>
        <v>0</v>
      </c>
      <c r="AGK14" s="95" t="n">
        <f aca="false">[1]НАДІЙШЛО2!KF6</f>
        <v>0</v>
      </c>
      <c r="AGL14" s="96" t="n">
        <f aca="false">[1]ВИБУЛО2!KF6</f>
        <v>0</v>
      </c>
      <c r="AGM14" s="97" t="n">
        <f aca="false">AGM13-AGL14+AGK14</f>
        <v>0</v>
      </c>
      <c r="AGN14" s="95" t="n">
        <f aca="false">[1]НАДІЙШЛО2!KG6</f>
        <v>0</v>
      </c>
      <c r="AGO14" s="96" t="n">
        <f aca="false">[1]ВИБУЛО2!KG6</f>
        <v>0</v>
      </c>
      <c r="AGP14" s="97" t="n">
        <f aca="false">AGP13-AGO14+AGN14</f>
        <v>0</v>
      </c>
      <c r="AGQ14" s="95" t="n">
        <f aca="false">[1]НАДІЙШЛО2!KH6</f>
        <v>0</v>
      </c>
      <c r="AGR14" s="96" t="n">
        <f aca="false">[1]ВИБУЛО2!KH6</f>
        <v>0</v>
      </c>
      <c r="AGS14" s="97" t="n">
        <f aca="false">AGS13-AGR14+AGQ14</f>
        <v>0</v>
      </c>
      <c r="AGT14" s="95" t="n">
        <f aca="false">[1]НАДІЙШЛО2!KI6</f>
        <v>0</v>
      </c>
      <c r="AGU14" s="96" t="n">
        <f aca="false">[1]ВИБУЛО2!KI6</f>
        <v>0</v>
      </c>
      <c r="AGV14" s="97" t="n">
        <f aca="false">AGV13-AGU14+AGT14</f>
        <v>0</v>
      </c>
      <c r="AGW14" s="95" t="n">
        <f aca="false">[1]НАДІЙШЛО2!KJ6</f>
        <v>0</v>
      </c>
      <c r="AGX14" s="96" t="n">
        <f aca="false">[1]ВИБУЛО2!KJ6</f>
        <v>0</v>
      </c>
      <c r="AGY14" s="97" t="n">
        <f aca="false">AGY13-AGX14+AGW14</f>
        <v>0</v>
      </c>
      <c r="AGZ14" s="95" t="n">
        <f aca="false">[1]НАДІЙШЛО2!KK6</f>
        <v>0</v>
      </c>
      <c r="AHA14" s="96" t="n">
        <f aca="false">[1]ВИБУЛО2!KK6</f>
        <v>0</v>
      </c>
      <c r="AHB14" s="97" t="n">
        <f aca="false">AHB13-AHA14+AGZ14</f>
        <v>0</v>
      </c>
      <c r="AHC14" s="95" t="n">
        <f aca="false">[1]НАДІЙШЛО2!KL6</f>
        <v>0</v>
      </c>
      <c r="AHD14" s="96" t="n">
        <f aca="false">[1]ВИБУЛО2!KL6</f>
        <v>0</v>
      </c>
      <c r="AHE14" s="97" t="n">
        <f aca="false">AHE13-AHD14+AHC14</f>
        <v>0</v>
      </c>
      <c r="AHF14" s="95" t="n">
        <f aca="false">[1]НАДІЙШЛО2!KM6</f>
        <v>0</v>
      </c>
      <c r="AHG14" s="96" t="n">
        <f aca="false">[1]ВИБУЛО2!KM6</f>
        <v>0</v>
      </c>
      <c r="AHH14" s="97" t="n">
        <f aca="false">AHH13-AHG14+AHF14</f>
        <v>0</v>
      </c>
      <c r="AHI14" s="95" t="n">
        <f aca="false">[1]НАДІЙШЛО2!KN6</f>
        <v>0</v>
      </c>
      <c r="AHJ14" s="96" t="n">
        <f aca="false">[1]ВИБУЛО2!KN6</f>
        <v>0</v>
      </c>
      <c r="AHK14" s="97" t="n">
        <f aca="false">AHK13-AHJ14+AHI14</f>
        <v>0</v>
      </c>
      <c r="AHL14" s="95" t="n">
        <f aca="false">[1]НАДІЙШЛО2!KO6</f>
        <v>0</v>
      </c>
      <c r="AHM14" s="96" t="n">
        <f aca="false">[1]ВИБУЛО2!KO6</f>
        <v>0</v>
      </c>
      <c r="AHN14" s="97" t="n">
        <f aca="false">AHN13-AHM14+AHL14</f>
        <v>0</v>
      </c>
      <c r="AHO14" s="95" t="n">
        <f aca="false">[1]НАДІЙШЛО2!KP6</f>
        <v>0</v>
      </c>
      <c r="AHP14" s="96" t="n">
        <f aca="false">[1]ВИБУЛО2!KP6</f>
        <v>0</v>
      </c>
      <c r="AHQ14" s="97" t="n">
        <f aca="false">AHQ13-AHP14+AHO14</f>
        <v>0</v>
      </c>
      <c r="AHR14" s="95" t="n">
        <f aca="false">[1]НАДІЙШЛО2!KQ6</f>
        <v>0</v>
      </c>
      <c r="AHS14" s="96" t="n">
        <f aca="false">[1]ВИБУЛО2!KQ6</f>
        <v>0</v>
      </c>
      <c r="AHT14" s="97" t="n">
        <f aca="false">AHT13-AHS14+AHR14</f>
        <v>0</v>
      </c>
      <c r="AHU14" s="95" t="n">
        <f aca="false">[1]НАДІЙШЛО2!KR6</f>
        <v>0</v>
      </c>
      <c r="AHV14" s="96" t="n">
        <f aca="false">[1]ВИБУЛО2!KR6</f>
        <v>0</v>
      </c>
      <c r="AHW14" s="97" t="n">
        <f aca="false">AHW13-AHV14+AHU14</f>
        <v>0</v>
      </c>
      <c r="AHX14" s="95" t="n">
        <f aca="false">[1]НАДІЙШЛО2!KS6</f>
        <v>0</v>
      </c>
      <c r="AHY14" s="96" t="n">
        <f aca="false">[1]ВИБУЛО2!KS6</f>
        <v>0</v>
      </c>
      <c r="AHZ14" s="97" t="n">
        <f aca="false">AHZ13-AHY14+AHX14</f>
        <v>0</v>
      </c>
      <c r="AIA14" s="95" t="n">
        <f aca="false">[1]НАДІЙШЛО2!KT6</f>
        <v>0</v>
      </c>
      <c r="AIB14" s="96" t="n">
        <f aca="false">[1]ВИБУЛО2!KT6</f>
        <v>0</v>
      </c>
      <c r="AIC14" s="97" t="n">
        <f aca="false">AIC13-AIB14+AIA14</f>
        <v>0</v>
      </c>
      <c r="AID14" s="95" t="n">
        <f aca="false">[1]НАДІЙШЛО2!KU6</f>
        <v>0</v>
      </c>
      <c r="AIE14" s="96" t="n">
        <f aca="false">[1]ВИБУЛО2!KU6</f>
        <v>0</v>
      </c>
      <c r="AIF14" s="97" t="n">
        <f aca="false">AIF13-AIE14+AID14</f>
        <v>0</v>
      </c>
      <c r="AIG14" s="95" t="n">
        <f aca="false">[1]НАДІЙШЛО2!KV6</f>
        <v>0</v>
      </c>
      <c r="AIH14" s="96" t="n">
        <f aca="false">[1]ВИБУЛО2!KV6</f>
        <v>0</v>
      </c>
      <c r="AII14" s="97" t="n">
        <f aca="false">AII13-AIH14+AIG14</f>
        <v>0</v>
      </c>
      <c r="AIJ14" s="95" t="n">
        <f aca="false">[1]НАДІЙШЛО2!KW6</f>
        <v>0</v>
      </c>
      <c r="AIK14" s="96" t="n">
        <f aca="false">[1]ВИБУЛО2!KW6</f>
        <v>0</v>
      </c>
      <c r="AIL14" s="97" t="n">
        <f aca="false">AIL13-AIK14+AIJ14</f>
        <v>0</v>
      </c>
      <c r="AIM14" s="95" t="n">
        <f aca="false">[1]НАДІЙШЛО2!KX6</f>
        <v>0</v>
      </c>
      <c r="AIN14" s="96" t="n">
        <f aca="false">[1]ВИБУЛО2!KX6</f>
        <v>0</v>
      </c>
      <c r="AIO14" s="97" t="n">
        <f aca="false">AIO13-AIN14+AIM14</f>
        <v>0</v>
      </c>
      <c r="AIP14" s="95" t="n">
        <f aca="false">[1]НАДІЙШЛО2!KY6</f>
        <v>0</v>
      </c>
      <c r="AIQ14" s="96" t="n">
        <f aca="false">[1]ВИБУЛО2!KY6</f>
        <v>0</v>
      </c>
      <c r="AIR14" s="97" t="n">
        <f aca="false">AIR13-AIQ14+AIP14</f>
        <v>0</v>
      </c>
      <c r="AIS14" s="95" t="n">
        <f aca="false">[1]НАДІЙШЛО2!KZ6</f>
        <v>0</v>
      </c>
      <c r="AIT14" s="96" t="n">
        <f aca="false">[1]ВИБУЛО2!KZ6</f>
        <v>0</v>
      </c>
      <c r="AIU14" s="97" t="n">
        <f aca="false">AIU13-AIT14+AIS14</f>
        <v>0</v>
      </c>
      <c r="AIV14" s="95" t="n">
        <f aca="false">[1]НАДІЙШЛО2!LA6</f>
        <v>0</v>
      </c>
      <c r="AIW14" s="96" t="n">
        <f aca="false">[1]ВИБУЛО2!LA6</f>
        <v>0</v>
      </c>
      <c r="AIX14" s="97" t="n">
        <f aca="false">AIX13-AIW14+AIV14</f>
        <v>0</v>
      </c>
      <c r="AIY14" s="95" t="n">
        <f aca="false">[1]НАДІЙШЛО2!LB6</f>
        <v>0</v>
      </c>
      <c r="AIZ14" s="96" t="n">
        <f aca="false">[1]ВИБУЛО2!LB6</f>
        <v>0</v>
      </c>
      <c r="AJA14" s="97" t="n">
        <f aca="false">AJA13-AIZ14+AIY14</f>
        <v>0</v>
      </c>
      <c r="AJB14" s="95" t="n">
        <f aca="false">[1]НАДІЙШЛО2!LC6</f>
        <v>0</v>
      </c>
      <c r="AJC14" s="96" t="n">
        <f aca="false">[1]ВИБУЛО2!LC6</f>
        <v>0</v>
      </c>
      <c r="AJD14" s="97" t="n">
        <f aca="false">AJD13-AJC14+AJB14</f>
        <v>0</v>
      </c>
      <c r="AJE14" s="95" t="n">
        <f aca="false">[1]НАДІЙШЛО2!LD6</f>
        <v>0</v>
      </c>
      <c r="AJF14" s="96" t="n">
        <f aca="false">[1]ВИБУЛО2!LD6</f>
        <v>0</v>
      </c>
      <c r="AJG14" s="97" t="n">
        <f aca="false">AJG13-AJF14+AJE14</f>
        <v>0</v>
      </c>
      <c r="AJH14" s="95" t="n">
        <f aca="false">[1]НАДІЙШЛО2!LE6</f>
        <v>0</v>
      </c>
      <c r="AJI14" s="96" t="n">
        <f aca="false">[1]ВИБУЛО2!LE6</f>
        <v>0</v>
      </c>
      <c r="AJJ14" s="97" t="n">
        <f aca="false">AJJ13-AJI14+AJH14</f>
        <v>0</v>
      </c>
      <c r="AJK14" s="95" t="n">
        <f aca="false">[1]НАДІЙШЛО2!LF6</f>
        <v>0</v>
      </c>
      <c r="AJL14" s="96" t="n">
        <f aca="false">[1]ВИБУЛО2!LF6</f>
        <v>0</v>
      </c>
      <c r="AJM14" s="97" t="n">
        <f aca="false">AJM13-AJL14+AJK14</f>
        <v>0</v>
      </c>
      <c r="AJN14" s="95" t="n">
        <f aca="false">[1]НАДІЙШЛО2!LG6</f>
        <v>0</v>
      </c>
      <c r="AJO14" s="96" t="n">
        <f aca="false">[1]ВИБУЛО2!LG6</f>
        <v>0</v>
      </c>
      <c r="AJP14" s="97" t="n">
        <f aca="false">AJP13-AJO14+AJN14</f>
        <v>0</v>
      </c>
      <c r="AJQ14" s="95" t="n">
        <f aca="false">[1]НАДІЙШЛО2!LH6</f>
        <v>0</v>
      </c>
      <c r="AJR14" s="96" t="n">
        <f aca="false">[1]ВИБУЛО2!LH6</f>
        <v>0</v>
      </c>
      <c r="AJS14" s="97" t="n">
        <f aca="false">AJS13-AJR14+AJQ14</f>
        <v>0</v>
      </c>
      <c r="AJT14" s="95" t="n">
        <f aca="false">[1]НАДІЙШЛО2!LI6</f>
        <v>0</v>
      </c>
      <c r="AJU14" s="96" t="n">
        <f aca="false">[1]ВИБУЛО2!LI6</f>
        <v>0</v>
      </c>
      <c r="AJV14" s="97" t="n">
        <f aca="false">AJV13-AJU14+AJT14</f>
        <v>0</v>
      </c>
      <c r="AJW14" s="95" t="n">
        <f aca="false">[1]НАДІЙШЛО2!LJ6</f>
        <v>0</v>
      </c>
      <c r="AJX14" s="96" t="n">
        <f aca="false">[1]ВИБУЛО2!LJ6</f>
        <v>0</v>
      </c>
      <c r="AJY14" s="97" t="n">
        <f aca="false">AJY13-AJX14+AJW14</f>
        <v>0</v>
      </c>
      <c r="AJZ14" s="95" t="n">
        <f aca="false">[1]НАДІЙШЛО2!LK6</f>
        <v>0</v>
      </c>
      <c r="AKA14" s="96" t="n">
        <f aca="false">[1]ВИБУЛО2!LK6</f>
        <v>0</v>
      </c>
      <c r="AKB14" s="97" t="n">
        <f aca="false">AKB13-AKA14+AJZ14</f>
        <v>0</v>
      </c>
      <c r="AKC14" s="95" t="n">
        <f aca="false">[1]НАДІЙШЛО2!LL6</f>
        <v>0</v>
      </c>
      <c r="AKD14" s="96" t="n">
        <f aca="false">[1]ВИБУЛО2!LL6</f>
        <v>0</v>
      </c>
      <c r="AKE14" s="97" t="n">
        <f aca="false">AKE13-AKD14+AKC14</f>
        <v>0</v>
      </c>
      <c r="AKF14" s="95" t="n">
        <f aca="false">[1]НАДІЙШЛО2!LM6</f>
        <v>0</v>
      </c>
      <c r="AKG14" s="96" t="n">
        <f aca="false">[1]ВИБУЛО2!LM6</f>
        <v>0</v>
      </c>
      <c r="AKH14" s="97" t="n">
        <f aca="false">AKH13-AKG14+AKF14</f>
        <v>0</v>
      </c>
      <c r="AKI14" s="95" t="n">
        <f aca="false">[1]НАДІЙШЛО2!LN6</f>
        <v>0</v>
      </c>
      <c r="AKJ14" s="96" t="n">
        <f aca="false">[1]ВИБУЛО2!LN6</f>
        <v>0</v>
      </c>
      <c r="AKK14" s="97" t="n">
        <f aca="false">AKK13-AKJ14+AKI14</f>
        <v>0</v>
      </c>
      <c r="AKL14" s="95" t="n">
        <f aca="false">[1]НАДІЙШЛО2!LO6</f>
        <v>0</v>
      </c>
      <c r="AKM14" s="96" t="n">
        <f aca="false">[1]ВИБУЛО2!LO6</f>
        <v>0</v>
      </c>
      <c r="AKN14" s="97" t="n">
        <f aca="false">AKN13-AKM14+AKL14</f>
        <v>0</v>
      </c>
      <c r="AKO14" s="95" t="n">
        <f aca="false">[1]НАДІЙШЛО2!LP6</f>
        <v>0</v>
      </c>
      <c r="AKP14" s="96" t="n">
        <f aca="false">[1]ВИБУЛО2!LP6</f>
        <v>0</v>
      </c>
      <c r="AKQ14" s="97" t="n">
        <f aca="false">AKQ13-AKP14+AKO14</f>
        <v>0</v>
      </c>
      <c r="AKR14" s="95" t="n">
        <f aca="false">[1]НАДІЙШЛО2!LQ6</f>
        <v>0</v>
      </c>
      <c r="AKS14" s="96" t="n">
        <f aca="false">[1]ВИБУЛО2!LQ6</f>
        <v>0</v>
      </c>
      <c r="AKT14" s="97" t="n">
        <f aca="false">AKT13-AKS14+AKR14</f>
        <v>0</v>
      </c>
      <c r="AKU14" s="95" t="n">
        <f aca="false">[1]НАДІЙШЛО2!LR6</f>
        <v>0</v>
      </c>
      <c r="AKV14" s="96" t="n">
        <f aca="false">[1]ВИБУЛО2!LR6</f>
        <v>0</v>
      </c>
      <c r="AKW14" s="97" t="n">
        <f aca="false">AKW13-AKV14+AKU14</f>
        <v>0</v>
      </c>
      <c r="AKX14" s="95" t="n">
        <f aca="false">[1]НАДІЙШЛО2!LS6</f>
        <v>0</v>
      </c>
      <c r="AKY14" s="96" t="n">
        <f aca="false">[1]ВИБУЛО2!LS6</f>
        <v>0</v>
      </c>
      <c r="AKZ14" s="97" t="n">
        <f aca="false">AKZ13-AKY14+AKX14</f>
        <v>0</v>
      </c>
      <c r="ALA14" s="95" t="n">
        <f aca="false">[1]НАДІЙШЛО2!LT6</f>
        <v>0</v>
      </c>
      <c r="ALB14" s="96" t="n">
        <f aca="false">[1]ВИБУЛО2!LT6</f>
        <v>0</v>
      </c>
      <c r="ALC14" s="97" t="n">
        <f aca="false">ALC13-ALB14+ALA14</f>
        <v>0</v>
      </c>
      <c r="ALD14" s="95" t="n">
        <f aca="false">[1]НАДІЙШЛО2!LU6</f>
        <v>0</v>
      </c>
      <c r="ALE14" s="96" t="n">
        <f aca="false">[1]ВИБУЛО2!LU6</f>
        <v>0</v>
      </c>
      <c r="ALF14" s="97" t="n">
        <f aca="false">ALF13-ALE14+ALD14</f>
        <v>0</v>
      </c>
      <c r="ALG14" s="95" t="n">
        <f aca="false">[1]НАДІЙШЛО2!LV6</f>
        <v>0</v>
      </c>
      <c r="ALH14" s="96" t="n">
        <f aca="false">[1]ВИБУЛО2!LV6</f>
        <v>0</v>
      </c>
      <c r="ALI14" s="97" t="n">
        <f aca="false">ALI13-ALH14+ALG14</f>
        <v>0</v>
      </c>
      <c r="ALJ14" s="95" t="n">
        <f aca="false">[1]НАДІЙШЛО2!LW6</f>
        <v>0</v>
      </c>
      <c r="ALK14" s="96" t="n">
        <f aca="false">[1]ВИБУЛО2!LW6</f>
        <v>0</v>
      </c>
      <c r="ALL14" s="97" t="n">
        <f aca="false">ALL13-ALK14+ALJ14</f>
        <v>0</v>
      </c>
      <c r="ALM14" s="95" t="n">
        <f aca="false">[1]НАДІЙШЛО2!LX6</f>
        <v>0</v>
      </c>
      <c r="ALN14" s="96" t="n">
        <f aca="false">[1]ВИБУЛО2!LX6</f>
        <v>0</v>
      </c>
      <c r="ALO14" s="97" t="n">
        <f aca="false">ALO13-ALN14+ALM14</f>
        <v>0</v>
      </c>
      <c r="ALP14" s="95" t="n">
        <f aca="false">[1]НАДІЙШЛО2!LY6</f>
        <v>0</v>
      </c>
      <c r="ALQ14" s="96" t="n">
        <f aca="false">[1]ВИБУЛО2!LY6</f>
        <v>0</v>
      </c>
      <c r="ALR14" s="97" t="n">
        <f aca="false">ALR13-ALQ14+ALP14</f>
        <v>0</v>
      </c>
      <c r="ALS14" s="95" t="n">
        <f aca="false">[1]НАДІЙШЛО2!LZ6</f>
        <v>0</v>
      </c>
      <c r="ALT14" s="96" t="n">
        <f aca="false">[1]ВИБУЛО2!LZ6</f>
        <v>0</v>
      </c>
      <c r="ALU14" s="97" t="n">
        <f aca="false">ALU13-ALT14+ALS14</f>
        <v>0</v>
      </c>
      <c r="ALV14" s="95" t="n">
        <f aca="false">[1]НАДІЙШЛО2!MA6</f>
        <v>0</v>
      </c>
      <c r="ALW14" s="96" t="n">
        <f aca="false">[1]ВИБУЛО2!MA6</f>
        <v>0</v>
      </c>
      <c r="ALX14" s="97" t="n">
        <f aca="false">ALX13-ALW14+ALV14</f>
        <v>0</v>
      </c>
      <c r="ALY14" s="95" t="n">
        <f aca="false">[1]НАДІЙШЛО2!MB6</f>
        <v>0</v>
      </c>
      <c r="ALZ14" s="96" t="n">
        <f aca="false">[1]ВИБУЛО2!MB6</f>
        <v>0</v>
      </c>
      <c r="AMA14" s="97" t="n">
        <f aca="false">AMA13-ALZ14+ALY14</f>
        <v>0</v>
      </c>
      <c r="AMB14" s="95" t="n">
        <f aca="false">[1]НАДІЙШЛО2!MC6</f>
        <v>0</v>
      </c>
      <c r="AMC14" s="96" t="n">
        <f aca="false">[1]ВИБУЛО2!MC6</f>
        <v>0</v>
      </c>
      <c r="AMD14" s="97" t="n">
        <f aca="false">AMD13-AMC14+AMB14</f>
        <v>0</v>
      </c>
      <c r="AME14" s="95" t="n">
        <f aca="false">[1]НАДІЙШЛО2!MD6</f>
        <v>0</v>
      </c>
      <c r="AMF14" s="96" t="n">
        <f aca="false">[1]ВИБУЛО2!MD6</f>
        <v>0</v>
      </c>
      <c r="AMG14" s="97" t="n">
        <f aca="false">AMG13-AMF14+AME14</f>
        <v>0</v>
      </c>
      <c r="AMH14" s="95" t="n">
        <f aca="false">[1]НАДІЙШЛО2!ME6</f>
        <v>0</v>
      </c>
      <c r="AMI14" s="96" t="n">
        <f aca="false">[1]ВИБУЛО2!ME6</f>
        <v>0</v>
      </c>
      <c r="AMJ14" s="97" t="n">
        <f aca="false">AMJ13-AMI14+AMH14</f>
        <v>0</v>
      </c>
    </row>
    <row r="15" s="99" customFormat="true" ht="16.5" hidden="false" customHeight="false" outlineLevel="0" collapsed="false">
      <c r="A15" s="98"/>
      <c r="D15" s="103"/>
      <c r="E15" s="95" t="n">
        <f aca="false">[1]НАДІЙШЛО2!D7</f>
        <v>0</v>
      </c>
      <c r="F15" s="96" t="n">
        <f aca="false">[1]ВИБУЛО2!D7</f>
        <v>0</v>
      </c>
      <c r="G15" s="97" t="n">
        <f aca="false">G14-F15+E15</f>
        <v>0</v>
      </c>
      <c r="H15" s="95" t="n">
        <f aca="false">[1]НАДІЙШЛО2!E7</f>
        <v>0</v>
      </c>
      <c r="I15" s="96" t="n">
        <f aca="false">[1]ВИБУЛО2!E7</f>
        <v>0</v>
      </c>
      <c r="J15" s="97" t="n">
        <f aca="false">J14-I15+H15</f>
        <v>0</v>
      </c>
      <c r="K15" s="95" t="n">
        <f aca="false">[1]НАДІЙШЛО2!F7</f>
        <v>0</v>
      </c>
      <c r="L15" s="96" t="n">
        <f aca="false">[1]ВИБУЛО2!F7</f>
        <v>0</v>
      </c>
      <c r="M15" s="97" t="n">
        <f aca="false">M14-L15+K15</f>
        <v>2.06</v>
      </c>
      <c r="N15" s="95" t="n">
        <f aca="false">[1]НАДІЙШЛО2!G7</f>
        <v>0</v>
      </c>
      <c r="O15" s="96" t="n">
        <f aca="false">[1]ВИБУЛО2!G7</f>
        <v>0</v>
      </c>
      <c r="P15" s="97" t="n">
        <f aca="false">P14-O15+N15</f>
        <v>0</v>
      </c>
      <c r="Q15" s="95" t="n">
        <f aca="false">[1]НАДІЙШЛО2!H7</f>
        <v>0</v>
      </c>
      <c r="R15" s="96" t="n">
        <f aca="false">[1]ВИБУЛО2!H7</f>
        <v>0</v>
      </c>
      <c r="S15" s="97" t="n">
        <f aca="false">S14-R15+Q15</f>
        <v>0</v>
      </c>
      <c r="T15" s="95" t="n">
        <f aca="false">[1]НАДІЙШЛО2!I7</f>
        <v>0</v>
      </c>
      <c r="U15" s="96" t="n">
        <f aca="false">[1]ВИБУЛО2!I7</f>
        <v>0</v>
      </c>
      <c r="V15" s="97" t="n">
        <f aca="false">V14-U15+T15</f>
        <v>0</v>
      </c>
      <c r="W15" s="95" t="n">
        <f aca="false">[1]НАДІЙШЛО2!J7</f>
        <v>0</v>
      </c>
      <c r="X15" s="96" t="n">
        <f aca="false">[1]ВИБУЛО2!J7</f>
        <v>0</v>
      </c>
      <c r="Y15" s="97" t="n">
        <f aca="false">Y14-X15+W15</f>
        <v>0</v>
      </c>
      <c r="Z15" s="95" t="n">
        <f aca="false">[1]НАДІЙШЛО2!K7</f>
        <v>0</v>
      </c>
      <c r="AA15" s="96" t="n">
        <f aca="false">[1]ВИБУЛО2!K7</f>
        <v>0</v>
      </c>
      <c r="AB15" s="97" t="n">
        <f aca="false">AB14-AA15+Z15</f>
        <v>0</v>
      </c>
      <c r="AC15" s="95" t="n">
        <f aca="false">[1]НАДІЙШЛО2!L7</f>
        <v>0</v>
      </c>
      <c r="AD15" s="96" t="n">
        <f aca="false">[1]ВИБУЛО2!L7</f>
        <v>0</v>
      </c>
      <c r="AE15" s="97" t="n">
        <f aca="false">AE14-AD15+AC15</f>
        <v>0</v>
      </c>
      <c r="AF15" s="95" t="n">
        <f aca="false">[1]НАДІЙШЛО2!M7</f>
        <v>0</v>
      </c>
      <c r="AG15" s="96" t="n">
        <f aca="false">[1]ВИБУЛО2!M7</f>
        <v>0</v>
      </c>
      <c r="AH15" s="97" t="n">
        <f aca="false">AH14-AG15+AF15</f>
        <v>0</v>
      </c>
      <c r="AI15" s="95" t="n">
        <f aca="false">[1]НАДІЙШЛО2!N7</f>
        <v>0</v>
      </c>
      <c r="AJ15" s="96" t="n">
        <f aca="false">[1]ВИБУЛО2!N7</f>
        <v>0</v>
      </c>
      <c r="AK15" s="97" t="n">
        <f aca="false">AK14-AJ15+AI15</f>
        <v>0</v>
      </c>
      <c r="AL15" s="95" t="n">
        <f aca="false">[1]НАДІЙШЛО2!O7</f>
        <v>0</v>
      </c>
      <c r="AM15" s="96" t="n">
        <f aca="false">[1]ВИБУЛО2!O7</f>
        <v>0</v>
      </c>
      <c r="AN15" s="97" t="n">
        <f aca="false">AN14-AM15+AL15</f>
        <v>0</v>
      </c>
      <c r="AO15" s="95" t="n">
        <f aca="false">[1]НАДІЙШЛО2!P7</f>
        <v>0</v>
      </c>
      <c r="AP15" s="96" t="n">
        <f aca="false">[1]ВИБУЛО2!P7</f>
        <v>0</v>
      </c>
      <c r="AQ15" s="97" t="n">
        <f aca="false">AQ14-AP15+AO15</f>
        <v>0</v>
      </c>
      <c r="AR15" s="95" t="n">
        <f aca="false">[1]НАДІЙШЛО2!Q7</f>
        <v>0</v>
      </c>
      <c r="AS15" s="96" t="n">
        <f aca="false">[1]ВИБУЛО2!Q7</f>
        <v>0</v>
      </c>
      <c r="AT15" s="97" t="n">
        <f aca="false">AT14-AS15+AR15</f>
        <v>0</v>
      </c>
      <c r="AU15" s="95" t="n">
        <f aca="false">[1]НАДІЙШЛО2!R7</f>
        <v>0</v>
      </c>
      <c r="AV15" s="96" t="n">
        <f aca="false">[1]ВИБУЛО2!R7</f>
        <v>0</v>
      </c>
      <c r="AW15" s="97" t="n">
        <f aca="false">AW14-AV15+AU15</f>
        <v>0</v>
      </c>
      <c r="AX15" s="95" t="n">
        <f aca="false">[1]НАДІЙШЛО2!S7</f>
        <v>0</v>
      </c>
      <c r="AY15" s="96" t="n">
        <f aca="false">[1]ВИБУЛО2!S7</f>
        <v>0</v>
      </c>
      <c r="AZ15" s="97" t="n">
        <f aca="false">AZ14-AY15+AX15</f>
        <v>0</v>
      </c>
      <c r="BA15" s="95" t="n">
        <f aca="false">[1]НАДІЙШЛО2!T7</f>
        <v>0</v>
      </c>
      <c r="BB15" s="96" t="n">
        <f aca="false">[1]ВИБУЛО2!T7</f>
        <v>0</v>
      </c>
      <c r="BC15" s="97" t="n">
        <f aca="false">BC14-BB15+BA15</f>
        <v>0</v>
      </c>
      <c r="BD15" s="95" t="n">
        <f aca="false">[1]НАДІЙШЛО2!U7</f>
        <v>0</v>
      </c>
      <c r="BE15" s="96" t="n">
        <f aca="false">[1]ВИБУЛО2!U7</f>
        <v>0</v>
      </c>
      <c r="BF15" s="97" t="n">
        <f aca="false">BF14-BE15+BD15</f>
        <v>0</v>
      </c>
      <c r="BG15" s="95" t="n">
        <f aca="false">[1]НАДІЙШЛО2!V7</f>
        <v>0</v>
      </c>
      <c r="BH15" s="96" t="n">
        <f aca="false">[1]ВИБУЛО2!V7</f>
        <v>0</v>
      </c>
      <c r="BI15" s="97" t="n">
        <f aca="false">BI14-BH15+BG15</f>
        <v>0</v>
      </c>
      <c r="BJ15" s="95" t="n">
        <f aca="false">[1]НАДІЙШЛО2!W7</f>
        <v>0</v>
      </c>
      <c r="BK15" s="96" t="n">
        <f aca="false">[1]ВИБУЛО2!W7</f>
        <v>0</v>
      </c>
      <c r="BL15" s="97" t="n">
        <f aca="false">BL14-BK15+BJ15</f>
        <v>0</v>
      </c>
      <c r="BM15" s="95" t="n">
        <f aca="false">[1]НАДІЙШЛО2!X7</f>
        <v>0</v>
      </c>
      <c r="BN15" s="96" t="n">
        <f aca="false">[1]ВИБУЛО2!X7</f>
        <v>0</v>
      </c>
      <c r="BO15" s="97" t="n">
        <f aca="false">BO14-BN15+BM15</f>
        <v>0</v>
      </c>
      <c r="BP15" s="95" t="n">
        <f aca="false">[1]НАДІЙШЛО2!Y7</f>
        <v>0</v>
      </c>
      <c r="BQ15" s="96" t="n">
        <f aca="false">[1]ВИБУЛО2!Y7</f>
        <v>0</v>
      </c>
      <c r="BR15" s="97" t="n">
        <f aca="false">BR14-BQ15+BP15</f>
        <v>0</v>
      </c>
      <c r="BS15" s="95" t="n">
        <f aca="false">[1]НАДІЙШЛО2!Z7</f>
        <v>0</v>
      </c>
      <c r="BT15" s="96" t="n">
        <f aca="false">[1]ВИБУЛО2!Z7</f>
        <v>0</v>
      </c>
      <c r="BU15" s="97" t="n">
        <f aca="false">BU14-BT15+BS15</f>
        <v>0</v>
      </c>
      <c r="BV15" s="95" t="n">
        <f aca="false">[1]НАДІЙШЛО2!AA7</f>
        <v>0</v>
      </c>
      <c r="BW15" s="96" t="n">
        <f aca="false">[1]ВИБУЛО2!AA7</f>
        <v>0</v>
      </c>
      <c r="BX15" s="97" t="n">
        <f aca="false">BX14-BW15+BV15</f>
        <v>0</v>
      </c>
      <c r="BY15" s="95" t="n">
        <f aca="false">[1]НАДІЙШЛО2!AB7</f>
        <v>0</v>
      </c>
      <c r="BZ15" s="96" t="n">
        <f aca="false">[1]ВИБУЛО2!AB7</f>
        <v>0</v>
      </c>
      <c r="CA15" s="97" t="n">
        <f aca="false">CA14-BZ15+BY15</f>
        <v>0</v>
      </c>
      <c r="CB15" s="95" t="n">
        <f aca="false">[1]НАДІЙШЛО2!AC7</f>
        <v>0</v>
      </c>
      <c r="CC15" s="96" t="n">
        <f aca="false">[1]ВИБУЛО2!AC7</f>
        <v>0</v>
      </c>
      <c r="CD15" s="97" t="n">
        <f aca="false">CD14-CC15+CB15</f>
        <v>0</v>
      </c>
      <c r="CE15" s="95" t="n">
        <f aca="false">[1]НАДІЙШЛО2!AD7</f>
        <v>0</v>
      </c>
      <c r="CF15" s="96" t="n">
        <f aca="false">[1]ВИБУЛО2!AD7</f>
        <v>0</v>
      </c>
      <c r="CG15" s="97" t="n">
        <f aca="false">CG14-CF15+CE15</f>
        <v>0</v>
      </c>
      <c r="CH15" s="95" t="n">
        <f aca="false">[1]НАДІЙШЛО2!AE7</f>
        <v>0</v>
      </c>
      <c r="CI15" s="96" t="n">
        <f aca="false">[1]ВИБУЛО2!AE7</f>
        <v>0</v>
      </c>
      <c r="CJ15" s="97" t="n">
        <f aca="false">CJ14-CI15+CH15</f>
        <v>0</v>
      </c>
      <c r="CK15" s="95" t="n">
        <f aca="false">[1]НАДІЙШЛО2!AF7</f>
        <v>0</v>
      </c>
      <c r="CL15" s="96" t="n">
        <f aca="false">[1]ВИБУЛО2!AF7</f>
        <v>0</v>
      </c>
      <c r="CM15" s="97" t="n">
        <f aca="false">CM14-CL15+CK15</f>
        <v>0</v>
      </c>
      <c r="CN15" s="95" t="n">
        <f aca="false">[1]НАДІЙШЛО2!AG7</f>
        <v>0</v>
      </c>
      <c r="CO15" s="96" t="n">
        <f aca="false">[1]ВИБУЛО2!AG7</f>
        <v>0</v>
      </c>
      <c r="CP15" s="97" t="n">
        <f aca="false">CP14-CO15+CN15</f>
        <v>0</v>
      </c>
      <c r="CQ15" s="95" t="n">
        <f aca="false">[1]НАДІЙШЛО2!AH7</f>
        <v>0</v>
      </c>
      <c r="CR15" s="96" t="n">
        <f aca="false">[1]ВИБУЛО2!AH7</f>
        <v>0</v>
      </c>
      <c r="CS15" s="97" t="n">
        <f aca="false">CS14-CR15+CQ15</f>
        <v>0</v>
      </c>
      <c r="CT15" s="95" t="n">
        <f aca="false">[1]НАДІЙШЛО2!AI7</f>
        <v>0</v>
      </c>
      <c r="CU15" s="96" t="n">
        <f aca="false">[1]ВИБУЛО2!AI7</f>
        <v>0</v>
      </c>
      <c r="CV15" s="97" t="n">
        <f aca="false">CV14-CU15+CT15</f>
        <v>0</v>
      </c>
      <c r="CW15" s="95" t="n">
        <f aca="false">[1]НАДІЙШЛО2!AJ7</f>
        <v>0</v>
      </c>
      <c r="CX15" s="96" t="n">
        <f aca="false">[1]ВИБУЛО2!AJ7</f>
        <v>0</v>
      </c>
      <c r="CY15" s="97" t="n">
        <f aca="false">CY14-CX15+CW15</f>
        <v>0</v>
      </c>
      <c r="CZ15" s="95" t="n">
        <f aca="false">[1]НАДІЙШЛО2!AK7</f>
        <v>0</v>
      </c>
      <c r="DA15" s="96" t="n">
        <f aca="false">[1]ВИБУЛО2!AK7</f>
        <v>0</v>
      </c>
      <c r="DB15" s="97" t="n">
        <f aca="false">DB14-DA15+CZ15</f>
        <v>0</v>
      </c>
      <c r="DC15" s="95" t="n">
        <f aca="false">[1]НАДІЙШЛО2!AL7</f>
        <v>0</v>
      </c>
      <c r="DD15" s="96" t="n">
        <f aca="false">[1]ВИБУЛО2!AL7</f>
        <v>0</v>
      </c>
      <c r="DE15" s="97" t="n">
        <f aca="false">DE14-DD15+DC15</f>
        <v>0</v>
      </c>
      <c r="DF15" s="95" t="n">
        <f aca="false">[1]НАДІЙШЛО2!AM7</f>
        <v>0</v>
      </c>
      <c r="DG15" s="96" t="n">
        <f aca="false">[1]ВИБУЛО2!AM7</f>
        <v>0</v>
      </c>
      <c r="DH15" s="97" t="n">
        <f aca="false">DH14-DG15+DF15</f>
        <v>0</v>
      </c>
      <c r="DI15" s="95" t="n">
        <f aca="false">[1]НАДІЙШЛО2!AN7</f>
        <v>0</v>
      </c>
      <c r="DJ15" s="96" t="n">
        <f aca="false">[1]ВИБУЛО2!AN7</f>
        <v>0</v>
      </c>
      <c r="DK15" s="97" t="n">
        <f aca="false">DK14-DJ15+DI15</f>
        <v>0</v>
      </c>
      <c r="DL15" s="95" t="n">
        <f aca="false">[1]НАДІЙШЛО2!AO7</f>
        <v>0</v>
      </c>
      <c r="DM15" s="96" t="n">
        <f aca="false">[1]ВИБУЛО2!AO7</f>
        <v>0</v>
      </c>
      <c r="DN15" s="97" t="n">
        <f aca="false">DN14-DM15+DL15</f>
        <v>0</v>
      </c>
      <c r="DO15" s="95" t="n">
        <f aca="false">[1]НАДІЙШЛО2!AP7</f>
        <v>0</v>
      </c>
      <c r="DP15" s="96" t="n">
        <f aca="false">[1]ВИБУЛО2!AP7</f>
        <v>0</v>
      </c>
      <c r="DQ15" s="97" t="n">
        <f aca="false">DQ14-DP15+DO15</f>
        <v>0</v>
      </c>
      <c r="DR15" s="95" t="n">
        <f aca="false">[1]НАДІЙШЛО2!AQ7</f>
        <v>0</v>
      </c>
      <c r="DS15" s="96" t="n">
        <f aca="false">[1]ВИБУЛО2!AQ7</f>
        <v>0</v>
      </c>
      <c r="DT15" s="97" t="n">
        <f aca="false">DT14-DS15+DR15</f>
        <v>0</v>
      </c>
      <c r="DU15" s="95" t="n">
        <f aca="false">[1]НАДІЙШЛО2!AR7</f>
        <v>0</v>
      </c>
      <c r="DV15" s="96" t="n">
        <f aca="false">[1]ВИБУЛО2!AR7</f>
        <v>0</v>
      </c>
      <c r="DW15" s="97" t="n">
        <f aca="false">DW14-DV15+DU15</f>
        <v>0</v>
      </c>
      <c r="DX15" s="95" t="n">
        <f aca="false">[1]НАДІЙШЛО2!AS7</f>
        <v>0</v>
      </c>
      <c r="DY15" s="96" t="n">
        <f aca="false">[1]ВИБУЛО2!AS7</f>
        <v>0</v>
      </c>
      <c r="DZ15" s="97" t="n">
        <f aca="false">DZ14-DY15+DX15</f>
        <v>0</v>
      </c>
      <c r="EA15" s="95" t="n">
        <f aca="false">[1]НАДІЙШЛО2!AT7</f>
        <v>0</v>
      </c>
      <c r="EB15" s="96" t="n">
        <f aca="false">[1]ВИБУЛО2!AT7</f>
        <v>0</v>
      </c>
      <c r="EC15" s="97" t="n">
        <f aca="false">EC14-EB15+EA15</f>
        <v>0</v>
      </c>
      <c r="ED15" s="95" t="n">
        <f aca="false">[1]НАДІЙШЛО2!AU7</f>
        <v>0</v>
      </c>
      <c r="EE15" s="96" t="n">
        <f aca="false">[1]ВИБУЛО2!AU7</f>
        <v>0</v>
      </c>
      <c r="EF15" s="97" t="n">
        <f aca="false">EF14-EE15+ED15</f>
        <v>0</v>
      </c>
      <c r="EG15" s="95" t="n">
        <f aca="false">[1]НАДІЙШЛО2!AV7</f>
        <v>0</v>
      </c>
      <c r="EH15" s="96" t="n">
        <f aca="false">[1]ВИБУЛО2!AV7</f>
        <v>0</v>
      </c>
      <c r="EI15" s="97" t="n">
        <f aca="false">EI14-EH15+EG15</f>
        <v>0</v>
      </c>
      <c r="EJ15" s="95" t="n">
        <f aca="false">[1]НАДІЙШЛО2!AW7</f>
        <v>0</v>
      </c>
      <c r="EK15" s="96" t="n">
        <f aca="false">[1]ВИБУЛО2!AW7</f>
        <v>0</v>
      </c>
      <c r="EL15" s="97" t="n">
        <f aca="false">EL14-EK15+EJ15</f>
        <v>0</v>
      </c>
      <c r="EM15" s="95" t="n">
        <f aca="false">[1]НАДІЙШЛО2!AX7</f>
        <v>0</v>
      </c>
      <c r="EN15" s="96" t="n">
        <f aca="false">[1]ВИБУЛО2!AX7</f>
        <v>0</v>
      </c>
      <c r="EO15" s="97" t="n">
        <f aca="false">EO14-EN15+EM15</f>
        <v>0</v>
      </c>
      <c r="EP15" s="95" t="n">
        <f aca="false">[1]НАДІЙШЛО2!AY7</f>
        <v>0</v>
      </c>
      <c r="EQ15" s="96" t="n">
        <f aca="false">[1]ВИБУЛО2!AY7</f>
        <v>0</v>
      </c>
      <c r="ER15" s="97" t="n">
        <f aca="false">ER14-EQ15+EP15</f>
        <v>0</v>
      </c>
      <c r="ES15" s="95" t="n">
        <f aca="false">[1]НАДІЙШЛО2!AZ7</f>
        <v>0</v>
      </c>
      <c r="ET15" s="96" t="n">
        <f aca="false">[1]ВИБУЛО2!AZ7</f>
        <v>0</v>
      </c>
      <c r="EU15" s="97" t="n">
        <f aca="false">EU14-ET15+ES15</f>
        <v>0</v>
      </c>
      <c r="EV15" s="95" t="n">
        <f aca="false">[1]НАДІЙШЛО2!BA7</f>
        <v>0</v>
      </c>
      <c r="EW15" s="96" t="n">
        <f aca="false">[1]ВИБУЛО2!BA7</f>
        <v>0</v>
      </c>
      <c r="EX15" s="97" t="n">
        <f aca="false">EX14-EW15+EV15</f>
        <v>0</v>
      </c>
      <c r="EY15" s="95" t="n">
        <f aca="false">[1]НАДІЙШЛО2!BB7</f>
        <v>0</v>
      </c>
      <c r="EZ15" s="96" t="n">
        <f aca="false">[1]ВИБУЛО2!BB7</f>
        <v>0</v>
      </c>
      <c r="FA15" s="97" t="n">
        <f aca="false">FA14-EZ15+EY15</f>
        <v>0</v>
      </c>
      <c r="FB15" s="95" t="n">
        <f aca="false">[1]НАДІЙШЛО2!BC7</f>
        <v>0</v>
      </c>
      <c r="FC15" s="96" t="n">
        <f aca="false">[1]ВИБУЛО2!BC7</f>
        <v>0</v>
      </c>
      <c r="FD15" s="97" t="n">
        <f aca="false">FD14-FC15+FB15</f>
        <v>0</v>
      </c>
      <c r="FE15" s="95" t="n">
        <f aca="false">[1]НАДІЙШЛО2!BD7</f>
        <v>0</v>
      </c>
      <c r="FF15" s="96" t="n">
        <f aca="false">[1]ВИБУЛО2!BD7</f>
        <v>0</v>
      </c>
      <c r="FG15" s="97" t="n">
        <f aca="false">FG14-FF15+FE15</f>
        <v>0</v>
      </c>
      <c r="FH15" s="95" t="n">
        <f aca="false">[1]НАДІЙШЛО2!BE7</f>
        <v>0</v>
      </c>
      <c r="FI15" s="96" t="n">
        <f aca="false">[1]ВИБУЛО2!BE7</f>
        <v>0</v>
      </c>
      <c r="FJ15" s="97" t="n">
        <f aca="false">FJ14-FI15+FH15</f>
        <v>0</v>
      </c>
      <c r="FK15" s="95" t="n">
        <f aca="false">[1]НАДІЙШЛО2!BF7</f>
        <v>0</v>
      </c>
      <c r="FL15" s="96" t="n">
        <f aca="false">[1]ВИБУЛО2!BF7</f>
        <v>0</v>
      </c>
      <c r="FM15" s="97" t="n">
        <f aca="false">FM14-FL15+FK15</f>
        <v>0</v>
      </c>
      <c r="FN15" s="95" t="n">
        <f aca="false">[1]НАДІЙШЛО2!BG7</f>
        <v>0</v>
      </c>
      <c r="FO15" s="96" t="n">
        <f aca="false">[1]ВИБУЛО2!BG7</f>
        <v>0</v>
      </c>
      <c r="FP15" s="97" t="n">
        <f aca="false">FP14-FO15+FN15</f>
        <v>0</v>
      </c>
      <c r="FQ15" s="95" t="n">
        <f aca="false">[1]НАДІЙШЛО2!BH7</f>
        <v>0</v>
      </c>
      <c r="FR15" s="96" t="n">
        <f aca="false">[1]ВИБУЛО2!BH7</f>
        <v>0</v>
      </c>
      <c r="FS15" s="97" t="n">
        <f aca="false">FS14-FR15+FQ15</f>
        <v>0</v>
      </c>
      <c r="FT15" s="95" t="n">
        <f aca="false">[1]НАДІЙШЛО2!BI7</f>
        <v>0</v>
      </c>
      <c r="FU15" s="96" t="n">
        <f aca="false">[1]ВИБУЛО2!BI7</f>
        <v>0</v>
      </c>
      <c r="FV15" s="97" t="n">
        <f aca="false">FV14-FU15+FT15</f>
        <v>0</v>
      </c>
      <c r="FW15" s="95" t="n">
        <f aca="false">[1]НАДІЙШЛО2!BJ7</f>
        <v>0</v>
      </c>
      <c r="FX15" s="96" t="n">
        <f aca="false">[1]ВИБУЛО2!BJ7</f>
        <v>0</v>
      </c>
      <c r="FY15" s="97" t="n">
        <f aca="false">FY14-FX15+FW15</f>
        <v>0</v>
      </c>
      <c r="FZ15" s="95" t="n">
        <f aca="false">[1]НАДІЙШЛО2!BK7</f>
        <v>0</v>
      </c>
      <c r="GA15" s="96" t="n">
        <f aca="false">[1]ВИБУЛО2!BK7</f>
        <v>0</v>
      </c>
      <c r="GB15" s="97" t="n">
        <f aca="false">GB14-GA15+FZ15</f>
        <v>0</v>
      </c>
      <c r="GC15" s="95" t="n">
        <f aca="false">[1]НАДІЙШЛО2!BL7</f>
        <v>0</v>
      </c>
      <c r="GD15" s="96" t="n">
        <f aca="false">[1]ВИБУЛО2!BL7</f>
        <v>0</v>
      </c>
      <c r="GE15" s="97" t="n">
        <f aca="false">GE14-GD15+GC15</f>
        <v>0</v>
      </c>
      <c r="GF15" s="95" t="n">
        <f aca="false">[1]НАДІЙШЛО2!BM7</f>
        <v>0</v>
      </c>
      <c r="GG15" s="96" t="n">
        <f aca="false">[1]ВИБУЛО2!BM7</f>
        <v>0</v>
      </c>
      <c r="GH15" s="97" t="n">
        <f aca="false">GH14-GG15+GF15</f>
        <v>0</v>
      </c>
      <c r="GI15" s="95" t="n">
        <f aca="false">[1]НАДІЙШЛО2!BN7</f>
        <v>0</v>
      </c>
      <c r="GJ15" s="96" t="n">
        <f aca="false">[1]ВИБУЛО2!BN7</f>
        <v>0</v>
      </c>
      <c r="GK15" s="97" t="n">
        <f aca="false">GK14-GJ15+GI15</f>
        <v>0</v>
      </c>
      <c r="GL15" s="95" t="n">
        <f aca="false">[1]НАДІЙШЛО2!BO7</f>
        <v>0</v>
      </c>
      <c r="GM15" s="96" t="n">
        <f aca="false">[1]ВИБУЛО2!BO7</f>
        <v>0</v>
      </c>
      <c r="GN15" s="97" t="n">
        <f aca="false">GN14-GM15+GL15</f>
        <v>0</v>
      </c>
      <c r="GO15" s="95" t="n">
        <f aca="false">[1]НАДІЙШЛО2!BP7</f>
        <v>0</v>
      </c>
      <c r="GP15" s="96" t="n">
        <f aca="false">[1]ВИБУЛО2!BP7</f>
        <v>0</v>
      </c>
      <c r="GQ15" s="97" t="n">
        <f aca="false">GQ14-GP15+GO15</f>
        <v>0</v>
      </c>
      <c r="GR15" s="95" t="n">
        <f aca="false">[1]НАДІЙШЛО2!BQ7</f>
        <v>0</v>
      </c>
      <c r="GS15" s="96" t="n">
        <f aca="false">[1]ВИБУЛО2!BQ7</f>
        <v>0</v>
      </c>
      <c r="GT15" s="97" t="n">
        <f aca="false">GT14-GS15+GR15</f>
        <v>0</v>
      </c>
      <c r="GU15" s="95" t="n">
        <f aca="false">[1]НАДІЙШЛО2!BR7</f>
        <v>0</v>
      </c>
      <c r="GV15" s="96" t="n">
        <f aca="false">[1]ВИБУЛО2!BR7</f>
        <v>0</v>
      </c>
      <c r="GW15" s="97" t="n">
        <f aca="false">GW14-GV15+GU15</f>
        <v>0</v>
      </c>
      <c r="GX15" s="95" t="n">
        <f aca="false">[1]НАДІЙШЛО2!BS7</f>
        <v>0</v>
      </c>
      <c r="GY15" s="96" t="n">
        <f aca="false">[1]ВИБУЛО2!BS7</f>
        <v>0</v>
      </c>
      <c r="GZ15" s="97" t="n">
        <f aca="false">GZ14-GY15+GX15</f>
        <v>0</v>
      </c>
      <c r="HA15" s="95" t="n">
        <f aca="false">[1]НАДІЙШЛО2!BT7</f>
        <v>0</v>
      </c>
      <c r="HB15" s="96" t="n">
        <f aca="false">[1]ВИБУЛО2!BT7</f>
        <v>0</v>
      </c>
      <c r="HC15" s="97" t="n">
        <f aca="false">HC14-HB15+HA15</f>
        <v>0</v>
      </c>
      <c r="HD15" s="95" t="n">
        <f aca="false">[1]НАДІЙШЛО2!BU7</f>
        <v>0</v>
      </c>
      <c r="HE15" s="96" t="n">
        <f aca="false">[1]ВИБУЛО2!BU7</f>
        <v>0</v>
      </c>
      <c r="HF15" s="97" t="n">
        <f aca="false">HF14-HE15+HD15</f>
        <v>0</v>
      </c>
      <c r="HG15" s="95" t="n">
        <f aca="false">[1]НАДІЙШЛО2!BV7</f>
        <v>0</v>
      </c>
      <c r="HH15" s="96" t="n">
        <f aca="false">[1]ВИБУЛО2!BV7</f>
        <v>0</v>
      </c>
      <c r="HI15" s="97" t="n">
        <f aca="false">HI14-HH15+HG15</f>
        <v>0</v>
      </c>
      <c r="HJ15" s="95" t="n">
        <f aca="false">[1]НАДІЙШЛО2!BW7</f>
        <v>0</v>
      </c>
      <c r="HK15" s="96" t="n">
        <f aca="false">[1]ВИБУЛО2!BW7</f>
        <v>0</v>
      </c>
      <c r="HL15" s="97" t="n">
        <f aca="false">HL14-HK15+HJ15</f>
        <v>0</v>
      </c>
      <c r="HM15" s="95" t="n">
        <f aca="false">[1]НАДІЙШЛО2!BX7</f>
        <v>0</v>
      </c>
      <c r="HN15" s="96" t="n">
        <f aca="false">[1]ВИБУЛО2!BX7</f>
        <v>0</v>
      </c>
      <c r="HO15" s="97" t="n">
        <f aca="false">HO14-HN15+HM15</f>
        <v>0</v>
      </c>
      <c r="HP15" s="95" t="n">
        <f aca="false">[1]НАДІЙШЛО2!BY7</f>
        <v>0</v>
      </c>
      <c r="HQ15" s="96" t="n">
        <f aca="false">[1]ВИБУЛО2!BY7</f>
        <v>0</v>
      </c>
      <c r="HR15" s="97" t="n">
        <f aca="false">HR14-HQ15+HP15</f>
        <v>0</v>
      </c>
      <c r="HS15" s="95" t="n">
        <f aca="false">[1]НАДІЙШЛО2!BZ7</f>
        <v>0</v>
      </c>
      <c r="HT15" s="96" t="n">
        <f aca="false">[1]ВИБУЛО2!BZ7</f>
        <v>0</v>
      </c>
      <c r="HU15" s="97" t="n">
        <f aca="false">HU14-HT15+HS15</f>
        <v>0</v>
      </c>
      <c r="HV15" s="95" t="n">
        <f aca="false">[1]НАДІЙШЛО2!CA7</f>
        <v>0</v>
      </c>
      <c r="HW15" s="96" t="n">
        <f aca="false">[1]ВИБУЛО2!CA7</f>
        <v>0</v>
      </c>
      <c r="HX15" s="97" t="n">
        <f aca="false">HX14-HW15+HV15</f>
        <v>0</v>
      </c>
      <c r="HY15" s="95" t="n">
        <f aca="false">[1]НАДІЙШЛО2!CB7</f>
        <v>0</v>
      </c>
      <c r="HZ15" s="96" t="n">
        <f aca="false">[1]ВИБУЛО2!CB7</f>
        <v>0</v>
      </c>
      <c r="IA15" s="97" t="n">
        <f aca="false">IA14-HZ15+HY15</f>
        <v>0</v>
      </c>
      <c r="IB15" s="95" t="n">
        <f aca="false">[1]НАДІЙШЛО2!CC7</f>
        <v>0</v>
      </c>
      <c r="IC15" s="96" t="n">
        <f aca="false">[1]ВИБУЛО2!CC7</f>
        <v>0</v>
      </c>
      <c r="ID15" s="97" t="n">
        <f aca="false">ID14-IC15+IB15</f>
        <v>0</v>
      </c>
      <c r="IE15" s="95" t="n">
        <f aca="false">[1]НАДІЙШЛО2!CD7</f>
        <v>0</v>
      </c>
      <c r="IF15" s="96" t="n">
        <f aca="false">[1]ВИБУЛО2!CD7</f>
        <v>0</v>
      </c>
      <c r="IG15" s="97" t="n">
        <f aca="false">IG14-IF15+IE15</f>
        <v>0</v>
      </c>
      <c r="IH15" s="95" t="n">
        <f aca="false">[1]НАДІЙШЛО2!CE7</f>
        <v>0</v>
      </c>
      <c r="II15" s="96" t="n">
        <f aca="false">[1]ВИБУЛО2!CE7</f>
        <v>0</v>
      </c>
      <c r="IJ15" s="97" t="n">
        <f aca="false">IJ14-II15+IH15</f>
        <v>0</v>
      </c>
      <c r="IK15" s="95" t="n">
        <f aca="false">[1]НАДІЙШЛО2!CF7</f>
        <v>0</v>
      </c>
      <c r="IL15" s="96" t="n">
        <f aca="false">[1]ВИБУЛО2!CF7</f>
        <v>0</v>
      </c>
      <c r="IM15" s="97" t="n">
        <f aca="false">IM14-IL15+IK15</f>
        <v>0</v>
      </c>
      <c r="IN15" s="95" t="n">
        <f aca="false">[1]НАДІЙШЛО2!CG7</f>
        <v>0</v>
      </c>
      <c r="IO15" s="96" t="n">
        <f aca="false">[1]ВИБУЛО2!CG7</f>
        <v>0</v>
      </c>
      <c r="IP15" s="97" t="n">
        <f aca="false">IP14-IO15+IN15</f>
        <v>0</v>
      </c>
      <c r="IQ15" s="95" t="n">
        <f aca="false">[1]НАДІЙШЛО2!CH7</f>
        <v>0</v>
      </c>
      <c r="IR15" s="96" t="n">
        <f aca="false">[1]ВИБУЛО2!CH7</f>
        <v>0</v>
      </c>
      <c r="IS15" s="97" t="n">
        <f aca="false">IS14-IR15+IQ15</f>
        <v>0</v>
      </c>
      <c r="IT15" s="95" t="n">
        <f aca="false">[1]НАДІЙШЛО2!CI7</f>
        <v>0</v>
      </c>
      <c r="IU15" s="96" t="n">
        <f aca="false">[1]ВИБУЛО2!CI7</f>
        <v>0</v>
      </c>
      <c r="IV15" s="97" t="n">
        <f aca="false">IV14-IU15+IT15</f>
        <v>0</v>
      </c>
      <c r="IW15" s="95" t="n">
        <f aca="false">[1]НАДІЙШЛО2!CJ7</f>
        <v>0</v>
      </c>
      <c r="IX15" s="96" t="n">
        <f aca="false">[1]ВИБУЛО2!CJ7</f>
        <v>0</v>
      </c>
      <c r="IY15" s="97" t="n">
        <f aca="false">IY14-IX15+IW15</f>
        <v>0</v>
      </c>
      <c r="IZ15" s="95" t="n">
        <f aca="false">[1]НАДІЙШЛО2!CK7</f>
        <v>0</v>
      </c>
      <c r="JA15" s="96" t="n">
        <f aca="false">[1]ВИБУЛО2!CK7</f>
        <v>0</v>
      </c>
      <c r="JB15" s="97" t="n">
        <f aca="false">JB14-JA15+IZ15</f>
        <v>0</v>
      </c>
      <c r="JC15" s="95" t="n">
        <f aca="false">[1]НАДІЙШЛО2!CL7</f>
        <v>0</v>
      </c>
      <c r="JD15" s="96" t="n">
        <f aca="false">[1]ВИБУЛО2!CL7</f>
        <v>0</v>
      </c>
      <c r="JE15" s="97" t="n">
        <f aca="false">JE14-JD15+JC15</f>
        <v>0</v>
      </c>
      <c r="JF15" s="95" t="n">
        <f aca="false">[1]НАДІЙШЛО2!CM7</f>
        <v>0</v>
      </c>
      <c r="JG15" s="96" t="n">
        <f aca="false">[1]ВИБУЛО2!CM7</f>
        <v>0</v>
      </c>
      <c r="JH15" s="97" t="n">
        <f aca="false">JH14-JG15+JF15</f>
        <v>0</v>
      </c>
      <c r="JI15" s="95" t="n">
        <f aca="false">[1]НАДІЙШЛО2!CN7</f>
        <v>0</v>
      </c>
      <c r="JJ15" s="96" t="n">
        <f aca="false">[1]ВИБУЛО2!CN7</f>
        <v>0</v>
      </c>
      <c r="JK15" s="97" t="n">
        <f aca="false">JK14-JJ15+JI15</f>
        <v>0</v>
      </c>
      <c r="JL15" s="95" t="n">
        <f aca="false">[1]НАДІЙШЛО2!CO7</f>
        <v>0</v>
      </c>
      <c r="JM15" s="96" t="n">
        <f aca="false">[1]ВИБУЛО2!CO7</f>
        <v>0</v>
      </c>
      <c r="JN15" s="97" t="n">
        <f aca="false">JN14-JM15+JL15</f>
        <v>0</v>
      </c>
      <c r="JO15" s="95" t="n">
        <f aca="false">[1]НАДІЙШЛО2!CP7</f>
        <v>0</v>
      </c>
      <c r="JP15" s="96" t="n">
        <f aca="false">[1]ВИБУЛО2!CP7</f>
        <v>0</v>
      </c>
      <c r="JQ15" s="97" t="n">
        <f aca="false">JQ14-JP15+JO15</f>
        <v>0</v>
      </c>
      <c r="JR15" s="95" t="n">
        <f aca="false">[1]НАДІЙШЛО2!CQ7</f>
        <v>0</v>
      </c>
      <c r="JS15" s="96" t="n">
        <f aca="false">[1]ВИБУЛО2!CQ7</f>
        <v>0</v>
      </c>
      <c r="JT15" s="97" t="n">
        <f aca="false">JT14-JS15+JR15</f>
        <v>0</v>
      </c>
      <c r="JU15" s="95" t="n">
        <f aca="false">[1]НАДІЙШЛО2!CR7</f>
        <v>0</v>
      </c>
      <c r="JV15" s="96" t="n">
        <f aca="false">[1]ВИБУЛО2!CR7</f>
        <v>0</v>
      </c>
      <c r="JW15" s="97" t="n">
        <f aca="false">JW14-JV15+JU15</f>
        <v>0</v>
      </c>
      <c r="JX15" s="95" t="n">
        <f aca="false">[1]НАДІЙШЛО2!CS7</f>
        <v>0</v>
      </c>
      <c r="JY15" s="96" t="n">
        <f aca="false">[1]ВИБУЛО2!CS7</f>
        <v>0</v>
      </c>
      <c r="JZ15" s="97" t="n">
        <f aca="false">JZ14-JY15+JX15</f>
        <v>0</v>
      </c>
      <c r="KA15" s="95" t="n">
        <f aca="false">[1]НАДІЙШЛО2!CT7</f>
        <v>0</v>
      </c>
      <c r="KB15" s="96" t="n">
        <f aca="false">[1]ВИБУЛО2!CT7</f>
        <v>0</v>
      </c>
      <c r="KC15" s="97" t="n">
        <f aca="false">KC14-KB15+KA15</f>
        <v>0</v>
      </c>
      <c r="KD15" s="95" t="n">
        <f aca="false">[1]НАДІЙШЛО2!CU7</f>
        <v>0</v>
      </c>
      <c r="KE15" s="96" t="n">
        <f aca="false">[1]ВИБУЛО2!CU7</f>
        <v>0</v>
      </c>
      <c r="KF15" s="97" t="n">
        <f aca="false">KF14-KE15+KD15</f>
        <v>0</v>
      </c>
      <c r="KG15" s="95" t="n">
        <f aca="false">[1]НАДІЙШЛО2!CV7</f>
        <v>0</v>
      </c>
      <c r="KH15" s="96" t="n">
        <f aca="false">[1]ВИБУЛО2!CV7</f>
        <v>0</v>
      </c>
      <c r="KI15" s="97" t="n">
        <f aca="false">KI14-KH15+KG15</f>
        <v>0</v>
      </c>
      <c r="KJ15" s="95" t="n">
        <f aca="false">[1]НАДІЙШЛО2!CW7</f>
        <v>0</v>
      </c>
      <c r="KK15" s="96" t="n">
        <f aca="false">[1]ВИБУЛО2!CW7</f>
        <v>0</v>
      </c>
      <c r="KL15" s="97" t="n">
        <f aca="false">KL14-KK15+KJ15</f>
        <v>0</v>
      </c>
      <c r="KM15" s="95" t="n">
        <f aca="false">[1]НАДІЙШЛО2!CX7</f>
        <v>0</v>
      </c>
      <c r="KN15" s="96" t="n">
        <f aca="false">[1]ВИБУЛО2!CX7</f>
        <v>0</v>
      </c>
      <c r="KO15" s="97" t="n">
        <f aca="false">KO14-KN15+KM15</f>
        <v>0</v>
      </c>
      <c r="KP15" s="95" t="n">
        <f aca="false">[1]НАДІЙШЛО2!CY7</f>
        <v>0</v>
      </c>
      <c r="KQ15" s="96" t="n">
        <f aca="false">[1]ВИБУЛО2!CY7</f>
        <v>0</v>
      </c>
      <c r="KR15" s="97" t="n">
        <f aca="false">KR14-KQ15+KP15</f>
        <v>0</v>
      </c>
      <c r="KS15" s="95" t="n">
        <f aca="false">[1]НАДІЙШЛО2!CZ7</f>
        <v>0</v>
      </c>
      <c r="KT15" s="96" t="n">
        <f aca="false">[1]ВИБУЛО2!CZ7</f>
        <v>0</v>
      </c>
      <c r="KU15" s="97" t="n">
        <f aca="false">KU14-KT15+KS15</f>
        <v>0</v>
      </c>
      <c r="KV15" s="95" t="n">
        <f aca="false">[1]НАДІЙШЛО2!DA7</f>
        <v>0</v>
      </c>
      <c r="KW15" s="96" t="n">
        <f aca="false">[1]ВИБУЛО2!DA7</f>
        <v>0</v>
      </c>
      <c r="KX15" s="97" t="n">
        <f aca="false">KX14-KW15+KV15</f>
        <v>0</v>
      </c>
      <c r="KY15" s="95" t="n">
        <f aca="false">[1]НАДІЙШЛО2!DB7</f>
        <v>0</v>
      </c>
      <c r="KZ15" s="96" t="n">
        <f aca="false">[1]ВИБУЛО2!DB7</f>
        <v>0</v>
      </c>
      <c r="LA15" s="97" t="n">
        <f aca="false">LA14-KZ15+KY15</f>
        <v>0</v>
      </c>
      <c r="LB15" s="95" t="n">
        <f aca="false">[1]НАДІЙШЛО2!DC7</f>
        <v>0</v>
      </c>
      <c r="LC15" s="96" t="n">
        <f aca="false">[1]ВИБУЛО2!DC7</f>
        <v>0</v>
      </c>
      <c r="LD15" s="97" t="n">
        <f aca="false">LD14-LC15+LB15</f>
        <v>0</v>
      </c>
      <c r="LE15" s="95" t="n">
        <f aca="false">[1]НАДІЙШЛО2!DD7</f>
        <v>0</v>
      </c>
      <c r="LF15" s="96" t="n">
        <f aca="false">[1]ВИБУЛО2!DD7</f>
        <v>0</v>
      </c>
      <c r="LG15" s="97" t="n">
        <f aca="false">LG14-LF15+LE15</f>
        <v>0</v>
      </c>
      <c r="LH15" s="95" t="n">
        <f aca="false">[1]НАДІЙШЛО2!DE7</f>
        <v>0</v>
      </c>
      <c r="LI15" s="96" t="n">
        <f aca="false">[1]ВИБУЛО2!DE7</f>
        <v>0</v>
      </c>
      <c r="LJ15" s="97" t="n">
        <f aca="false">LJ14-LI15+LH15</f>
        <v>0</v>
      </c>
      <c r="LK15" s="95" t="n">
        <f aca="false">[1]НАДІЙШЛО2!DF7</f>
        <v>0</v>
      </c>
      <c r="LL15" s="96" t="n">
        <f aca="false">[1]ВИБУЛО2!DF7</f>
        <v>0</v>
      </c>
      <c r="LM15" s="97" t="n">
        <f aca="false">LM14-LL15+LK15</f>
        <v>0</v>
      </c>
      <c r="LN15" s="95" t="n">
        <f aca="false">[1]НАДІЙШЛО2!DG7</f>
        <v>0</v>
      </c>
      <c r="LO15" s="96" t="n">
        <f aca="false">[1]ВИБУЛО2!DG7</f>
        <v>0</v>
      </c>
      <c r="LP15" s="97" t="n">
        <f aca="false">LP14-LO15+LN15</f>
        <v>0</v>
      </c>
      <c r="LQ15" s="95" t="n">
        <f aca="false">[1]НАДІЙШЛО2!DH7</f>
        <v>0</v>
      </c>
      <c r="LR15" s="96" t="n">
        <f aca="false">[1]ВИБУЛО2!DH7</f>
        <v>0</v>
      </c>
      <c r="LS15" s="97" t="n">
        <f aca="false">LS14-LR15+LQ15</f>
        <v>0</v>
      </c>
      <c r="LT15" s="95" t="n">
        <f aca="false">[1]НАДІЙШЛО2!DI7</f>
        <v>0</v>
      </c>
      <c r="LU15" s="96" t="n">
        <f aca="false">[1]ВИБУЛО2!DI7</f>
        <v>0</v>
      </c>
      <c r="LV15" s="97" t="n">
        <f aca="false">LV14-LU15+LT15</f>
        <v>0</v>
      </c>
      <c r="LW15" s="95" t="n">
        <f aca="false">[1]НАДІЙШЛО2!DJ7</f>
        <v>0</v>
      </c>
      <c r="LX15" s="96" t="n">
        <f aca="false">[1]ВИБУЛО2!DJ7</f>
        <v>0</v>
      </c>
      <c r="LY15" s="97" t="n">
        <f aca="false">LY14-LX15+LW15</f>
        <v>0</v>
      </c>
      <c r="LZ15" s="95" t="n">
        <f aca="false">[1]НАДІЙШЛО2!DK7</f>
        <v>0</v>
      </c>
      <c r="MA15" s="96" t="n">
        <f aca="false">[1]ВИБУЛО2!DK7</f>
        <v>0</v>
      </c>
      <c r="MB15" s="97" t="n">
        <f aca="false">MB14-MA15+LZ15</f>
        <v>0</v>
      </c>
      <c r="MC15" s="95" t="n">
        <f aca="false">[1]НАДІЙШЛО2!DL7</f>
        <v>0</v>
      </c>
      <c r="MD15" s="96" t="n">
        <f aca="false">[1]ВИБУЛО2!DL7</f>
        <v>0</v>
      </c>
      <c r="ME15" s="97" t="n">
        <f aca="false">ME14-MD15+MC15</f>
        <v>0</v>
      </c>
      <c r="MF15" s="95" t="n">
        <f aca="false">[1]НАДІЙШЛО2!DM7</f>
        <v>0</v>
      </c>
      <c r="MG15" s="96" t="n">
        <f aca="false">[1]ВИБУЛО2!DM7</f>
        <v>0</v>
      </c>
      <c r="MH15" s="97" t="n">
        <f aca="false">MH14-MG15+MF15</f>
        <v>0</v>
      </c>
      <c r="MI15" s="95" t="n">
        <f aca="false">[1]НАДІЙШЛО2!DN7</f>
        <v>0</v>
      </c>
      <c r="MJ15" s="96" t="n">
        <f aca="false">[1]ВИБУЛО2!DN7</f>
        <v>0</v>
      </c>
      <c r="MK15" s="97" t="n">
        <f aca="false">MK14-MJ15+MI15</f>
        <v>0</v>
      </c>
      <c r="ML15" s="95" t="n">
        <f aca="false">[1]НАДІЙШЛО2!DO7</f>
        <v>0</v>
      </c>
      <c r="MM15" s="96" t="n">
        <f aca="false">[1]ВИБУЛО2!DO7</f>
        <v>0</v>
      </c>
      <c r="MN15" s="97" t="n">
        <f aca="false">MN14-MM15+ML15</f>
        <v>0</v>
      </c>
      <c r="MO15" s="95" t="n">
        <f aca="false">[1]НАДІЙШЛО2!DP7</f>
        <v>0</v>
      </c>
      <c r="MP15" s="96" t="n">
        <f aca="false">[1]ВИБУЛО2!DP7</f>
        <v>0</v>
      </c>
      <c r="MQ15" s="97" t="n">
        <f aca="false">MQ14-MP15+MO15</f>
        <v>0</v>
      </c>
      <c r="MR15" s="95" t="n">
        <f aca="false">[1]НАДІЙШЛО2!DQ7</f>
        <v>0</v>
      </c>
      <c r="MS15" s="96" t="n">
        <f aca="false">[1]ВИБУЛО2!DQ7</f>
        <v>0</v>
      </c>
      <c r="MT15" s="97" t="n">
        <f aca="false">MT14-MS15+MR15</f>
        <v>0</v>
      </c>
      <c r="MU15" s="95" t="n">
        <f aca="false">[1]НАДІЙШЛО2!DR7</f>
        <v>0</v>
      </c>
      <c r="MV15" s="96" t="n">
        <f aca="false">[1]ВИБУЛО2!DR7</f>
        <v>0</v>
      </c>
      <c r="MW15" s="97" t="n">
        <f aca="false">MW14-MV15+MU15</f>
        <v>0</v>
      </c>
      <c r="MX15" s="95" t="n">
        <f aca="false">[1]НАДІЙШЛО2!DS7</f>
        <v>0</v>
      </c>
      <c r="MY15" s="96" t="n">
        <f aca="false">[1]ВИБУЛО2!DS7</f>
        <v>0</v>
      </c>
      <c r="MZ15" s="97" t="n">
        <f aca="false">MZ14-MY15+MX15</f>
        <v>0</v>
      </c>
      <c r="NA15" s="95" t="n">
        <f aca="false">[1]НАДІЙШЛО2!DT7</f>
        <v>0</v>
      </c>
      <c r="NB15" s="96" t="n">
        <f aca="false">[1]ВИБУЛО2!DT7</f>
        <v>0</v>
      </c>
      <c r="NC15" s="97" t="n">
        <f aca="false">NC14-NB15+NA15</f>
        <v>0</v>
      </c>
      <c r="ND15" s="95" t="n">
        <f aca="false">[1]НАДІЙШЛО2!DU7</f>
        <v>0</v>
      </c>
      <c r="NE15" s="96" t="n">
        <f aca="false">[1]ВИБУЛО2!DU7</f>
        <v>0</v>
      </c>
      <c r="NF15" s="97" t="n">
        <f aca="false">NF14-NE15+ND15</f>
        <v>0</v>
      </c>
      <c r="NG15" s="95" t="n">
        <f aca="false">[1]НАДІЙШЛО2!DV7</f>
        <v>0</v>
      </c>
      <c r="NH15" s="96" t="n">
        <f aca="false">[1]ВИБУЛО2!DV7</f>
        <v>0</v>
      </c>
      <c r="NI15" s="97" t="n">
        <f aca="false">NI14-NH15+NG15</f>
        <v>0</v>
      </c>
      <c r="NJ15" s="95" t="n">
        <f aca="false">[1]НАДІЙШЛО2!DW7</f>
        <v>0</v>
      </c>
      <c r="NK15" s="96" t="n">
        <f aca="false">[1]ВИБУЛО2!DW7</f>
        <v>0</v>
      </c>
      <c r="NL15" s="97" t="n">
        <f aca="false">NL14-NK15+NJ15</f>
        <v>0</v>
      </c>
      <c r="NM15" s="95" t="n">
        <f aca="false">[1]НАДІЙШЛО2!DX7</f>
        <v>0</v>
      </c>
      <c r="NN15" s="96" t="n">
        <f aca="false">[1]ВИБУЛО2!DX7</f>
        <v>0</v>
      </c>
      <c r="NO15" s="97" t="n">
        <f aca="false">NO14-NN15+NM15</f>
        <v>0</v>
      </c>
      <c r="NP15" s="95" t="n">
        <f aca="false">[1]НАДІЙШЛО2!DY7</f>
        <v>0</v>
      </c>
      <c r="NQ15" s="96" t="n">
        <f aca="false">[1]ВИБУЛО2!DY7</f>
        <v>0</v>
      </c>
      <c r="NR15" s="97" t="n">
        <f aca="false">NR14-NQ15+NP15</f>
        <v>0</v>
      </c>
      <c r="NS15" s="95" t="n">
        <f aca="false">[1]НАДІЙШЛО2!DZ7</f>
        <v>0</v>
      </c>
      <c r="NT15" s="96" t="n">
        <f aca="false">[1]ВИБУЛО2!DZ7</f>
        <v>0</v>
      </c>
      <c r="NU15" s="97" t="n">
        <f aca="false">NU14-NT15+NS15</f>
        <v>0</v>
      </c>
      <c r="NV15" s="95" t="n">
        <f aca="false">[1]НАДІЙШЛО2!EA7</f>
        <v>0</v>
      </c>
      <c r="NW15" s="96" t="n">
        <f aca="false">[1]ВИБУЛО2!EA7</f>
        <v>0</v>
      </c>
      <c r="NX15" s="97" t="n">
        <f aca="false">NX14-NW15+NV15</f>
        <v>0</v>
      </c>
      <c r="NY15" s="95" t="n">
        <f aca="false">[1]НАДІЙШЛО2!EB7</f>
        <v>0</v>
      </c>
      <c r="NZ15" s="96" t="n">
        <f aca="false">[1]ВИБУЛО2!EB7</f>
        <v>0</v>
      </c>
      <c r="OA15" s="97" t="n">
        <f aca="false">OA14-NZ15+NY15</f>
        <v>0</v>
      </c>
      <c r="OB15" s="95" t="n">
        <f aca="false">[1]НАДІЙШЛО2!EC7</f>
        <v>0</v>
      </c>
      <c r="OC15" s="96" t="n">
        <f aca="false">[1]ВИБУЛО2!EC7</f>
        <v>0</v>
      </c>
      <c r="OD15" s="97" t="n">
        <f aca="false">OD14-OC15+OB15</f>
        <v>0</v>
      </c>
      <c r="OE15" s="95" t="n">
        <f aca="false">[1]НАДІЙШЛО2!ED7</f>
        <v>0</v>
      </c>
      <c r="OF15" s="96" t="n">
        <f aca="false">[1]ВИБУЛО2!ED7</f>
        <v>0</v>
      </c>
      <c r="OG15" s="97" t="n">
        <f aca="false">OG14-OF15+OE15</f>
        <v>0</v>
      </c>
      <c r="OH15" s="95" t="n">
        <f aca="false">[1]НАДІЙШЛО2!EE7</f>
        <v>0</v>
      </c>
      <c r="OI15" s="96" t="n">
        <f aca="false">[1]ВИБУЛО2!EE7</f>
        <v>0</v>
      </c>
      <c r="OJ15" s="97" t="n">
        <f aca="false">OJ14-OI15+OH15</f>
        <v>0</v>
      </c>
      <c r="OK15" s="95" t="n">
        <f aca="false">[1]НАДІЙШЛО2!EF7</f>
        <v>0</v>
      </c>
      <c r="OL15" s="96" t="n">
        <f aca="false">[1]ВИБУЛО2!EF7</f>
        <v>0</v>
      </c>
      <c r="OM15" s="97" t="n">
        <f aca="false">OM14-OL15+OK15</f>
        <v>0</v>
      </c>
      <c r="ON15" s="95" t="n">
        <f aca="false">[1]НАДІЙШЛО2!EG7</f>
        <v>0</v>
      </c>
      <c r="OO15" s="96" t="n">
        <f aca="false">[1]ВИБУЛО2!EG7</f>
        <v>0</v>
      </c>
      <c r="OP15" s="97" t="n">
        <f aca="false">OP14-OO15+ON15</f>
        <v>0</v>
      </c>
      <c r="OQ15" s="95" t="n">
        <f aca="false">[1]НАДІЙШЛО2!EH7</f>
        <v>0</v>
      </c>
      <c r="OR15" s="96" t="n">
        <f aca="false">[1]ВИБУЛО2!EH7</f>
        <v>0</v>
      </c>
      <c r="OS15" s="97" t="n">
        <f aca="false">OS14-OR15+OQ15</f>
        <v>0</v>
      </c>
      <c r="OT15" s="95" t="n">
        <f aca="false">[1]НАДІЙШЛО2!EI7</f>
        <v>0</v>
      </c>
      <c r="OU15" s="96" t="n">
        <f aca="false">[1]ВИБУЛО2!EI7</f>
        <v>0</v>
      </c>
      <c r="OV15" s="97" t="n">
        <f aca="false">OV14-OU15+OT15</f>
        <v>0</v>
      </c>
      <c r="OW15" s="95" t="n">
        <f aca="false">[1]НАДІЙШЛО2!EJ7</f>
        <v>0</v>
      </c>
      <c r="OX15" s="96" t="n">
        <f aca="false">[1]ВИБУЛО2!EJ7</f>
        <v>0</v>
      </c>
      <c r="OY15" s="97" t="n">
        <f aca="false">OY14-OX15+OW15</f>
        <v>0</v>
      </c>
      <c r="OZ15" s="95" t="n">
        <f aca="false">[1]НАДІЙШЛО2!EK7</f>
        <v>0</v>
      </c>
      <c r="PA15" s="96" t="n">
        <f aca="false">[1]ВИБУЛО2!EK7</f>
        <v>0</v>
      </c>
      <c r="PB15" s="97" t="n">
        <f aca="false">PB14-PA15+OZ15</f>
        <v>0</v>
      </c>
      <c r="PC15" s="95" t="n">
        <f aca="false">[1]НАДІЙШЛО2!EL7</f>
        <v>0</v>
      </c>
      <c r="PD15" s="96" t="n">
        <f aca="false">[1]ВИБУЛО2!EL7</f>
        <v>0</v>
      </c>
      <c r="PE15" s="97" t="n">
        <f aca="false">PE14-PD15+PC15</f>
        <v>0</v>
      </c>
      <c r="PF15" s="95" t="n">
        <f aca="false">[1]НАДІЙШЛО2!EM7</f>
        <v>0</v>
      </c>
      <c r="PG15" s="96" t="n">
        <f aca="false">[1]ВИБУЛО2!EM7</f>
        <v>0</v>
      </c>
      <c r="PH15" s="97" t="n">
        <f aca="false">PH14-PG15+PF15</f>
        <v>0</v>
      </c>
      <c r="PI15" s="95" t="n">
        <f aca="false">[1]НАДІЙШЛО2!EN7</f>
        <v>0</v>
      </c>
      <c r="PJ15" s="96" t="n">
        <f aca="false">[1]ВИБУЛО2!EN7</f>
        <v>0</v>
      </c>
      <c r="PK15" s="97" t="n">
        <f aca="false">PK14-PJ15+PI15</f>
        <v>0</v>
      </c>
      <c r="PL15" s="95" t="n">
        <f aca="false">[1]НАДІЙШЛО2!EO7</f>
        <v>0</v>
      </c>
      <c r="PM15" s="96" t="n">
        <f aca="false">[1]ВИБУЛО2!EO7</f>
        <v>0</v>
      </c>
      <c r="PN15" s="97" t="n">
        <f aca="false">PN14-PM15+PL15</f>
        <v>0</v>
      </c>
      <c r="PO15" s="95" t="n">
        <f aca="false">[1]НАДІЙШЛО2!EP7</f>
        <v>0</v>
      </c>
      <c r="PP15" s="96" t="n">
        <f aca="false">[1]ВИБУЛО2!EP7</f>
        <v>0</v>
      </c>
      <c r="PQ15" s="97" t="n">
        <f aca="false">PQ14-PP15+PO15</f>
        <v>0</v>
      </c>
      <c r="PR15" s="95" t="n">
        <f aca="false">[1]НАДІЙШЛО2!EQ7</f>
        <v>0</v>
      </c>
      <c r="PS15" s="96" t="n">
        <f aca="false">[1]ВИБУЛО2!EQ7</f>
        <v>0</v>
      </c>
      <c r="PT15" s="97" t="n">
        <f aca="false">PT14-PS15+PR15</f>
        <v>0</v>
      </c>
      <c r="PU15" s="95" t="n">
        <f aca="false">[1]НАДІЙШЛО2!ER7</f>
        <v>0</v>
      </c>
      <c r="PV15" s="96" t="n">
        <f aca="false">[1]ВИБУЛО2!ER7</f>
        <v>0</v>
      </c>
      <c r="PW15" s="97" t="n">
        <f aca="false">PW14-PV15+PU15</f>
        <v>0</v>
      </c>
      <c r="PX15" s="95" t="n">
        <f aca="false">[1]НАДІЙШЛО2!ES7</f>
        <v>0</v>
      </c>
      <c r="PY15" s="96" t="n">
        <f aca="false">[1]ВИБУЛО2!ES7</f>
        <v>0</v>
      </c>
      <c r="PZ15" s="97" t="n">
        <f aca="false">PZ14-PY15+PX15</f>
        <v>0</v>
      </c>
      <c r="QA15" s="95" t="n">
        <f aca="false">[1]НАДІЙШЛО2!ET7</f>
        <v>0</v>
      </c>
      <c r="QB15" s="96" t="n">
        <f aca="false">[1]ВИБУЛО2!ET7</f>
        <v>0</v>
      </c>
      <c r="QC15" s="97" t="n">
        <f aca="false">QC14-QB15+QA15</f>
        <v>0</v>
      </c>
      <c r="QD15" s="95" t="n">
        <f aca="false">[1]НАДІЙШЛО2!EU7</f>
        <v>0</v>
      </c>
      <c r="QE15" s="96" t="n">
        <f aca="false">[1]ВИБУЛО2!EU7</f>
        <v>0</v>
      </c>
      <c r="QF15" s="97" t="n">
        <f aca="false">QF14-QE15+QD15</f>
        <v>0</v>
      </c>
      <c r="QG15" s="95" t="n">
        <f aca="false">[1]НАДІЙШЛО2!EV7</f>
        <v>0</v>
      </c>
      <c r="QH15" s="96" t="n">
        <f aca="false">[1]ВИБУЛО2!EV7</f>
        <v>0</v>
      </c>
      <c r="QI15" s="97" t="n">
        <f aca="false">QI14-QH15+QG15</f>
        <v>0</v>
      </c>
      <c r="QJ15" s="95" t="n">
        <f aca="false">[1]НАДІЙШЛО2!EW7</f>
        <v>0</v>
      </c>
      <c r="QK15" s="96" t="n">
        <f aca="false">[1]ВИБУЛО2!EW7</f>
        <v>0</v>
      </c>
      <c r="QL15" s="97" t="n">
        <f aca="false">QL14-QK15+QJ15</f>
        <v>0</v>
      </c>
      <c r="QM15" s="95" t="n">
        <f aca="false">[1]НАДІЙШЛО2!EX7</f>
        <v>0</v>
      </c>
      <c r="QN15" s="96" t="n">
        <f aca="false">[1]ВИБУЛО2!EX7</f>
        <v>0</v>
      </c>
      <c r="QO15" s="97" t="n">
        <f aca="false">QO14-QN15+QM15</f>
        <v>0</v>
      </c>
      <c r="QP15" s="95" t="n">
        <f aca="false">[1]НАДІЙШЛО2!EY7</f>
        <v>0</v>
      </c>
      <c r="QQ15" s="96" t="n">
        <f aca="false">[1]ВИБУЛО2!EY7</f>
        <v>0</v>
      </c>
      <c r="QR15" s="97" t="n">
        <f aca="false">QR14-QQ15+QP15</f>
        <v>0</v>
      </c>
      <c r="QS15" s="95" t="n">
        <f aca="false">[1]НАДІЙШЛО2!EZ7</f>
        <v>0</v>
      </c>
      <c r="QT15" s="96" t="n">
        <f aca="false">[1]ВИБУЛО2!EZ7</f>
        <v>0</v>
      </c>
      <c r="QU15" s="97" t="n">
        <f aca="false">QU14-QT15+QS15</f>
        <v>0</v>
      </c>
      <c r="QV15" s="95" t="n">
        <f aca="false">[1]НАДІЙШЛО2!FA7</f>
        <v>0</v>
      </c>
      <c r="QW15" s="96" t="n">
        <f aca="false">[1]ВИБУЛО2!FA7</f>
        <v>0</v>
      </c>
      <c r="QX15" s="97" t="n">
        <f aca="false">QX14-QW15+QV15</f>
        <v>0</v>
      </c>
      <c r="QY15" s="95" t="n">
        <f aca="false">[1]НАДІЙШЛО2!FB7</f>
        <v>0</v>
      </c>
      <c r="QZ15" s="96" t="n">
        <f aca="false">[1]ВИБУЛО2!FB7</f>
        <v>0</v>
      </c>
      <c r="RA15" s="97" t="n">
        <f aca="false">RA14-QZ15+QY15</f>
        <v>0</v>
      </c>
      <c r="RB15" s="95" t="n">
        <f aca="false">[1]НАДІЙШЛО2!FC7</f>
        <v>0</v>
      </c>
      <c r="RC15" s="96" t="n">
        <f aca="false">[1]ВИБУЛО2!FC7</f>
        <v>0</v>
      </c>
      <c r="RD15" s="97" t="n">
        <f aca="false">RD14-RC15+RB15</f>
        <v>0</v>
      </c>
      <c r="RE15" s="95" t="n">
        <f aca="false">[1]НАДІЙШЛО2!FD7</f>
        <v>0</v>
      </c>
      <c r="RF15" s="96" t="n">
        <f aca="false">[1]ВИБУЛО2!FD7</f>
        <v>0</v>
      </c>
      <c r="RG15" s="97" t="n">
        <f aca="false">RG14-RF15+RE15</f>
        <v>0</v>
      </c>
      <c r="RH15" s="95" t="n">
        <f aca="false">[1]НАДІЙШЛО2!FE7</f>
        <v>0</v>
      </c>
      <c r="RI15" s="96" t="n">
        <f aca="false">[1]ВИБУЛО2!FE7</f>
        <v>0</v>
      </c>
      <c r="RJ15" s="97" t="n">
        <f aca="false">RJ14-RI15+RH15</f>
        <v>0</v>
      </c>
      <c r="RK15" s="95" t="n">
        <f aca="false">[1]НАДІЙШЛО2!FF7</f>
        <v>0</v>
      </c>
      <c r="RL15" s="96" t="n">
        <f aca="false">[1]ВИБУЛО2!FF7</f>
        <v>0</v>
      </c>
      <c r="RM15" s="97" t="n">
        <f aca="false">RM14-RL15+RK15</f>
        <v>0</v>
      </c>
      <c r="RN15" s="95" t="n">
        <f aca="false">[1]НАДІЙШЛО2!FG7</f>
        <v>0</v>
      </c>
      <c r="RO15" s="96" t="n">
        <f aca="false">[1]ВИБУЛО2!FG7</f>
        <v>0</v>
      </c>
      <c r="RP15" s="97" t="n">
        <f aca="false">RP14-RO15+RN15</f>
        <v>0</v>
      </c>
      <c r="RQ15" s="95" t="n">
        <f aca="false">[1]НАДІЙШЛО2!FH7</f>
        <v>0</v>
      </c>
      <c r="RR15" s="96" t="n">
        <f aca="false">[1]ВИБУЛО2!FH7</f>
        <v>0</v>
      </c>
      <c r="RS15" s="97" t="n">
        <f aca="false">RS14-RR15+RQ15</f>
        <v>0</v>
      </c>
      <c r="RT15" s="95" t="n">
        <f aca="false">[1]НАДІЙШЛО2!FI7</f>
        <v>0</v>
      </c>
      <c r="RU15" s="96" t="n">
        <f aca="false">[1]ВИБУЛО2!FI7</f>
        <v>0</v>
      </c>
      <c r="RV15" s="97" t="n">
        <f aca="false">RV14-RU15+RT15</f>
        <v>0</v>
      </c>
      <c r="RW15" s="95" t="n">
        <f aca="false">[1]НАДІЙШЛО2!FJ7</f>
        <v>0</v>
      </c>
      <c r="RX15" s="96" t="n">
        <f aca="false">[1]ВИБУЛО2!FJ7</f>
        <v>0</v>
      </c>
      <c r="RY15" s="97" t="n">
        <f aca="false">RY14-RX15+RW15</f>
        <v>0</v>
      </c>
      <c r="RZ15" s="95" t="n">
        <f aca="false">[1]НАДІЙШЛО2!FK7</f>
        <v>0</v>
      </c>
      <c r="SA15" s="96" t="n">
        <f aca="false">[1]ВИБУЛО2!FK7</f>
        <v>0</v>
      </c>
      <c r="SB15" s="97" t="n">
        <f aca="false">SB14-SA15+RZ15</f>
        <v>0</v>
      </c>
      <c r="SC15" s="95" t="n">
        <f aca="false">[1]НАДІЙШЛО2!FL7</f>
        <v>0</v>
      </c>
      <c r="SD15" s="96" t="n">
        <f aca="false">[1]ВИБУЛО2!FL7</f>
        <v>0</v>
      </c>
      <c r="SE15" s="97" t="n">
        <f aca="false">SE14-SD15+SC15</f>
        <v>0</v>
      </c>
      <c r="SF15" s="95" t="n">
        <f aca="false">[1]НАДІЙШЛО2!FM7</f>
        <v>0</v>
      </c>
      <c r="SG15" s="96" t="n">
        <f aca="false">[1]ВИБУЛО2!FM7</f>
        <v>0</v>
      </c>
      <c r="SH15" s="97" t="n">
        <f aca="false">SH14-SG15+SF15</f>
        <v>0</v>
      </c>
      <c r="SI15" s="95" t="n">
        <f aca="false">[1]НАДІЙШЛО2!FN7</f>
        <v>0</v>
      </c>
      <c r="SJ15" s="96" t="n">
        <f aca="false">[1]ВИБУЛО2!FN7</f>
        <v>0</v>
      </c>
      <c r="SK15" s="97" t="n">
        <f aca="false">SK14-SJ15+SI15</f>
        <v>0</v>
      </c>
      <c r="SL15" s="95" t="n">
        <f aca="false">[1]НАДІЙШЛО2!FO7</f>
        <v>0</v>
      </c>
      <c r="SM15" s="96" t="n">
        <f aca="false">[1]ВИБУЛО2!FO7</f>
        <v>0</v>
      </c>
      <c r="SN15" s="97" t="n">
        <f aca="false">SN14-SM15+SL15</f>
        <v>0</v>
      </c>
      <c r="SO15" s="95" t="n">
        <f aca="false">[1]НАДІЙШЛО2!FP7</f>
        <v>0</v>
      </c>
      <c r="SP15" s="96" t="n">
        <f aca="false">[1]ВИБУЛО2!FP7</f>
        <v>0</v>
      </c>
      <c r="SQ15" s="97" t="n">
        <f aca="false">SQ14-SP15+SO15</f>
        <v>0</v>
      </c>
      <c r="SR15" s="95" t="n">
        <f aca="false">[1]НАДІЙШЛО2!FQ7</f>
        <v>0</v>
      </c>
      <c r="SS15" s="96" t="n">
        <f aca="false">[1]ВИБУЛО2!FQ7</f>
        <v>0</v>
      </c>
      <c r="ST15" s="97" t="n">
        <f aca="false">ST14-SS15+SR15</f>
        <v>0</v>
      </c>
      <c r="SU15" s="95" t="n">
        <f aca="false">[1]НАДІЙШЛО2!FR7</f>
        <v>0</v>
      </c>
      <c r="SV15" s="96" t="n">
        <f aca="false">[1]ВИБУЛО2!FR7</f>
        <v>0</v>
      </c>
      <c r="SW15" s="97" t="n">
        <f aca="false">SW14-SV15+SU15</f>
        <v>0</v>
      </c>
      <c r="SX15" s="95" t="n">
        <f aca="false">[1]НАДІЙШЛО2!FS7</f>
        <v>0</v>
      </c>
      <c r="SY15" s="96" t="n">
        <f aca="false">[1]ВИБУЛО2!FS7</f>
        <v>0</v>
      </c>
      <c r="SZ15" s="97" t="n">
        <f aca="false">SZ14-SY15+SX15</f>
        <v>0</v>
      </c>
      <c r="TA15" s="95" t="n">
        <f aca="false">[1]НАДІЙШЛО2!FT7</f>
        <v>0</v>
      </c>
      <c r="TB15" s="96" t="n">
        <f aca="false">[1]ВИБУЛО2!FT7</f>
        <v>0</v>
      </c>
      <c r="TC15" s="97" t="n">
        <f aca="false">TC14-TB15+TA15</f>
        <v>0</v>
      </c>
      <c r="TD15" s="95" t="n">
        <f aca="false">[1]НАДІЙШЛО2!FU7</f>
        <v>0</v>
      </c>
      <c r="TE15" s="96" t="n">
        <f aca="false">[1]ВИБУЛО2!FU7</f>
        <v>0</v>
      </c>
      <c r="TF15" s="97" t="n">
        <f aca="false">TF14-TE15+TD15</f>
        <v>0</v>
      </c>
      <c r="TG15" s="95" t="n">
        <f aca="false">[1]НАДІЙШЛО2!FV7</f>
        <v>0</v>
      </c>
      <c r="TH15" s="96" t="n">
        <f aca="false">[1]ВИБУЛО2!FV7</f>
        <v>0</v>
      </c>
      <c r="TI15" s="97" t="n">
        <f aca="false">TI14-TH15+TG15</f>
        <v>0</v>
      </c>
      <c r="TJ15" s="95" t="n">
        <f aca="false">[1]НАДІЙШЛО2!FW7</f>
        <v>0</v>
      </c>
      <c r="TK15" s="96" t="n">
        <f aca="false">[1]ВИБУЛО2!FW7</f>
        <v>0</v>
      </c>
      <c r="TL15" s="97" t="n">
        <f aca="false">TL14-TK15+TJ15</f>
        <v>0</v>
      </c>
      <c r="TM15" s="95" t="n">
        <f aca="false">[1]НАДІЙШЛО2!FX7</f>
        <v>0</v>
      </c>
      <c r="TN15" s="96" t="n">
        <f aca="false">[1]ВИБУЛО2!FX7</f>
        <v>0</v>
      </c>
      <c r="TO15" s="97" t="n">
        <f aca="false">TO14-TN15+TM15</f>
        <v>0</v>
      </c>
      <c r="TP15" s="95" t="n">
        <f aca="false">[1]НАДІЙШЛО2!FY7</f>
        <v>0</v>
      </c>
      <c r="TQ15" s="96" t="n">
        <f aca="false">[1]ВИБУЛО2!FY7</f>
        <v>0</v>
      </c>
      <c r="TR15" s="97" t="n">
        <f aca="false">TR14-TQ15+TP15</f>
        <v>0</v>
      </c>
      <c r="TS15" s="95" t="n">
        <f aca="false">[1]НАДІЙШЛО2!FZ7</f>
        <v>0</v>
      </c>
      <c r="TT15" s="96" t="n">
        <f aca="false">[1]ВИБУЛО2!FZ7</f>
        <v>0</v>
      </c>
      <c r="TU15" s="97" t="n">
        <f aca="false">TU14-TT15+TS15</f>
        <v>0</v>
      </c>
      <c r="TV15" s="95" t="n">
        <f aca="false">[1]НАДІЙШЛО2!GA7</f>
        <v>0</v>
      </c>
      <c r="TW15" s="96" t="n">
        <f aca="false">[1]ВИБУЛО2!GA7</f>
        <v>0</v>
      </c>
      <c r="TX15" s="97" t="n">
        <f aca="false">TX14-TW15+TV15</f>
        <v>0</v>
      </c>
      <c r="TY15" s="95" t="n">
        <f aca="false">[1]НАДІЙШЛО2!GB7</f>
        <v>0</v>
      </c>
      <c r="TZ15" s="96" t="n">
        <f aca="false">[1]ВИБУЛО2!GB7</f>
        <v>0</v>
      </c>
      <c r="UA15" s="97" t="n">
        <f aca="false">UA14-TZ15+TY15</f>
        <v>0</v>
      </c>
      <c r="UB15" s="95" t="n">
        <f aca="false">[1]НАДІЙШЛО2!GC7</f>
        <v>0</v>
      </c>
      <c r="UC15" s="96" t="n">
        <f aca="false">[1]ВИБУЛО2!GC7</f>
        <v>0</v>
      </c>
      <c r="UD15" s="97" t="n">
        <f aca="false">UD14-UC15+UB15</f>
        <v>0</v>
      </c>
      <c r="UE15" s="95" t="n">
        <f aca="false">[1]НАДІЙШЛО2!GD7</f>
        <v>0</v>
      </c>
      <c r="UF15" s="96" t="n">
        <f aca="false">[1]ВИБУЛО2!GD7</f>
        <v>0</v>
      </c>
      <c r="UG15" s="97" t="n">
        <f aca="false">UG14-UF15+UE15</f>
        <v>0</v>
      </c>
      <c r="UH15" s="95" t="n">
        <f aca="false">[1]НАДІЙШЛО2!GE7</f>
        <v>0</v>
      </c>
      <c r="UI15" s="96" t="n">
        <f aca="false">[1]ВИБУЛО2!GE7</f>
        <v>0</v>
      </c>
      <c r="UJ15" s="97" t="n">
        <f aca="false">UJ14-UI15+UH15</f>
        <v>0</v>
      </c>
      <c r="UK15" s="95" t="n">
        <f aca="false">[1]НАДІЙШЛО2!GF7</f>
        <v>0</v>
      </c>
      <c r="UL15" s="96" t="n">
        <f aca="false">[1]ВИБУЛО2!GF7</f>
        <v>0</v>
      </c>
      <c r="UM15" s="97" t="n">
        <f aca="false">UM14-UL15+UK15</f>
        <v>0</v>
      </c>
      <c r="UN15" s="95" t="n">
        <f aca="false">[1]НАДІЙШЛО2!GG7</f>
        <v>0</v>
      </c>
      <c r="UO15" s="96" t="n">
        <f aca="false">[1]ВИБУЛО2!GG7</f>
        <v>0</v>
      </c>
      <c r="UP15" s="97" t="n">
        <f aca="false">UP14-UO15+UN15</f>
        <v>0</v>
      </c>
      <c r="UQ15" s="95" t="n">
        <f aca="false">[1]НАДІЙШЛО2!GH7</f>
        <v>0</v>
      </c>
      <c r="UR15" s="96" t="n">
        <f aca="false">[1]ВИБУЛО2!GH7</f>
        <v>0</v>
      </c>
      <c r="US15" s="97" t="n">
        <f aca="false">US14-UR15+UQ15</f>
        <v>0</v>
      </c>
      <c r="UT15" s="95" t="n">
        <f aca="false">[1]НАДІЙШЛО2!GI7</f>
        <v>0</v>
      </c>
      <c r="UU15" s="96" t="n">
        <f aca="false">[1]ВИБУЛО2!GI7</f>
        <v>0</v>
      </c>
      <c r="UV15" s="97" t="n">
        <f aca="false">UV14-UU15+UT15</f>
        <v>0</v>
      </c>
      <c r="UW15" s="95" t="n">
        <f aca="false">[1]НАДІЙШЛО2!GJ7</f>
        <v>0</v>
      </c>
      <c r="UX15" s="96" t="n">
        <f aca="false">[1]ВИБУЛО2!GJ7</f>
        <v>0</v>
      </c>
      <c r="UY15" s="97" t="n">
        <f aca="false">UY14-UX15+UW15</f>
        <v>0</v>
      </c>
      <c r="UZ15" s="95" t="n">
        <f aca="false">[1]НАДІЙШЛО2!GK7</f>
        <v>0</v>
      </c>
      <c r="VA15" s="96" t="n">
        <f aca="false">[1]ВИБУЛО2!GK7</f>
        <v>0</v>
      </c>
      <c r="VB15" s="97" t="n">
        <f aca="false">VB14-VA15+UZ15</f>
        <v>0</v>
      </c>
      <c r="VC15" s="95" t="n">
        <f aca="false">[1]НАДІЙШЛО2!GL7</f>
        <v>0</v>
      </c>
      <c r="VD15" s="96" t="n">
        <f aca="false">[1]ВИБУЛО2!GL7</f>
        <v>0</v>
      </c>
      <c r="VE15" s="97" t="n">
        <f aca="false">VE14-VD15+VC15</f>
        <v>0</v>
      </c>
      <c r="VF15" s="95" t="n">
        <f aca="false">[1]НАДІЙШЛО2!GM7</f>
        <v>0</v>
      </c>
      <c r="VG15" s="96" t="n">
        <f aca="false">[1]ВИБУЛО2!GM7</f>
        <v>0</v>
      </c>
      <c r="VH15" s="97" t="n">
        <f aca="false">VH14-VG15+VF15</f>
        <v>0</v>
      </c>
      <c r="VI15" s="95" t="n">
        <f aca="false">[1]НАДІЙШЛО2!GN7</f>
        <v>0</v>
      </c>
      <c r="VJ15" s="96" t="n">
        <f aca="false">[1]ВИБУЛО2!GN7</f>
        <v>0</v>
      </c>
      <c r="VK15" s="97" t="n">
        <f aca="false">VK14-VJ15+VI15</f>
        <v>0</v>
      </c>
      <c r="VL15" s="95" t="n">
        <f aca="false">[1]НАДІЙШЛО2!GO7</f>
        <v>0</v>
      </c>
      <c r="VM15" s="96" t="n">
        <f aca="false">[1]ВИБУЛО2!GO7</f>
        <v>0</v>
      </c>
      <c r="VN15" s="97" t="n">
        <f aca="false">VN14-VM15+VL15</f>
        <v>0</v>
      </c>
      <c r="VO15" s="95" t="n">
        <f aca="false">[1]НАДІЙШЛО2!GP7</f>
        <v>0</v>
      </c>
      <c r="VP15" s="96" t="n">
        <f aca="false">[1]ВИБУЛО2!GP7</f>
        <v>0</v>
      </c>
      <c r="VQ15" s="97" t="n">
        <f aca="false">VQ14-VP15+VO15</f>
        <v>0</v>
      </c>
      <c r="VR15" s="95" t="n">
        <f aca="false">[1]НАДІЙШЛО2!GQ7</f>
        <v>0</v>
      </c>
      <c r="VS15" s="96" t="n">
        <f aca="false">[1]ВИБУЛО2!GQ7</f>
        <v>0</v>
      </c>
      <c r="VT15" s="97" t="n">
        <f aca="false">VT14-VS15+VR15</f>
        <v>0</v>
      </c>
      <c r="VU15" s="95" t="n">
        <f aca="false">[1]НАДІЙШЛО2!GR7</f>
        <v>0</v>
      </c>
      <c r="VV15" s="96" t="n">
        <f aca="false">[1]ВИБУЛО2!GR7</f>
        <v>0</v>
      </c>
      <c r="VW15" s="97" t="n">
        <f aca="false">VW14-VV15+VU15</f>
        <v>0</v>
      </c>
      <c r="VX15" s="95" t="n">
        <f aca="false">[1]НАДІЙШЛО2!GS7</f>
        <v>0</v>
      </c>
      <c r="VY15" s="96" t="n">
        <f aca="false">[1]ВИБУЛО2!GS7</f>
        <v>0</v>
      </c>
      <c r="VZ15" s="97" t="n">
        <f aca="false">VZ14-VY15+VX15</f>
        <v>0</v>
      </c>
      <c r="WA15" s="95" t="n">
        <f aca="false">[1]НАДІЙШЛО2!GT7</f>
        <v>0</v>
      </c>
      <c r="WB15" s="96" t="n">
        <f aca="false">[1]ВИБУЛО2!GT7</f>
        <v>0</v>
      </c>
      <c r="WC15" s="97" t="n">
        <f aca="false">WC14-WB15+WA15</f>
        <v>0</v>
      </c>
      <c r="WD15" s="95" t="n">
        <f aca="false">[1]НАДІЙШЛО2!GU7</f>
        <v>0</v>
      </c>
      <c r="WE15" s="96" t="n">
        <f aca="false">[1]ВИБУЛО2!GU7</f>
        <v>0</v>
      </c>
      <c r="WF15" s="97" t="n">
        <f aca="false">WF14-WE15+WD15</f>
        <v>0</v>
      </c>
      <c r="WG15" s="95" t="n">
        <f aca="false">[1]НАДІЙШЛО2!GV7</f>
        <v>0</v>
      </c>
      <c r="WH15" s="96" t="n">
        <f aca="false">[1]ВИБУЛО2!GV7</f>
        <v>0</v>
      </c>
      <c r="WI15" s="97" t="n">
        <f aca="false">WI14-WH15+WG15</f>
        <v>0</v>
      </c>
      <c r="WJ15" s="95" t="n">
        <f aca="false">[1]НАДІЙШЛО2!GW7</f>
        <v>0</v>
      </c>
      <c r="WK15" s="96" t="n">
        <f aca="false">[1]ВИБУЛО2!GW7</f>
        <v>0</v>
      </c>
      <c r="WL15" s="97" t="n">
        <f aca="false">WL14-WK15+WJ15</f>
        <v>0</v>
      </c>
      <c r="WM15" s="95" t="n">
        <f aca="false">[1]НАДІЙШЛО2!GX7</f>
        <v>0</v>
      </c>
      <c r="WN15" s="96" t="n">
        <f aca="false">[1]ВИБУЛО2!GX7</f>
        <v>0</v>
      </c>
      <c r="WO15" s="97" t="n">
        <f aca="false">WO14-WN15+WM15</f>
        <v>0</v>
      </c>
      <c r="WP15" s="95" t="n">
        <f aca="false">[1]НАДІЙШЛО2!GY7</f>
        <v>0</v>
      </c>
      <c r="WQ15" s="96" t="n">
        <f aca="false">[1]ВИБУЛО2!GY7</f>
        <v>0</v>
      </c>
      <c r="WR15" s="97" t="n">
        <f aca="false">WR14-WQ15+WP15</f>
        <v>0</v>
      </c>
      <c r="WS15" s="95" t="n">
        <f aca="false">[1]НАДІЙШЛО2!GZ7</f>
        <v>0</v>
      </c>
      <c r="WT15" s="96" t="n">
        <f aca="false">[1]ВИБУЛО2!GZ7</f>
        <v>0</v>
      </c>
      <c r="WU15" s="97" t="n">
        <f aca="false">WU14-WT15+WS15</f>
        <v>0</v>
      </c>
      <c r="WV15" s="95" t="n">
        <f aca="false">[1]НАДІЙШЛО2!HA7</f>
        <v>0</v>
      </c>
      <c r="WW15" s="96" t="n">
        <f aca="false">[1]ВИБУЛО2!HA7</f>
        <v>0</v>
      </c>
      <c r="WX15" s="97" t="n">
        <f aca="false">WX14-WW15+WV15</f>
        <v>0</v>
      </c>
      <c r="WY15" s="95" t="n">
        <f aca="false">[1]НАДІЙШЛО2!HB7</f>
        <v>0</v>
      </c>
      <c r="WZ15" s="96" t="n">
        <f aca="false">[1]ВИБУЛО2!HB7</f>
        <v>0</v>
      </c>
      <c r="XA15" s="97" t="n">
        <f aca="false">XA14-WZ15+WY15</f>
        <v>0</v>
      </c>
      <c r="XB15" s="95" t="n">
        <f aca="false">[1]НАДІЙШЛО2!HC7</f>
        <v>0</v>
      </c>
      <c r="XC15" s="96" t="n">
        <f aca="false">[1]ВИБУЛО2!HC7</f>
        <v>0</v>
      </c>
      <c r="XD15" s="97" t="n">
        <f aca="false">XD14-XC15+XB15</f>
        <v>0</v>
      </c>
      <c r="XE15" s="95" t="n">
        <f aca="false">[1]НАДІЙШЛО2!HD7</f>
        <v>0</v>
      </c>
      <c r="XF15" s="96" t="n">
        <f aca="false">[1]ВИБУЛО2!HD7</f>
        <v>0</v>
      </c>
      <c r="XG15" s="97" t="n">
        <f aca="false">XG14-XF15+XE15</f>
        <v>0</v>
      </c>
      <c r="XH15" s="95" t="n">
        <f aca="false">[1]НАДІЙШЛО2!HE7</f>
        <v>0</v>
      </c>
      <c r="XI15" s="96" t="n">
        <f aca="false">[1]ВИБУЛО2!HE7</f>
        <v>0</v>
      </c>
      <c r="XJ15" s="97" t="n">
        <f aca="false">XJ14-XI15+XH15</f>
        <v>0</v>
      </c>
      <c r="XK15" s="95" t="n">
        <f aca="false">[1]НАДІЙШЛО2!HF7</f>
        <v>0</v>
      </c>
      <c r="XL15" s="96" t="n">
        <f aca="false">[1]ВИБУЛО2!HF7</f>
        <v>0</v>
      </c>
      <c r="XM15" s="97" t="n">
        <f aca="false">XM14-XL15+XK15</f>
        <v>0</v>
      </c>
      <c r="XN15" s="95" t="n">
        <f aca="false">[1]НАДІЙШЛО2!HG7</f>
        <v>0</v>
      </c>
      <c r="XO15" s="96" t="n">
        <f aca="false">[1]ВИБУЛО2!HG7</f>
        <v>0</v>
      </c>
      <c r="XP15" s="97" t="n">
        <f aca="false">XP14-XO15+XN15</f>
        <v>0</v>
      </c>
      <c r="XQ15" s="95" t="n">
        <f aca="false">[1]НАДІЙШЛО2!HH7</f>
        <v>0</v>
      </c>
      <c r="XR15" s="96" t="n">
        <f aca="false">[1]ВИБУЛО2!HH7</f>
        <v>0</v>
      </c>
      <c r="XS15" s="97" t="n">
        <f aca="false">XS14-XR15+XQ15</f>
        <v>0</v>
      </c>
      <c r="XT15" s="95" t="n">
        <f aca="false">[1]НАДІЙШЛО2!HI7</f>
        <v>0</v>
      </c>
      <c r="XU15" s="96" t="n">
        <f aca="false">[1]ВИБУЛО2!HI7</f>
        <v>0</v>
      </c>
      <c r="XV15" s="97" t="n">
        <f aca="false">XV14-XU15+XT15</f>
        <v>0</v>
      </c>
      <c r="XW15" s="95" t="n">
        <f aca="false">[1]НАДІЙШЛО2!HJ7</f>
        <v>0</v>
      </c>
      <c r="XX15" s="96" t="n">
        <f aca="false">[1]ВИБУЛО2!HJ7</f>
        <v>0</v>
      </c>
      <c r="XY15" s="97" t="n">
        <f aca="false">XY14-XX15+XW15</f>
        <v>0</v>
      </c>
      <c r="XZ15" s="95" t="n">
        <f aca="false">[1]НАДІЙШЛО2!HK7</f>
        <v>0</v>
      </c>
      <c r="YA15" s="96" t="n">
        <f aca="false">[1]ВИБУЛО2!HK7</f>
        <v>0</v>
      </c>
      <c r="YB15" s="97" t="n">
        <f aca="false">YB14-YA15+XZ15</f>
        <v>0</v>
      </c>
      <c r="YC15" s="95" t="n">
        <f aca="false">[1]НАДІЙШЛО2!HL7</f>
        <v>0</v>
      </c>
      <c r="YD15" s="96" t="n">
        <f aca="false">[1]ВИБУЛО2!HL7</f>
        <v>0</v>
      </c>
      <c r="YE15" s="97" t="n">
        <f aca="false">YE14-YD15+YC15</f>
        <v>0</v>
      </c>
      <c r="YF15" s="95" t="n">
        <f aca="false">[1]НАДІЙШЛО2!HM7</f>
        <v>0</v>
      </c>
      <c r="YG15" s="96" t="n">
        <f aca="false">[1]ВИБУЛО2!HM7</f>
        <v>0</v>
      </c>
      <c r="YH15" s="97" t="n">
        <f aca="false">YH14-YG15+YF15</f>
        <v>0</v>
      </c>
      <c r="YI15" s="95" t="n">
        <f aca="false">[1]НАДІЙШЛО2!HN7</f>
        <v>0</v>
      </c>
      <c r="YJ15" s="96" t="n">
        <f aca="false">[1]ВИБУЛО2!HN7</f>
        <v>0</v>
      </c>
      <c r="YK15" s="97" t="n">
        <f aca="false">YK14-YJ15+YI15</f>
        <v>0</v>
      </c>
      <c r="YL15" s="95" t="n">
        <f aca="false">[1]НАДІЙШЛО2!HO7</f>
        <v>0</v>
      </c>
      <c r="YM15" s="96" t="n">
        <f aca="false">[1]ВИБУЛО2!HO7</f>
        <v>0</v>
      </c>
      <c r="YN15" s="97" t="n">
        <f aca="false">YN14-YM15+YL15</f>
        <v>0</v>
      </c>
      <c r="YO15" s="95" t="n">
        <f aca="false">[1]НАДІЙШЛО2!HP7</f>
        <v>0</v>
      </c>
      <c r="YP15" s="96" t="n">
        <f aca="false">[1]ВИБУЛО2!HP7</f>
        <v>0</v>
      </c>
      <c r="YQ15" s="97" t="n">
        <f aca="false">YQ14-YP15+YO15</f>
        <v>0</v>
      </c>
      <c r="YR15" s="95" t="n">
        <f aca="false">[1]НАДІЙШЛО2!HQ7</f>
        <v>0</v>
      </c>
      <c r="YS15" s="96" t="n">
        <f aca="false">[1]ВИБУЛО2!HQ7</f>
        <v>0</v>
      </c>
      <c r="YT15" s="97" t="n">
        <f aca="false">YT14-YS15+YR15</f>
        <v>0</v>
      </c>
      <c r="YU15" s="95" t="n">
        <f aca="false">[1]НАДІЙШЛО2!HR7</f>
        <v>0</v>
      </c>
      <c r="YV15" s="96" t="n">
        <f aca="false">[1]ВИБУЛО2!HR7</f>
        <v>0</v>
      </c>
      <c r="YW15" s="97" t="n">
        <f aca="false">YW14-YV15+YU15</f>
        <v>0</v>
      </c>
      <c r="YX15" s="95" t="n">
        <f aca="false">[1]НАДІЙШЛО2!HS7</f>
        <v>0</v>
      </c>
      <c r="YY15" s="96" t="n">
        <f aca="false">[1]ВИБУЛО2!HS7</f>
        <v>0</v>
      </c>
      <c r="YZ15" s="97" t="n">
        <f aca="false">YZ14-YY15+YX15</f>
        <v>0</v>
      </c>
      <c r="ZA15" s="95" t="n">
        <f aca="false">[1]НАДІЙШЛО2!HT7</f>
        <v>0</v>
      </c>
      <c r="ZB15" s="96" t="n">
        <f aca="false">[1]ВИБУЛО2!HT7</f>
        <v>0</v>
      </c>
      <c r="ZC15" s="97" t="n">
        <f aca="false">ZC14-ZB15+ZA15</f>
        <v>0</v>
      </c>
      <c r="ZD15" s="95" t="n">
        <f aca="false">[1]НАДІЙШЛО2!HU7</f>
        <v>0</v>
      </c>
      <c r="ZE15" s="96" t="n">
        <f aca="false">[1]ВИБУЛО2!HU7</f>
        <v>0</v>
      </c>
      <c r="ZF15" s="97" t="n">
        <f aca="false">ZF14-ZE15+ZD15</f>
        <v>0</v>
      </c>
      <c r="ZG15" s="95" t="n">
        <f aca="false">[1]НАДІЙШЛО2!HV7</f>
        <v>0</v>
      </c>
      <c r="ZH15" s="96" t="n">
        <f aca="false">[1]ВИБУЛО2!HV7</f>
        <v>0</v>
      </c>
      <c r="ZI15" s="97" t="n">
        <f aca="false">ZI14-ZH15+ZG15</f>
        <v>0</v>
      </c>
      <c r="ZJ15" s="95" t="n">
        <f aca="false">[1]НАДІЙШЛО2!HW7</f>
        <v>0</v>
      </c>
      <c r="ZK15" s="96" t="n">
        <f aca="false">[1]ВИБУЛО2!HW7</f>
        <v>0</v>
      </c>
      <c r="ZL15" s="97" t="n">
        <f aca="false">ZL14-ZK15+ZJ15</f>
        <v>0</v>
      </c>
      <c r="ZM15" s="95" t="n">
        <f aca="false">[1]НАДІЙШЛО2!HX7</f>
        <v>0</v>
      </c>
      <c r="ZN15" s="96" t="n">
        <f aca="false">[1]ВИБУЛО2!HX7</f>
        <v>0</v>
      </c>
      <c r="ZO15" s="97" t="n">
        <f aca="false">ZO14-ZN15+ZM15</f>
        <v>0</v>
      </c>
      <c r="ZP15" s="95" t="n">
        <f aca="false">[1]НАДІЙШЛО2!HY7</f>
        <v>0</v>
      </c>
      <c r="ZQ15" s="96" t="n">
        <f aca="false">[1]ВИБУЛО2!HY7</f>
        <v>0</v>
      </c>
      <c r="ZR15" s="97" t="n">
        <f aca="false">ZR14-ZQ15+ZP15</f>
        <v>0</v>
      </c>
      <c r="ZS15" s="95" t="n">
        <f aca="false">[1]НАДІЙШЛО2!HZ7</f>
        <v>0</v>
      </c>
      <c r="ZT15" s="96" t="n">
        <f aca="false">[1]ВИБУЛО2!HZ7</f>
        <v>0</v>
      </c>
      <c r="ZU15" s="97" t="n">
        <f aca="false">ZU14-ZT15+ZS15</f>
        <v>0</v>
      </c>
      <c r="ZV15" s="95" t="n">
        <f aca="false">[1]НАДІЙШЛО2!IA7</f>
        <v>0</v>
      </c>
      <c r="ZW15" s="96" t="n">
        <f aca="false">[1]ВИБУЛО2!IA7</f>
        <v>0</v>
      </c>
      <c r="ZX15" s="97" t="n">
        <f aca="false">ZX14-ZW15+ZV15</f>
        <v>0</v>
      </c>
      <c r="ZY15" s="95" t="n">
        <f aca="false">[1]НАДІЙШЛО2!IB7</f>
        <v>0</v>
      </c>
      <c r="ZZ15" s="96" t="n">
        <f aca="false">[1]ВИБУЛО2!IB7</f>
        <v>0</v>
      </c>
      <c r="AAA15" s="97" t="n">
        <f aca="false">AAA14-ZZ15+ZY15</f>
        <v>0</v>
      </c>
      <c r="AAB15" s="95" t="n">
        <f aca="false">[1]НАДІЙШЛО2!IC7</f>
        <v>0</v>
      </c>
      <c r="AAC15" s="96" t="n">
        <f aca="false">[1]ВИБУЛО2!IC7</f>
        <v>0</v>
      </c>
      <c r="AAD15" s="97" t="n">
        <f aca="false">AAD14-AAC15+AAB15</f>
        <v>0</v>
      </c>
      <c r="AAE15" s="95" t="n">
        <f aca="false">[1]НАДІЙШЛО2!ID7</f>
        <v>0</v>
      </c>
      <c r="AAF15" s="96" t="n">
        <f aca="false">[1]ВИБУЛО2!ID7</f>
        <v>0</v>
      </c>
      <c r="AAG15" s="97" t="n">
        <f aca="false">AAG14-AAF15+AAE15</f>
        <v>0</v>
      </c>
      <c r="AAH15" s="95" t="n">
        <f aca="false">[1]НАДІЙШЛО2!IE7</f>
        <v>0</v>
      </c>
      <c r="AAI15" s="96" t="n">
        <f aca="false">[1]ВИБУЛО2!IE7</f>
        <v>0</v>
      </c>
      <c r="AAJ15" s="97" t="n">
        <f aca="false">AAJ14-AAI15+AAH15</f>
        <v>0</v>
      </c>
      <c r="AAK15" s="95" t="n">
        <f aca="false">[1]НАДІЙШЛО2!IF7</f>
        <v>0</v>
      </c>
      <c r="AAL15" s="96" t="n">
        <f aca="false">[1]ВИБУЛО2!IF7</f>
        <v>0</v>
      </c>
      <c r="AAM15" s="97" t="n">
        <f aca="false">AAM14-AAL15+AAK15</f>
        <v>0</v>
      </c>
      <c r="AAN15" s="95" t="n">
        <f aca="false">[1]НАДІЙШЛО2!IG7</f>
        <v>0</v>
      </c>
      <c r="AAO15" s="96" t="n">
        <f aca="false">[1]ВИБУЛО2!IG7</f>
        <v>0</v>
      </c>
      <c r="AAP15" s="97" t="n">
        <f aca="false">AAP14-AAO15+AAN15</f>
        <v>0</v>
      </c>
      <c r="AAQ15" s="95" t="n">
        <f aca="false">[1]НАДІЙШЛО2!IH7</f>
        <v>0</v>
      </c>
      <c r="AAR15" s="96" t="n">
        <f aca="false">[1]ВИБУЛО2!IH7</f>
        <v>0</v>
      </c>
      <c r="AAS15" s="97" t="n">
        <f aca="false">AAS14-AAR15+AAQ15</f>
        <v>0</v>
      </c>
      <c r="AAT15" s="95" t="n">
        <f aca="false">[1]НАДІЙШЛО2!II7</f>
        <v>0</v>
      </c>
      <c r="AAU15" s="96" t="n">
        <f aca="false">[1]ВИБУЛО2!II7</f>
        <v>0</v>
      </c>
      <c r="AAV15" s="97" t="n">
        <f aca="false">AAV14-AAU15+AAT15</f>
        <v>0</v>
      </c>
      <c r="AAW15" s="95" t="n">
        <f aca="false">[1]НАДІЙШЛО2!IJ7</f>
        <v>0</v>
      </c>
      <c r="AAX15" s="96" t="n">
        <f aca="false">[1]ВИБУЛО2!IJ7</f>
        <v>0</v>
      </c>
      <c r="AAY15" s="97" t="n">
        <f aca="false">AAY14-AAX15+AAW15</f>
        <v>0</v>
      </c>
      <c r="AAZ15" s="95" t="n">
        <f aca="false">[1]НАДІЙШЛО2!IK7</f>
        <v>0</v>
      </c>
      <c r="ABA15" s="96" t="n">
        <f aca="false">[1]ВИБУЛО2!IK7</f>
        <v>0</v>
      </c>
      <c r="ABB15" s="97" t="n">
        <f aca="false">ABB14-ABA15+AAZ15</f>
        <v>0</v>
      </c>
      <c r="ABC15" s="95" t="n">
        <f aca="false">[1]НАДІЙШЛО2!IL7</f>
        <v>0</v>
      </c>
      <c r="ABD15" s="96" t="n">
        <f aca="false">[1]ВИБУЛО2!IL7</f>
        <v>0</v>
      </c>
      <c r="ABE15" s="97" t="n">
        <f aca="false">ABE14-ABD15+ABC15</f>
        <v>0</v>
      </c>
      <c r="ABF15" s="95" t="n">
        <f aca="false">[1]НАДІЙШЛО2!IM7</f>
        <v>0</v>
      </c>
      <c r="ABG15" s="96" t="n">
        <f aca="false">[1]ВИБУЛО2!IM7</f>
        <v>0</v>
      </c>
      <c r="ABH15" s="97" t="n">
        <f aca="false">ABH14-ABG15+ABF15</f>
        <v>0</v>
      </c>
      <c r="ABI15" s="95" t="n">
        <f aca="false">[1]НАДІЙШЛО2!IN7</f>
        <v>0</v>
      </c>
      <c r="ABJ15" s="96" t="n">
        <f aca="false">[1]ВИБУЛО2!IN7</f>
        <v>0</v>
      </c>
      <c r="ABK15" s="97" t="n">
        <f aca="false">ABK14-ABJ15+ABI15</f>
        <v>0</v>
      </c>
      <c r="ABL15" s="95" t="n">
        <f aca="false">[1]НАДІЙШЛО2!IO7</f>
        <v>0</v>
      </c>
      <c r="ABM15" s="96" t="n">
        <f aca="false">[1]ВИБУЛО2!IO7</f>
        <v>0</v>
      </c>
      <c r="ABN15" s="97" t="n">
        <f aca="false">ABN14-ABM15+ABL15</f>
        <v>0</v>
      </c>
      <c r="ABO15" s="95" t="n">
        <f aca="false">[1]НАДІЙШЛО2!IP7</f>
        <v>0</v>
      </c>
      <c r="ABP15" s="96" t="n">
        <f aca="false">[1]ВИБУЛО2!IP7</f>
        <v>0</v>
      </c>
      <c r="ABQ15" s="97" t="n">
        <f aca="false">ABQ14-ABP15+ABO15</f>
        <v>0</v>
      </c>
      <c r="ABR15" s="95" t="n">
        <f aca="false">[1]НАДІЙШЛО2!IQ7</f>
        <v>0</v>
      </c>
      <c r="ABS15" s="96" t="n">
        <f aca="false">[1]ВИБУЛО2!IQ7</f>
        <v>0</v>
      </c>
      <c r="ABT15" s="97" t="n">
        <f aca="false">ABT14-ABS15+ABR15</f>
        <v>0</v>
      </c>
      <c r="ABU15" s="95" t="n">
        <f aca="false">[1]НАДІЙШЛО2!IR7</f>
        <v>0</v>
      </c>
      <c r="ABV15" s="96" t="n">
        <f aca="false">[1]ВИБУЛО2!IR7</f>
        <v>0</v>
      </c>
      <c r="ABW15" s="97" t="n">
        <f aca="false">ABW14-ABV15+ABU15</f>
        <v>0</v>
      </c>
      <c r="ABX15" s="95" t="n">
        <f aca="false">[1]НАДІЙШЛО2!IS7</f>
        <v>0</v>
      </c>
      <c r="ABY15" s="96" t="n">
        <f aca="false">[1]ВИБУЛО2!IS7</f>
        <v>0</v>
      </c>
      <c r="ABZ15" s="97" t="n">
        <f aca="false">ABZ14-ABY15+ABX15</f>
        <v>0</v>
      </c>
      <c r="ACA15" s="95" t="n">
        <f aca="false">[1]НАДІЙШЛО2!IT7</f>
        <v>0</v>
      </c>
      <c r="ACB15" s="96" t="n">
        <f aca="false">[1]ВИБУЛО2!IT7</f>
        <v>0</v>
      </c>
      <c r="ACC15" s="97" t="n">
        <f aca="false">ACC14-ACB15+ACA15</f>
        <v>0</v>
      </c>
      <c r="ACD15" s="95" t="n">
        <f aca="false">[1]НАДІЙШЛО2!IU7</f>
        <v>0</v>
      </c>
      <c r="ACE15" s="96" t="n">
        <f aca="false">[1]ВИБУЛО2!IU7</f>
        <v>0</v>
      </c>
      <c r="ACF15" s="97" t="n">
        <f aca="false">ACF14-ACE15+ACD15</f>
        <v>0</v>
      </c>
      <c r="ACG15" s="95" t="n">
        <f aca="false">[1]НАДІЙШЛО2!IV7</f>
        <v>0</v>
      </c>
      <c r="ACH15" s="96" t="n">
        <f aca="false">[1]ВИБУЛО2!IV7</f>
        <v>0</v>
      </c>
      <c r="ACI15" s="97" t="n">
        <f aca="false">ACI14-ACH15+ACG15</f>
        <v>0</v>
      </c>
      <c r="ACJ15" s="95" t="n">
        <f aca="false">[1]НАДІЙШЛО2!IW7</f>
        <v>0</v>
      </c>
      <c r="ACK15" s="96" t="n">
        <f aca="false">[1]ВИБУЛО2!IW7</f>
        <v>0</v>
      </c>
      <c r="ACL15" s="97" t="n">
        <f aca="false">ACL14-ACK15+ACJ15</f>
        <v>0</v>
      </c>
      <c r="ACM15" s="95" t="n">
        <f aca="false">[1]НАДІЙШЛО2!IX7</f>
        <v>0</v>
      </c>
      <c r="ACN15" s="96" t="n">
        <f aca="false">[1]ВИБУЛО2!IX7</f>
        <v>0</v>
      </c>
      <c r="ACO15" s="97" t="n">
        <f aca="false">ACO14-ACN15+ACM15</f>
        <v>0</v>
      </c>
      <c r="ACP15" s="95" t="n">
        <f aca="false">[1]НАДІЙШЛО2!IY7</f>
        <v>0</v>
      </c>
      <c r="ACQ15" s="96" t="n">
        <f aca="false">[1]ВИБУЛО2!IY7</f>
        <v>0</v>
      </c>
      <c r="ACR15" s="97" t="n">
        <f aca="false">ACR14-ACQ15+ACP15</f>
        <v>0</v>
      </c>
      <c r="ACS15" s="95" t="n">
        <f aca="false">[1]НАДІЙШЛО2!IZ7</f>
        <v>0</v>
      </c>
      <c r="ACT15" s="96" t="n">
        <f aca="false">[1]ВИБУЛО2!IZ7</f>
        <v>0</v>
      </c>
      <c r="ACU15" s="97" t="n">
        <f aca="false">ACU14-ACT15+ACS15</f>
        <v>0</v>
      </c>
      <c r="ACV15" s="95" t="n">
        <f aca="false">[1]НАДІЙШЛО2!JA7</f>
        <v>0</v>
      </c>
      <c r="ACW15" s="96" t="n">
        <f aca="false">[1]ВИБУЛО2!JA7</f>
        <v>0</v>
      </c>
      <c r="ACX15" s="97" t="n">
        <f aca="false">ACX14-ACW15+ACV15</f>
        <v>0</v>
      </c>
      <c r="ACY15" s="95" t="n">
        <f aca="false">[1]НАДІЙШЛО2!JB7</f>
        <v>0</v>
      </c>
      <c r="ACZ15" s="96" t="n">
        <f aca="false">[1]ВИБУЛО2!JB7</f>
        <v>0</v>
      </c>
      <c r="ADA15" s="97" t="n">
        <f aca="false">ADA14-ACZ15+ACY15</f>
        <v>0</v>
      </c>
      <c r="ADB15" s="95" t="n">
        <f aca="false">[1]НАДІЙШЛО2!JC7</f>
        <v>0</v>
      </c>
      <c r="ADC15" s="96" t="n">
        <f aca="false">[1]ВИБУЛО2!JC7</f>
        <v>0</v>
      </c>
      <c r="ADD15" s="97" t="n">
        <f aca="false">ADD14-ADC15+ADB15</f>
        <v>0</v>
      </c>
      <c r="ADE15" s="95" t="n">
        <f aca="false">[1]НАДІЙШЛО2!JD7</f>
        <v>0</v>
      </c>
      <c r="ADF15" s="96" t="n">
        <f aca="false">[1]ВИБУЛО2!JD7</f>
        <v>0</v>
      </c>
      <c r="ADG15" s="97" t="n">
        <f aca="false">ADG14-ADF15+ADE15</f>
        <v>0</v>
      </c>
      <c r="ADH15" s="95" t="n">
        <f aca="false">[1]НАДІЙШЛО2!JE7</f>
        <v>0</v>
      </c>
      <c r="ADI15" s="96" t="n">
        <f aca="false">[1]ВИБУЛО2!JE7</f>
        <v>0</v>
      </c>
      <c r="ADJ15" s="97" t="n">
        <f aca="false">ADJ14-ADI15+ADH15</f>
        <v>0</v>
      </c>
      <c r="ADK15" s="95" t="n">
        <f aca="false">[1]НАДІЙШЛО2!JF7</f>
        <v>0</v>
      </c>
      <c r="ADL15" s="96" t="n">
        <f aca="false">[1]ВИБУЛО2!JF7</f>
        <v>0</v>
      </c>
      <c r="ADM15" s="97" t="n">
        <f aca="false">ADM14-ADL15+ADK15</f>
        <v>0</v>
      </c>
      <c r="ADN15" s="95" t="n">
        <f aca="false">[1]НАДІЙШЛО2!JG7</f>
        <v>0</v>
      </c>
      <c r="ADO15" s="96" t="n">
        <f aca="false">[1]ВИБУЛО2!JG7</f>
        <v>0</v>
      </c>
      <c r="ADP15" s="97" t="n">
        <f aca="false">ADP14-ADO15+ADN15</f>
        <v>0</v>
      </c>
      <c r="ADQ15" s="95" t="n">
        <f aca="false">[1]НАДІЙШЛО2!JH7</f>
        <v>0</v>
      </c>
      <c r="ADR15" s="96" t="n">
        <f aca="false">[1]ВИБУЛО2!JH7</f>
        <v>0</v>
      </c>
      <c r="ADS15" s="97" t="n">
        <f aca="false">ADS14-ADR15+ADQ15</f>
        <v>0</v>
      </c>
      <c r="ADT15" s="95" t="n">
        <f aca="false">[1]НАДІЙШЛО2!JI7</f>
        <v>0</v>
      </c>
      <c r="ADU15" s="96" t="n">
        <f aca="false">[1]ВИБУЛО2!JI7</f>
        <v>0</v>
      </c>
      <c r="ADV15" s="97" t="n">
        <f aca="false">ADV14-ADU15+ADT15</f>
        <v>0</v>
      </c>
      <c r="ADW15" s="95" t="n">
        <f aca="false">[1]НАДІЙШЛО2!JJ7</f>
        <v>0</v>
      </c>
      <c r="ADX15" s="96" t="n">
        <f aca="false">[1]ВИБУЛО2!JJ7</f>
        <v>0</v>
      </c>
      <c r="ADY15" s="97" t="n">
        <f aca="false">ADY14-ADX15+ADW15</f>
        <v>0</v>
      </c>
      <c r="ADZ15" s="95" t="n">
        <f aca="false">[1]НАДІЙШЛО2!JK7</f>
        <v>0</v>
      </c>
      <c r="AEA15" s="96" t="n">
        <f aca="false">[1]ВИБУЛО2!JK7</f>
        <v>0</v>
      </c>
      <c r="AEB15" s="97" t="n">
        <f aca="false">AEB14-AEA15+ADZ15</f>
        <v>0</v>
      </c>
      <c r="AEC15" s="95" t="n">
        <f aca="false">[1]НАДІЙШЛО2!JL7</f>
        <v>0</v>
      </c>
      <c r="AED15" s="96" t="n">
        <f aca="false">[1]ВИБУЛО2!JL7</f>
        <v>0</v>
      </c>
      <c r="AEE15" s="97" t="n">
        <f aca="false">AEE14-AED15+AEC15</f>
        <v>0</v>
      </c>
      <c r="AEF15" s="95" t="n">
        <f aca="false">[1]НАДІЙШЛО2!JM7</f>
        <v>0</v>
      </c>
      <c r="AEG15" s="96" t="n">
        <f aca="false">[1]ВИБУЛО2!JM7</f>
        <v>0</v>
      </c>
      <c r="AEH15" s="97" t="n">
        <f aca="false">AEH14-AEG15+AEF15</f>
        <v>0</v>
      </c>
      <c r="AEI15" s="95" t="n">
        <f aca="false">[1]НАДІЙШЛО2!JN7</f>
        <v>0</v>
      </c>
      <c r="AEJ15" s="96" t="n">
        <f aca="false">[1]ВИБУЛО2!JN7</f>
        <v>0</v>
      </c>
      <c r="AEK15" s="97" t="n">
        <f aca="false">AEK14-AEJ15+AEI15</f>
        <v>0</v>
      </c>
      <c r="AEL15" s="95" t="n">
        <f aca="false">[1]НАДІЙШЛО2!JO7</f>
        <v>0</v>
      </c>
      <c r="AEM15" s="96" t="n">
        <f aca="false">[1]ВИБУЛО2!JO7</f>
        <v>0</v>
      </c>
      <c r="AEN15" s="97" t="n">
        <f aca="false">AEN14-AEM15+AEL15</f>
        <v>0</v>
      </c>
      <c r="AEO15" s="95" t="n">
        <f aca="false">[1]НАДІЙШЛО2!JP7</f>
        <v>0</v>
      </c>
      <c r="AEP15" s="96" t="n">
        <f aca="false">[1]ВИБУЛО2!JP7</f>
        <v>0</v>
      </c>
      <c r="AEQ15" s="97" t="n">
        <f aca="false">AEQ14-AEP15+AEO15</f>
        <v>0</v>
      </c>
      <c r="AER15" s="95" t="n">
        <f aca="false">[1]НАДІЙШЛО2!JQ7</f>
        <v>0</v>
      </c>
      <c r="AES15" s="96" t="n">
        <f aca="false">[1]ВИБУЛО2!JQ7</f>
        <v>0</v>
      </c>
      <c r="AET15" s="97" t="n">
        <f aca="false">AET14-AES15+AER15</f>
        <v>0</v>
      </c>
      <c r="AEU15" s="95" t="n">
        <f aca="false">[1]НАДІЙШЛО2!JR7</f>
        <v>0</v>
      </c>
      <c r="AEV15" s="96" t="n">
        <f aca="false">[1]ВИБУЛО2!JR7</f>
        <v>0</v>
      </c>
      <c r="AEW15" s="97" t="n">
        <f aca="false">AEW14-AEV15+AEU15</f>
        <v>0</v>
      </c>
      <c r="AEX15" s="95" t="n">
        <f aca="false">[1]НАДІЙШЛО2!JS7</f>
        <v>0</v>
      </c>
      <c r="AEY15" s="96" t="n">
        <f aca="false">[1]ВИБУЛО2!JS7</f>
        <v>0</v>
      </c>
      <c r="AEZ15" s="97" t="n">
        <f aca="false">AEZ14-AEY15+AEX15</f>
        <v>0</v>
      </c>
      <c r="AFA15" s="95" t="n">
        <f aca="false">[1]НАДІЙШЛО2!JT7</f>
        <v>0</v>
      </c>
      <c r="AFB15" s="96" t="n">
        <f aca="false">[1]ВИБУЛО2!JT7</f>
        <v>0</v>
      </c>
      <c r="AFC15" s="97" t="n">
        <f aca="false">AFC14-AFB15+AFA15</f>
        <v>0</v>
      </c>
      <c r="AFD15" s="95" t="n">
        <f aca="false">[1]НАДІЙШЛО2!JU7</f>
        <v>0</v>
      </c>
      <c r="AFE15" s="96" t="n">
        <f aca="false">[1]ВИБУЛО2!JU7</f>
        <v>0</v>
      </c>
      <c r="AFF15" s="97" t="n">
        <f aca="false">AFF14-AFE15+AFD15</f>
        <v>0</v>
      </c>
      <c r="AFG15" s="95" t="n">
        <f aca="false">[1]НАДІЙШЛО2!JV7</f>
        <v>0</v>
      </c>
      <c r="AFH15" s="96" t="n">
        <f aca="false">[1]ВИБУЛО2!JV7</f>
        <v>0</v>
      </c>
      <c r="AFI15" s="97" t="n">
        <f aca="false">AFI14-AFH15+AFG15</f>
        <v>0</v>
      </c>
      <c r="AFJ15" s="95" t="n">
        <f aca="false">[1]НАДІЙШЛО2!JW7</f>
        <v>0</v>
      </c>
      <c r="AFK15" s="96" t="n">
        <f aca="false">[1]ВИБУЛО2!JW7</f>
        <v>0</v>
      </c>
      <c r="AFL15" s="97" t="n">
        <f aca="false">AFL14-AFK15+AFJ15</f>
        <v>0</v>
      </c>
      <c r="AFM15" s="95" t="n">
        <f aca="false">[1]НАДІЙШЛО2!JX7</f>
        <v>0</v>
      </c>
      <c r="AFN15" s="96" t="n">
        <f aca="false">[1]ВИБУЛО2!JX7</f>
        <v>0</v>
      </c>
      <c r="AFO15" s="97" t="n">
        <f aca="false">AFO14-AFN15+AFM15</f>
        <v>0</v>
      </c>
      <c r="AFP15" s="95" t="n">
        <f aca="false">[1]НАДІЙШЛО2!JY7</f>
        <v>0</v>
      </c>
      <c r="AFQ15" s="96" t="n">
        <f aca="false">[1]ВИБУЛО2!JY7</f>
        <v>0</v>
      </c>
      <c r="AFR15" s="97" t="n">
        <f aca="false">AFR14-AFQ15+AFP15</f>
        <v>0</v>
      </c>
      <c r="AFS15" s="95" t="n">
        <f aca="false">[1]НАДІЙШЛО2!JZ7</f>
        <v>0</v>
      </c>
      <c r="AFT15" s="96" t="n">
        <f aca="false">[1]ВИБУЛО2!JZ7</f>
        <v>0</v>
      </c>
      <c r="AFU15" s="97" t="n">
        <f aca="false">AFU14-AFT15+AFS15</f>
        <v>0</v>
      </c>
      <c r="AFV15" s="95" t="n">
        <f aca="false">[1]НАДІЙШЛО2!KA7</f>
        <v>0</v>
      </c>
      <c r="AFW15" s="96" t="n">
        <f aca="false">[1]ВИБУЛО2!KA7</f>
        <v>0</v>
      </c>
      <c r="AFX15" s="97" t="n">
        <f aca="false">AFX14-AFW15+AFV15</f>
        <v>0</v>
      </c>
      <c r="AFY15" s="95" t="n">
        <f aca="false">[1]НАДІЙШЛО2!KB7</f>
        <v>0</v>
      </c>
      <c r="AFZ15" s="96" t="n">
        <f aca="false">[1]ВИБУЛО2!KB7</f>
        <v>0</v>
      </c>
      <c r="AGA15" s="97" t="n">
        <f aca="false">AGA14-AFZ15+AFY15</f>
        <v>0</v>
      </c>
      <c r="AGB15" s="95" t="n">
        <f aca="false">[1]НАДІЙШЛО2!KC7</f>
        <v>0</v>
      </c>
      <c r="AGC15" s="96" t="n">
        <f aca="false">[1]ВИБУЛО2!KC7</f>
        <v>0</v>
      </c>
      <c r="AGD15" s="97" t="n">
        <f aca="false">AGD14-AGC15+AGB15</f>
        <v>0</v>
      </c>
      <c r="AGE15" s="95" t="n">
        <f aca="false">[1]НАДІЙШЛО2!KD7</f>
        <v>0</v>
      </c>
      <c r="AGF15" s="96" t="n">
        <f aca="false">[1]ВИБУЛО2!KD7</f>
        <v>0</v>
      </c>
      <c r="AGG15" s="97" t="n">
        <f aca="false">AGG14-AGF15+AGE15</f>
        <v>0</v>
      </c>
      <c r="AGH15" s="95" t="n">
        <f aca="false">[1]НАДІЙШЛО2!KE7</f>
        <v>0</v>
      </c>
      <c r="AGI15" s="96" t="n">
        <f aca="false">[1]ВИБУЛО2!KE7</f>
        <v>0</v>
      </c>
      <c r="AGJ15" s="97" t="n">
        <f aca="false">AGJ14-AGI15+AGH15</f>
        <v>0</v>
      </c>
      <c r="AGK15" s="95" t="n">
        <f aca="false">[1]НАДІЙШЛО2!KF7</f>
        <v>0</v>
      </c>
      <c r="AGL15" s="96" t="n">
        <f aca="false">[1]ВИБУЛО2!KF7</f>
        <v>0</v>
      </c>
      <c r="AGM15" s="97" t="n">
        <f aca="false">AGM14-AGL15+AGK15</f>
        <v>0</v>
      </c>
      <c r="AGN15" s="95" t="n">
        <f aca="false">[1]НАДІЙШЛО2!KG7</f>
        <v>0</v>
      </c>
      <c r="AGO15" s="96" t="n">
        <f aca="false">[1]ВИБУЛО2!KG7</f>
        <v>0</v>
      </c>
      <c r="AGP15" s="97" t="n">
        <f aca="false">AGP14-AGO15+AGN15</f>
        <v>0</v>
      </c>
      <c r="AGQ15" s="95" t="n">
        <f aca="false">[1]НАДІЙШЛО2!KH7</f>
        <v>0</v>
      </c>
      <c r="AGR15" s="96" t="n">
        <f aca="false">[1]ВИБУЛО2!KH7</f>
        <v>0</v>
      </c>
      <c r="AGS15" s="97" t="n">
        <f aca="false">AGS14-AGR15+AGQ15</f>
        <v>0</v>
      </c>
      <c r="AGT15" s="95" t="n">
        <f aca="false">[1]НАДІЙШЛО2!KI7</f>
        <v>0</v>
      </c>
      <c r="AGU15" s="96" t="n">
        <f aca="false">[1]ВИБУЛО2!KI7</f>
        <v>0</v>
      </c>
      <c r="AGV15" s="97" t="n">
        <f aca="false">AGV14-AGU15+AGT15</f>
        <v>0</v>
      </c>
      <c r="AGW15" s="95" t="n">
        <f aca="false">[1]НАДІЙШЛО2!KJ7</f>
        <v>0</v>
      </c>
      <c r="AGX15" s="96" t="n">
        <f aca="false">[1]ВИБУЛО2!KJ7</f>
        <v>0</v>
      </c>
      <c r="AGY15" s="97" t="n">
        <f aca="false">AGY14-AGX15+AGW15</f>
        <v>0</v>
      </c>
      <c r="AGZ15" s="95" t="n">
        <f aca="false">[1]НАДІЙШЛО2!KK7</f>
        <v>0</v>
      </c>
      <c r="AHA15" s="96" t="n">
        <f aca="false">[1]ВИБУЛО2!KK7</f>
        <v>0</v>
      </c>
      <c r="AHB15" s="97" t="n">
        <f aca="false">AHB14-AHA15+AGZ15</f>
        <v>0</v>
      </c>
      <c r="AHC15" s="95" t="n">
        <f aca="false">[1]НАДІЙШЛО2!KL7</f>
        <v>0</v>
      </c>
      <c r="AHD15" s="96" t="n">
        <f aca="false">[1]ВИБУЛО2!KL7</f>
        <v>0</v>
      </c>
      <c r="AHE15" s="97" t="n">
        <f aca="false">AHE14-AHD15+AHC15</f>
        <v>0</v>
      </c>
      <c r="AHF15" s="95" t="n">
        <f aca="false">[1]НАДІЙШЛО2!KM7</f>
        <v>0</v>
      </c>
      <c r="AHG15" s="96" t="n">
        <f aca="false">[1]ВИБУЛО2!KM7</f>
        <v>0</v>
      </c>
      <c r="AHH15" s="97" t="n">
        <f aca="false">AHH14-AHG15+AHF15</f>
        <v>0</v>
      </c>
      <c r="AHI15" s="95" t="n">
        <f aca="false">[1]НАДІЙШЛО2!KN7</f>
        <v>0</v>
      </c>
      <c r="AHJ15" s="96" t="n">
        <f aca="false">[1]ВИБУЛО2!KN7</f>
        <v>0</v>
      </c>
      <c r="AHK15" s="97" t="n">
        <f aca="false">AHK14-AHJ15+AHI15</f>
        <v>0</v>
      </c>
      <c r="AHL15" s="95" t="n">
        <f aca="false">[1]НАДІЙШЛО2!KO7</f>
        <v>0</v>
      </c>
      <c r="AHM15" s="96" t="n">
        <f aca="false">[1]ВИБУЛО2!KO7</f>
        <v>0</v>
      </c>
      <c r="AHN15" s="97" t="n">
        <f aca="false">AHN14-AHM15+AHL15</f>
        <v>0</v>
      </c>
      <c r="AHO15" s="95" t="n">
        <f aca="false">[1]НАДІЙШЛО2!KP7</f>
        <v>0</v>
      </c>
      <c r="AHP15" s="96" t="n">
        <f aca="false">[1]ВИБУЛО2!KP7</f>
        <v>0</v>
      </c>
      <c r="AHQ15" s="97" t="n">
        <f aca="false">AHQ14-AHP15+AHO15</f>
        <v>0</v>
      </c>
      <c r="AHR15" s="95" t="n">
        <f aca="false">[1]НАДІЙШЛО2!KQ7</f>
        <v>0</v>
      </c>
      <c r="AHS15" s="96" t="n">
        <f aca="false">[1]ВИБУЛО2!KQ7</f>
        <v>0</v>
      </c>
      <c r="AHT15" s="97" t="n">
        <f aca="false">AHT14-AHS15+AHR15</f>
        <v>0</v>
      </c>
      <c r="AHU15" s="95" t="n">
        <f aca="false">[1]НАДІЙШЛО2!KR7</f>
        <v>0</v>
      </c>
      <c r="AHV15" s="96" t="n">
        <f aca="false">[1]ВИБУЛО2!KR7</f>
        <v>0</v>
      </c>
      <c r="AHW15" s="97" t="n">
        <f aca="false">AHW14-AHV15+AHU15</f>
        <v>0</v>
      </c>
      <c r="AHX15" s="95" t="n">
        <f aca="false">[1]НАДІЙШЛО2!KS7</f>
        <v>0</v>
      </c>
      <c r="AHY15" s="96" t="n">
        <f aca="false">[1]ВИБУЛО2!KS7</f>
        <v>0</v>
      </c>
      <c r="AHZ15" s="97" t="n">
        <f aca="false">AHZ14-AHY15+AHX15</f>
        <v>0</v>
      </c>
      <c r="AIA15" s="95" t="n">
        <f aca="false">[1]НАДІЙШЛО2!KT7</f>
        <v>0</v>
      </c>
      <c r="AIB15" s="96" t="n">
        <f aca="false">[1]ВИБУЛО2!KT7</f>
        <v>0</v>
      </c>
      <c r="AIC15" s="97" t="n">
        <f aca="false">AIC14-AIB15+AIA15</f>
        <v>0</v>
      </c>
      <c r="AID15" s="95" t="n">
        <f aca="false">[1]НАДІЙШЛО2!KU7</f>
        <v>0</v>
      </c>
      <c r="AIE15" s="96" t="n">
        <f aca="false">[1]ВИБУЛО2!KU7</f>
        <v>0</v>
      </c>
      <c r="AIF15" s="97" t="n">
        <f aca="false">AIF14-AIE15+AID15</f>
        <v>0</v>
      </c>
      <c r="AIG15" s="95" t="n">
        <f aca="false">[1]НАДІЙШЛО2!KV7</f>
        <v>0</v>
      </c>
      <c r="AIH15" s="96" t="n">
        <f aca="false">[1]ВИБУЛО2!KV7</f>
        <v>0</v>
      </c>
      <c r="AII15" s="97" t="n">
        <f aca="false">AII14-AIH15+AIG15</f>
        <v>0</v>
      </c>
      <c r="AIJ15" s="95" t="n">
        <f aca="false">[1]НАДІЙШЛО2!KW7</f>
        <v>0</v>
      </c>
      <c r="AIK15" s="96" t="n">
        <f aca="false">[1]ВИБУЛО2!KW7</f>
        <v>0</v>
      </c>
      <c r="AIL15" s="97" t="n">
        <f aca="false">AIL14-AIK15+AIJ15</f>
        <v>0</v>
      </c>
      <c r="AIM15" s="95" t="n">
        <f aca="false">[1]НАДІЙШЛО2!KX7</f>
        <v>0</v>
      </c>
      <c r="AIN15" s="96" t="n">
        <f aca="false">[1]ВИБУЛО2!KX7</f>
        <v>0</v>
      </c>
      <c r="AIO15" s="97" t="n">
        <f aca="false">AIO14-AIN15+AIM15</f>
        <v>0</v>
      </c>
      <c r="AIP15" s="95" t="n">
        <f aca="false">[1]НАДІЙШЛО2!KY7</f>
        <v>0</v>
      </c>
      <c r="AIQ15" s="96" t="n">
        <f aca="false">[1]ВИБУЛО2!KY7</f>
        <v>0</v>
      </c>
      <c r="AIR15" s="97" t="n">
        <f aca="false">AIR14-AIQ15+AIP15</f>
        <v>0</v>
      </c>
      <c r="AIS15" s="95" t="n">
        <f aca="false">[1]НАДІЙШЛО2!KZ7</f>
        <v>0</v>
      </c>
      <c r="AIT15" s="96" t="n">
        <f aca="false">[1]ВИБУЛО2!KZ7</f>
        <v>0</v>
      </c>
      <c r="AIU15" s="97" t="n">
        <f aca="false">AIU14-AIT15+AIS15</f>
        <v>0</v>
      </c>
      <c r="AIV15" s="95" t="n">
        <f aca="false">[1]НАДІЙШЛО2!LA7</f>
        <v>0</v>
      </c>
      <c r="AIW15" s="96" t="n">
        <f aca="false">[1]ВИБУЛО2!LA7</f>
        <v>0</v>
      </c>
      <c r="AIX15" s="97" t="n">
        <f aca="false">AIX14-AIW15+AIV15</f>
        <v>0</v>
      </c>
      <c r="AIY15" s="95" t="n">
        <f aca="false">[1]НАДІЙШЛО2!LB7</f>
        <v>0</v>
      </c>
      <c r="AIZ15" s="96" t="n">
        <f aca="false">[1]ВИБУЛО2!LB7</f>
        <v>0</v>
      </c>
      <c r="AJA15" s="97" t="n">
        <f aca="false">AJA14-AIZ15+AIY15</f>
        <v>0</v>
      </c>
      <c r="AJB15" s="95" t="n">
        <f aca="false">[1]НАДІЙШЛО2!LC7</f>
        <v>0</v>
      </c>
      <c r="AJC15" s="96" t="n">
        <f aca="false">[1]ВИБУЛО2!LC7</f>
        <v>0</v>
      </c>
      <c r="AJD15" s="97" t="n">
        <f aca="false">AJD14-AJC15+AJB15</f>
        <v>0</v>
      </c>
      <c r="AJE15" s="95" t="n">
        <f aca="false">[1]НАДІЙШЛО2!LD7</f>
        <v>0</v>
      </c>
      <c r="AJF15" s="96" t="n">
        <f aca="false">[1]ВИБУЛО2!LD7</f>
        <v>0</v>
      </c>
      <c r="AJG15" s="97" t="n">
        <f aca="false">AJG14-AJF15+AJE15</f>
        <v>0</v>
      </c>
      <c r="AJH15" s="95" t="n">
        <f aca="false">[1]НАДІЙШЛО2!LE7</f>
        <v>0</v>
      </c>
      <c r="AJI15" s="96" t="n">
        <f aca="false">[1]ВИБУЛО2!LE7</f>
        <v>0</v>
      </c>
      <c r="AJJ15" s="97" t="n">
        <f aca="false">AJJ14-AJI15+AJH15</f>
        <v>0</v>
      </c>
      <c r="AJK15" s="95" t="n">
        <f aca="false">[1]НАДІЙШЛО2!LF7</f>
        <v>0</v>
      </c>
      <c r="AJL15" s="96" t="n">
        <f aca="false">[1]ВИБУЛО2!LF7</f>
        <v>0</v>
      </c>
      <c r="AJM15" s="97" t="n">
        <f aca="false">AJM14-AJL15+AJK15</f>
        <v>0</v>
      </c>
      <c r="AJN15" s="95" t="n">
        <f aca="false">[1]НАДІЙШЛО2!LG7</f>
        <v>0</v>
      </c>
      <c r="AJO15" s="96" t="n">
        <f aca="false">[1]ВИБУЛО2!LG7</f>
        <v>0</v>
      </c>
      <c r="AJP15" s="97" t="n">
        <f aca="false">AJP14-AJO15+AJN15</f>
        <v>0</v>
      </c>
      <c r="AJQ15" s="95" t="n">
        <f aca="false">[1]НАДІЙШЛО2!LH7</f>
        <v>0</v>
      </c>
      <c r="AJR15" s="96" t="n">
        <f aca="false">[1]ВИБУЛО2!LH7</f>
        <v>0</v>
      </c>
      <c r="AJS15" s="97" t="n">
        <f aca="false">AJS14-AJR15+AJQ15</f>
        <v>0</v>
      </c>
      <c r="AJT15" s="95" t="n">
        <f aca="false">[1]НАДІЙШЛО2!LI7</f>
        <v>0</v>
      </c>
      <c r="AJU15" s="96" t="n">
        <f aca="false">[1]ВИБУЛО2!LI7</f>
        <v>0</v>
      </c>
      <c r="AJV15" s="97" t="n">
        <f aca="false">AJV14-AJU15+AJT15</f>
        <v>0</v>
      </c>
      <c r="AJW15" s="95" t="n">
        <f aca="false">[1]НАДІЙШЛО2!LJ7</f>
        <v>0</v>
      </c>
      <c r="AJX15" s="96" t="n">
        <f aca="false">[1]ВИБУЛО2!LJ7</f>
        <v>0</v>
      </c>
      <c r="AJY15" s="97" t="n">
        <f aca="false">AJY14-AJX15+AJW15</f>
        <v>0</v>
      </c>
      <c r="AJZ15" s="95" t="n">
        <f aca="false">[1]НАДІЙШЛО2!LK7</f>
        <v>0</v>
      </c>
      <c r="AKA15" s="96" t="n">
        <f aca="false">[1]ВИБУЛО2!LK7</f>
        <v>0</v>
      </c>
      <c r="AKB15" s="97" t="n">
        <f aca="false">AKB14-AKA15+AJZ15</f>
        <v>0</v>
      </c>
      <c r="AKC15" s="95" t="n">
        <f aca="false">[1]НАДІЙШЛО2!LL7</f>
        <v>0</v>
      </c>
      <c r="AKD15" s="96" t="n">
        <f aca="false">[1]ВИБУЛО2!LL7</f>
        <v>0</v>
      </c>
      <c r="AKE15" s="97" t="n">
        <f aca="false">AKE14-AKD15+AKC15</f>
        <v>0</v>
      </c>
      <c r="AKF15" s="95" t="n">
        <f aca="false">[1]НАДІЙШЛО2!LM7</f>
        <v>0</v>
      </c>
      <c r="AKG15" s="96" t="n">
        <f aca="false">[1]ВИБУЛО2!LM7</f>
        <v>0</v>
      </c>
      <c r="AKH15" s="97" t="n">
        <f aca="false">AKH14-AKG15+AKF15</f>
        <v>0</v>
      </c>
      <c r="AKI15" s="95" t="n">
        <f aca="false">[1]НАДІЙШЛО2!LN7</f>
        <v>0</v>
      </c>
      <c r="AKJ15" s="96" t="n">
        <f aca="false">[1]ВИБУЛО2!LN7</f>
        <v>0</v>
      </c>
      <c r="AKK15" s="97" t="n">
        <f aca="false">AKK14-AKJ15+AKI15</f>
        <v>0</v>
      </c>
      <c r="AKL15" s="95" t="n">
        <f aca="false">[1]НАДІЙШЛО2!LO7</f>
        <v>0</v>
      </c>
      <c r="AKM15" s="96" t="n">
        <f aca="false">[1]ВИБУЛО2!LO7</f>
        <v>0</v>
      </c>
      <c r="AKN15" s="97" t="n">
        <f aca="false">AKN14-AKM15+AKL15</f>
        <v>0</v>
      </c>
      <c r="AKO15" s="95" t="n">
        <f aca="false">[1]НАДІЙШЛО2!LP7</f>
        <v>0</v>
      </c>
      <c r="AKP15" s="96" t="n">
        <f aca="false">[1]ВИБУЛО2!LP7</f>
        <v>0</v>
      </c>
      <c r="AKQ15" s="97" t="n">
        <f aca="false">AKQ14-AKP15+AKO15</f>
        <v>0</v>
      </c>
      <c r="AKR15" s="95" t="n">
        <f aca="false">[1]НАДІЙШЛО2!LQ7</f>
        <v>0</v>
      </c>
      <c r="AKS15" s="96" t="n">
        <f aca="false">[1]ВИБУЛО2!LQ7</f>
        <v>0</v>
      </c>
      <c r="AKT15" s="97" t="n">
        <f aca="false">AKT14-AKS15+AKR15</f>
        <v>0</v>
      </c>
      <c r="AKU15" s="95" t="n">
        <f aca="false">[1]НАДІЙШЛО2!LR7</f>
        <v>0</v>
      </c>
      <c r="AKV15" s="96" t="n">
        <f aca="false">[1]ВИБУЛО2!LR7</f>
        <v>0</v>
      </c>
      <c r="AKW15" s="97" t="n">
        <f aca="false">AKW14-AKV15+AKU15</f>
        <v>0</v>
      </c>
      <c r="AKX15" s="95" t="n">
        <f aca="false">[1]НАДІЙШЛО2!LS7</f>
        <v>0</v>
      </c>
      <c r="AKY15" s="96" t="n">
        <f aca="false">[1]ВИБУЛО2!LS7</f>
        <v>0</v>
      </c>
      <c r="AKZ15" s="97" t="n">
        <f aca="false">AKZ14-AKY15+AKX15</f>
        <v>0</v>
      </c>
      <c r="ALA15" s="95" t="n">
        <f aca="false">[1]НАДІЙШЛО2!LT7</f>
        <v>0</v>
      </c>
      <c r="ALB15" s="96" t="n">
        <f aca="false">[1]ВИБУЛО2!LT7</f>
        <v>0</v>
      </c>
      <c r="ALC15" s="97" t="n">
        <f aca="false">ALC14-ALB15+ALA15</f>
        <v>0</v>
      </c>
      <c r="ALD15" s="95" t="n">
        <f aca="false">[1]НАДІЙШЛО2!LU7</f>
        <v>0</v>
      </c>
      <c r="ALE15" s="96" t="n">
        <f aca="false">[1]ВИБУЛО2!LU7</f>
        <v>0</v>
      </c>
      <c r="ALF15" s="97" t="n">
        <f aca="false">ALF14-ALE15+ALD15</f>
        <v>0</v>
      </c>
      <c r="ALG15" s="95" t="n">
        <f aca="false">[1]НАДІЙШЛО2!LV7</f>
        <v>0</v>
      </c>
      <c r="ALH15" s="96" t="n">
        <f aca="false">[1]ВИБУЛО2!LV7</f>
        <v>0</v>
      </c>
      <c r="ALI15" s="97" t="n">
        <f aca="false">ALI14-ALH15+ALG15</f>
        <v>0</v>
      </c>
      <c r="ALJ15" s="95" t="n">
        <f aca="false">[1]НАДІЙШЛО2!LW7</f>
        <v>0</v>
      </c>
      <c r="ALK15" s="96" t="n">
        <f aca="false">[1]ВИБУЛО2!LW7</f>
        <v>0</v>
      </c>
      <c r="ALL15" s="97" t="n">
        <f aca="false">ALL14-ALK15+ALJ15</f>
        <v>0</v>
      </c>
      <c r="ALM15" s="95" t="n">
        <f aca="false">[1]НАДІЙШЛО2!LX7</f>
        <v>0</v>
      </c>
      <c r="ALN15" s="96" t="n">
        <f aca="false">[1]ВИБУЛО2!LX7</f>
        <v>0</v>
      </c>
      <c r="ALO15" s="97" t="n">
        <f aca="false">ALO14-ALN15+ALM15</f>
        <v>0</v>
      </c>
      <c r="ALP15" s="95" t="n">
        <f aca="false">[1]НАДІЙШЛО2!LY7</f>
        <v>0</v>
      </c>
      <c r="ALQ15" s="96" t="n">
        <f aca="false">[1]ВИБУЛО2!LY7</f>
        <v>0</v>
      </c>
      <c r="ALR15" s="97" t="n">
        <f aca="false">ALR14-ALQ15+ALP15</f>
        <v>0</v>
      </c>
      <c r="ALS15" s="95" t="n">
        <f aca="false">[1]НАДІЙШЛО2!LZ7</f>
        <v>0</v>
      </c>
      <c r="ALT15" s="96" t="n">
        <f aca="false">[1]ВИБУЛО2!LZ7</f>
        <v>0</v>
      </c>
      <c r="ALU15" s="97" t="n">
        <f aca="false">ALU14-ALT15+ALS15</f>
        <v>0</v>
      </c>
      <c r="ALV15" s="95" t="n">
        <f aca="false">[1]НАДІЙШЛО2!MA7</f>
        <v>0</v>
      </c>
      <c r="ALW15" s="96" t="n">
        <f aca="false">[1]ВИБУЛО2!MA7</f>
        <v>0</v>
      </c>
      <c r="ALX15" s="97" t="n">
        <f aca="false">ALX14-ALW15+ALV15</f>
        <v>0</v>
      </c>
      <c r="ALY15" s="95" t="n">
        <f aca="false">[1]НАДІЙШЛО2!MB7</f>
        <v>0</v>
      </c>
      <c r="ALZ15" s="96" t="n">
        <f aca="false">[1]ВИБУЛО2!MB7</f>
        <v>0</v>
      </c>
      <c r="AMA15" s="97" t="n">
        <f aca="false">AMA14-ALZ15+ALY15</f>
        <v>0</v>
      </c>
      <c r="AMB15" s="95" t="n">
        <f aca="false">[1]НАДІЙШЛО2!MC7</f>
        <v>0</v>
      </c>
      <c r="AMC15" s="96" t="n">
        <f aca="false">[1]ВИБУЛО2!MC7</f>
        <v>0</v>
      </c>
      <c r="AMD15" s="97" t="n">
        <f aca="false">AMD14-AMC15+AMB15</f>
        <v>0</v>
      </c>
      <c r="AME15" s="95" t="n">
        <f aca="false">[1]НАДІЙШЛО2!MD7</f>
        <v>0</v>
      </c>
      <c r="AMF15" s="96" t="n">
        <f aca="false">[1]ВИБУЛО2!MD7</f>
        <v>0</v>
      </c>
      <c r="AMG15" s="97" t="n">
        <f aca="false">AMG14-AMF15+AME15</f>
        <v>0</v>
      </c>
      <c r="AMH15" s="95" t="n">
        <f aca="false">[1]НАДІЙШЛО2!ME7</f>
        <v>0</v>
      </c>
      <c r="AMI15" s="96" t="n">
        <f aca="false">[1]ВИБУЛО2!ME7</f>
        <v>0</v>
      </c>
      <c r="AMJ15" s="97" t="n">
        <f aca="false">AMJ14-AMI15+AMH15</f>
        <v>0</v>
      </c>
    </row>
    <row r="16" s="99" customFormat="true" ht="16.5" hidden="false" customHeight="false" outlineLevel="0" collapsed="false">
      <c r="A16" s="98"/>
      <c r="D16" s="103"/>
      <c r="E16" s="95" t="n">
        <f aca="false">[1]НАДІЙШЛО2!D8</f>
        <v>0</v>
      </c>
      <c r="F16" s="96" t="n">
        <f aca="false">[1]ВИБУЛО2!D8</f>
        <v>0</v>
      </c>
      <c r="G16" s="97" t="n">
        <f aca="false">G15-F16+E16</f>
        <v>0</v>
      </c>
      <c r="H16" s="95" t="n">
        <f aca="false">[1]НАДІЙШЛО2!E8</f>
        <v>0</v>
      </c>
      <c r="I16" s="96" t="n">
        <f aca="false">[1]ВИБУЛО2!E8</f>
        <v>0</v>
      </c>
      <c r="J16" s="97" t="n">
        <f aca="false">J15-I16+H16</f>
        <v>0</v>
      </c>
      <c r="K16" s="95" t="n">
        <f aca="false">[1]НАДІЙШЛО2!F8</f>
        <v>0</v>
      </c>
      <c r="L16" s="96" t="n">
        <f aca="false">[1]ВИБУЛО2!F8</f>
        <v>0</v>
      </c>
      <c r="M16" s="97" t="n">
        <f aca="false">M15-L16+K16</f>
        <v>2.06</v>
      </c>
      <c r="N16" s="95" t="n">
        <f aca="false">[1]НАДІЙШЛО2!G8</f>
        <v>0</v>
      </c>
      <c r="O16" s="96" t="n">
        <f aca="false">[1]ВИБУЛО2!G8</f>
        <v>0</v>
      </c>
      <c r="P16" s="97" t="n">
        <f aca="false">P15-O16+N16</f>
        <v>0</v>
      </c>
      <c r="Q16" s="95" t="n">
        <f aca="false">[1]НАДІЙШЛО2!H8</f>
        <v>0</v>
      </c>
      <c r="R16" s="96" t="n">
        <f aca="false">[1]ВИБУЛО2!H8</f>
        <v>0</v>
      </c>
      <c r="S16" s="97" t="n">
        <f aca="false">S15-R16+Q16</f>
        <v>0</v>
      </c>
      <c r="T16" s="95" t="n">
        <f aca="false">[1]НАДІЙШЛО2!I8</f>
        <v>0</v>
      </c>
      <c r="U16" s="96" t="n">
        <f aca="false">[1]ВИБУЛО2!I8</f>
        <v>0</v>
      </c>
      <c r="V16" s="97" t="n">
        <f aca="false">V15-U16+T16</f>
        <v>0</v>
      </c>
      <c r="W16" s="95" t="n">
        <f aca="false">[1]НАДІЙШЛО2!J8</f>
        <v>0</v>
      </c>
      <c r="X16" s="96" t="n">
        <f aca="false">[1]ВИБУЛО2!J8</f>
        <v>0</v>
      </c>
      <c r="Y16" s="97" t="n">
        <f aca="false">Y15-X16+W16</f>
        <v>0</v>
      </c>
      <c r="Z16" s="95" t="n">
        <f aca="false">[1]НАДІЙШЛО2!K8</f>
        <v>0</v>
      </c>
      <c r="AA16" s="96" t="n">
        <f aca="false">[1]ВИБУЛО2!K8</f>
        <v>0</v>
      </c>
      <c r="AB16" s="97" t="n">
        <f aca="false">AB15-AA16+Z16</f>
        <v>0</v>
      </c>
      <c r="AC16" s="95" t="n">
        <f aca="false">[1]НАДІЙШЛО2!L8</f>
        <v>0</v>
      </c>
      <c r="AD16" s="96" t="n">
        <f aca="false">[1]ВИБУЛО2!L8</f>
        <v>0</v>
      </c>
      <c r="AE16" s="97" t="n">
        <f aca="false">AE15-AD16+AC16</f>
        <v>0</v>
      </c>
      <c r="AF16" s="95" t="n">
        <f aca="false">[1]НАДІЙШЛО2!M8</f>
        <v>0</v>
      </c>
      <c r="AG16" s="96" t="n">
        <f aca="false">[1]ВИБУЛО2!M8</f>
        <v>0</v>
      </c>
      <c r="AH16" s="97" t="n">
        <f aca="false">AH15-AG16+AF16</f>
        <v>0</v>
      </c>
      <c r="AI16" s="95" t="n">
        <f aca="false">[1]НАДІЙШЛО2!N8</f>
        <v>0</v>
      </c>
      <c r="AJ16" s="96" t="n">
        <f aca="false">[1]ВИБУЛО2!N8</f>
        <v>0</v>
      </c>
      <c r="AK16" s="97" t="n">
        <f aca="false">AK15-AJ16+AI16</f>
        <v>0</v>
      </c>
      <c r="AL16" s="95" t="n">
        <f aca="false">[1]НАДІЙШЛО2!O8</f>
        <v>0</v>
      </c>
      <c r="AM16" s="96" t="n">
        <f aca="false">[1]ВИБУЛО2!O8</f>
        <v>0</v>
      </c>
      <c r="AN16" s="97" t="n">
        <f aca="false">AN15-AM16+AL16</f>
        <v>0</v>
      </c>
      <c r="AO16" s="95" t="n">
        <f aca="false">[1]НАДІЙШЛО2!P8</f>
        <v>0</v>
      </c>
      <c r="AP16" s="96" t="n">
        <f aca="false">[1]ВИБУЛО2!P8</f>
        <v>0</v>
      </c>
      <c r="AQ16" s="97" t="n">
        <f aca="false">AQ15-AP16+AO16</f>
        <v>0</v>
      </c>
      <c r="AR16" s="95" t="n">
        <f aca="false">[1]НАДІЙШЛО2!Q8</f>
        <v>0</v>
      </c>
      <c r="AS16" s="96" t="n">
        <f aca="false">[1]ВИБУЛО2!Q8</f>
        <v>0</v>
      </c>
      <c r="AT16" s="97" t="n">
        <f aca="false">AT15-AS16+AR16</f>
        <v>0</v>
      </c>
      <c r="AU16" s="95" t="n">
        <f aca="false">[1]НАДІЙШЛО2!R8</f>
        <v>0</v>
      </c>
      <c r="AV16" s="96" t="n">
        <f aca="false">[1]ВИБУЛО2!R8</f>
        <v>0</v>
      </c>
      <c r="AW16" s="97" t="n">
        <f aca="false">AW15-AV16+AU16</f>
        <v>0</v>
      </c>
      <c r="AX16" s="95" t="n">
        <f aca="false">[1]НАДІЙШЛО2!S8</f>
        <v>0</v>
      </c>
      <c r="AY16" s="96" t="n">
        <f aca="false">[1]ВИБУЛО2!S8</f>
        <v>0</v>
      </c>
      <c r="AZ16" s="97" t="n">
        <f aca="false">AZ15-AY16+AX16</f>
        <v>0</v>
      </c>
      <c r="BA16" s="95" t="n">
        <f aca="false">[1]НАДІЙШЛО2!T8</f>
        <v>0</v>
      </c>
      <c r="BB16" s="96" t="n">
        <f aca="false">[1]ВИБУЛО2!T8</f>
        <v>0</v>
      </c>
      <c r="BC16" s="97" t="n">
        <f aca="false">BC15-BB16+BA16</f>
        <v>0</v>
      </c>
      <c r="BD16" s="95" t="n">
        <f aca="false">[1]НАДІЙШЛО2!U8</f>
        <v>0</v>
      </c>
      <c r="BE16" s="96" t="n">
        <f aca="false">[1]ВИБУЛО2!U8</f>
        <v>0</v>
      </c>
      <c r="BF16" s="97" t="n">
        <f aca="false">BF15-BE16+BD16</f>
        <v>0</v>
      </c>
      <c r="BG16" s="95" t="n">
        <f aca="false">[1]НАДІЙШЛО2!V8</f>
        <v>0</v>
      </c>
      <c r="BH16" s="96" t="n">
        <f aca="false">[1]ВИБУЛО2!V8</f>
        <v>0</v>
      </c>
      <c r="BI16" s="97" t="n">
        <f aca="false">BI15-BH16+BG16</f>
        <v>0</v>
      </c>
      <c r="BJ16" s="95" t="n">
        <f aca="false">[1]НАДІЙШЛО2!W8</f>
        <v>0</v>
      </c>
      <c r="BK16" s="96" t="n">
        <f aca="false">[1]ВИБУЛО2!W8</f>
        <v>0</v>
      </c>
      <c r="BL16" s="97" t="n">
        <f aca="false">BL15-BK16+BJ16</f>
        <v>0</v>
      </c>
      <c r="BM16" s="95" t="n">
        <f aca="false">[1]НАДІЙШЛО2!X8</f>
        <v>0</v>
      </c>
      <c r="BN16" s="96" t="n">
        <f aca="false">[1]ВИБУЛО2!X8</f>
        <v>0</v>
      </c>
      <c r="BO16" s="97" t="n">
        <f aca="false">BO15-BN16+BM16</f>
        <v>0</v>
      </c>
      <c r="BP16" s="95" t="n">
        <f aca="false">[1]НАДІЙШЛО2!Y8</f>
        <v>0</v>
      </c>
      <c r="BQ16" s="96" t="n">
        <f aca="false">[1]ВИБУЛО2!Y8</f>
        <v>0</v>
      </c>
      <c r="BR16" s="97" t="n">
        <f aca="false">BR15-BQ16+BP16</f>
        <v>0</v>
      </c>
      <c r="BS16" s="95" t="n">
        <f aca="false">[1]НАДІЙШЛО2!Z8</f>
        <v>0</v>
      </c>
      <c r="BT16" s="96" t="n">
        <f aca="false">[1]ВИБУЛО2!Z8</f>
        <v>0</v>
      </c>
      <c r="BU16" s="97" t="n">
        <f aca="false">BU15-BT16+BS16</f>
        <v>0</v>
      </c>
      <c r="BV16" s="95" t="n">
        <f aca="false">[1]НАДІЙШЛО2!AA8</f>
        <v>0</v>
      </c>
      <c r="BW16" s="96" t="n">
        <f aca="false">[1]ВИБУЛО2!AA8</f>
        <v>0</v>
      </c>
      <c r="BX16" s="97" t="n">
        <f aca="false">BX15-BW16+BV16</f>
        <v>0</v>
      </c>
      <c r="BY16" s="95" t="n">
        <f aca="false">[1]НАДІЙШЛО2!AB8</f>
        <v>0</v>
      </c>
      <c r="BZ16" s="96" t="n">
        <f aca="false">[1]ВИБУЛО2!AB8</f>
        <v>0</v>
      </c>
      <c r="CA16" s="97" t="n">
        <f aca="false">CA15-BZ16+BY16</f>
        <v>0</v>
      </c>
      <c r="CB16" s="95" t="n">
        <f aca="false">[1]НАДІЙШЛО2!AC8</f>
        <v>0</v>
      </c>
      <c r="CC16" s="96" t="n">
        <f aca="false">[1]ВИБУЛО2!AC8</f>
        <v>0</v>
      </c>
      <c r="CD16" s="97" t="n">
        <f aca="false">CD15-CC16+CB16</f>
        <v>0</v>
      </c>
      <c r="CE16" s="95" t="n">
        <f aca="false">[1]НАДІЙШЛО2!AD8</f>
        <v>0</v>
      </c>
      <c r="CF16" s="96" t="n">
        <f aca="false">[1]ВИБУЛО2!AD8</f>
        <v>0</v>
      </c>
      <c r="CG16" s="97" t="n">
        <f aca="false">CG15-CF16+CE16</f>
        <v>0</v>
      </c>
      <c r="CH16" s="95" t="n">
        <f aca="false">[1]НАДІЙШЛО2!AE8</f>
        <v>0</v>
      </c>
      <c r="CI16" s="96" t="n">
        <f aca="false">[1]ВИБУЛО2!AE8</f>
        <v>0</v>
      </c>
      <c r="CJ16" s="97" t="n">
        <f aca="false">CJ15-CI16+CH16</f>
        <v>0</v>
      </c>
      <c r="CK16" s="95" t="n">
        <f aca="false">[1]НАДІЙШЛО2!AF8</f>
        <v>0</v>
      </c>
      <c r="CL16" s="96" t="n">
        <f aca="false">[1]ВИБУЛО2!AF8</f>
        <v>0</v>
      </c>
      <c r="CM16" s="97" t="n">
        <f aca="false">CM15-CL16+CK16</f>
        <v>0</v>
      </c>
      <c r="CN16" s="95" t="n">
        <f aca="false">[1]НАДІЙШЛО2!AG8</f>
        <v>0</v>
      </c>
      <c r="CO16" s="96" t="n">
        <f aca="false">[1]ВИБУЛО2!AG8</f>
        <v>0</v>
      </c>
      <c r="CP16" s="97" t="n">
        <f aca="false">CP15-CO16+CN16</f>
        <v>0</v>
      </c>
      <c r="CQ16" s="95" t="n">
        <f aca="false">[1]НАДІЙШЛО2!AH8</f>
        <v>0</v>
      </c>
      <c r="CR16" s="96" t="n">
        <f aca="false">[1]ВИБУЛО2!AH8</f>
        <v>0</v>
      </c>
      <c r="CS16" s="97" t="n">
        <f aca="false">CS15-CR16+CQ16</f>
        <v>0</v>
      </c>
      <c r="CT16" s="95" t="n">
        <f aca="false">[1]НАДІЙШЛО2!AI8</f>
        <v>0</v>
      </c>
      <c r="CU16" s="96" t="n">
        <f aca="false">[1]ВИБУЛО2!AI8</f>
        <v>0</v>
      </c>
      <c r="CV16" s="97" t="n">
        <f aca="false">CV15-CU16+CT16</f>
        <v>0</v>
      </c>
      <c r="CW16" s="95" t="n">
        <f aca="false">[1]НАДІЙШЛО2!AJ8</f>
        <v>0</v>
      </c>
      <c r="CX16" s="96" t="n">
        <f aca="false">[1]ВИБУЛО2!AJ8</f>
        <v>0</v>
      </c>
      <c r="CY16" s="97" t="n">
        <f aca="false">CY15-CX16+CW16</f>
        <v>0</v>
      </c>
      <c r="CZ16" s="95" t="n">
        <f aca="false">[1]НАДІЙШЛО2!AK8</f>
        <v>0</v>
      </c>
      <c r="DA16" s="96" t="n">
        <f aca="false">[1]ВИБУЛО2!AK8</f>
        <v>0</v>
      </c>
      <c r="DB16" s="97" t="n">
        <f aca="false">DB15-DA16+CZ16</f>
        <v>0</v>
      </c>
      <c r="DC16" s="95" t="n">
        <f aca="false">[1]НАДІЙШЛО2!AL8</f>
        <v>0</v>
      </c>
      <c r="DD16" s="96" t="n">
        <f aca="false">[1]ВИБУЛО2!AL8</f>
        <v>0</v>
      </c>
      <c r="DE16" s="97" t="n">
        <f aca="false">DE15-DD16+DC16</f>
        <v>0</v>
      </c>
      <c r="DF16" s="95" t="n">
        <f aca="false">[1]НАДІЙШЛО2!AM8</f>
        <v>0</v>
      </c>
      <c r="DG16" s="96" t="n">
        <f aca="false">[1]ВИБУЛО2!AM8</f>
        <v>0</v>
      </c>
      <c r="DH16" s="97" t="n">
        <f aca="false">DH15-DG16+DF16</f>
        <v>0</v>
      </c>
      <c r="DI16" s="95" t="n">
        <f aca="false">[1]НАДІЙШЛО2!AN8</f>
        <v>0</v>
      </c>
      <c r="DJ16" s="96" t="n">
        <f aca="false">[1]ВИБУЛО2!AN8</f>
        <v>0</v>
      </c>
      <c r="DK16" s="97" t="n">
        <f aca="false">DK15-DJ16+DI16</f>
        <v>0</v>
      </c>
      <c r="DL16" s="95" t="n">
        <f aca="false">[1]НАДІЙШЛО2!AO8</f>
        <v>0</v>
      </c>
      <c r="DM16" s="96" t="n">
        <f aca="false">[1]ВИБУЛО2!AO8</f>
        <v>0</v>
      </c>
      <c r="DN16" s="97" t="n">
        <f aca="false">DN15-DM16+DL16</f>
        <v>0</v>
      </c>
      <c r="DO16" s="95" t="n">
        <f aca="false">[1]НАДІЙШЛО2!AP8</f>
        <v>0</v>
      </c>
      <c r="DP16" s="96" t="n">
        <f aca="false">[1]ВИБУЛО2!AP8</f>
        <v>0</v>
      </c>
      <c r="DQ16" s="97" t="n">
        <f aca="false">DQ15-DP16+DO16</f>
        <v>0</v>
      </c>
      <c r="DR16" s="95" t="n">
        <f aca="false">[1]НАДІЙШЛО2!AQ8</f>
        <v>0</v>
      </c>
      <c r="DS16" s="96" t="n">
        <f aca="false">[1]ВИБУЛО2!AQ8</f>
        <v>0</v>
      </c>
      <c r="DT16" s="97" t="n">
        <f aca="false">DT15-DS16+DR16</f>
        <v>0</v>
      </c>
      <c r="DU16" s="95" t="n">
        <f aca="false">[1]НАДІЙШЛО2!AR8</f>
        <v>0</v>
      </c>
      <c r="DV16" s="96" t="n">
        <f aca="false">[1]ВИБУЛО2!AR8</f>
        <v>0</v>
      </c>
      <c r="DW16" s="97" t="n">
        <f aca="false">DW15-DV16+DU16</f>
        <v>0</v>
      </c>
      <c r="DX16" s="95" t="n">
        <f aca="false">[1]НАДІЙШЛО2!AS8</f>
        <v>0</v>
      </c>
      <c r="DY16" s="96" t="n">
        <f aca="false">[1]ВИБУЛО2!AS8</f>
        <v>0</v>
      </c>
      <c r="DZ16" s="97" t="n">
        <f aca="false">DZ15-DY16+DX16</f>
        <v>0</v>
      </c>
      <c r="EA16" s="95" t="n">
        <f aca="false">[1]НАДІЙШЛО2!AT8</f>
        <v>0</v>
      </c>
      <c r="EB16" s="96" t="n">
        <f aca="false">[1]ВИБУЛО2!AT8</f>
        <v>0</v>
      </c>
      <c r="EC16" s="97" t="n">
        <f aca="false">EC15-EB16+EA16</f>
        <v>0</v>
      </c>
      <c r="ED16" s="95" t="n">
        <f aca="false">[1]НАДІЙШЛО2!AU8</f>
        <v>0</v>
      </c>
      <c r="EE16" s="96" t="n">
        <f aca="false">[1]ВИБУЛО2!AU8</f>
        <v>0</v>
      </c>
      <c r="EF16" s="97" t="n">
        <f aca="false">EF15-EE16+ED16</f>
        <v>0</v>
      </c>
      <c r="EG16" s="95" t="n">
        <f aca="false">[1]НАДІЙШЛО2!AV8</f>
        <v>0</v>
      </c>
      <c r="EH16" s="96" t="n">
        <f aca="false">[1]ВИБУЛО2!AV8</f>
        <v>0</v>
      </c>
      <c r="EI16" s="97" t="n">
        <f aca="false">EI15-EH16+EG16</f>
        <v>0</v>
      </c>
      <c r="EJ16" s="95" t="n">
        <f aca="false">[1]НАДІЙШЛО2!AW8</f>
        <v>0</v>
      </c>
      <c r="EK16" s="96" t="n">
        <f aca="false">[1]ВИБУЛО2!AW8</f>
        <v>0</v>
      </c>
      <c r="EL16" s="97" t="n">
        <f aca="false">EL15-EK16+EJ16</f>
        <v>0</v>
      </c>
      <c r="EM16" s="95" t="n">
        <f aca="false">[1]НАДІЙШЛО2!AX8</f>
        <v>0</v>
      </c>
      <c r="EN16" s="96" t="n">
        <f aca="false">[1]ВИБУЛО2!AX8</f>
        <v>0</v>
      </c>
      <c r="EO16" s="97" t="n">
        <f aca="false">EO15-EN16+EM16</f>
        <v>0</v>
      </c>
      <c r="EP16" s="95" t="n">
        <f aca="false">[1]НАДІЙШЛО2!AY8</f>
        <v>0</v>
      </c>
      <c r="EQ16" s="96" t="n">
        <f aca="false">[1]ВИБУЛО2!AY8</f>
        <v>0</v>
      </c>
      <c r="ER16" s="97" t="n">
        <f aca="false">ER15-EQ16+EP16</f>
        <v>0</v>
      </c>
      <c r="ES16" s="95" t="n">
        <f aca="false">[1]НАДІЙШЛО2!AZ8</f>
        <v>0</v>
      </c>
      <c r="ET16" s="96" t="n">
        <f aca="false">[1]ВИБУЛО2!AZ8</f>
        <v>0</v>
      </c>
      <c r="EU16" s="97" t="n">
        <f aca="false">EU15-ET16+ES16</f>
        <v>0</v>
      </c>
      <c r="EV16" s="95" t="n">
        <f aca="false">[1]НАДІЙШЛО2!BA8</f>
        <v>0</v>
      </c>
      <c r="EW16" s="96" t="n">
        <f aca="false">[1]ВИБУЛО2!BA8</f>
        <v>0</v>
      </c>
      <c r="EX16" s="97" t="n">
        <f aca="false">EX15-EW16+EV16</f>
        <v>0</v>
      </c>
      <c r="EY16" s="95" t="n">
        <f aca="false">[1]НАДІЙШЛО2!BB8</f>
        <v>0</v>
      </c>
      <c r="EZ16" s="96" t="n">
        <f aca="false">[1]ВИБУЛО2!BB8</f>
        <v>0</v>
      </c>
      <c r="FA16" s="97" t="n">
        <f aca="false">FA15-EZ16+EY16</f>
        <v>0</v>
      </c>
      <c r="FB16" s="95" t="n">
        <f aca="false">[1]НАДІЙШЛО2!BC8</f>
        <v>0</v>
      </c>
      <c r="FC16" s="96" t="n">
        <f aca="false">[1]ВИБУЛО2!BC8</f>
        <v>0</v>
      </c>
      <c r="FD16" s="97" t="n">
        <f aca="false">FD15-FC16+FB16</f>
        <v>0</v>
      </c>
      <c r="FE16" s="95" t="n">
        <f aca="false">[1]НАДІЙШЛО2!BD8</f>
        <v>0</v>
      </c>
      <c r="FF16" s="96" t="n">
        <f aca="false">[1]ВИБУЛО2!BD8</f>
        <v>0</v>
      </c>
      <c r="FG16" s="97" t="n">
        <f aca="false">FG15-FF16+FE16</f>
        <v>0</v>
      </c>
      <c r="FH16" s="95" t="n">
        <f aca="false">[1]НАДІЙШЛО2!BE8</f>
        <v>0</v>
      </c>
      <c r="FI16" s="96" t="n">
        <f aca="false">[1]ВИБУЛО2!BE8</f>
        <v>0</v>
      </c>
      <c r="FJ16" s="97" t="n">
        <f aca="false">FJ15-FI16+FH16</f>
        <v>0</v>
      </c>
      <c r="FK16" s="95" t="n">
        <f aca="false">[1]НАДІЙШЛО2!BF8</f>
        <v>0</v>
      </c>
      <c r="FL16" s="96" t="n">
        <f aca="false">[1]ВИБУЛО2!BF8</f>
        <v>0</v>
      </c>
      <c r="FM16" s="97" t="n">
        <f aca="false">FM15-FL16+FK16</f>
        <v>0</v>
      </c>
      <c r="FN16" s="95" t="n">
        <f aca="false">[1]НАДІЙШЛО2!BG8</f>
        <v>0</v>
      </c>
      <c r="FO16" s="96" t="n">
        <f aca="false">[1]ВИБУЛО2!BG8</f>
        <v>0</v>
      </c>
      <c r="FP16" s="97" t="n">
        <f aca="false">FP15-FO16+FN16</f>
        <v>0</v>
      </c>
      <c r="FQ16" s="95" t="n">
        <f aca="false">[1]НАДІЙШЛО2!BH8</f>
        <v>0</v>
      </c>
      <c r="FR16" s="96" t="n">
        <f aca="false">[1]ВИБУЛО2!BH8</f>
        <v>0</v>
      </c>
      <c r="FS16" s="97" t="n">
        <f aca="false">FS15-FR16+FQ16</f>
        <v>0</v>
      </c>
      <c r="FT16" s="95" t="n">
        <f aca="false">[1]НАДІЙШЛО2!BI8</f>
        <v>0</v>
      </c>
      <c r="FU16" s="96" t="n">
        <f aca="false">[1]ВИБУЛО2!BI8</f>
        <v>0</v>
      </c>
      <c r="FV16" s="97" t="n">
        <f aca="false">FV15-FU16+FT16</f>
        <v>0</v>
      </c>
      <c r="FW16" s="95" t="n">
        <f aca="false">[1]НАДІЙШЛО2!BJ8</f>
        <v>0</v>
      </c>
      <c r="FX16" s="96" t="n">
        <f aca="false">[1]ВИБУЛО2!BJ8</f>
        <v>0</v>
      </c>
      <c r="FY16" s="97" t="n">
        <f aca="false">FY15-FX16+FW16</f>
        <v>0</v>
      </c>
      <c r="FZ16" s="95" t="n">
        <f aca="false">[1]НАДІЙШЛО2!BK8</f>
        <v>0</v>
      </c>
      <c r="GA16" s="96" t="n">
        <f aca="false">[1]ВИБУЛО2!BK8</f>
        <v>0</v>
      </c>
      <c r="GB16" s="97" t="n">
        <f aca="false">GB15-GA16+FZ16</f>
        <v>0</v>
      </c>
      <c r="GC16" s="95" t="n">
        <f aca="false">[1]НАДІЙШЛО2!BL8</f>
        <v>0</v>
      </c>
      <c r="GD16" s="96" t="n">
        <f aca="false">[1]ВИБУЛО2!BL8</f>
        <v>0</v>
      </c>
      <c r="GE16" s="97" t="n">
        <f aca="false">GE15-GD16+GC16</f>
        <v>0</v>
      </c>
      <c r="GF16" s="95" t="n">
        <f aca="false">[1]НАДІЙШЛО2!BM8</f>
        <v>0</v>
      </c>
      <c r="GG16" s="96" t="n">
        <f aca="false">[1]ВИБУЛО2!BM8</f>
        <v>0</v>
      </c>
      <c r="GH16" s="97" t="n">
        <f aca="false">GH15-GG16+GF16</f>
        <v>0</v>
      </c>
      <c r="GI16" s="95" t="n">
        <f aca="false">[1]НАДІЙШЛО2!BN8</f>
        <v>0</v>
      </c>
      <c r="GJ16" s="96" t="n">
        <f aca="false">[1]ВИБУЛО2!BN8</f>
        <v>0</v>
      </c>
      <c r="GK16" s="97" t="n">
        <f aca="false">GK15-GJ16+GI16</f>
        <v>0</v>
      </c>
      <c r="GL16" s="95" t="n">
        <f aca="false">[1]НАДІЙШЛО2!BO8</f>
        <v>0</v>
      </c>
      <c r="GM16" s="96" t="n">
        <f aca="false">[1]ВИБУЛО2!BO8</f>
        <v>0</v>
      </c>
      <c r="GN16" s="97" t="n">
        <f aca="false">GN15-GM16+GL16</f>
        <v>0</v>
      </c>
      <c r="GO16" s="95" t="n">
        <f aca="false">[1]НАДІЙШЛО2!BP8</f>
        <v>0</v>
      </c>
      <c r="GP16" s="96" t="n">
        <f aca="false">[1]ВИБУЛО2!BP8</f>
        <v>0</v>
      </c>
      <c r="GQ16" s="97" t="n">
        <f aca="false">GQ15-GP16+GO16</f>
        <v>0</v>
      </c>
      <c r="GR16" s="95" t="n">
        <f aca="false">[1]НАДІЙШЛО2!BQ8</f>
        <v>0</v>
      </c>
      <c r="GS16" s="96" t="n">
        <f aca="false">[1]ВИБУЛО2!BQ8</f>
        <v>0</v>
      </c>
      <c r="GT16" s="97" t="n">
        <f aca="false">GT15-GS16+GR16</f>
        <v>0</v>
      </c>
      <c r="GU16" s="95" t="n">
        <f aca="false">[1]НАДІЙШЛО2!BR8</f>
        <v>0</v>
      </c>
      <c r="GV16" s="96" t="n">
        <f aca="false">[1]ВИБУЛО2!BR8</f>
        <v>0</v>
      </c>
      <c r="GW16" s="97" t="n">
        <f aca="false">GW15-GV16+GU16</f>
        <v>0</v>
      </c>
      <c r="GX16" s="95" t="n">
        <f aca="false">[1]НАДІЙШЛО2!BS8</f>
        <v>0</v>
      </c>
      <c r="GY16" s="96" t="n">
        <f aca="false">[1]ВИБУЛО2!BS8</f>
        <v>0</v>
      </c>
      <c r="GZ16" s="97" t="n">
        <f aca="false">GZ15-GY16+GX16</f>
        <v>0</v>
      </c>
      <c r="HA16" s="95" t="n">
        <f aca="false">[1]НАДІЙШЛО2!BT8</f>
        <v>0</v>
      </c>
      <c r="HB16" s="96" t="n">
        <f aca="false">[1]ВИБУЛО2!BT8</f>
        <v>0</v>
      </c>
      <c r="HC16" s="97" t="n">
        <f aca="false">HC15-HB16+HA16</f>
        <v>0</v>
      </c>
      <c r="HD16" s="95" t="n">
        <f aca="false">[1]НАДІЙШЛО2!BU8</f>
        <v>0</v>
      </c>
      <c r="HE16" s="96" t="n">
        <f aca="false">[1]ВИБУЛО2!BU8</f>
        <v>0</v>
      </c>
      <c r="HF16" s="97" t="n">
        <f aca="false">HF15-HE16+HD16</f>
        <v>0</v>
      </c>
      <c r="HG16" s="95" t="n">
        <f aca="false">[1]НАДІЙШЛО2!BV8</f>
        <v>0</v>
      </c>
      <c r="HH16" s="96" t="n">
        <f aca="false">[1]ВИБУЛО2!BV8</f>
        <v>0</v>
      </c>
      <c r="HI16" s="97" t="n">
        <f aca="false">HI15-HH16+HG16</f>
        <v>0</v>
      </c>
      <c r="HJ16" s="95" t="n">
        <f aca="false">[1]НАДІЙШЛО2!BW8</f>
        <v>0</v>
      </c>
      <c r="HK16" s="96" t="n">
        <f aca="false">[1]ВИБУЛО2!BW8</f>
        <v>0</v>
      </c>
      <c r="HL16" s="97" t="n">
        <f aca="false">HL15-HK16+HJ16</f>
        <v>0</v>
      </c>
      <c r="HM16" s="95" t="n">
        <f aca="false">[1]НАДІЙШЛО2!BX8</f>
        <v>0</v>
      </c>
      <c r="HN16" s="96" t="n">
        <f aca="false">[1]ВИБУЛО2!BX8</f>
        <v>0</v>
      </c>
      <c r="HO16" s="97" t="n">
        <f aca="false">HO15-HN16+HM16</f>
        <v>0</v>
      </c>
      <c r="HP16" s="95" t="n">
        <f aca="false">[1]НАДІЙШЛО2!BY8</f>
        <v>0</v>
      </c>
      <c r="HQ16" s="96" t="n">
        <f aca="false">[1]ВИБУЛО2!BY8</f>
        <v>0</v>
      </c>
      <c r="HR16" s="97" t="n">
        <f aca="false">HR15-HQ16+HP16</f>
        <v>0</v>
      </c>
      <c r="HS16" s="95" t="n">
        <f aca="false">[1]НАДІЙШЛО2!BZ8</f>
        <v>0</v>
      </c>
      <c r="HT16" s="96" t="n">
        <f aca="false">[1]ВИБУЛО2!BZ8</f>
        <v>0</v>
      </c>
      <c r="HU16" s="97" t="n">
        <f aca="false">HU15-HT16+HS16</f>
        <v>0</v>
      </c>
      <c r="HV16" s="95" t="n">
        <f aca="false">[1]НАДІЙШЛО2!CA8</f>
        <v>0</v>
      </c>
      <c r="HW16" s="96" t="n">
        <f aca="false">[1]ВИБУЛО2!CA8</f>
        <v>0</v>
      </c>
      <c r="HX16" s="97" t="n">
        <f aca="false">HX15-HW16+HV16</f>
        <v>0</v>
      </c>
      <c r="HY16" s="95" t="n">
        <f aca="false">[1]НАДІЙШЛО2!CB8</f>
        <v>0</v>
      </c>
      <c r="HZ16" s="96" t="n">
        <f aca="false">[1]ВИБУЛО2!CB8</f>
        <v>0</v>
      </c>
      <c r="IA16" s="97" t="n">
        <f aca="false">IA15-HZ16+HY16</f>
        <v>0</v>
      </c>
      <c r="IB16" s="95" t="n">
        <f aca="false">[1]НАДІЙШЛО2!CC8</f>
        <v>0</v>
      </c>
      <c r="IC16" s="96" t="n">
        <f aca="false">[1]ВИБУЛО2!CC8</f>
        <v>0</v>
      </c>
      <c r="ID16" s="97" t="n">
        <f aca="false">ID15-IC16+IB16</f>
        <v>0</v>
      </c>
      <c r="IE16" s="95" t="n">
        <f aca="false">[1]НАДІЙШЛО2!CD8</f>
        <v>0</v>
      </c>
      <c r="IF16" s="96" t="n">
        <f aca="false">[1]ВИБУЛО2!CD8</f>
        <v>0</v>
      </c>
      <c r="IG16" s="97" t="n">
        <f aca="false">IG15-IF16+IE16</f>
        <v>0</v>
      </c>
      <c r="IH16" s="95" t="n">
        <f aca="false">[1]НАДІЙШЛО2!CE8</f>
        <v>0</v>
      </c>
      <c r="II16" s="96" t="n">
        <f aca="false">[1]ВИБУЛО2!CE8</f>
        <v>0</v>
      </c>
      <c r="IJ16" s="97" t="n">
        <f aca="false">IJ15-II16+IH16</f>
        <v>0</v>
      </c>
      <c r="IK16" s="95" t="n">
        <f aca="false">[1]НАДІЙШЛО2!CF8</f>
        <v>0</v>
      </c>
      <c r="IL16" s="96" t="n">
        <f aca="false">[1]ВИБУЛО2!CF8</f>
        <v>0</v>
      </c>
      <c r="IM16" s="97" t="n">
        <f aca="false">IM15-IL16+IK16</f>
        <v>0</v>
      </c>
      <c r="IN16" s="95" t="n">
        <f aca="false">[1]НАДІЙШЛО2!CG8</f>
        <v>0</v>
      </c>
      <c r="IO16" s="96" t="n">
        <f aca="false">[1]ВИБУЛО2!CG8</f>
        <v>0</v>
      </c>
      <c r="IP16" s="97" t="n">
        <f aca="false">IP15-IO16+IN16</f>
        <v>0</v>
      </c>
      <c r="IQ16" s="95" t="n">
        <f aca="false">[1]НАДІЙШЛО2!CH8</f>
        <v>0</v>
      </c>
      <c r="IR16" s="96" t="n">
        <f aca="false">[1]ВИБУЛО2!CH8</f>
        <v>0</v>
      </c>
      <c r="IS16" s="97" t="n">
        <f aca="false">IS15-IR16+IQ16</f>
        <v>0</v>
      </c>
      <c r="IT16" s="95" t="n">
        <f aca="false">[1]НАДІЙШЛО2!CI8</f>
        <v>0</v>
      </c>
      <c r="IU16" s="96" t="n">
        <f aca="false">[1]ВИБУЛО2!CI8</f>
        <v>0</v>
      </c>
      <c r="IV16" s="97" t="n">
        <f aca="false">IV15-IU16+IT16</f>
        <v>0</v>
      </c>
      <c r="IW16" s="95" t="n">
        <f aca="false">[1]НАДІЙШЛО2!CJ8</f>
        <v>0</v>
      </c>
      <c r="IX16" s="96" t="n">
        <f aca="false">[1]ВИБУЛО2!CJ8</f>
        <v>0</v>
      </c>
      <c r="IY16" s="97" t="n">
        <f aca="false">IY15-IX16+IW16</f>
        <v>0</v>
      </c>
      <c r="IZ16" s="95" t="n">
        <f aca="false">[1]НАДІЙШЛО2!CK8</f>
        <v>0</v>
      </c>
      <c r="JA16" s="96" t="n">
        <f aca="false">[1]ВИБУЛО2!CK8</f>
        <v>0</v>
      </c>
      <c r="JB16" s="97" t="n">
        <f aca="false">JB15-JA16+IZ16</f>
        <v>0</v>
      </c>
      <c r="JC16" s="95" t="n">
        <f aca="false">[1]НАДІЙШЛО2!CL8</f>
        <v>0</v>
      </c>
      <c r="JD16" s="96" t="n">
        <f aca="false">[1]ВИБУЛО2!CL8</f>
        <v>0</v>
      </c>
      <c r="JE16" s="97" t="n">
        <f aca="false">JE15-JD16+JC16</f>
        <v>0</v>
      </c>
      <c r="JF16" s="95" t="n">
        <f aca="false">[1]НАДІЙШЛО2!CM8</f>
        <v>0</v>
      </c>
      <c r="JG16" s="96" t="n">
        <f aca="false">[1]ВИБУЛО2!CM8</f>
        <v>0</v>
      </c>
      <c r="JH16" s="97" t="n">
        <f aca="false">JH15-JG16+JF16</f>
        <v>0</v>
      </c>
      <c r="JI16" s="95" t="n">
        <f aca="false">[1]НАДІЙШЛО2!CN8</f>
        <v>0</v>
      </c>
      <c r="JJ16" s="96" t="n">
        <f aca="false">[1]ВИБУЛО2!CN8</f>
        <v>0</v>
      </c>
      <c r="JK16" s="97" t="n">
        <f aca="false">JK15-JJ16+JI16</f>
        <v>0</v>
      </c>
      <c r="JL16" s="95" t="n">
        <f aca="false">[1]НАДІЙШЛО2!CO8</f>
        <v>0</v>
      </c>
      <c r="JM16" s="96" t="n">
        <f aca="false">[1]ВИБУЛО2!CO8</f>
        <v>0</v>
      </c>
      <c r="JN16" s="97" t="n">
        <f aca="false">JN15-JM16+JL16</f>
        <v>0</v>
      </c>
      <c r="JO16" s="95" t="n">
        <f aca="false">[1]НАДІЙШЛО2!CP8</f>
        <v>0</v>
      </c>
      <c r="JP16" s="96" t="n">
        <f aca="false">[1]ВИБУЛО2!CP8</f>
        <v>0</v>
      </c>
      <c r="JQ16" s="97" t="n">
        <f aca="false">JQ15-JP16+JO16</f>
        <v>0</v>
      </c>
      <c r="JR16" s="95" t="n">
        <f aca="false">[1]НАДІЙШЛО2!CQ8</f>
        <v>0</v>
      </c>
      <c r="JS16" s="96" t="n">
        <f aca="false">[1]ВИБУЛО2!CQ8</f>
        <v>0</v>
      </c>
      <c r="JT16" s="97" t="n">
        <f aca="false">JT15-JS16+JR16</f>
        <v>0</v>
      </c>
      <c r="JU16" s="95" t="n">
        <f aca="false">[1]НАДІЙШЛО2!CR8</f>
        <v>0</v>
      </c>
      <c r="JV16" s="96" t="n">
        <f aca="false">[1]ВИБУЛО2!CR8</f>
        <v>0</v>
      </c>
      <c r="JW16" s="97" t="n">
        <f aca="false">JW15-JV16+JU16</f>
        <v>0</v>
      </c>
      <c r="JX16" s="95" t="n">
        <f aca="false">[1]НАДІЙШЛО2!CS8</f>
        <v>0</v>
      </c>
      <c r="JY16" s="96" t="n">
        <f aca="false">[1]ВИБУЛО2!CS8</f>
        <v>0</v>
      </c>
      <c r="JZ16" s="97" t="n">
        <f aca="false">JZ15-JY16+JX16</f>
        <v>0</v>
      </c>
      <c r="KA16" s="95" t="n">
        <f aca="false">[1]НАДІЙШЛО2!CT8</f>
        <v>0</v>
      </c>
      <c r="KB16" s="96" t="n">
        <f aca="false">[1]ВИБУЛО2!CT8</f>
        <v>0</v>
      </c>
      <c r="KC16" s="97" t="n">
        <f aca="false">KC15-KB16+KA16</f>
        <v>0</v>
      </c>
      <c r="KD16" s="95" t="n">
        <f aca="false">[1]НАДІЙШЛО2!CU8</f>
        <v>0</v>
      </c>
      <c r="KE16" s="96" t="n">
        <f aca="false">[1]ВИБУЛО2!CU8</f>
        <v>0</v>
      </c>
      <c r="KF16" s="97" t="n">
        <f aca="false">KF15-KE16+KD16</f>
        <v>0</v>
      </c>
      <c r="KG16" s="95" t="n">
        <f aca="false">[1]НАДІЙШЛО2!CV8</f>
        <v>0</v>
      </c>
      <c r="KH16" s="96" t="n">
        <f aca="false">[1]ВИБУЛО2!CV8</f>
        <v>0</v>
      </c>
      <c r="KI16" s="97" t="n">
        <f aca="false">KI15-KH16+KG16</f>
        <v>0</v>
      </c>
      <c r="KJ16" s="95" t="n">
        <f aca="false">[1]НАДІЙШЛО2!CW8</f>
        <v>0</v>
      </c>
      <c r="KK16" s="96" t="n">
        <f aca="false">[1]ВИБУЛО2!CW8</f>
        <v>0</v>
      </c>
      <c r="KL16" s="97" t="n">
        <f aca="false">KL15-KK16+KJ16</f>
        <v>0</v>
      </c>
      <c r="KM16" s="95" t="n">
        <f aca="false">[1]НАДІЙШЛО2!CX8</f>
        <v>0</v>
      </c>
      <c r="KN16" s="96" t="n">
        <f aca="false">[1]ВИБУЛО2!CX8</f>
        <v>0</v>
      </c>
      <c r="KO16" s="97" t="n">
        <f aca="false">KO15-KN16+KM16</f>
        <v>0</v>
      </c>
      <c r="KP16" s="95" t="n">
        <f aca="false">[1]НАДІЙШЛО2!CY8</f>
        <v>0</v>
      </c>
      <c r="KQ16" s="96" t="n">
        <f aca="false">[1]ВИБУЛО2!CY8</f>
        <v>0</v>
      </c>
      <c r="KR16" s="97" t="n">
        <f aca="false">KR15-KQ16+KP16</f>
        <v>0</v>
      </c>
      <c r="KS16" s="95" t="n">
        <f aca="false">[1]НАДІЙШЛО2!CZ8</f>
        <v>0</v>
      </c>
      <c r="KT16" s="96" t="n">
        <f aca="false">[1]ВИБУЛО2!CZ8</f>
        <v>0</v>
      </c>
      <c r="KU16" s="97" t="n">
        <f aca="false">KU15-KT16+KS16</f>
        <v>0</v>
      </c>
      <c r="KV16" s="95" t="n">
        <f aca="false">[1]НАДІЙШЛО2!DA8</f>
        <v>0</v>
      </c>
      <c r="KW16" s="96" t="n">
        <f aca="false">[1]ВИБУЛО2!DA8</f>
        <v>0</v>
      </c>
      <c r="KX16" s="97" t="n">
        <f aca="false">KX15-KW16+KV16</f>
        <v>0</v>
      </c>
      <c r="KY16" s="95" t="n">
        <f aca="false">[1]НАДІЙШЛО2!DB8</f>
        <v>0</v>
      </c>
      <c r="KZ16" s="96" t="n">
        <f aca="false">[1]ВИБУЛО2!DB8</f>
        <v>0</v>
      </c>
      <c r="LA16" s="97" t="n">
        <f aca="false">LA15-KZ16+KY16</f>
        <v>0</v>
      </c>
      <c r="LB16" s="95" t="n">
        <f aca="false">[1]НАДІЙШЛО2!DC8</f>
        <v>0</v>
      </c>
      <c r="LC16" s="96" t="n">
        <f aca="false">[1]ВИБУЛО2!DC8</f>
        <v>0</v>
      </c>
      <c r="LD16" s="97" t="n">
        <f aca="false">LD15-LC16+LB16</f>
        <v>0</v>
      </c>
      <c r="LE16" s="95" t="n">
        <f aca="false">[1]НАДІЙШЛО2!DD8</f>
        <v>0</v>
      </c>
      <c r="LF16" s="96" t="n">
        <f aca="false">[1]ВИБУЛО2!DD8</f>
        <v>0</v>
      </c>
      <c r="LG16" s="97" t="n">
        <f aca="false">LG15-LF16+LE16</f>
        <v>0</v>
      </c>
      <c r="LH16" s="95" t="n">
        <f aca="false">[1]НАДІЙШЛО2!DE8</f>
        <v>0</v>
      </c>
      <c r="LI16" s="96" t="n">
        <f aca="false">[1]ВИБУЛО2!DE8</f>
        <v>0</v>
      </c>
      <c r="LJ16" s="97" t="n">
        <f aca="false">LJ15-LI16+LH16</f>
        <v>0</v>
      </c>
      <c r="LK16" s="95" t="n">
        <f aca="false">[1]НАДІЙШЛО2!DF8</f>
        <v>0</v>
      </c>
      <c r="LL16" s="96" t="n">
        <f aca="false">[1]ВИБУЛО2!DF8</f>
        <v>0</v>
      </c>
      <c r="LM16" s="97" t="n">
        <f aca="false">LM15-LL16+LK16</f>
        <v>0</v>
      </c>
      <c r="LN16" s="95" t="n">
        <f aca="false">[1]НАДІЙШЛО2!DG8</f>
        <v>0</v>
      </c>
      <c r="LO16" s="96" t="n">
        <f aca="false">[1]ВИБУЛО2!DG8</f>
        <v>0</v>
      </c>
      <c r="LP16" s="97" t="n">
        <f aca="false">LP15-LO16+LN16</f>
        <v>0</v>
      </c>
      <c r="LQ16" s="95" t="n">
        <f aca="false">[1]НАДІЙШЛО2!DH8</f>
        <v>0</v>
      </c>
      <c r="LR16" s="96" t="n">
        <f aca="false">[1]ВИБУЛО2!DH8</f>
        <v>0</v>
      </c>
      <c r="LS16" s="97" t="n">
        <f aca="false">LS15-LR16+LQ16</f>
        <v>0</v>
      </c>
      <c r="LT16" s="95" t="n">
        <f aca="false">[1]НАДІЙШЛО2!DI8</f>
        <v>0</v>
      </c>
      <c r="LU16" s="96" t="n">
        <f aca="false">[1]ВИБУЛО2!DI8</f>
        <v>0</v>
      </c>
      <c r="LV16" s="97" t="n">
        <f aca="false">LV15-LU16+LT16</f>
        <v>0</v>
      </c>
      <c r="LW16" s="95" t="n">
        <f aca="false">[1]НАДІЙШЛО2!DJ8</f>
        <v>0</v>
      </c>
      <c r="LX16" s="96" t="n">
        <f aca="false">[1]ВИБУЛО2!DJ8</f>
        <v>0</v>
      </c>
      <c r="LY16" s="97" t="n">
        <f aca="false">LY15-LX16+LW16</f>
        <v>0</v>
      </c>
      <c r="LZ16" s="95" t="n">
        <f aca="false">[1]НАДІЙШЛО2!DK8</f>
        <v>0</v>
      </c>
      <c r="MA16" s="96" t="n">
        <f aca="false">[1]ВИБУЛО2!DK8</f>
        <v>0</v>
      </c>
      <c r="MB16" s="97" t="n">
        <f aca="false">MB15-MA16+LZ16</f>
        <v>0</v>
      </c>
      <c r="MC16" s="95" t="n">
        <f aca="false">[1]НАДІЙШЛО2!DL8</f>
        <v>0</v>
      </c>
      <c r="MD16" s="96" t="n">
        <f aca="false">[1]ВИБУЛО2!DL8</f>
        <v>0</v>
      </c>
      <c r="ME16" s="97" t="n">
        <f aca="false">ME15-MD16+MC16</f>
        <v>0</v>
      </c>
      <c r="MF16" s="95" t="n">
        <f aca="false">[1]НАДІЙШЛО2!DM8</f>
        <v>0</v>
      </c>
      <c r="MG16" s="96" t="n">
        <f aca="false">[1]ВИБУЛО2!DM8</f>
        <v>0</v>
      </c>
      <c r="MH16" s="97" t="n">
        <f aca="false">MH15-MG16+MF16</f>
        <v>0</v>
      </c>
      <c r="MI16" s="95" t="n">
        <f aca="false">[1]НАДІЙШЛО2!DN8</f>
        <v>0</v>
      </c>
      <c r="MJ16" s="96" t="n">
        <f aca="false">[1]ВИБУЛО2!DN8</f>
        <v>0</v>
      </c>
      <c r="MK16" s="97" t="n">
        <f aca="false">MK15-MJ16+MI16</f>
        <v>0</v>
      </c>
      <c r="ML16" s="95" t="n">
        <f aca="false">[1]НАДІЙШЛО2!DO8</f>
        <v>0</v>
      </c>
      <c r="MM16" s="96" t="n">
        <f aca="false">[1]ВИБУЛО2!DO8</f>
        <v>0</v>
      </c>
      <c r="MN16" s="97" t="n">
        <f aca="false">MN15-MM16+ML16</f>
        <v>0</v>
      </c>
      <c r="MO16" s="95" t="n">
        <f aca="false">[1]НАДІЙШЛО2!DP8</f>
        <v>0</v>
      </c>
      <c r="MP16" s="96" t="n">
        <f aca="false">[1]ВИБУЛО2!DP8</f>
        <v>0</v>
      </c>
      <c r="MQ16" s="97" t="n">
        <f aca="false">MQ15-MP16+MO16</f>
        <v>0</v>
      </c>
      <c r="MR16" s="95" t="n">
        <f aca="false">[1]НАДІЙШЛО2!DQ8</f>
        <v>0</v>
      </c>
      <c r="MS16" s="96" t="n">
        <f aca="false">[1]ВИБУЛО2!DQ8</f>
        <v>0</v>
      </c>
      <c r="MT16" s="97" t="n">
        <f aca="false">MT15-MS16+MR16</f>
        <v>0</v>
      </c>
      <c r="MU16" s="95" t="n">
        <f aca="false">[1]НАДІЙШЛО2!DR8</f>
        <v>0</v>
      </c>
      <c r="MV16" s="96" t="n">
        <f aca="false">[1]ВИБУЛО2!DR8</f>
        <v>0</v>
      </c>
      <c r="MW16" s="97" t="n">
        <f aca="false">MW15-MV16+MU16</f>
        <v>0</v>
      </c>
      <c r="MX16" s="95" t="n">
        <f aca="false">[1]НАДІЙШЛО2!DS8</f>
        <v>0</v>
      </c>
      <c r="MY16" s="96" t="n">
        <f aca="false">[1]ВИБУЛО2!DS8</f>
        <v>0</v>
      </c>
      <c r="MZ16" s="97" t="n">
        <f aca="false">MZ15-MY16+MX16</f>
        <v>0</v>
      </c>
      <c r="NA16" s="95" t="n">
        <f aca="false">[1]НАДІЙШЛО2!DT8</f>
        <v>0</v>
      </c>
      <c r="NB16" s="96" t="n">
        <f aca="false">[1]ВИБУЛО2!DT8</f>
        <v>0</v>
      </c>
      <c r="NC16" s="97" t="n">
        <f aca="false">NC15-NB16+NA16</f>
        <v>0</v>
      </c>
      <c r="ND16" s="95" t="n">
        <f aca="false">[1]НАДІЙШЛО2!DU8</f>
        <v>0</v>
      </c>
      <c r="NE16" s="96" t="n">
        <f aca="false">[1]ВИБУЛО2!DU8</f>
        <v>0</v>
      </c>
      <c r="NF16" s="97" t="n">
        <f aca="false">NF15-NE16+ND16</f>
        <v>0</v>
      </c>
      <c r="NG16" s="95" t="n">
        <f aca="false">[1]НАДІЙШЛО2!DV8</f>
        <v>0</v>
      </c>
      <c r="NH16" s="96" t="n">
        <f aca="false">[1]ВИБУЛО2!DV8</f>
        <v>0</v>
      </c>
      <c r="NI16" s="97" t="n">
        <f aca="false">NI15-NH16+NG16</f>
        <v>0</v>
      </c>
      <c r="NJ16" s="95" t="n">
        <f aca="false">[1]НАДІЙШЛО2!DW8</f>
        <v>0</v>
      </c>
      <c r="NK16" s="96" t="n">
        <f aca="false">[1]ВИБУЛО2!DW8</f>
        <v>0</v>
      </c>
      <c r="NL16" s="97" t="n">
        <f aca="false">NL15-NK16+NJ16</f>
        <v>0</v>
      </c>
      <c r="NM16" s="95" t="n">
        <f aca="false">[1]НАДІЙШЛО2!DX8</f>
        <v>0</v>
      </c>
      <c r="NN16" s="96" t="n">
        <f aca="false">[1]ВИБУЛО2!DX8</f>
        <v>0</v>
      </c>
      <c r="NO16" s="97" t="n">
        <f aca="false">NO15-NN16+NM16</f>
        <v>0</v>
      </c>
      <c r="NP16" s="95" t="n">
        <f aca="false">[1]НАДІЙШЛО2!DY8</f>
        <v>0</v>
      </c>
      <c r="NQ16" s="96" t="n">
        <f aca="false">[1]ВИБУЛО2!DY8</f>
        <v>0</v>
      </c>
      <c r="NR16" s="97" t="n">
        <f aca="false">NR15-NQ16+NP16</f>
        <v>0</v>
      </c>
      <c r="NS16" s="95" t="n">
        <f aca="false">[1]НАДІЙШЛО2!DZ8</f>
        <v>0</v>
      </c>
      <c r="NT16" s="96" t="n">
        <f aca="false">[1]ВИБУЛО2!DZ8</f>
        <v>0</v>
      </c>
      <c r="NU16" s="97" t="n">
        <f aca="false">NU15-NT16+NS16</f>
        <v>0</v>
      </c>
      <c r="NV16" s="95" t="n">
        <f aca="false">[1]НАДІЙШЛО2!EA8</f>
        <v>0</v>
      </c>
      <c r="NW16" s="96" t="n">
        <f aca="false">[1]ВИБУЛО2!EA8</f>
        <v>0</v>
      </c>
      <c r="NX16" s="97" t="n">
        <f aca="false">NX15-NW16+NV16</f>
        <v>0</v>
      </c>
      <c r="NY16" s="95" t="n">
        <f aca="false">[1]НАДІЙШЛО2!EB8</f>
        <v>0</v>
      </c>
      <c r="NZ16" s="96" t="n">
        <f aca="false">[1]ВИБУЛО2!EB8</f>
        <v>0</v>
      </c>
      <c r="OA16" s="97" t="n">
        <f aca="false">OA15-NZ16+NY16</f>
        <v>0</v>
      </c>
      <c r="OB16" s="95" t="n">
        <f aca="false">[1]НАДІЙШЛО2!EC8</f>
        <v>0</v>
      </c>
      <c r="OC16" s="96" t="n">
        <f aca="false">[1]ВИБУЛО2!EC8</f>
        <v>0</v>
      </c>
      <c r="OD16" s="97" t="n">
        <f aca="false">OD15-OC16+OB16</f>
        <v>0</v>
      </c>
      <c r="OE16" s="95" t="n">
        <f aca="false">[1]НАДІЙШЛО2!ED8</f>
        <v>0</v>
      </c>
      <c r="OF16" s="96" t="n">
        <f aca="false">[1]ВИБУЛО2!ED8</f>
        <v>0</v>
      </c>
      <c r="OG16" s="97" t="n">
        <f aca="false">OG15-OF16+OE16</f>
        <v>0</v>
      </c>
      <c r="OH16" s="95" t="n">
        <f aca="false">[1]НАДІЙШЛО2!EE8</f>
        <v>0</v>
      </c>
      <c r="OI16" s="96" t="n">
        <f aca="false">[1]ВИБУЛО2!EE8</f>
        <v>0</v>
      </c>
      <c r="OJ16" s="97" t="n">
        <f aca="false">OJ15-OI16+OH16</f>
        <v>0</v>
      </c>
      <c r="OK16" s="95" t="n">
        <f aca="false">[1]НАДІЙШЛО2!EF8</f>
        <v>0</v>
      </c>
      <c r="OL16" s="96" t="n">
        <f aca="false">[1]ВИБУЛО2!EF8</f>
        <v>0</v>
      </c>
      <c r="OM16" s="97" t="n">
        <f aca="false">OM15-OL16+OK16</f>
        <v>0</v>
      </c>
      <c r="ON16" s="95" t="n">
        <f aca="false">[1]НАДІЙШЛО2!EG8</f>
        <v>0</v>
      </c>
      <c r="OO16" s="96" t="n">
        <f aca="false">[1]ВИБУЛО2!EG8</f>
        <v>0</v>
      </c>
      <c r="OP16" s="97" t="n">
        <f aca="false">OP15-OO16+ON16</f>
        <v>0</v>
      </c>
      <c r="OQ16" s="95" t="n">
        <f aca="false">[1]НАДІЙШЛО2!EH8</f>
        <v>0</v>
      </c>
      <c r="OR16" s="96" t="n">
        <f aca="false">[1]ВИБУЛО2!EH8</f>
        <v>0</v>
      </c>
      <c r="OS16" s="97" t="n">
        <f aca="false">OS15-OR16+OQ16</f>
        <v>0</v>
      </c>
      <c r="OT16" s="95" t="n">
        <f aca="false">[1]НАДІЙШЛО2!EI8</f>
        <v>0</v>
      </c>
      <c r="OU16" s="96" t="n">
        <f aca="false">[1]ВИБУЛО2!EI8</f>
        <v>0</v>
      </c>
      <c r="OV16" s="97" t="n">
        <f aca="false">OV15-OU16+OT16</f>
        <v>0</v>
      </c>
      <c r="OW16" s="95" t="n">
        <f aca="false">[1]НАДІЙШЛО2!EJ8</f>
        <v>0</v>
      </c>
      <c r="OX16" s="96" t="n">
        <f aca="false">[1]ВИБУЛО2!EJ8</f>
        <v>0</v>
      </c>
      <c r="OY16" s="97" t="n">
        <f aca="false">OY15-OX16+OW16</f>
        <v>0</v>
      </c>
      <c r="OZ16" s="95" t="n">
        <f aca="false">[1]НАДІЙШЛО2!EK8</f>
        <v>0</v>
      </c>
      <c r="PA16" s="96" t="n">
        <f aca="false">[1]ВИБУЛО2!EK8</f>
        <v>0</v>
      </c>
      <c r="PB16" s="97" t="n">
        <f aca="false">PB15-PA16+OZ16</f>
        <v>0</v>
      </c>
      <c r="PC16" s="95" t="n">
        <f aca="false">[1]НАДІЙШЛО2!EL8</f>
        <v>0</v>
      </c>
      <c r="PD16" s="96" t="n">
        <f aca="false">[1]ВИБУЛО2!EL8</f>
        <v>0</v>
      </c>
      <c r="PE16" s="97" t="n">
        <f aca="false">PE15-PD16+PC16</f>
        <v>0</v>
      </c>
      <c r="PF16" s="95" t="n">
        <f aca="false">[1]НАДІЙШЛО2!EM8</f>
        <v>0</v>
      </c>
      <c r="PG16" s="96" t="n">
        <f aca="false">[1]ВИБУЛО2!EM8</f>
        <v>0</v>
      </c>
      <c r="PH16" s="97" t="n">
        <f aca="false">PH15-PG16+PF16</f>
        <v>0</v>
      </c>
      <c r="PI16" s="95" t="n">
        <f aca="false">[1]НАДІЙШЛО2!EN8</f>
        <v>0</v>
      </c>
      <c r="PJ16" s="96" t="n">
        <f aca="false">[1]ВИБУЛО2!EN8</f>
        <v>0</v>
      </c>
      <c r="PK16" s="97" t="n">
        <f aca="false">PK15-PJ16+PI16</f>
        <v>0</v>
      </c>
      <c r="PL16" s="95" t="n">
        <f aca="false">[1]НАДІЙШЛО2!EO8</f>
        <v>0</v>
      </c>
      <c r="PM16" s="96" t="n">
        <f aca="false">[1]ВИБУЛО2!EO8</f>
        <v>0</v>
      </c>
      <c r="PN16" s="97" t="n">
        <f aca="false">PN15-PM16+PL16</f>
        <v>0</v>
      </c>
      <c r="PO16" s="95" t="n">
        <f aca="false">[1]НАДІЙШЛО2!EP8</f>
        <v>0</v>
      </c>
      <c r="PP16" s="96" t="n">
        <f aca="false">[1]ВИБУЛО2!EP8</f>
        <v>0</v>
      </c>
      <c r="PQ16" s="97" t="n">
        <f aca="false">PQ15-PP16+PO16</f>
        <v>0</v>
      </c>
      <c r="PR16" s="95" t="n">
        <f aca="false">[1]НАДІЙШЛО2!EQ8</f>
        <v>0</v>
      </c>
      <c r="PS16" s="96" t="n">
        <f aca="false">[1]ВИБУЛО2!EQ8</f>
        <v>0</v>
      </c>
      <c r="PT16" s="97" t="n">
        <f aca="false">PT15-PS16+PR16</f>
        <v>0</v>
      </c>
      <c r="PU16" s="95" t="n">
        <f aca="false">[1]НАДІЙШЛО2!ER8</f>
        <v>0</v>
      </c>
      <c r="PV16" s="96" t="n">
        <f aca="false">[1]ВИБУЛО2!ER8</f>
        <v>0</v>
      </c>
      <c r="PW16" s="97" t="n">
        <f aca="false">PW15-PV16+PU16</f>
        <v>0</v>
      </c>
      <c r="PX16" s="95" t="n">
        <f aca="false">[1]НАДІЙШЛО2!ES8</f>
        <v>0</v>
      </c>
      <c r="PY16" s="96" t="n">
        <f aca="false">[1]ВИБУЛО2!ES8</f>
        <v>0</v>
      </c>
      <c r="PZ16" s="97" t="n">
        <f aca="false">PZ15-PY16+PX16</f>
        <v>0</v>
      </c>
      <c r="QA16" s="95" t="n">
        <f aca="false">[1]НАДІЙШЛО2!ET8</f>
        <v>0</v>
      </c>
      <c r="QB16" s="96" t="n">
        <f aca="false">[1]ВИБУЛО2!ET8</f>
        <v>0</v>
      </c>
      <c r="QC16" s="97" t="n">
        <f aca="false">QC15-QB16+QA16</f>
        <v>0</v>
      </c>
      <c r="QD16" s="95" t="n">
        <f aca="false">[1]НАДІЙШЛО2!EU8</f>
        <v>0</v>
      </c>
      <c r="QE16" s="96" t="n">
        <f aca="false">[1]ВИБУЛО2!EU8</f>
        <v>0</v>
      </c>
      <c r="QF16" s="97" t="n">
        <f aca="false">QF15-QE16+QD16</f>
        <v>0</v>
      </c>
      <c r="QG16" s="95" t="n">
        <f aca="false">[1]НАДІЙШЛО2!EV8</f>
        <v>0</v>
      </c>
      <c r="QH16" s="96" t="n">
        <f aca="false">[1]ВИБУЛО2!EV8</f>
        <v>0</v>
      </c>
      <c r="QI16" s="97" t="n">
        <f aca="false">QI15-QH16+QG16</f>
        <v>0</v>
      </c>
      <c r="QJ16" s="95" t="n">
        <f aca="false">[1]НАДІЙШЛО2!EW8</f>
        <v>0</v>
      </c>
      <c r="QK16" s="96" t="n">
        <f aca="false">[1]ВИБУЛО2!EW8</f>
        <v>0</v>
      </c>
      <c r="QL16" s="97" t="n">
        <f aca="false">QL15-QK16+QJ16</f>
        <v>0</v>
      </c>
      <c r="QM16" s="95" t="n">
        <f aca="false">[1]НАДІЙШЛО2!EX8</f>
        <v>0</v>
      </c>
      <c r="QN16" s="96" t="n">
        <f aca="false">[1]ВИБУЛО2!EX8</f>
        <v>0</v>
      </c>
      <c r="QO16" s="97" t="n">
        <f aca="false">QO15-QN16+QM16</f>
        <v>0</v>
      </c>
      <c r="QP16" s="95" t="n">
        <f aca="false">[1]НАДІЙШЛО2!EY8</f>
        <v>0</v>
      </c>
      <c r="QQ16" s="96" t="n">
        <f aca="false">[1]ВИБУЛО2!EY8</f>
        <v>0</v>
      </c>
      <c r="QR16" s="97" t="n">
        <f aca="false">QR15-QQ16+QP16</f>
        <v>0</v>
      </c>
      <c r="QS16" s="95" t="n">
        <f aca="false">[1]НАДІЙШЛО2!EZ8</f>
        <v>0</v>
      </c>
      <c r="QT16" s="96" t="n">
        <f aca="false">[1]ВИБУЛО2!EZ8</f>
        <v>0</v>
      </c>
      <c r="QU16" s="97" t="n">
        <f aca="false">QU15-QT16+QS16</f>
        <v>0</v>
      </c>
      <c r="QV16" s="95" t="n">
        <f aca="false">[1]НАДІЙШЛО2!FA8</f>
        <v>0</v>
      </c>
      <c r="QW16" s="96" t="n">
        <f aca="false">[1]ВИБУЛО2!FA8</f>
        <v>0</v>
      </c>
      <c r="QX16" s="97" t="n">
        <f aca="false">QX15-QW16+QV16</f>
        <v>0</v>
      </c>
      <c r="QY16" s="95" t="n">
        <f aca="false">[1]НАДІЙШЛО2!FB8</f>
        <v>0</v>
      </c>
      <c r="QZ16" s="96" t="n">
        <f aca="false">[1]ВИБУЛО2!FB8</f>
        <v>0</v>
      </c>
      <c r="RA16" s="97" t="n">
        <f aca="false">RA15-QZ16+QY16</f>
        <v>0</v>
      </c>
      <c r="RB16" s="95" t="n">
        <f aca="false">[1]НАДІЙШЛО2!FC8</f>
        <v>0</v>
      </c>
      <c r="RC16" s="96" t="n">
        <f aca="false">[1]ВИБУЛО2!FC8</f>
        <v>0</v>
      </c>
      <c r="RD16" s="97" t="n">
        <f aca="false">RD15-RC16+RB16</f>
        <v>0</v>
      </c>
      <c r="RE16" s="95" t="n">
        <f aca="false">[1]НАДІЙШЛО2!FD8</f>
        <v>0</v>
      </c>
      <c r="RF16" s="96" t="n">
        <f aca="false">[1]ВИБУЛО2!FD8</f>
        <v>0</v>
      </c>
      <c r="RG16" s="97" t="n">
        <f aca="false">RG15-RF16+RE16</f>
        <v>0</v>
      </c>
      <c r="RH16" s="95" t="n">
        <f aca="false">[1]НАДІЙШЛО2!FE8</f>
        <v>0</v>
      </c>
      <c r="RI16" s="96" t="n">
        <f aca="false">[1]ВИБУЛО2!FE8</f>
        <v>0</v>
      </c>
      <c r="RJ16" s="97" t="n">
        <f aca="false">RJ15-RI16+RH16</f>
        <v>0</v>
      </c>
      <c r="RK16" s="95" t="n">
        <f aca="false">[1]НАДІЙШЛО2!FF8</f>
        <v>0</v>
      </c>
      <c r="RL16" s="96" t="n">
        <f aca="false">[1]ВИБУЛО2!FF8</f>
        <v>0</v>
      </c>
      <c r="RM16" s="97" t="n">
        <f aca="false">RM15-RL16+RK16</f>
        <v>0</v>
      </c>
      <c r="RN16" s="95" t="n">
        <f aca="false">[1]НАДІЙШЛО2!FG8</f>
        <v>0</v>
      </c>
      <c r="RO16" s="96" t="n">
        <f aca="false">[1]ВИБУЛО2!FG8</f>
        <v>0</v>
      </c>
      <c r="RP16" s="97" t="n">
        <f aca="false">RP15-RO16+RN16</f>
        <v>0</v>
      </c>
      <c r="RQ16" s="95" t="n">
        <f aca="false">[1]НАДІЙШЛО2!FH8</f>
        <v>0</v>
      </c>
      <c r="RR16" s="96" t="n">
        <f aca="false">[1]ВИБУЛО2!FH8</f>
        <v>0</v>
      </c>
      <c r="RS16" s="97" t="n">
        <f aca="false">RS15-RR16+RQ16</f>
        <v>0</v>
      </c>
      <c r="RT16" s="95" t="n">
        <f aca="false">[1]НАДІЙШЛО2!FI8</f>
        <v>0</v>
      </c>
      <c r="RU16" s="96" t="n">
        <f aca="false">[1]ВИБУЛО2!FI8</f>
        <v>0</v>
      </c>
      <c r="RV16" s="97" t="n">
        <f aca="false">RV15-RU16+RT16</f>
        <v>0</v>
      </c>
      <c r="RW16" s="95" t="n">
        <f aca="false">[1]НАДІЙШЛО2!FJ8</f>
        <v>0</v>
      </c>
      <c r="RX16" s="96" t="n">
        <f aca="false">[1]ВИБУЛО2!FJ8</f>
        <v>0</v>
      </c>
      <c r="RY16" s="97" t="n">
        <f aca="false">RY15-RX16+RW16</f>
        <v>0</v>
      </c>
      <c r="RZ16" s="95" t="n">
        <f aca="false">[1]НАДІЙШЛО2!FK8</f>
        <v>0</v>
      </c>
      <c r="SA16" s="96" t="n">
        <f aca="false">[1]ВИБУЛО2!FK8</f>
        <v>0</v>
      </c>
      <c r="SB16" s="97" t="n">
        <f aca="false">SB15-SA16+RZ16</f>
        <v>0</v>
      </c>
      <c r="SC16" s="95" t="n">
        <f aca="false">[1]НАДІЙШЛО2!FL8</f>
        <v>0</v>
      </c>
      <c r="SD16" s="96" t="n">
        <f aca="false">[1]ВИБУЛО2!FL8</f>
        <v>0</v>
      </c>
      <c r="SE16" s="97" t="n">
        <f aca="false">SE15-SD16+SC16</f>
        <v>0</v>
      </c>
      <c r="SF16" s="95" t="n">
        <f aca="false">[1]НАДІЙШЛО2!FM8</f>
        <v>0</v>
      </c>
      <c r="SG16" s="96" t="n">
        <f aca="false">[1]ВИБУЛО2!FM8</f>
        <v>0</v>
      </c>
      <c r="SH16" s="97" t="n">
        <f aca="false">SH15-SG16+SF16</f>
        <v>0</v>
      </c>
      <c r="SI16" s="95" t="n">
        <f aca="false">[1]НАДІЙШЛО2!FN8</f>
        <v>0</v>
      </c>
      <c r="SJ16" s="96" t="n">
        <f aca="false">[1]ВИБУЛО2!FN8</f>
        <v>0</v>
      </c>
      <c r="SK16" s="97" t="n">
        <f aca="false">SK15-SJ16+SI16</f>
        <v>0</v>
      </c>
      <c r="SL16" s="95" t="n">
        <f aca="false">[1]НАДІЙШЛО2!FO8</f>
        <v>0</v>
      </c>
      <c r="SM16" s="96" t="n">
        <f aca="false">[1]ВИБУЛО2!FO8</f>
        <v>0</v>
      </c>
      <c r="SN16" s="97" t="n">
        <f aca="false">SN15-SM16+SL16</f>
        <v>0</v>
      </c>
      <c r="SO16" s="95" t="n">
        <f aca="false">[1]НАДІЙШЛО2!FP8</f>
        <v>0</v>
      </c>
      <c r="SP16" s="96" t="n">
        <f aca="false">[1]ВИБУЛО2!FP8</f>
        <v>0</v>
      </c>
      <c r="SQ16" s="97" t="n">
        <f aca="false">SQ15-SP16+SO16</f>
        <v>0</v>
      </c>
      <c r="SR16" s="95" t="n">
        <f aca="false">[1]НАДІЙШЛО2!FQ8</f>
        <v>0</v>
      </c>
      <c r="SS16" s="96" t="n">
        <f aca="false">[1]ВИБУЛО2!FQ8</f>
        <v>0</v>
      </c>
      <c r="ST16" s="97" t="n">
        <f aca="false">ST15-SS16+SR16</f>
        <v>0</v>
      </c>
      <c r="SU16" s="95" t="n">
        <f aca="false">[1]НАДІЙШЛО2!FR8</f>
        <v>0</v>
      </c>
      <c r="SV16" s="96" t="n">
        <f aca="false">[1]ВИБУЛО2!FR8</f>
        <v>0</v>
      </c>
      <c r="SW16" s="97" t="n">
        <f aca="false">SW15-SV16+SU16</f>
        <v>0</v>
      </c>
      <c r="SX16" s="95" t="n">
        <f aca="false">[1]НАДІЙШЛО2!FS8</f>
        <v>0</v>
      </c>
      <c r="SY16" s="96" t="n">
        <f aca="false">[1]ВИБУЛО2!FS8</f>
        <v>0</v>
      </c>
      <c r="SZ16" s="97" t="n">
        <f aca="false">SZ15-SY16+SX16</f>
        <v>0</v>
      </c>
      <c r="TA16" s="95" t="n">
        <f aca="false">[1]НАДІЙШЛО2!FT8</f>
        <v>0</v>
      </c>
      <c r="TB16" s="96" t="n">
        <f aca="false">[1]ВИБУЛО2!FT8</f>
        <v>0</v>
      </c>
      <c r="TC16" s="97" t="n">
        <f aca="false">TC15-TB16+TA16</f>
        <v>0</v>
      </c>
      <c r="TD16" s="95" t="n">
        <f aca="false">[1]НАДІЙШЛО2!FU8</f>
        <v>0</v>
      </c>
      <c r="TE16" s="96" t="n">
        <f aca="false">[1]ВИБУЛО2!FU8</f>
        <v>0</v>
      </c>
      <c r="TF16" s="97" t="n">
        <f aca="false">TF15-TE16+TD16</f>
        <v>0</v>
      </c>
      <c r="TG16" s="95" t="n">
        <f aca="false">[1]НАДІЙШЛО2!FV8</f>
        <v>0</v>
      </c>
      <c r="TH16" s="96" t="n">
        <f aca="false">[1]ВИБУЛО2!FV8</f>
        <v>0</v>
      </c>
      <c r="TI16" s="97" t="n">
        <f aca="false">TI15-TH16+TG16</f>
        <v>0</v>
      </c>
      <c r="TJ16" s="95" t="n">
        <f aca="false">[1]НАДІЙШЛО2!FW8</f>
        <v>0</v>
      </c>
      <c r="TK16" s="96" t="n">
        <f aca="false">[1]ВИБУЛО2!FW8</f>
        <v>0</v>
      </c>
      <c r="TL16" s="97" t="n">
        <f aca="false">TL15-TK16+TJ16</f>
        <v>0</v>
      </c>
      <c r="TM16" s="95" t="n">
        <f aca="false">[1]НАДІЙШЛО2!FX8</f>
        <v>0</v>
      </c>
      <c r="TN16" s="96" t="n">
        <f aca="false">[1]ВИБУЛО2!FX8</f>
        <v>0</v>
      </c>
      <c r="TO16" s="97" t="n">
        <f aca="false">TO15-TN16+TM16</f>
        <v>0</v>
      </c>
      <c r="TP16" s="95" t="n">
        <f aca="false">[1]НАДІЙШЛО2!FY8</f>
        <v>0</v>
      </c>
      <c r="TQ16" s="96" t="n">
        <f aca="false">[1]ВИБУЛО2!FY8</f>
        <v>0</v>
      </c>
      <c r="TR16" s="97" t="n">
        <f aca="false">TR15-TQ16+TP16</f>
        <v>0</v>
      </c>
      <c r="TS16" s="95" t="n">
        <f aca="false">[1]НАДІЙШЛО2!FZ8</f>
        <v>0</v>
      </c>
      <c r="TT16" s="96" t="n">
        <f aca="false">[1]ВИБУЛО2!FZ8</f>
        <v>0</v>
      </c>
      <c r="TU16" s="97" t="n">
        <f aca="false">TU15-TT16+TS16</f>
        <v>0</v>
      </c>
      <c r="TV16" s="95" t="n">
        <f aca="false">[1]НАДІЙШЛО2!GA8</f>
        <v>0</v>
      </c>
      <c r="TW16" s="96" t="n">
        <f aca="false">[1]ВИБУЛО2!GA8</f>
        <v>0</v>
      </c>
      <c r="TX16" s="97" t="n">
        <f aca="false">TX15-TW16+TV16</f>
        <v>0</v>
      </c>
      <c r="TY16" s="95" t="n">
        <f aca="false">[1]НАДІЙШЛО2!GB8</f>
        <v>0</v>
      </c>
      <c r="TZ16" s="96" t="n">
        <f aca="false">[1]ВИБУЛО2!GB8</f>
        <v>0</v>
      </c>
      <c r="UA16" s="97" t="n">
        <f aca="false">UA15-TZ16+TY16</f>
        <v>0</v>
      </c>
      <c r="UB16" s="95" t="n">
        <f aca="false">[1]НАДІЙШЛО2!GC8</f>
        <v>0</v>
      </c>
      <c r="UC16" s="96" t="n">
        <f aca="false">[1]ВИБУЛО2!GC8</f>
        <v>0</v>
      </c>
      <c r="UD16" s="97" t="n">
        <f aca="false">UD15-UC16+UB16</f>
        <v>0</v>
      </c>
      <c r="UE16" s="95" t="n">
        <f aca="false">[1]НАДІЙШЛО2!GD8</f>
        <v>0</v>
      </c>
      <c r="UF16" s="96" t="n">
        <f aca="false">[1]ВИБУЛО2!GD8</f>
        <v>0</v>
      </c>
      <c r="UG16" s="97" t="n">
        <f aca="false">UG15-UF16+UE16</f>
        <v>0</v>
      </c>
      <c r="UH16" s="95" t="n">
        <f aca="false">[1]НАДІЙШЛО2!GE8</f>
        <v>0</v>
      </c>
      <c r="UI16" s="96" t="n">
        <f aca="false">[1]ВИБУЛО2!GE8</f>
        <v>0</v>
      </c>
      <c r="UJ16" s="97" t="n">
        <f aca="false">UJ15-UI16+UH16</f>
        <v>0</v>
      </c>
      <c r="UK16" s="95" t="n">
        <f aca="false">[1]НАДІЙШЛО2!GF8</f>
        <v>0</v>
      </c>
      <c r="UL16" s="96" t="n">
        <f aca="false">[1]ВИБУЛО2!GF8</f>
        <v>0</v>
      </c>
      <c r="UM16" s="97" t="n">
        <f aca="false">UM15-UL16+UK16</f>
        <v>0</v>
      </c>
      <c r="UN16" s="95" t="n">
        <f aca="false">[1]НАДІЙШЛО2!GG8</f>
        <v>0</v>
      </c>
      <c r="UO16" s="96" t="n">
        <f aca="false">[1]ВИБУЛО2!GG8</f>
        <v>0</v>
      </c>
      <c r="UP16" s="97" t="n">
        <f aca="false">UP15-UO16+UN16</f>
        <v>0</v>
      </c>
      <c r="UQ16" s="95" t="n">
        <f aca="false">[1]НАДІЙШЛО2!GH8</f>
        <v>0</v>
      </c>
      <c r="UR16" s="96" t="n">
        <f aca="false">[1]ВИБУЛО2!GH8</f>
        <v>0</v>
      </c>
      <c r="US16" s="97" t="n">
        <f aca="false">US15-UR16+UQ16</f>
        <v>0</v>
      </c>
      <c r="UT16" s="95" t="n">
        <f aca="false">[1]НАДІЙШЛО2!GI8</f>
        <v>0</v>
      </c>
      <c r="UU16" s="96" t="n">
        <f aca="false">[1]ВИБУЛО2!GI8</f>
        <v>0</v>
      </c>
      <c r="UV16" s="97" t="n">
        <f aca="false">UV15-UU16+UT16</f>
        <v>0</v>
      </c>
      <c r="UW16" s="95" t="n">
        <f aca="false">[1]НАДІЙШЛО2!GJ8</f>
        <v>0</v>
      </c>
      <c r="UX16" s="96" t="n">
        <f aca="false">[1]ВИБУЛО2!GJ8</f>
        <v>0</v>
      </c>
      <c r="UY16" s="97" t="n">
        <f aca="false">UY15-UX16+UW16</f>
        <v>0</v>
      </c>
      <c r="UZ16" s="95" t="n">
        <f aca="false">[1]НАДІЙШЛО2!GK8</f>
        <v>0</v>
      </c>
      <c r="VA16" s="96" t="n">
        <f aca="false">[1]ВИБУЛО2!GK8</f>
        <v>0</v>
      </c>
      <c r="VB16" s="97" t="n">
        <f aca="false">VB15-VA16+UZ16</f>
        <v>0</v>
      </c>
      <c r="VC16" s="95" t="n">
        <f aca="false">[1]НАДІЙШЛО2!GL8</f>
        <v>0</v>
      </c>
      <c r="VD16" s="96" t="n">
        <f aca="false">[1]ВИБУЛО2!GL8</f>
        <v>0</v>
      </c>
      <c r="VE16" s="97" t="n">
        <f aca="false">VE15-VD16+VC16</f>
        <v>0</v>
      </c>
      <c r="VF16" s="95" t="n">
        <f aca="false">[1]НАДІЙШЛО2!GM8</f>
        <v>0</v>
      </c>
      <c r="VG16" s="96" t="n">
        <f aca="false">[1]ВИБУЛО2!GM8</f>
        <v>0</v>
      </c>
      <c r="VH16" s="97" t="n">
        <f aca="false">VH15-VG16+VF16</f>
        <v>0</v>
      </c>
      <c r="VI16" s="95" t="n">
        <f aca="false">[1]НАДІЙШЛО2!GN8</f>
        <v>0</v>
      </c>
      <c r="VJ16" s="96" t="n">
        <f aca="false">[1]ВИБУЛО2!GN8</f>
        <v>0</v>
      </c>
      <c r="VK16" s="97" t="n">
        <f aca="false">VK15-VJ16+VI16</f>
        <v>0</v>
      </c>
      <c r="VL16" s="95" t="n">
        <f aca="false">[1]НАДІЙШЛО2!GO8</f>
        <v>0</v>
      </c>
      <c r="VM16" s="96" t="n">
        <f aca="false">[1]ВИБУЛО2!GO8</f>
        <v>0</v>
      </c>
      <c r="VN16" s="97" t="n">
        <f aca="false">VN15-VM16+VL16</f>
        <v>0</v>
      </c>
      <c r="VO16" s="95" t="n">
        <f aca="false">[1]НАДІЙШЛО2!GP8</f>
        <v>0</v>
      </c>
      <c r="VP16" s="96" t="n">
        <f aca="false">[1]ВИБУЛО2!GP8</f>
        <v>0</v>
      </c>
      <c r="VQ16" s="97" t="n">
        <f aca="false">VQ15-VP16+VO16</f>
        <v>0</v>
      </c>
      <c r="VR16" s="95" t="n">
        <f aca="false">[1]НАДІЙШЛО2!GQ8</f>
        <v>0</v>
      </c>
      <c r="VS16" s="96" t="n">
        <f aca="false">[1]ВИБУЛО2!GQ8</f>
        <v>0</v>
      </c>
      <c r="VT16" s="97" t="n">
        <f aca="false">VT15-VS16+VR16</f>
        <v>0</v>
      </c>
      <c r="VU16" s="95" t="n">
        <f aca="false">[1]НАДІЙШЛО2!GR8</f>
        <v>0</v>
      </c>
      <c r="VV16" s="96" t="n">
        <f aca="false">[1]ВИБУЛО2!GR8</f>
        <v>0</v>
      </c>
      <c r="VW16" s="97" t="n">
        <f aca="false">VW15-VV16+VU16</f>
        <v>0</v>
      </c>
      <c r="VX16" s="95" t="n">
        <f aca="false">[1]НАДІЙШЛО2!GS8</f>
        <v>0</v>
      </c>
      <c r="VY16" s="96" t="n">
        <f aca="false">[1]ВИБУЛО2!GS8</f>
        <v>0</v>
      </c>
      <c r="VZ16" s="97" t="n">
        <f aca="false">VZ15-VY16+VX16</f>
        <v>0</v>
      </c>
      <c r="WA16" s="95" t="n">
        <f aca="false">[1]НАДІЙШЛО2!GT8</f>
        <v>0</v>
      </c>
      <c r="WB16" s="96" t="n">
        <f aca="false">[1]ВИБУЛО2!GT8</f>
        <v>0</v>
      </c>
      <c r="WC16" s="97" t="n">
        <f aca="false">WC15-WB16+WA16</f>
        <v>0</v>
      </c>
      <c r="WD16" s="95" t="n">
        <f aca="false">[1]НАДІЙШЛО2!GU8</f>
        <v>0</v>
      </c>
      <c r="WE16" s="96" t="n">
        <f aca="false">[1]ВИБУЛО2!GU8</f>
        <v>0</v>
      </c>
      <c r="WF16" s="97" t="n">
        <f aca="false">WF15-WE16+WD16</f>
        <v>0</v>
      </c>
      <c r="WG16" s="95" t="n">
        <f aca="false">[1]НАДІЙШЛО2!GV8</f>
        <v>0</v>
      </c>
      <c r="WH16" s="96" t="n">
        <f aca="false">[1]ВИБУЛО2!GV8</f>
        <v>0</v>
      </c>
      <c r="WI16" s="97" t="n">
        <f aca="false">WI15-WH16+WG16</f>
        <v>0</v>
      </c>
      <c r="WJ16" s="95" t="n">
        <f aca="false">[1]НАДІЙШЛО2!GW8</f>
        <v>0</v>
      </c>
      <c r="WK16" s="96" t="n">
        <f aca="false">[1]ВИБУЛО2!GW8</f>
        <v>0</v>
      </c>
      <c r="WL16" s="97" t="n">
        <f aca="false">WL15-WK16+WJ16</f>
        <v>0</v>
      </c>
      <c r="WM16" s="95" t="n">
        <f aca="false">[1]НАДІЙШЛО2!GX8</f>
        <v>0</v>
      </c>
      <c r="WN16" s="96" t="n">
        <f aca="false">[1]ВИБУЛО2!GX8</f>
        <v>0</v>
      </c>
      <c r="WO16" s="97" t="n">
        <f aca="false">WO15-WN16+WM16</f>
        <v>0</v>
      </c>
      <c r="WP16" s="95" t="n">
        <f aca="false">[1]НАДІЙШЛО2!GY8</f>
        <v>0</v>
      </c>
      <c r="WQ16" s="96" t="n">
        <f aca="false">[1]ВИБУЛО2!GY8</f>
        <v>0</v>
      </c>
      <c r="WR16" s="97" t="n">
        <f aca="false">WR15-WQ16+WP16</f>
        <v>0</v>
      </c>
      <c r="WS16" s="95" t="n">
        <f aca="false">[1]НАДІЙШЛО2!GZ8</f>
        <v>0</v>
      </c>
      <c r="WT16" s="96" t="n">
        <f aca="false">[1]ВИБУЛО2!GZ8</f>
        <v>0</v>
      </c>
      <c r="WU16" s="97" t="n">
        <f aca="false">WU15-WT16+WS16</f>
        <v>0</v>
      </c>
      <c r="WV16" s="95" t="n">
        <f aca="false">[1]НАДІЙШЛО2!HA8</f>
        <v>0</v>
      </c>
      <c r="WW16" s="96" t="n">
        <f aca="false">[1]ВИБУЛО2!HA8</f>
        <v>0</v>
      </c>
      <c r="WX16" s="97" t="n">
        <f aca="false">WX15-WW16+WV16</f>
        <v>0</v>
      </c>
      <c r="WY16" s="95" t="n">
        <f aca="false">[1]НАДІЙШЛО2!HB8</f>
        <v>0</v>
      </c>
      <c r="WZ16" s="96" t="n">
        <f aca="false">[1]ВИБУЛО2!HB8</f>
        <v>0</v>
      </c>
      <c r="XA16" s="97" t="n">
        <f aca="false">XA15-WZ16+WY16</f>
        <v>0</v>
      </c>
      <c r="XB16" s="95" t="n">
        <f aca="false">[1]НАДІЙШЛО2!HC8</f>
        <v>0</v>
      </c>
      <c r="XC16" s="96" t="n">
        <f aca="false">[1]ВИБУЛО2!HC8</f>
        <v>0</v>
      </c>
      <c r="XD16" s="97" t="n">
        <f aca="false">XD15-XC16+XB16</f>
        <v>0</v>
      </c>
      <c r="XE16" s="95" t="n">
        <f aca="false">[1]НАДІЙШЛО2!HD8</f>
        <v>0</v>
      </c>
      <c r="XF16" s="96" t="n">
        <f aca="false">[1]ВИБУЛО2!HD8</f>
        <v>0</v>
      </c>
      <c r="XG16" s="97" t="n">
        <f aca="false">XG15-XF16+XE16</f>
        <v>0</v>
      </c>
      <c r="XH16" s="95" t="n">
        <f aca="false">[1]НАДІЙШЛО2!HE8</f>
        <v>0</v>
      </c>
      <c r="XI16" s="96" t="n">
        <f aca="false">[1]ВИБУЛО2!HE8</f>
        <v>0</v>
      </c>
      <c r="XJ16" s="97" t="n">
        <f aca="false">XJ15-XI16+XH16</f>
        <v>0</v>
      </c>
      <c r="XK16" s="95" t="n">
        <f aca="false">[1]НАДІЙШЛО2!HF8</f>
        <v>0</v>
      </c>
      <c r="XL16" s="96" t="n">
        <f aca="false">[1]ВИБУЛО2!HF8</f>
        <v>0</v>
      </c>
      <c r="XM16" s="97" t="n">
        <f aca="false">XM15-XL16+XK16</f>
        <v>0</v>
      </c>
      <c r="XN16" s="95" t="n">
        <f aca="false">[1]НАДІЙШЛО2!HG8</f>
        <v>0</v>
      </c>
      <c r="XO16" s="96" t="n">
        <f aca="false">[1]ВИБУЛО2!HG8</f>
        <v>0</v>
      </c>
      <c r="XP16" s="97" t="n">
        <f aca="false">XP15-XO16+XN16</f>
        <v>0</v>
      </c>
      <c r="XQ16" s="95" t="n">
        <f aca="false">[1]НАДІЙШЛО2!HH8</f>
        <v>0</v>
      </c>
      <c r="XR16" s="96" t="n">
        <f aca="false">[1]ВИБУЛО2!HH8</f>
        <v>0</v>
      </c>
      <c r="XS16" s="97" t="n">
        <f aca="false">XS15-XR16+XQ16</f>
        <v>0</v>
      </c>
      <c r="XT16" s="95" t="n">
        <f aca="false">[1]НАДІЙШЛО2!HI8</f>
        <v>0</v>
      </c>
      <c r="XU16" s="96" t="n">
        <f aca="false">[1]ВИБУЛО2!HI8</f>
        <v>0</v>
      </c>
      <c r="XV16" s="97" t="n">
        <f aca="false">XV15-XU16+XT16</f>
        <v>0</v>
      </c>
      <c r="XW16" s="95" t="n">
        <f aca="false">[1]НАДІЙШЛО2!HJ8</f>
        <v>0</v>
      </c>
      <c r="XX16" s="96" t="n">
        <f aca="false">[1]ВИБУЛО2!HJ8</f>
        <v>0</v>
      </c>
      <c r="XY16" s="97" t="n">
        <f aca="false">XY15-XX16+XW16</f>
        <v>0</v>
      </c>
      <c r="XZ16" s="95" t="n">
        <f aca="false">[1]НАДІЙШЛО2!HK8</f>
        <v>0</v>
      </c>
      <c r="YA16" s="96" t="n">
        <f aca="false">[1]ВИБУЛО2!HK8</f>
        <v>0</v>
      </c>
      <c r="YB16" s="97" t="n">
        <f aca="false">YB15-YA16+XZ16</f>
        <v>0</v>
      </c>
      <c r="YC16" s="95" t="n">
        <f aca="false">[1]НАДІЙШЛО2!HL8</f>
        <v>0</v>
      </c>
      <c r="YD16" s="96" t="n">
        <f aca="false">[1]ВИБУЛО2!HL8</f>
        <v>0</v>
      </c>
      <c r="YE16" s="97" t="n">
        <f aca="false">YE15-YD16+YC16</f>
        <v>0</v>
      </c>
      <c r="YF16" s="95" t="n">
        <f aca="false">[1]НАДІЙШЛО2!HM8</f>
        <v>0</v>
      </c>
      <c r="YG16" s="96" t="n">
        <f aca="false">[1]ВИБУЛО2!HM8</f>
        <v>0</v>
      </c>
      <c r="YH16" s="97" t="n">
        <f aca="false">YH15-YG16+YF16</f>
        <v>0</v>
      </c>
      <c r="YI16" s="95" t="n">
        <f aca="false">[1]НАДІЙШЛО2!HN8</f>
        <v>0</v>
      </c>
      <c r="YJ16" s="96" t="n">
        <f aca="false">[1]ВИБУЛО2!HN8</f>
        <v>0</v>
      </c>
      <c r="YK16" s="97" t="n">
        <f aca="false">YK15-YJ16+YI16</f>
        <v>0</v>
      </c>
      <c r="YL16" s="95" t="n">
        <f aca="false">[1]НАДІЙШЛО2!HO8</f>
        <v>0</v>
      </c>
      <c r="YM16" s="96" t="n">
        <f aca="false">[1]ВИБУЛО2!HO8</f>
        <v>0</v>
      </c>
      <c r="YN16" s="97" t="n">
        <f aca="false">YN15-YM16+YL16</f>
        <v>0</v>
      </c>
      <c r="YO16" s="95" t="n">
        <f aca="false">[1]НАДІЙШЛО2!HP8</f>
        <v>0</v>
      </c>
      <c r="YP16" s="96" t="n">
        <f aca="false">[1]ВИБУЛО2!HP8</f>
        <v>0</v>
      </c>
      <c r="YQ16" s="97" t="n">
        <f aca="false">YQ15-YP16+YO16</f>
        <v>0</v>
      </c>
      <c r="YR16" s="95" t="n">
        <f aca="false">[1]НАДІЙШЛО2!HQ8</f>
        <v>0</v>
      </c>
      <c r="YS16" s="96" t="n">
        <f aca="false">[1]ВИБУЛО2!HQ8</f>
        <v>0</v>
      </c>
      <c r="YT16" s="97" t="n">
        <f aca="false">YT15-YS16+YR16</f>
        <v>0</v>
      </c>
      <c r="YU16" s="95" t="n">
        <f aca="false">[1]НАДІЙШЛО2!HR8</f>
        <v>0</v>
      </c>
      <c r="YV16" s="96" t="n">
        <f aca="false">[1]ВИБУЛО2!HR8</f>
        <v>0</v>
      </c>
      <c r="YW16" s="97" t="n">
        <f aca="false">YW15-YV16+YU16</f>
        <v>0</v>
      </c>
      <c r="YX16" s="95" t="n">
        <f aca="false">[1]НАДІЙШЛО2!HS8</f>
        <v>0</v>
      </c>
      <c r="YY16" s="96" t="n">
        <f aca="false">[1]ВИБУЛО2!HS8</f>
        <v>0</v>
      </c>
      <c r="YZ16" s="97" t="n">
        <f aca="false">YZ15-YY16+YX16</f>
        <v>0</v>
      </c>
      <c r="ZA16" s="95" t="n">
        <f aca="false">[1]НАДІЙШЛО2!HT8</f>
        <v>0</v>
      </c>
      <c r="ZB16" s="96" t="n">
        <f aca="false">[1]ВИБУЛО2!HT8</f>
        <v>0</v>
      </c>
      <c r="ZC16" s="97" t="n">
        <f aca="false">ZC15-ZB16+ZA16</f>
        <v>0</v>
      </c>
      <c r="ZD16" s="95" t="n">
        <f aca="false">[1]НАДІЙШЛО2!HU8</f>
        <v>0</v>
      </c>
      <c r="ZE16" s="96" t="n">
        <f aca="false">[1]ВИБУЛО2!HU8</f>
        <v>0</v>
      </c>
      <c r="ZF16" s="97" t="n">
        <f aca="false">ZF15-ZE16+ZD16</f>
        <v>0</v>
      </c>
      <c r="ZG16" s="95" t="n">
        <f aca="false">[1]НАДІЙШЛО2!HV8</f>
        <v>0</v>
      </c>
      <c r="ZH16" s="96" t="n">
        <f aca="false">[1]ВИБУЛО2!HV8</f>
        <v>0</v>
      </c>
      <c r="ZI16" s="97" t="n">
        <f aca="false">ZI15-ZH16+ZG16</f>
        <v>0</v>
      </c>
      <c r="ZJ16" s="95" t="n">
        <f aca="false">[1]НАДІЙШЛО2!HW8</f>
        <v>0</v>
      </c>
      <c r="ZK16" s="96" t="n">
        <f aca="false">[1]ВИБУЛО2!HW8</f>
        <v>0</v>
      </c>
      <c r="ZL16" s="97" t="n">
        <f aca="false">ZL15-ZK16+ZJ16</f>
        <v>0</v>
      </c>
      <c r="ZM16" s="95" t="n">
        <f aca="false">[1]НАДІЙШЛО2!HX8</f>
        <v>0</v>
      </c>
      <c r="ZN16" s="96" t="n">
        <f aca="false">[1]ВИБУЛО2!HX8</f>
        <v>0</v>
      </c>
      <c r="ZO16" s="97" t="n">
        <f aca="false">ZO15-ZN16+ZM16</f>
        <v>0</v>
      </c>
      <c r="ZP16" s="95" t="n">
        <f aca="false">[1]НАДІЙШЛО2!HY8</f>
        <v>0</v>
      </c>
      <c r="ZQ16" s="96" t="n">
        <f aca="false">[1]ВИБУЛО2!HY8</f>
        <v>0</v>
      </c>
      <c r="ZR16" s="97" t="n">
        <f aca="false">ZR15-ZQ16+ZP16</f>
        <v>0</v>
      </c>
      <c r="ZS16" s="95" t="n">
        <f aca="false">[1]НАДІЙШЛО2!HZ8</f>
        <v>0</v>
      </c>
      <c r="ZT16" s="96" t="n">
        <f aca="false">[1]ВИБУЛО2!HZ8</f>
        <v>0</v>
      </c>
      <c r="ZU16" s="97" t="n">
        <f aca="false">ZU15-ZT16+ZS16</f>
        <v>0</v>
      </c>
      <c r="ZV16" s="95" t="n">
        <f aca="false">[1]НАДІЙШЛО2!IA8</f>
        <v>0</v>
      </c>
      <c r="ZW16" s="96" t="n">
        <f aca="false">[1]ВИБУЛО2!IA8</f>
        <v>0</v>
      </c>
      <c r="ZX16" s="97" t="n">
        <f aca="false">ZX15-ZW16+ZV16</f>
        <v>0</v>
      </c>
      <c r="ZY16" s="95" t="n">
        <f aca="false">[1]НАДІЙШЛО2!IB8</f>
        <v>0</v>
      </c>
      <c r="ZZ16" s="96" t="n">
        <f aca="false">[1]ВИБУЛО2!IB8</f>
        <v>0</v>
      </c>
      <c r="AAA16" s="97" t="n">
        <f aca="false">AAA15-ZZ16+ZY16</f>
        <v>0</v>
      </c>
      <c r="AAB16" s="95" t="n">
        <f aca="false">[1]НАДІЙШЛО2!IC8</f>
        <v>0</v>
      </c>
      <c r="AAC16" s="96" t="n">
        <f aca="false">[1]ВИБУЛО2!IC8</f>
        <v>0</v>
      </c>
      <c r="AAD16" s="97" t="n">
        <f aca="false">AAD15-AAC16+AAB16</f>
        <v>0</v>
      </c>
      <c r="AAE16" s="95" t="n">
        <f aca="false">[1]НАДІЙШЛО2!ID8</f>
        <v>0</v>
      </c>
      <c r="AAF16" s="96" t="n">
        <f aca="false">[1]ВИБУЛО2!ID8</f>
        <v>0</v>
      </c>
      <c r="AAG16" s="97" t="n">
        <f aca="false">AAG15-AAF16+AAE16</f>
        <v>0</v>
      </c>
      <c r="AAH16" s="95" t="n">
        <f aca="false">[1]НАДІЙШЛО2!IE8</f>
        <v>0</v>
      </c>
      <c r="AAI16" s="96" t="n">
        <f aca="false">[1]ВИБУЛО2!IE8</f>
        <v>0</v>
      </c>
      <c r="AAJ16" s="97" t="n">
        <f aca="false">AAJ15-AAI16+AAH16</f>
        <v>0</v>
      </c>
      <c r="AAK16" s="95" t="n">
        <f aca="false">[1]НАДІЙШЛО2!IF8</f>
        <v>0</v>
      </c>
      <c r="AAL16" s="96" t="n">
        <f aca="false">[1]ВИБУЛО2!IF8</f>
        <v>0</v>
      </c>
      <c r="AAM16" s="97" t="n">
        <f aca="false">AAM15-AAL16+AAK16</f>
        <v>0</v>
      </c>
      <c r="AAN16" s="95" t="n">
        <f aca="false">[1]НАДІЙШЛО2!IG8</f>
        <v>0</v>
      </c>
      <c r="AAO16" s="96" t="n">
        <f aca="false">[1]ВИБУЛО2!IG8</f>
        <v>0</v>
      </c>
      <c r="AAP16" s="97" t="n">
        <f aca="false">AAP15-AAO16+AAN16</f>
        <v>0</v>
      </c>
      <c r="AAQ16" s="95" t="n">
        <f aca="false">[1]НАДІЙШЛО2!IH8</f>
        <v>0</v>
      </c>
      <c r="AAR16" s="96" t="n">
        <f aca="false">[1]ВИБУЛО2!IH8</f>
        <v>0</v>
      </c>
      <c r="AAS16" s="97" t="n">
        <f aca="false">AAS15-AAR16+AAQ16</f>
        <v>0</v>
      </c>
      <c r="AAT16" s="95" t="n">
        <f aca="false">[1]НАДІЙШЛО2!II8</f>
        <v>0</v>
      </c>
      <c r="AAU16" s="96" t="n">
        <f aca="false">[1]ВИБУЛО2!II8</f>
        <v>0</v>
      </c>
      <c r="AAV16" s="97" t="n">
        <f aca="false">AAV15-AAU16+AAT16</f>
        <v>0</v>
      </c>
      <c r="AAW16" s="95" t="n">
        <f aca="false">[1]НАДІЙШЛО2!IJ8</f>
        <v>0</v>
      </c>
      <c r="AAX16" s="96" t="n">
        <f aca="false">[1]ВИБУЛО2!IJ8</f>
        <v>0</v>
      </c>
      <c r="AAY16" s="97" t="n">
        <f aca="false">AAY15-AAX16+AAW16</f>
        <v>0</v>
      </c>
      <c r="AAZ16" s="95" t="n">
        <f aca="false">[1]НАДІЙШЛО2!IK8</f>
        <v>0</v>
      </c>
      <c r="ABA16" s="96" t="n">
        <f aca="false">[1]ВИБУЛО2!IK8</f>
        <v>0</v>
      </c>
      <c r="ABB16" s="97" t="n">
        <f aca="false">ABB15-ABA16+AAZ16</f>
        <v>0</v>
      </c>
      <c r="ABC16" s="95" t="n">
        <f aca="false">[1]НАДІЙШЛО2!IL8</f>
        <v>0</v>
      </c>
      <c r="ABD16" s="96" t="n">
        <f aca="false">[1]ВИБУЛО2!IL8</f>
        <v>0</v>
      </c>
      <c r="ABE16" s="97" t="n">
        <f aca="false">ABE15-ABD16+ABC16</f>
        <v>0</v>
      </c>
      <c r="ABF16" s="95" t="n">
        <f aca="false">[1]НАДІЙШЛО2!IM8</f>
        <v>0</v>
      </c>
      <c r="ABG16" s="96" t="n">
        <f aca="false">[1]ВИБУЛО2!IM8</f>
        <v>0</v>
      </c>
      <c r="ABH16" s="97" t="n">
        <f aca="false">ABH15-ABG16+ABF16</f>
        <v>0</v>
      </c>
      <c r="ABI16" s="95" t="n">
        <f aca="false">[1]НАДІЙШЛО2!IN8</f>
        <v>0</v>
      </c>
      <c r="ABJ16" s="96" t="n">
        <f aca="false">[1]ВИБУЛО2!IN8</f>
        <v>0</v>
      </c>
      <c r="ABK16" s="97" t="n">
        <f aca="false">ABK15-ABJ16+ABI16</f>
        <v>0</v>
      </c>
      <c r="ABL16" s="95" t="n">
        <f aca="false">[1]НАДІЙШЛО2!IO8</f>
        <v>0</v>
      </c>
      <c r="ABM16" s="96" t="n">
        <f aca="false">[1]ВИБУЛО2!IO8</f>
        <v>0</v>
      </c>
      <c r="ABN16" s="97" t="n">
        <f aca="false">ABN15-ABM16+ABL16</f>
        <v>0</v>
      </c>
      <c r="ABO16" s="95" t="n">
        <f aca="false">[1]НАДІЙШЛО2!IP8</f>
        <v>0</v>
      </c>
      <c r="ABP16" s="96" t="n">
        <f aca="false">[1]ВИБУЛО2!IP8</f>
        <v>0</v>
      </c>
      <c r="ABQ16" s="97" t="n">
        <f aca="false">ABQ15-ABP16+ABO16</f>
        <v>0</v>
      </c>
      <c r="ABR16" s="95" t="n">
        <f aca="false">[1]НАДІЙШЛО2!IQ8</f>
        <v>0</v>
      </c>
      <c r="ABS16" s="96" t="n">
        <f aca="false">[1]ВИБУЛО2!IQ8</f>
        <v>0</v>
      </c>
      <c r="ABT16" s="97" t="n">
        <f aca="false">ABT15-ABS16+ABR16</f>
        <v>0</v>
      </c>
      <c r="ABU16" s="95" t="n">
        <f aca="false">[1]НАДІЙШЛО2!IR8</f>
        <v>0</v>
      </c>
      <c r="ABV16" s="96" t="n">
        <f aca="false">[1]ВИБУЛО2!IR8</f>
        <v>0</v>
      </c>
      <c r="ABW16" s="97" t="n">
        <f aca="false">ABW15-ABV16+ABU16</f>
        <v>0</v>
      </c>
      <c r="ABX16" s="95" t="n">
        <f aca="false">[1]НАДІЙШЛО2!IS8</f>
        <v>0</v>
      </c>
      <c r="ABY16" s="96" t="n">
        <f aca="false">[1]ВИБУЛО2!IS8</f>
        <v>0</v>
      </c>
      <c r="ABZ16" s="97" t="n">
        <f aca="false">ABZ15-ABY16+ABX16</f>
        <v>0</v>
      </c>
      <c r="ACA16" s="95" t="n">
        <f aca="false">[1]НАДІЙШЛО2!IT8</f>
        <v>0</v>
      </c>
      <c r="ACB16" s="96" t="n">
        <f aca="false">[1]ВИБУЛО2!IT8</f>
        <v>0</v>
      </c>
      <c r="ACC16" s="97" t="n">
        <f aca="false">ACC15-ACB16+ACA16</f>
        <v>0</v>
      </c>
      <c r="ACD16" s="95" t="n">
        <f aca="false">[1]НАДІЙШЛО2!IU8</f>
        <v>0</v>
      </c>
      <c r="ACE16" s="96" t="n">
        <f aca="false">[1]ВИБУЛО2!IU8</f>
        <v>0</v>
      </c>
      <c r="ACF16" s="97" t="n">
        <f aca="false">ACF15-ACE16+ACD16</f>
        <v>0</v>
      </c>
      <c r="ACG16" s="95" t="n">
        <f aca="false">[1]НАДІЙШЛО2!IV8</f>
        <v>0</v>
      </c>
      <c r="ACH16" s="96" t="n">
        <f aca="false">[1]ВИБУЛО2!IV8</f>
        <v>0</v>
      </c>
      <c r="ACI16" s="97" t="n">
        <f aca="false">ACI15-ACH16+ACG16</f>
        <v>0</v>
      </c>
      <c r="ACJ16" s="95" t="n">
        <f aca="false">[1]НАДІЙШЛО2!IW8</f>
        <v>0</v>
      </c>
      <c r="ACK16" s="96" t="n">
        <f aca="false">[1]ВИБУЛО2!IW8</f>
        <v>0</v>
      </c>
      <c r="ACL16" s="97" t="n">
        <f aca="false">ACL15-ACK16+ACJ16</f>
        <v>0</v>
      </c>
      <c r="ACM16" s="95" t="n">
        <f aca="false">[1]НАДІЙШЛО2!IX8</f>
        <v>0</v>
      </c>
      <c r="ACN16" s="96" t="n">
        <f aca="false">[1]ВИБУЛО2!IX8</f>
        <v>0</v>
      </c>
      <c r="ACO16" s="97" t="n">
        <f aca="false">ACO15-ACN16+ACM16</f>
        <v>0</v>
      </c>
      <c r="ACP16" s="95" t="n">
        <f aca="false">[1]НАДІЙШЛО2!IY8</f>
        <v>0</v>
      </c>
      <c r="ACQ16" s="96" t="n">
        <f aca="false">[1]ВИБУЛО2!IY8</f>
        <v>0</v>
      </c>
      <c r="ACR16" s="97" t="n">
        <f aca="false">ACR15-ACQ16+ACP16</f>
        <v>0</v>
      </c>
      <c r="ACS16" s="95" t="n">
        <f aca="false">[1]НАДІЙШЛО2!IZ8</f>
        <v>0</v>
      </c>
      <c r="ACT16" s="96" t="n">
        <f aca="false">[1]ВИБУЛО2!IZ8</f>
        <v>0</v>
      </c>
      <c r="ACU16" s="97" t="n">
        <f aca="false">ACU15-ACT16+ACS16</f>
        <v>0</v>
      </c>
      <c r="ACV16" s="95" t="n">
        <f aca="false">[1]НАДІЙШЛО2!JA8</f>
        <v>0</v>
      </c>
      <c r="ACW16" s="96" t="n">
        <f aca="false">[1]ВИБУЛО2!JA8</f>
        <v>0</v>
      </c>
      <c r="ACX16" s="97" t="n">
        <f aca="false">ACX15-ACW16+ACV16</f>
        <v>0</v>
      </c>
      <c r="ACY16" s="95" t="n">
        <f aca="false">[1]НАДІЙШЛО2!JB8</f>
        <v>0</v>
      </c>
      <c r="ACZ16" s="96" t="n">
        <f aca="false">[1]ВИБУЛО2!JB8</f>
        <v>0</v>
      </c>
      <c r="ADA16" s="97" t="n">
        <f aca="false">ADA15-ACZ16+ACY16</f>
        <v>0</v>
      </c>
      <c r="ADB16" s="95" t="n">
        <f aca="false">[1]НАДІЙШЛО2!JC8</f>
        <v>0</v>
      </c>
      <c r="ADC16" s="96" t="n">
        <f aca="false">[1]ВИБУЛО2!JC8</f>
        <v>0</v>
      </c>
      <c r="ADD16" s="97" t="n">
        <f aca="false">ADD15-ADC16+ADB16</f>
        <v>0</v>
      </c>
      <c r="ADE16" s="95" t="n">
        <f aca="false">[1]НАДІЙШЛО2!JD8</f>
        <v>0</v>
      </c>
      <c r="ADF16" s="96" t="n">
        <f aca="false">[1]ВИБУЛО2!JD8</f>
        <v>0</v>
      </c>
      <c r="ADG16" s="97" t="n">
        <f aca="false">ADG15-ADF16+ADE16</f>
        <v>0</v>
      </c>
      <c r="ADH16" s="95" t="n">
        <f aca="false">[1]НАДІЙШЛО2!JE8</f>
        <v>0</v>
      </c>
      <c r="ADI16" s="96" t="n">
        <f aca="false">[1]ВИБУЛО2!JE8</f>
        <v>0</v>
      </c>
      <c r="ADJ16" s="97" t="n">
        <f aca="false">ADJ15-ADI16+ADH16</f>
        <v>0</v>
      </c>
      <c r="ADK16" s="95" t="n">
        <f aca="false">[1]НАДІЙШЛО2!JF8</f>
        <v>0</v>
      </c>
      <c r="ADL16" s="96" t="n">
        <f aca="false">[1]ВИБУЛО2!JF8</f>
        <v>0</v>
      </c>
      <c r="ADM16" s="97" t="n">
        <f aca="false">ADM15-ADL16+ADK16</f>
        <v>0</v>
      </c>
      <c r="ADN16" s="95" t="n">
        <f aca="false">[1]НАДІЙШЛО2!JG8</f>
        <v>0</v>
      </c>
      <c r="ADO16" s="96" t="n">
        <f aca="false">[1]ВИБУЛО2!JG8</f>
        <v>0</v>
      </c>
      <c r="ADP16" s="97" t="n">
        <f aca="false">ADP15-ADO16+ADN16</f>
        <v>0</v>
      </c>
      <c r="ADQ16" s="95" t="n">
        <f aca="false">[1]НАДІЙШЛО2!JH8</f>
        <v>0</v>
      </c>
      <c r="ADR16" s="96" t="n">
        <f aca="false">[1]ВИБУЛО2!JH8</f>
        <v>0</v>
      </c>
      <c r="ADS16" s="97" t="n">
        <f aca="false">ADS15-ADR16+ADQ16</f>
        <v>0</v>
      </c>
      <c r="ADT16" s="95" t="n">
        <f aca="false">[1]НАДІЙШЛО2!JI8</f>
        <v>0</v>
      </c>
      <c r="ADU16" s="96" t="n">
        <f aca="false">[1]ВИБУЛО2!JI8</f>
        <v>0</v>
      </c>
      <c r="ADV16" s="97" t="n">
        <f aca="false">ADV15-ADU16+ADT16</f>
        <v>0</v>
      </c>
      <c r="ADW16" s="95" t="n">
        <f aca="false">[1]НАДІЙШЛО2!JJ8</f>
        <v>0</v>
      </c>
      <c r="ADX16" s="96" t="n">
        <f aca="false">[1]ВИБУЛО2!JJ8</f>
        <v>0</v>
      </c>
      <c r="ADY16" s="97" t="n">
        <f aca="false">ADY15-ADX16+ADW16</f>
        <v>0</v>
      </c>
      <c r="ADZ16" s="95" t="n">
        <f aca="false">[1]НАДІЙШЛО2!JK8</f>
        <v>0</v>
      </c>
      <c r="AEA16" s="96" t="n">
        <f aca="false">[1]ВИБУЛО2!JK8</f>
        <v>0</v>
      </c>
      <c r="AEB16" s="97" t="n">
        <f aca="false">AEB15-AEA16+ADZ16</f>
        <v>0</v>
      </c>
      <c r="AEC16" s="95" t="n">
        <f aca="false">[1]НАДІЙШЛО2!JL8</f>
        <v>0</v>
      </c>
      <c r="AED16" s="96" t="n">
        <f aca="false">[1]ВИБУЛО2!JL8</f>
        <v>0</v>
      </c>
      <c r="AEE16" s="97" t="n">
        <f aca="false">AEE15-AED16+AEC16</f>
        <v>0</v>
      </c>
      <c r="AEF16" s="95" t="n">
        <f aca="false">[1]НАДІЙШЛО2!JM8</f>
        <v>0</v>
      </c>
      <c r="AEG16" s="96" t="n">
        <f aca="false">[1]ВИБУЛО2!JM8</f>
        <v>0</v>
      </c>
      <c r="AEH16" s="97" t="n">
        <f aca="false">AEH15-AEG16+AEF16</f>
        <v>0</v>
      </c>
      <c r="AEI16" s="95" t="n">
        <f aca="false">[1]НАДІЙШЛО2!JN8</f>
        <v>0</v>
      </c>
      <c r="AEJ16" s="96" t="n">
        <f aca="false">[1]ВИБУЛО2!JN8</f>
        <v>0</v>
      </c>
      <c r="AEK16" s="97" t="n">
        <f aca="false">AEK15-AEJ16+AEI16</f>
        <v>0</v>
      </c>
      <c r="AEL16" s="95" t="n">
        <f aca="false">[1]НАДІЙШЛО2!JO8</f>
        <v>0</v>
      </c>
      <c r="AEM16" s="96" t="n">
        <f aca="false">[1]ВИБУЛО2!JO8</f>
        <v>0</v>
      </c>
      <c r="AEN16" s="97" t="n">
        <f aca="false">AEN15-AEM16+AEL16</f>
        <v>0</v>
      </c>
      <c r="AEO16" s="95" t="n">
        <f aca="false">[1]НАДІЙШЛО2!JP8</f>
        <v>0</v>
      </c>
      <c r="AEP16" s="96" t="n">
        <f aca="false">[1]ВИБУЛО2!JP8</f>
        <v>0</v>
      </c>
      <c r="AEQ16" s="97" t="n">
        <f aca="false">AEQ15-AEP16+AEO16</f>
        <v>0</v>
      </c>
      <c r="AER16" s="95" t="n">
        <f aca="false">[1]НАДІЙШЛО2!JQ8</f>
        <v>0</v>
      </c>
      <c r="AES16" s="96" t="n">
        <f aca="false">[1]ВИБУЛО2!JQ8</f>
        <v>0</v>
      </c>
      <c r="AET16" s="97" t="n">
        <f aca="false">AET15-AES16+AER16</f>
        <v>0</v>
      </c>
      <c r="AEU16" s="95" t="n">
        <f aca="false">[1]НАДІЙШЛО2!JR8</f>
        <v>0</v>
      </c>
      <c r="AEV16" s="96" t="n">
        <f aca="false">[1]ВИБУЛО2!JR8</f>
        <v>0</v>
      </c>
      <c r="AEW16" s="97" t="n">
        <f aca="false">AEW15-AEV16+AEU16</f>
        <v>0</v>
      </c>
      <c r="AEX16" s="95" t="n">
        <f aca="false">[1]НАДІЙШЛО2!JS8</f>
        <v>0</v>
      </c>
      <c r="AEY16" s="96" t="n">
        <f aca="false">[1]ВИБУЛО2!JS8</f>
        <v>0</v>
      </c>
      <c r="AEZ16" s="97" t="n">
        <f aca="false">AEZ15-AEY16+AEX16</f>
        <v>0</v>
      </c>
      <c r="AFA16" s="95" t="n">
        <f aca="false">[1]НАДІЙШЛО2!JT8</f>
        <v>0</v>
      </c>
      <c r="AFB16" s="96" t="n">
        <f aca="false">[1]ВИБУЛО2!JT8</f>
        <v>0</v>
      </c>
      <c r="AFC16" s="97" t="n">
        <f aca="false">AFC15-AFB16+AFA16</f>
        <v>0</v>
      </c>
      <c r="AFD16" s="95" t="n">
        <f aca="false">[1]НАДІЙШЛО2!JU8</f>
        <v>0</v>
      </c>
      <c r="AFE16" s="96" t="n">
        <f aca="false">[1]ВИБУЛО2!JU8</f>
        <v>0</v>
      </c>
      <c r="AFF16" s="97" t="n">
        <f aca="false">AFF15-AFE16+AFD16</f>
        <v>0</v>
      </c>
      <c r="AFG16" s="95" t="n">
        <f aca="false">[1]НАДІЙШЛО2!JV8</f>
        <v>0</v>
      </c>
      <c r="AFH16" s="96" t="n">
        <f aca="false">[1]ВИБУЛО2!JV8</f>
        <v>0</v>
      </c>
      <c r="AFI16" s="97" t="n">
        <f aca="false">AFI15-AFH16+AFG16</f>
        <v>0</v>
      </c>
      <c r="AFJ16" s="95" t="n">
        <f aca="false">[1]НАДІЙШЛО2!JW8</f>
        <v>0</v>
      </c>
      <c r="AFK16" s="96" t="n">
        <f aca="false">[1]ВИБУЛО2!JW8</f>
        <v>0</v>
      </c>
      <c r="AFL16" s="97" t="n">
        <f aca="false">AFL15-AFK16+AFJ16</f>
        <v>0</v>
      </c>
      <c r="AFM16" s="95" t="n">
        <f aca="false">[1]НАДІЙШЛО2!JX8</f>
        <v>0</v>
      </c>
      <c r="AFN16" s="96" t="n">
        <f aca="false">[1]ВИБУЛО2!JX8</f>
        <v>0</v>
      </c>
      <c r="AFO16" s="97" t="n">
        <f aca="false">AFO15-AFN16+AFM16</f>
        <v>0</v>
      </c>
      <c r="AFP16" s="95" t="n">
        <f aca="false">[1]НАДІЙШЛО2!JY8</f>
        <v>0</v>
      </c>
      <c r="AFQ16" s="96" t="n">
        <f aca="false">[1]ВИБУЛО2!JY8</f>
        <v>0</v>
      </c>
      <c r="AFR16" s="97" t="n">
        <f aca="false">AFR15-AFQ16+AFP16</f>
        <v>0</v>
      </c>
      <c r="AFS16" s="95" t="n">
        <f aca="false">[1]НАДІЙШЛО2!JZ8</f>
        <v>0</v>
      </c>
      <c r="AFT16" s="96" t="n">
        <f aca="false">[1]ВИБУЛО2!JZ8</f>
        <v>0</v>
      </c>
      <c r="AFU16" s="97" t="n">
        <f aca="false">AFU15-AFT16+AFS16</f>
        <v>0</v>
      </c>
      <c r="AFV16" s="95" t="n">
        <f aca="false">[1]НАДІЙШЛО2!KA8</f>
        <v>0</v>
      </c>
      <c r="AFW16" s="96" t="n">
        <f aca="false">[1]ВИБУЛО2!KA8</f>
        <v>0</v>
      </c>
      <c r="AFX16" s="97" t="n">
        <f aca="false">AFX15-AFW16+AFV16</f>
        <v>0</v>
      </c>
      <c r="AFY16" s="95" t="n">
        <f aca="false">[1]НАДІЙШЛО2!KB8</f>
        <v>0</v>
      </c>
      <c r="AFZ16" s="96" t="n">
        <f aca="false">[1]ВИБУЛО2!KB8</f>
        <v>0</v>
      </c>
      <c r="AGA16" s="97" t="n">
        <f aca="false">AGA15-AFZ16+AFY16</f>
        <v>0</v>
      </c>
      <c r="AGB16" s="95" t="n">
        <f aca="false">[1]НАДІЙШЛО2!KC8</f>
        <v>0</v>
      </c>
      <c r="AGC16" s="96" t="n">
        <f aca="false">[1]ВИБУЛО2!KC8</f>
        <v>0</v>
      </c>
      <c r="AGD16" s="97" t="n">
        <f aca="false">AGD15-AGC16+AGB16</f>
        <v>0</v>
      </c>
      <c r="AGE16" s="95" t="n">
        <f aca="false">[1]НАДІЙШЛО2!KD8</f>
        <v>0</v>
      </c>
      <c r="AGF16" s="96" t="n">
        <f aca="false">[1]ВИБУЛО2!KD8</f>
        <v>0</v>
      </c>
      <c r="AGG16" s="97" t="n">
        <f aca="false">AGG15-AGF16+AGE16</f>
        <v>0</v>
      </c>
      <c r="AGH16" s="95" t="n">
        <f aca="false">[1]НАДІЙШЛО2!KE8</f>
        <v>0</v>
      </c>
      <c r="AGI16" s="96" t="n">
        <f aca="false">[1]ВИБУЛО2!KE8</f>
        <v>0</v>
      </c>
      <c r="AGJ16" s="97" t="n">
        <f aca="false">AGJ15-AGI16+AGH16</f>
        <v>0</v>
      </c>
      <c r="AGK16" s="95" t="n">
        <f aca="false">[1]НАДІЙШЛО2!KF8</f>
        <v>0</v>
      </c>
      <c r="AGL16" s="96" t="n">
        <f aca="false">[1]ВИБУЛО2!KF8</f>
        <v>0</v>
      </c>
      <c r="AGM16" s="97" t="n">
        <f aca="false">AGM15-AGL16+AGK16</f>
        <v>0</v>
      </c>
      <c r="AGN16" s="95" t="n">
        <f aca="false">[1]НАДІЙШЛО2!KG8</f>
        <v>0</v>
      </c>
      <c r="AGO16" s="96" t="n">
        <f aca="false">[1]ВИБУЛО2!KG8</f>
        <v>0</v>
      </c>
      <c r="AGP16" s="97" t="n">
        <f aca="false">AGP15-AGO16+AGN16</f>
        <v>0</v>
      </c>
      <c r="AGQ16" s="95" t="n">
        <f aca="false">[1]НАДІЙШЛО2!KH8</f>
        <v>0</v>
      </c>
      <c r="AGR16" s="96" t="n">
        <f aca="false">[1]ВИБУЛО2!KH8</f>
        <v>0</v>
      </c>
      <c r="AGS16" s="97" t="n">
        <f aca="false">AGS15-AGR16+AGQ16</f>
        <v>0</v>
      </c>
      <c r="AGT16" s="95" t="n">
        <f aca="false">[1]НАДІЙШЛО2!KI8</f>
        <v>0</v>
      </c>
      <c r="AGU16" s="96" t="n">
        <f aca="false">[1]ВИБУЛО2!KI8</f>
        <v>0</v>
      </c>
      <c r="AGV16" s="97" t="n">
        <f aca="false">AGV15-AGU16+AGT16</f>
        <v>0</v>
      </c>
      <c r="AGW16" s="95" t="n">
        <f aca="false">[1]НАДІЙШЛО2!KJ8</f>
        <v>0</v>
      </c>
      <c r="AGX16" s="96" t="n">
        <f aca="false">[1]ВИБУЛО2!KJ8</f>
        <v>0</v>
      </c>
      <c r="AGY16" s="97" t="n">
        <f aca="false">AGY15-AGX16+AGW16</f>
        <v>0</v>
      </c>
      <c r="AGZ16" s="95" t="n">
        <f aca="false">[1]НАДІЙШЛО2!KK8</f>
        <v>0</v>
      </c>
      <c r="AHA16" s="96" t="n">
        <f aca="false">[1]ВИБУЛО2!KK8</f>
        <v>0</v>
      </c>
      <c r="AHB16" s="97" t="n">
        <f aca="false">AHB15-AHA16+AGZ16</f>
        <v>0</v>
      </c>
      <c r="AHC16" s="95" t="n">
        <f aca="false">[1]НАДІЙШЛО2!KL8</f>
        <v>0</v>
      </c>
      <c r="AHD16" s="96" t="n">
        <f aca="false">[1]ВИБУЛО2!KL8</f>
        <v>0</v>
      </c>
      <c r="AHE16" s="97" t="n">
        <f aca="false">AHE15-AHD16+AHC16</f>
        <v>0</v>
      </c>
      <c r="AHF16" s="95" t="n">
        <f aca="false">[1]НАДІЙШЛО2!KM8</f>
        <v>0</v>
      </c>
      <c r="AHG16" s="96" t="n">
        <f aca="false">[1]ВИБУЛО2!KM8</f>
        <v>0</v>
      </c>
      <c r="AHH16" s="97" t="n">
        <f aca="false">AHH15-AHG16+AHF16</f>
        <v>0</v>
      </c>
      <c r="AHI16" s="95" t="n">
        <f aca="false">[1]НАДІЙШЛО2!KN8</f>
        <v>0</v>
      </c>
      <c r="AHJ16" s="96" t="n">
        <f aca="false">[1]ВИБУЛО2!KN8</f>
        <v>0</v>
      </c>
      <c r="AHK16" s="97" t="n">
        <f aca="false">AHK15-AHJ16+AHI16</f>
        <v>0</v>
      </c>
      <c r="AHL16" s="95" t="n">
        <f aca="false">[1]НАДІЙШЛО2!KO8</f>
        <v>0</v>
      </c>
      <c r="AHM16" s="96" t="n">
        <f aca="false">[1]ВИБУЛО2!KO8</f>
        <v>0</v>
      </c>
      <c r="AHN16" s="97" t="n">
        <f aca="false">AHN15-AHM16+AHL16</f>
        <v>0</v>
      </c>
      <c r="AHO16" s="95" t="n">
        <f aca="false">[1]НАДІЙШЛО2!KP8</f>
        <v>0</v>
      </c>
      <c r="AHP16" s="96" t="n">
        <f aca="false">[1]ВИБУЛО2!KP8</f>
        <v>0</v>
      </c>
      <c r="AHQ16" s="97" t="n">
        <f aca="false">AHQ15-AHP16+AHO16</f>
        <v>0</v>
      </c>
      <c r="AHR16" s="95" t="n">
        <f aca="false">[1]НАДІЙШЛО2!KQ8</f>
        <v>0</v>
      </c>
      <c r="AHS16" s="96" t="n">
        <f aca="false">[1]ВИБУЛО2!KQ8</f>
        <v>0</v>
      </c>
      <c r="AHT16" s="97" t="n">
        <f aca="false">AHT15-AHS16+AHR16</f>
        <v>0</v>
      </c>
      <c r="AHU16" s="95" t="n">
        <f aca="false">[1]НАДІЙШЛО2!KR8</f>
        <v>0</v>
      </c>
      <c r="AHV16" s="96" t="n">
        <f aca="false">[1]ВИБУЛО2!KR8</f>
        <v>0</v>
      </c>
      <c r="AHW16" s="97" t="n">
        <f aca="false">AHW15-AHV16+AHU16</f>
        <v>0</v>
      </c>
      <c r="AHX16" s="95" t="n">
        <f aca="false">[1]НАДІЙШЛО2!KS8</f>
        <v>0</v>
      </c>
      <c r="AHY16" s="96" t="n">
        <f aca="false">[1]ВИБУЛО2!KS8</f>
        <v>0</v>
      </c>
      <c r="AHZ16" s="97" t="n">
        <f aca="false">AHZ15-AHY16+AHX16</f>
        <v>0</v>
      </c>
      <c r="AIA16" s="95" t="n">
        <f aca="false">[1]НАДІЙШЛО2!KT8</f>
        <v>0</v>
      </c>
      <c r="AIB16" s="96" t="n">
        <f aca="false">[1]ВИБУЛО2!KT8</f>
        <v>0</v>
      </c>
      <c r="AIC16" s="97" t="n">
        <f aca="false">AIC15-AIB16+AIA16</f>
        <v>0</v>
      </c>
      <c r="AID16" s="95" t="n">
        <f aca="false">[1]НАДІЙШЛО2!KU8</f>
        <v>0</v>
      </c>
      <c r="AIE16" s="96" t="n">
        <f aca="false">[1]ВИБУЛО2!KU8</f>
        <v>0</v>
      </c>
      <c r="AIF16" s="97" t="n">
        <f aca="false">AIF15-AIE16+AID16</f>
        <v>0</v>
      </c>
      <c r="AIG16" s="95" t="n">
        <f aca="false">[1]НАДІЙШЛО2!KV8</f>
        <v>0</v>
      </c>
      <c r="AIH16" s="96" t="n">
        <f aca="false">[1]ВИБУЛО2!KV8</f>
        <v>0</v>
      </c>
      <c r="AII16" s="97" t="n">
        <f aca="false">AII15-AIH16+AIG16</f>
        <v>0</v>
      </c>
      <c r="AIJ16" s="95" t="n">
        <f aca="false">[1]НАДІЙШЛО2!KW8</f>
        <v>0</v>
      </c>
      <c r="AIK16" s="96" t="n">
        <f aca="false">[1]ВИБУЛО2!KW8</f>
        <v>0</v>
      </c>
      <c r="AIL16" s="97" t="n">
        <f aca="false">AIL15-AIK16+AIJ16</f>
        <v>0</v>
      </c>
      <c r="AIM16" s="95" t="n">
        <f aca="false">[1]НАДІЙШЛО2!KX8</f>
        <v>0</v>
      </c>
      <c r="AIN16" s="96" t="n">
        <f aca="false">[1]ВИБУЛО2!KX8</f>
        <v>0</v>
      </c>
      <c r="AIO16" s="97" t="n">
        <f aca="false">AIO15-AIN16+AIM16</f>
        <v>0</v>
      </c>
      <c r="AIP16" s="95" t="n">
        <f aca="false">[1]НАДІЙШЛО2!KY8</f>
        <v>0</v>
      </c>
      <c r="AIQ16" s="96" t="n">
        <f aca="false">[1]ВИБУЛО2!KY8</f>
        <v>0</v>
      </c>
      <c r="AIR16" s="97" t="n">
        <f aca="false">AIR15-AIQ16+AIP16</f>
        <v>0</v>
      </c>
      <c r="AIS16" s="95" t="n">
        <f aca="false">[1]НАДІЙШЛО2!KZ8</f>
        <v>0</v>
      </c>
      <c r="AIT16" s="96" t="n">
        <f aca="false">[1]ВИБУЛО2!KZ8</f>
        <v>0</v>
      </c>
      <c r="AIU16" s="97" t="n">
        <f aca="false">AIU15-AIT16+AIS16</f>
        <v>0</v>
      </c>
      <c r="AIV16" s="95" t="n">
        <f aca="false">[1]НАДІЙШЛО2!LA8</f>
        <v>0</v>
      </c>
      <c r="AIW16" s="96" t="n">
        <f aca="false">[1]ВИБУЛО2!LA8</f>
        <v>0</v>
      </c>
      <c r="AIX16" s="97" t="n">
        <f aca="false">AIX15-AIW16+AIV16</f>
        <v>0</v>
      </c>
      <c r="AIY16" s="95" t="n">
        <f aca="false">[1]НАДІЙШЛО2!LB8</f>
        <v>0</v>
      </c>
      <c r="AIZ16" s="96" t="n">
        <f aca="false">[1]ВИБУЛО2!LB8</f>
        <v>0</v>
      </c>
      <c r="AJA16" s="97" t="n">
        <f aca="false">AJA15-AIZ16+AIY16</f>
        <v>0</v>
      </c>
      <c r="AJB16" s="95" t="n">
        <f aca="false">[1]НАДІЙШЛО2!LC8</f>
        <v>0</v>
      </c>
      <c r="AJC16" s="96" t="n">
        <f aca="false">[1]ВИБУЛО2!LC8</f>
        <v>0</v>
      </c>
      <c r="AJD16" s="97" t="n">
        <f aca="false">AJD15-AJC16+AJB16</f>
        <v>0</v>
      </c>
      <c r="AJE16" s="95" t="n">
        <f aca="false">[1]НАДІЙШЛО2!LD8</f>
        <v>0</v>
      </c>
      <c r="AJF16" s="96" t="n">
        <f aca="false">[1]ВИБУЛО2!LD8</f>
        <v>0</v>
      </c>
      <c r="AJG16" s="97" t="n">
        <f aca="false">AJG15-AJF16+AJE16</f>
        <v>0</v>
      </c>
      <c r="AJH16" s="95" t="n">
        <f aca="false">[1]НАДІЙШЛО2!LE8</f>
        <v>0</v>
      </c>
      <c r="AJI16" s="96" t="n">
        <f aca="false">[1]ВИБУЛО2!LE8</f>
        <v>0</v>
      </c>
      <c r="AJJ16" s="97" t="n">
        <f aca="false">AJJ15-AJI16+AJH16</f>
        <v>0</v>
      </c>
      <c r="AJK16" s="95" t="n">
        <f aca="false">[1]НАДІЙШЛО2!LF8</f>
        <v>0</v>
      </c>
      <c r="AJL16" s="96" t="n">
        <f aca="false">[1]ВИБУЛО2!LF8</f>
        <v>0</v>
      </c>
      <c r="AJM16" s="97" t="n">
        <f aca="false">AJM15-AJL16+AJK16</f>
        <v>0</v>
      </c>
      <c r="AJN16" s="95" t="n">
        <f aca="false">[1]НАДІЙШЛО2!LG8</f>
        <v>0</v>
      </c>
      <c r="AJO16" s="96" t="n">
        <f aca="false">[1]ВИБУЛО2!LG8</f>
        <v>0</v>
      </c>
      <c r="AJP16" s="97" t="n">
        <f aca="false">AJP15-AJO16+AJN16</f>
        <v>0</v>
      </c>
      <c r="AJQ16" s="95" t="n">
        <f aca="false">[1]НАДІЙШЛО2!LH8</f>
        <v>0</v>
      </c>
      <c r="AJR16" s="96" t="n">
        <f aca="false">[1]ВИБУЛО2!LH8</f>
        <v>0</v>
      </c>
      <c r="AJS16" s="97" t="n">
        <f aca="false">AJS15-AJR16+AJQ16</f>
        <v>0</v>
      </c>
      <c r="AJT16" s="95" t="n">
        <f aca="false">[1]НАДІЙШЛО2!LI8</f>
        <v>0</v>
      </c>
      <c r="AJU16" s="96" t="n">
        <f aca="false">[1]ВИБУЛО2!LI8</f>
        <v>0</v>
      </c>
      <c r="AJV16" s="97" t="n">
        <f aca="false">AJV15-AJU16+AJT16</f>
        <v>0</v>
      </c>
      <c r="AJW16" s="95" t="n">
        <f aca="false">[1]НАДІЙШЛО2!LJ8</f>
        <v>0</v>
      </c>
      <c r="AJX16" s="96" t="n">
        <f aca="false">[1]ВИБУЛО2!LJ8</f>
        <v>0</v>
      </c>
      <c r="AJY16" s="97" t="n">
        <f aca="false">AJY15-AJX16+AJW16</f>
        <v>0</v>
      </c>
      <c r="AJZ16" s="95" t="n">
        <f aca="false">[1]НАДІЙШЛО2!LK8</f>
        <v>0</v>
      </c>
      <c r="AKA16" s="96" t="n">
        <f aca="false">[1]ВИБУЛО2!LK8</f>
        <v>0</v>
      </c>
      <c r="AKB16" s="97" t="n">
        <f aca="false">AKB15-AKA16+AJZ16</f>
        <v>0</v>
      </c>
      <c r="AKC16" s="95" t="n">
        <f aca="false">[1]НАДІЙШЛО2!LL8</f>
        <v>0</v>
      </c>
      <c r="AKD16" s="96" t="n">
        <f aca="false">[1]ВИБУЛО2!LL8</f>
        <v>0</v>
      </c>
      <c r="AKE16" s="97" t="n">
        <f aca="false">AKE15-AKD16+AKC16</f>
        <v>0</v>
      </c>
      <c r="AKF16" s="95" t="n">
        <f aca="false">[1]НАДІЙШЛО2!LM8</f>
        <v>0</v>
      </c>
      <c r="AKG16" s="96" t="n">
        <f aca="false">[1]ВИБУЛО2!LM8</f>
        <v>0</v>
      </c>
      <c r="AKH16" s="97" t="n">
        <f aca="false">AKH15-AKG16+AKF16</f>
        <v>0</v>
      </c>
      <c r="AKI16" s="95" t="n">
        <f aca="false">[1]НАДІЙШЛО2!LN8</f>
        <v>0</v>
      </c>
      <c r="AKJ16" s="96" t="n">
        <f aca="false">[1]ВИБУЛО2!LN8</f>
        <v>0</v>
      </c>
      <c r="AKK16" s="97" t="n">
        <f aca="false">AKK15-AKJ16+AKI16</f>
        <v>0</v>
      </c>
      <c r="AKL16" s="95" t="n">
        <f aca="false">[1]НАДІЙШЛО2!LO8</f>
        <v>0</v>
      </c>
      <c r="AKM16" s="96" t="n">
        <f aca="false">[1]ВИБУЛО2!LO8</f>
        <v>0</v>
      </c>
      <c r="AKN16" s="97" t="n">
        <f aca="false">AKN15-AKM16+AKL16</f>
        <v>0</v>
      </c>
      <c r="AKO16" s="95" t="n">
        <f aca="false">[1]НАДІЙШЛО2!LP8</f>
        <v>0</v>
      </c>
      <c r="AKP16" s="96" t="n">
        <f aca="false">[1]ВИБУЛО2!LP8</f>
        <v>0</v>
      </c>
      <c r="AKQ16" s="97" t="n">
        <f aca="false">AKQ15-AKP16+AKO16</f>
        <v>0</v>
      </c>
      <c r="AKR16" s="95" t="n">
        <f aca="false">[1]НАДІЙШЛО2!LQ8</f>
        <v>0</v>
      </c>
      <c r="AKS16" s="96" t="n">
        <f aca="false">[1]ВИБУЛО2!LQ8</f>
        <v>0</v>
      </c>
      <c r="AKT16" s="97" t="n">
        <f aca="false">AKT15-AKS16+AKR16</f>
        <v>0</v>
      </c>
      <c r="AKU16" s="95" t="n">
        <f aca="false">[1]НАДІЙШЛО2!LR8</f>
        <v>0</v>
      </c>
      <c r="AKV16" s="96" t="n">
        <f aca="false">[1]ВИБУЛО2!LR8</f>
        <v>0</v>
      </c>
      <c r="AKW16" s="97" t="n">
        <f aca="false">AKW15-AKV16+AKU16</f>
        <v>0</v>
      </c>
      <c r="AKX16" s="95" t="n">
        <f aca="false">[1]НАДІЙШЛО2!LS8</f>
        <v>0</v>
      </c>
      <c r="AKY16" s="96" t="n">
        <f aca="false">[1]ВИБУЛО2!LS8</f>
        <v>0</v>
      </c>
      <c r="AKZ16" s="97" t="n">
        <f aca="false">AKZ15-AKY16+AKX16</f>
        <v>0</v>
      </c>
      <c r="ALA16" s="95" t="n">
        <f aca="false">[1]НАДІЙШЛО2!LT8</f>
        <v>0</v>
      </c>
      <c r="ALB16" s="96" t="n">
        <f aca="false">[1]ВИБУЛО2!LT8</f>
        <v>0</v>
      </c>
      <c r="ALC16" s="97" t="n">
        <f aca="false">ALC15-ALB16+ALA16</f>
        <v>0</v>
      </c>
      <c r="ALD16" s="95" t="n">
        <f aca="false">[1]НАДІЙШЛО2!LU8</f>
        <v>0</v>
      </c>
      <c r="ALE16" s="96" t="n">
        <f aca="false">[1]ВИБУЛО2!LU8</f>
        <v>0</v>
      </c>
      <c r="ALF16" s="97" t="n">
        <f aca="false">ALF15-ALE16+ALD16</f>
        <v>0</v>
      </c>
      <c r="ALG16" s="95" t="n">
        <f aca="false">[1]НАДІЙШЛО2!LV8</f>
        <v>0</v>
      </c>
      <c r="ALH16" s="96" t="n">
        <f aca="false">[1]ВИБУЛО2!LV8</f>
        <v>0</v>
      </c>
      <c r="ALI16" s="97" t="n">
        <f aca="false">ALI15-ALH16+ALG16</f>
        <v>0</v>
      </c>
      <c r="ALJ16" s="95" t="n">
        <f aca="false">[1]НАДІЙШЛО2!LW8</f>
        <v>0</v>
      </c>
      <c r="ALK16" s="96" t="n">
        <f aca="false">[1]ВИБУЛО2!LW8</f>
        <v>0</v>
      </c>
      <c r="ALL16" s="97" t="n">
        <f aca="false">ALL15-ALK16+ALJ16</f>
        <v>0</v>
      </c>
      <c r="ALM16" s="95" t="n">
        <f aca="false">[1]НАДІЙШЛО2!LX8</f>
        <v>0</v>
      </c>
      <c r="ALN16" s="96" t="n">
        <f aca="false">[1]ВИБУЛО2!LX8</f>
        <v>0</v>
      </c>
      <c r="ALO16" s="97" t="n">
        <f aca="false">ALO15-ALN16+ALM16</f>
        <v>0</v>
      </c>
      <c r="ALP16" s="95" t="n">
        <f aca="false">[1]НАДІЙШЛО2!LY8</f>
        <v>0</v>
      </c>
      <c r="ALQ16" s="96" t="n">
        <f aca="false">[1]ВИБУЛО2!LY8</f>
        <v>0</v>
      </c>
      <c r="ALR16" s="97" t="n">
        <f aca="false">ALR15-ALQ16+ALP16</f>
        <v>0</v>
      </c>
      <c r="ALS16" s="95" t="n">
        <f aca="false">[1]НАДІЙШЛО2!LZ8</f>
        <v>0</v>
      </c>
      <c r="ALT16" s="96" t="n">
        <f aca="false">[1]ВИБУЛО2!LZ8</f>
        <v>0</v>
      </c>
      <c r="ALU16" s="97" t="n">
        <f aca="false">ALU15-ALT16+ALS16</f>
        <v>0</v>
      </c>
      <c r="ALV16" s="95" t="n">
        <f aca="false">[1]НАДІЙШЛО2!MA8</f>
        <v>0</v>
      </c>
      <c r="ALW16" s="96" t="n">
        <f aca="false">[1]ВИБУЛО2!MA8</f>
        <v>0</v>
      </c>
      <c r="ALX16" s="97" t="n">
        <f aca="false">ALX15-ALW16+ALV16</f>
        <v>0</v>
      </c>
      <c r="ALY16" s="95" t="n">
        <f aca="false">[1]НАДІЙШЛО2!MB8</f>
        <v>0</v>
      </c>
      <c r="ALZ16" s="96" t="n">
        <f aca="false">[1]ВИБУЛО2!MB8</f>
        <v>0</v>
      </c>
      <c r="AMA16" s="97" t="n">
        <f aca="false">AMA15-ALZ16+ALY16</f>
        <v>0</v>
      </c>
      <c r="AMB16" s="95" t="n">
        <f aca="false">[1]НАДІЙШЛО2!MC8</f>
        <v>0</v>
      </c>
      <c r="AMC16" s="96" t="n">
        <f aca="false">[1]ВИБУЛО2!MC8</f>
        <v>0</v>
      </c>
      <c r="AMD16" s="97" t="n">
        <f aca="false">AMD15-AMC16+AMB16</f>
        <v>0</v>
      </c>
      <c r="AME16" s="95" t="n">
        <f aca="false">[1]НАДІЙШЛО2!MD8</f>
        <v>0</v>
      </c>
      <c r="AMF16" s="96" t="n">
        <f aca="false">[1]ВИБУЛО2!MD8</f>
        <v>0</v>
      </c>
      <c r="AMG16" s="97" t="n">
        <f aca="false">AMG15-AMF16+AME16</f>
        <v>0</v>
      </c>
      <c r="AMH16" s="95" t="n">
        <f aca="false">[1]НАДІЙШЛО2!ME8</f>
        <v>0</v>
      </c>
      <c r="AMI16" s="96" t="n">
        <f aca="false">[1]ВИБУЛО2!ME8</f>
        <v>0</v>
      </c>
      <c r="AMJ16" s="97" t="n">
        <f aca="false">AMJ15-AMI16+AMH16</f>
        <v>0</v>
      </c>
    </row>
    <row r="17" s="99" customFormat="true" ht="16.5" hidden="false" customHeight="false" outlineLevel="0" collapsed="false">
      <c r="A17" s="98"/>
      <c r="D17" s="103"/>
      <c r="E17" s="95" t="n">
        <f aca="false">[1]НАДІЙШЛО2!D9</f>
        <v>0</v>
      </c>
      <c r="F17" s="96" t="n">
        <f aca="false">[1]ВИБУЛО2!D9</f>
        <v>0</v>
      </c>
      <c r="G17" s="97" t="n">
        <f aca="false">G16-F17+E17</f>
        <v>0</v>
      </c>
      <c r="H17" s="95" t="n">
        <f aca="false">[1]НАДІЙШЛО2!E9</f>
        <v>0</v>
      </c>
      <c r="I17" s="96" t="n">
        <f aca="false">[1]ВИБУЛО2!E9</f>
        <v>0</v>
      </c>
      <c r="J17" s="97" t="n">
        <f aca="false">J16-I17+H17</f>
        <v>0</v>
      </c>
      <c r="K17" s="95" t="n">
        <f aca="false">[1]НАДІЙШЛО2!F9</f>
        <v>0</v>
      </c>
      <c r="L17" s="96" t="n">
        <f aca="false">[1]ВИБУЛО2!F9</f>
        <v>0</v>
      </c>
      <c r="M17" s="97" t="n">
        <f aca="false">M16-L17+K17</f>
        <v>2.06</v>
      </c>
      <c r="N17" s="95" t="n">
        <f aca="false">[1]НАДІЙШЛО2!G9</f>
        <v>0</v>
      </c>
      <c r="O17" s="96" t="n">
        <f aca="false">[1]ВИБУЛО2!G9</f>
        <v>0</v>
      </c>
      <c r="P17" s="97" t="n">
        <f aca="false">P16-O17+N17</f>
        <v>0</v>
      </c>
      <c r="Q17" s="95" t="n">
        <f aca="false">[1]НАДІЙШЛО2!H9</f>
        <v>0</v>
      </c>
      <c r="R17" s="96" t="n">
        <f aca="false">[1]ВИБУЛО2!H9</f>
        <v>0</v>
      </c>
      <c r="S17" s="97" t="n">
        <f aca="false">S16-R17+Q17</f>
        <v>0</v>
      </c>
      <c r="T17" s="95" t="n">
        <f aca="false">[1]НАДІЙШЛО2!I9</f>
        <v>0</v>
      </c>
      <c r="U17" s="96" t="n">
        <f aca="false">[1]ВИБУЛО2!I9</f>
        <v>0</v>
      </c>
      <c r="V17" s="97" t="n">
        <f aca="false">V16-U17+T17</f>
        <v>0</v>
      </c>
      <c r="W17" s="95" t="n">
        <f aca="false">[1]НАДІЙШЛО2!J9</f>
        <v>0</v>
      </c>
      <c r="X17" s="96" t="n">
        <f aca="false">[1]ВИБУЛО2!J9</f>
        <v>0</v>
      </c>
      <c r="Y17" s="97" t="n">
        <f aca="false">Y16-X17+W17</f>
        <v>0</v>
      </c>
      <c r="Z17" s="95" t="n">
        <f aca="false">[1]НАДІЙШЛО2!K9</f>
        <v>0</v>
      </c>
      <c r="AA17" s="96" t="n">
        <f aca="false">[1]ВИБУЛО2!K9</f>
        <v>0</v>
      </c>
      <c r="AB17" s="97" t="n">
        <f aca="false">AB16-AA17+Z17</f>
        <v>0</v>
      </c>
      <c r="AC17" s="95" t="n">
        <f aca="false">[1]НАДІЙШЛО2!L9</f>
        <v>0</v>
      </c>
      <c r="AD17" s="96" t="n">
        <f aca="false">[1]ВИБУЛО2!L9</f>
        <v>0</v>
      </c>
      <c r="AE17" s="97" t="n">
        <f aca="false">AE16-AD17+AC17</f>
        <v>0</v>
      </c>
      <c r="AF17" s="95" t="n">
        <f aca="false">[1]НАДІЙШЛО2!M9</f>
        <v>0</v>
      </c>
      <c r="AG17" s="96" t="n">
        <f aca="false">[1]ВИБУЛО2!M9</f>
        <v>0</v>
      </c>
      <c r="AH17" s="97" t="n">
        <f aca="false">AH16-AG17+AF17</f>
        <v>0</v>
      </c>
      <c r="AI17" s="95" t="n">
        <f aca="false">[1]НАДІЙШЛО2!N9</f>
        <v>0</v>
      </c>
      <c r="AJ17" s="96" t="n">
        <f aca="false">[1]ВИБУЛО2!N9</f>
        <v>0</v>
      </c>
      <c r="AK17" s="97" t="n">
        <f aca="false">AK16-AJ17+AI17</f>
        <v>0</v>
      </c>
      <c r="AL17" s="95" t="n">
        <f aca="false">[1]НАДІЙШЛО2!O9</f>
        <v>0</v>
      </c>
      <c r="AM17" s="96" t="n">
        <f aca="false">[1]ВИБУЛО2!O9</f>
        <v>0</v>
      </c>
      <c r="AN17" s="97" t="n">
        <f aca="false">AN16-AM17+AL17</f>
        <v>0</v>
      </c>
      <c r="AO17" s="95" t="n">
        <f aca="false">[1]НАДІЙШЛО2!P9</f>
        <v>0</v>
      </c>
      <c r="AP17" s="96" t="n">
        <f aca="false">[1]ВИБУЛО2!P9</f>
        <v>0</v>
      </c>
      <c r="AQ17" s="97" t="n">
        <f aca="false">AQ16-AP17+AO17</f>
        <v>0</v>
      </c>
      <c r="AR17" s="95" t="n">
        <f aca="false">[1]НАДІЙШЛО2!Q9</f>
        <v>0</v>
      </c>
      <c r="AS17" s="96" t="n">
        <f aca="false">[1]ВИБУЛО2!Q9</f>
        <v>0</v>
      </c>
      <c r="AT17" s="97" t="n">
        <f aca="false">AT16-AS17+AR17</f>
        <v>0</v>
      </c>
      <c r="AU17" s="95" t="n">
        <f aca="false">[1]НАДІЙШЛО2!R9</f>
        <v>0</v>
      </c>
      <c r="AV17" s="96" t="n">
        <f aca="false">[1]ВИБУЛО2!R9</f>
        <v>0</v>
      </c>
      <c r="AW17" s="97" t="n">
        <f aca="false">AW16-AV17+AU17</f>
        <v>0</v>
      </c>
      <c r="AX17" s="95" t="n">
        <f aca="false">[1]НАДІЙШЛО2!S9</f>
        <v>0</v>
      </c>
      <c r="AY17" s="96" t="n">
        <f aca="false">[1]ВИБУЛО2!S9</f>
        <v>0</v>
      </c>
      <c r="AZ17" s="97" t="n">
        <f aca="false">AZ16-AY17+AX17</f>
        <v>0</v>
      </c>
      <c r="BA17" s="95" t="n">
        <f aca="false">[1]НАДІЙШЛО2!T9</f>
        <v>0</v>
      </c>
      <c r="BB17" s="96" t="n">
        <f aca="false">[1]ВИБУЛО2!T9</f>
        <v>0</v>
      </c>
      <c r="BC17" s="97" t="n">
        <f aca="false">BC16-BB17+BA17</f>
        <v>0</v>
      </c>
      <c r="BD17" s="95" t="n">
        <f aca="false">[1]НАДІЙШЛО2!U9</f>
        <v>0</v>
      </c>
      <c r="BE17" s="96" t="n">
        <f aca="false">[1]ВИБУЛО2!U9</f>
        <v>0</v>
      </c>
      <c r="BF17" s="97" t="n">
        <f aca="false">BF16-BE17+BD17</f>
        <v>0</v>
      </c>
      <c r="BG17" s="95" t="n">
        <f aca="false">[1]НАДІЙШЛО2!V9</f>
        <v>0</v>
      </c>
      <c r="BH17" s="96" t="n">
        <f aca="false">[1]ВИБУЛО2!V9</f>
        <v>0</v>
      </c>
      <c r="BI17" s="97" t="n">
        <f aca="false">BI16-BH17+BG17</f>
        <v>0</v>
      </c>
      <c r="BJ17" s="95" t="n">
        <f aca="false">[1]НАДІЙШЛО2!W9</f>
        <v>0</v>
      </c>
      <c r="BK17" s="96" t="n">
        <f aca="false">[1]ВИБУЛО2!W9</f>
        <v>0</v>
      </c>
      <c r="BL17" s="97" t="n">
        <f aca="false">BL16-BK17+BJ17</f>
        <v>0</v>
      </c>
      <c r="BM17" s="95" t="n">
        <f aca="false">[1]НАДІЙШЛО2!X9</f>
        <v>0</v>
      </c>
      <c r="BN17" s="96" t="n">
        <f aca="false">[1]ВИБУЛО2!X9</f>
        <v>0</v>
      </c>
      <c r="BO17" s="97" t="n">
        <f aca="false">BO16-BN17+BM17</f>
        <v>0</v>
      </c>
      <c r="BP17" s="95" t="n">
        <f aca="false">[1]НАДІЙШЛО2!Y9</f>
        <v>0</v>
      </c>
      <c r="BQ17" s="96" t="n">
        <f aca="false">[1]ВИБУЛО2!Y9</f>
        <v>0</v>
      </c>
      <c r="BR17" s="97" t="n">
        <f aca="false">BR16-BQ17+BP17</f>
        <v>0</v>
      </c>
      <c r="BS17" s="95" t="n">
        <f aca="false">[1]НАДІЙШЛО2!Z9</f>
        <v>0</v>
      </c>
      <c r="BT17" s="96" t="n">
        <f aca="false">[1]ВИБУЛО2!Z9</f>
        <v>0</v>
      </c>
      <c r="BU17" s="97" t="n">
        <f aca="false">BU16-BT17+BS17</f>
        <v>0</v>
      </c>
      <c r="BV17" s="95" t="n">
        <f aca="false">[1]НАДІЙШЛО2!AA9</f>
        <v>0</v>
      </c>
      <c r="BW17" s="96" t="n">
        <f aca="false">[1]ВИБУЛО2!AA9</f>
        <v>0</v>
      </c>
      <c r="BX17" s="97" t="n">
        <f aca="false">BX16-BW17+BV17</f>
        <v>0</v>
      </c>
      <c r="BY17" s="95" t="n">
        <f aca="false">[1]НАДІЙШЛО2!AB9</f>
        <v>0</v>
      </c>
      <c r="BZ17" s="96" t="n">
        <f aca="false">[1]ВИБУЛО2!AB9</f>
        <v>0</v>
      </c>
      <c r="CA17" s="97" t="n">
        <f aca="false">CA16-BZ17+BY17</f>
        <v>0</v>
      </c>
      <c r="CB17" s="95" t="n">
        <f aca="false">[1]НАДІЙШЛО2!AC9</f>
        <v>0</v>
      </c>
      <c r="CC17" s="96" t="n">
        <f aca="false">[1]ВИБУЛО2!AC9</f>
        <v>0</v>
      </c>
      <c r="CD17" s="97" t="n">
        <f aca="false">CD16-CC17+CB17</f>
        <v>0</v>
      </c>
      <c r="CE17" s="95" t="n">
        <f aca="false">[1]НАДІЙШЛО2!AD9</f>
        <v>0</v>
      </c>
      <c r="CF17" s="96" t="n">
        <f aca="false">[1]ВИБУЛО2!AD9</f>
        <v>0</v>
      </c>
      <c r="CG17" s="97" t="n">
        <f aca="false">CG16-CF17+CE17</f>
        <v>0</v>
      </c>
      <c r="CH17" s="95" t="n">
        <f aca="false">[1]НАДІЙШЛО2!AE9</f>
        <v>0</v>
      </c>
      <c r="CI17" s="96" t="n">
        <f aca="false">[1]ВИБУЛО2!AE9</f>
        <v>0</v>
      </c>
      <c r="CJ17" s="97" t="n">
        <f aca="false">CJ16-CI17+CH17</f>
        <v>0</v>
      </c>
      <c r="CK17" s="95" t="n">
        <f aca="false">[1]НАДІЙШЛО2!AF9</f>
        <v>0</v>
      </c>
      <c r="CL17" s="96" t="n">
        <f aca="false">[1]ВИБУЛО2!AF9</f>
        <v>0</v>
      </c>
      <c r="CM17" s="97" t="n">
        <f aca="false">CM16-CL17+CK17</f>
        <v>0</v>
      </c>
      <c r="CN17" s="95" t="n">
        <f aca="false">[1]НАДІЙШЛО2!AG9</f>
        <v>0</v>
      </c>
      <c r="CO17" s="96" t="n">
        <f aca="false">[1]ВИБУЛО2!AG9</f>
        <v>0</v>
      </c>
      <c r="CP17" s="97" t="n">
        <f aca="false">CP16-CO17+CN17</f>
        <v>0</v>
      </c>
      <c r="CQ17" s="95" t="n">
        <f aca="false">[1]НАДІЙШЛО2!AH9</f>
        <v>0</v>
      </c>
      <c r="CR17" s="96" t="n">
        <f aca="false">[1]ВИБУЛО2!AH9</f>
        <v>0</v>
      </c>
      <c r="CS17" s="97" t="n">
        <f aca="false">CS16-CR17+CQ17</f>
        <v>0</v>
      </c>
      <c r="CT17" s="95" t="n">
        <f aca="false">[1]НАДІЙШЛО2!AI9</f>
        <v>0</v>
      </c>
      <c r="CU17" s="96" t="n">
        <f aca="false">[1]ВИБУЛО2!AI9</f>
        <v>0</v>
      </c>
      <c r="CV17" s="97" t="n">
        <f aca="false">CV16-CU17+CT17</f>
        <v>0</v>
      </c>
      <c r="CW17" s="95" t="n">
        <f aca="false">[1]НАДІЙШЛО2!AJ9</f>
        <v>0</v>
      </c>
      <c r="CX17" s="96" t="n">
        <f aca="false">[1]ВИБУЛО2!AJ9</f>
        <v>0</v>
      </c>
      <c r="CY17" s="97" t="n">
        <f aca="false">CY16-CX17+CW17</f>
        <v>0</v>
      </c>
      <c r="CZ17" s="95" t="n">
        <f aca="false">[1]НАДІЙШЛО2!AK9</f>
        <v>0</v>
      </c>
      <c r="DA17" s="96" t="n">
        <f aca="false">[1]ВИБУЛО2!AK9</f>
        <v>0</v>
      </c>
      <c r="DB17" s="97" t="n">
        <f aca="false">DB16-DA17+CZ17</f>
        <v>0</v>
      </c>
      <c r="DC17" s="95" t="n">
        <f aca="false">[1]НАДІЙШЛО2!AL9</f>
        <v>0</v>
      </c>
      <c r="DD17" s="96" t="n">
        <f aca="false">[1]ВИБУЛО2!AL9</f>
        <v>0</v>
      </c>
      <c r="DE17" s="97" t="n">
        <f aca="false">DE16-DD17+DC17</f>
        <v>0</v>
      </c>
      <c r="DF17" s="95" t="n">
        <f aca="false">[1]НАДІЙШЛО2!AM9</f>
        <v>0</v>
      </c>
      <c r="DG17" s="96" t="n">
        <f aca="false">[1]ВИБУЛО2!AM9</f>
        <v>0</v>
      </c>
      <c r="DH17" s="97" t="n">
        <f aca="false">DH16-DG17+DF17</f>
        <v>0</v>
      </c>
      <c r="DI17" s="95" t="n">
        <f aca="false">[1]НАДІЙШЛО2!AN9</f>
        <v>0</v>
      </c>
      <c r="DJ17" s="96" t="n">
        <f aca="false">[1]ВИБУЛО2!AN9</f>
        <v>0</v>
      </c>
      <c r="DK17" s="97" t="n">
        <f aca="false">DK16-DJ17+DI17</f>
        <v>0</v>
      </c>
      <c r="DL17" s="95" t="n">
        <f aca="false">[1]НАДІЙШЛО2!AO9</f>
        <v>0</v>
      </c>
      <c r="DM17" s="96" t="n">
        <f aca="false">[1]ВИБУЛО2!AO9</f>
        <v>0</v>
      </c>
      <c r="DN17" s="97" t="n">
        <f aca="false">DN16-DM17+DL17</f>
        <v>0</v>
      </c>
      <c r="DO17" s="95" t="n">
        <f aca="false">[1]НАДІЙШЛО2!AP9</f>
        <v>0</v>
      </c>
      <c r="DP17" s="96" t="n">
        <f aca="false">[1]ВИБУЛО2!AP9</f>
        <v>0</v>
      </c>
      <c r="DQ17" s="97" t="n">
        <f aca="false">DQ16-DP17+DO17</f>
        <v>0</v>
      </c>
      <c r="DR17" s="95" t="n">
        <f aca="false">[1]НАДІЙШЛО2!AQ9</f>
        <v>0</v>
      </c>
      <c r="DS17" s="96" t="n">
        <f aca="false">[1]ВИБУЛО2!AQ9</f>
        <v>0</v>
      </c>
      <c r="DT17" s="97" t="n">
        <f aca="false">DT16-DS17+DR17</f>
        <v>0</v>
      </c>
      <c r="DU17" s="95" t="n">
        <f aca="false">[1]НАДІЙШЛО2!AR9</f>
        <v>0</v>
      </c>
      <c r="DV17" s="96" t="n">
        <f aca="false">[1]ВИБУЛО2!AR9</f>
        <v>0</v>
      </c>
      <c r="DW17" s="97" t="n">
        <f aca="false">DW16-DV17+DU17</f>
        <v>0</v>
      </c>
      <c r="DX17" s="95" t="n">
        <f aca="false">[1]НАДІЙШЛО2!AS9</f>
        <v>0</v>
      </c>
      <c r="DY17" s="96" t="n">
        <f aca="false">[1]ВИБУЛО2!AS9</f>
        <v>0</v>
      </c>
      <c r="DZ17" s="97" t="n">
        <f aca="false">DZ16-DY17+DX17</f>
        <v>0</v>
      </c>
      <c r="EA17" s="95" t="n">
        <f aca="false">[1]НАДІЙШЛО2!AT9</f>
        <v>0</v>
      </c>
      <c r="EB17" s="96" t="n">
        <f aca="false">[1]ВИБУЛО2!AT9</f>
        <v>0</v>
      </c>
      <c r="EC17" s="97" t="n">
        <f aca="false">EC16-EB17+EA17</f>
        <v>0</v>
      </c>
      <c r="ED17" s="95" t="n">
        <f aca="false">[1]НАДІЙШЛО2!AU9</f>
        <v>0</v>
      </c>
      <c r="EE17" s="96" t="n">
        <f aca="false">[1]ВИБУЛО2!AU9</f>
        <v>0</v>
      </c>
      <c r="EF17" s="97" t="n">
        <f aca="false">EF16-EE17+ED17</f>
        <v>0</v>
      </c>
      <c r="EG17" s="95" t="n">
        <f aca="false">[1]НАДІЙШЛО2!AV9</f>
        <v>0</v>
      </c>
      <c r="EH17" s="96" t="n">
        <f aca="false">[1]ВИБУЛО2!AV9</f>
        <v>0</v>
      </c>
      <c r="EI17" s="97" t="n">
        <f aca="false">EI16-EH17+EG17</f>
        <v>0</v>
      </c>
      <c r="EJ17" s="95" t="n">
        <f aca="false">[1]НАДІЙШЛО2!AW9</f>
        <v>0</v>
      </c>
      <c r="EK17" s="96" t="n">
        <f aca="false">[1]ВИБУЛО2!AW9</f>
        <v>0</v>
      </c>
      <c r="EL17" s="97" t="n">
        <f aca="false">EL16-EK17+EJ17</f>
        <v>0</v>
      </c>
      <c r="EM17" s="95" t="n">
        <f aca="false">[1]НАДІЙШЛО2!AX9</f>
        <v>0</v>
      </c>
      <c r="EN17" s="96" t="n">
        <f aca="false">[1]ВИБУЛО2!AX9</f>
        <v>0</v>
      </c>
      <c r="EO17" s="97" t="n">
        <f aca="false">EO16-EN17+EM17</f>
        <v>0</v>
      </c>
      <c r="EP17" s="95" t="n">
        <f aca="false">[1]НАДІЙШЛО2!AY9</f>
        <v>0</v>
      </c>
      <c r="EQ17" s="96" t="n">
        <f aca="false">[1]ВИБУЛО2!AY9</f>
        <v>0</v>
      </c>
      <c r="ER17" s="97" t="n">
        <f aca="false">ER16-EQ17+EP17</f>
        <v>0</v>
      </c>
      <c r="ES17" s="95" t="n">
        <f aca="false">[1]НАДІЙШЛО2!AZ9</f>
        <v>0</v>
      </c>
      <c r="ET17" s="96" t="n">
        <f aca="false">[1]ВИБУЛО2!AZ9</f>
        <v>0</v>
      </c>
      <c r="EU17" s="97" t="n">
        <f aca="false">EU16-ET17+ES17</f>
        <v>0</v>
      </c>
      <c r="EV17" s="95" t="n">
        <f aca="false">[1]НАДІЙШЛО2!BA9</f>
        <v>0</v>
      </c>
      <c r="EW17" s="96" t="n">
        <f aca="false">[1]ВИБУЛО2!BA9</f>
        <v>0</v>
      </c>
      <c r="EX17" s="97" t="n">
        <f aca="false">EX16-EW17+EV17</f>
        <v>0</v>
      </c>
      <c r="EY17" s="95" t="n">
        <f aca="false">[1]НАДІЙШЛО2!BB9</f>
        <v>0</v>
      </c>
      <c r="EZ17" s="96" t="n">
        <f aca="false">[1]ВИБУЛО2!BB9</f>
        <v>0</v>
      </c>
      <c r="FA17" s="97" t="n">
        <f aca="false">FA16-EZ17+EY17</f>
        <v>0</v>
      </c>
      <c r="FB17" s="95" t="n">
        <f aca="false">[1]НАДІЙШЛО2!BC9</f>
        <v>0</v>
      </c>
      <c r="FC17" s="96" t="n">
        <f aca="false">[1]ВИБУЛО2!BC9</f>
        <v>0</v>
      </c>
      <c r="FD17" s="97" t="n">
        <f aca="false">FD16-FC17+FB17</f>
        <v>0</v>
      </c>
      <c r="FE17" s="95" t="n">
        <f aca="false">[1]НАДІЙШЛО2!BD9</f>
        <v>0</v>
      </c>
      <c r="FF17" s="96" t="n">
        <f aca="false">[1]ВИБУЛО2!BD9</f>
        <v>0</v>
      </c>
      <c r="FG17" s="97" t="n">
        <f aca="false">FG16-FF17+FE17</f>
        <v>0</v>
      </c>
      <c r="FH17" s="95" t="n">
        <f aca="false">[1]НАДІЙШЛО2!BE9</f>
        <v>0</v>
      </c>
      <c r="FI17" s="96" t="n">
        <f aca="false">[1]ВИБУЛО2!BE9</f>
        <v>0</v>
      </c>
      <c r="FJ17" s="97" t="n">
        <f aca="false">FJ16-FI17+FH17</f>
        <v>0</v>
      </c>
      <c r="FK17" s="95" t="n">
        <f aca="false">[1]НАДІЙШЛО2!BF9</f>
        <v>0</v>
      </c>
      <c r="FL17" s="96" t="n">
        <f aca="false">[1]ВИБУЛО2!BF9</f>
        <v>0</v>
      </c>
      <c r="FM17" s="97" t="n">
        <f aca="false">FM16-FL17+FK17</f>
        <v>0</v>
      </c>
      <c r="FN17" s="95" t="n">
        <f aca="false">[1]НАДІЙШЛО2!BG9</f>
        <v>0</v>
      </c>
      <c r="FO17" s="96" t="n">
        <f aca="false">[1]ВИБУЛО2!BG9</f>
        <v>0</v>
      </c>
      <c r="FP17" s="97" t="n">
        <f aca="false">FP16-FO17+FN17</f>
        <v>0</v>
      </c>
      <c r="FQ17" s="95" t="n">
        <f aca="false">[1]НАДІЙШЛО2!BH9</f>
        <v>0</v>
      </c>
      <c r="FR17" s="96" t="n">
        <f aca="false">[1]ВИБУЛО2!BH9</f>
        <v>0</v>
      </c>
      <c r="FS17" s="97" t="n">
        <f aca="false">FS16-FR17+FQ17</f>
        <v>0</v>
      </c>
      <c r="FT17" s="95" t="n">
        <f aca="false">[1]НАДІЙШЛО2!BI9</f>
        <v>0</v>
      </c>
      <c r="FU17" s="96" t="n">
        <f aca="false">[1]ВИБУЛО2!BI9</f>
        <v>0</v>
      </c>
      <c r="FV17" s="97" t="n">
        <f aca="false">FV16-FU17+FT17</f>
        <v>0</v>
      </c>
      <c r="FW17" s="95" t="n">
        <f aca="false">[1]НАДІЙШЛО2!BJ9</f>
        <v>0</v>
      </c>
      <c r="FX17" s="96" t="n">
        <f aca="false">[1]ВИБУЛО2!BJ9</f>
        <v>0</v>
      </c>
      <c r="FY17" s="97" t="n">
        <f aca="false">FY16-FX17+FW17</f>
        <v>0</v>
      </c>
      <c r="FZ17" s="95" t="n">
        <f aca="false">[1]НАДІЙШЛО2!BK9</f>
        <v>0</v>
      </c>
      <c r="GA17" s="96" t="n">
        <f aca="false">[1]ВИБУЛО2!BK9</f>
        <v>0</v>
      </c>
      <c r="GB17" s="97" t="n">
        <f aca="false">GB16-GA17+FZ17</f>
        <v>0</v>
      </c>
      <c r="GC17" s="95" t="n">
        <f aca="false">[1]НАДІЙШЛО2!BL9</f>
        <v>0</v>
      </c>
      <c r="GD17" s="96" t="n">
        <f aca="false">[1]ВИБУЛО2!BL9</f>
        <v>0</v>
      </c>
      <c r="GE17" s="97" t="n">
        <f aca="false">GE16-GD17+GC17</f>
        <v>0</v>
      </c>
      <c r="GF17" s="95" t="n">
        <f aca="false">[1]НАДІЙШЛО2!BM9</f>
        <v>0</v>
      </c>
      <c r="GG17" s="96" t="n">
        <f aca="false">[1]ВИБУЛО2!BM9</f>
        <v>0</v>
      </c>
      <c r="GH17" s="97" t="n">
        <f aca="false">GH16-GG17+GF17</f>
        <v>0</v>
      </c>
      <c r="GI17" s="95" t="n">
        <f aca="false">[1]НАДІЙШЛО2!BN9</f>
        <v>0</v>
      </c>
      <c r="GJ17" s="96" t="n">
        <f aca="false">[1]ВИБУЛО2!BN9</f>
        <v>0</v>
      </c>
      <c r="GK17" s="97" t="n">
        <f aca="false">GK16-GJ17+GI17</f>
        <v>0</v>
      </c>
      <c r="GL17" s="95" t="n">
        <f aca="false">[1]НАДІЙШЛО2!BO9</f>
        <v>0</v>
      </c>
      <c r="GM17" s="96" t="n">
        <f aca="false">[1]ВИБУЛО2!BO9</f>
        <v>0</v>
      </c>
      <c r="GN17" s="97" t="n">
        <f aca="false">GN16-GM17+GL17</f>
        <v>0</v>
      </c>
      <c r="GO17" s="95" t="n">
        <f aca="false">[1]НАДІЙШЛО2!BP9</f>
        <v>0</v>
      </c>
      <c r="GP17" s="96" t="n">
        <f aca="false">[1]ВИБУЛО2!BP9</f>
        <v>0</v>
      </c>
      <c r="GQ17" s="97" t="n">
        <f aca="false">GQ16-GP17+GO17</f>
        <v>0</v>
      </c>
      <c r="GR17" s="95" t="n">
        <f aca="false">[1]НАДІЙШЛО2!BQ9</f>
        <v>0</v>
      </c>
      <c r="GS17" s="96" t="n">
        <f aca="false">[1]ВИБУЛО2!BQ9</f>
        <v>0</v>
      </c>
      <c r="GT17" s="97" t="n">
        <f aca="false">GT16-GS17+GR17</f>
        <v>0</v>
      </c>
      <c r="GU17" s="95" t="n">
        <f aca="false">[1]НАДІЙШЛО2!BR9</f>
        <v>0</v>
      </c>
      <c r="GV17" s="96" t="n">
        <f aca="false">[1]ВИБУЛО2!BR9</f>
        <v>0</v>
      </c>
      <c r="GW17" s="97" t="n">
        <f aca="false">GW16-GV17+GU17</f>
        <v>0</v>
      </c>
      <c r="GX17" s="95" t="n">
        <f aca="false">[1]НАДІЙШЛО2!BS9</f>
        <v>0</v>
      </c>
      <c r="GY17" s="96" t="n">
        <f aca="false">[1]ВИБУЛО2!BS9</f>
        <v>0</v>
      </c>
      <c r="GZ17" s="97" t="n">
        <f aca="false">GZ16-GY17+GX17</f>
        <v>0</v>
      </c>
      <c r="HA17" s="95" t="n">
        <f aca="false">[1]НАДІЙШЛО2!BT9</f>
        <v>0</v>
      </c>
      <c r="HB17" s="96" t="n">
        <f aca="false">[1]ВИБУЛО2!BT9</f>
        <v>0</v>
      </c>
      <c r="HC17" s="97" t="n">
        <f aca="false">HC16-HB17+HA17</f>
        <v>0</v>
      </c>
      <c r="HD17" s="95" t="n">
        <f aca="false">[1]НАДІЙШЛО2!BU9</f>
        <v>0</v>
      </c>
      <c r="HE17" s="96" t="n">
        <f aca="false">[1]ВИБУЛО2!BU9</f>
        <v>0</v>
      </c>
      <c r="HF17" s="97" t="n">
        <f aca="false">HF16-HE17+HD17</f>
        <v>0</v>
      </c>
      <c r="HG17" s="95" t="n">
        <f aca="false">[1]НАДІЙШЛО2!BV9</f>
        <v>0</v>
      </c>
      <c r="HH17" s="96" t="n">
        <f aca="false">[1]ВИБУЛО2!BV9</f>
        <v>0</v>
      </c>
      <c r="HI17" s="97" t="n">
        <f aca="false">HI16-HH17+HG17</f>
        <v>0</v>
      </c>
      <c r="HJ17" s="95" t="n">
        <f aca="false">[1]НАДІЙШЛО2!BW9</f>
        <v>0</v>
      </c>
      <c r="HK17" s="96" t="n">
        <f aca="false">[1]ВИБУЛО2!BW9</f>
        <v>0</v>
      </c>
      <c r="HL17" s="97" t="n">
        <f aca="false">HL16-HK17+HJ17</f>
        <v>0</v>
      </c>
      <c r="HM17" s="95" t="n">
        <f aca="false">[1]НАДІЙШЛО2!BX9</f>
        <v>0</v>
      </c>
      <c r="HN17" s="96" t="n">
        <f aca="false">[1]ВИБУЛО2!BX9</f>
        <v>0</v>
      </c>
      <c r="HO17" s="97" t="n">
        <f aca="false">HO16-HN17+HM17</f>
        <v>0</v>
      </c>
      <c r="HP17" s="95" t="n">
        <f aca="false">[1]НАДІЙШЛО2!BY9</f>
        <v>0</v>
      </c>
      <c r="HQ17" s="96" t="n">
        <f aca="false">[1]ВИБУЛО2!BY9</f>
        <v>0</v>
      </c>
      <c r="HR17" s="97" t="n">
        <f aca="false">HR16-HQ17+HP17</f>
        <v>0</v>
      </c>
      <c r="HS17" s="95" t="n">
        <f aca="false">[1]НАДІЙШЛО2!BZ9</f>
        <v>0</v>
      </c>
      <c r="HT17" s="96" t="n">
        <f aca="false">[1]ВИБУЛО2!BZ9</f>
        <v>0</v>
      </c>
      <c r="HU17" s="97" t="n">
        <f aca="false">HU16-HT17+HS17</f>
        <v>0</v>
      </c>
      <c r="HV17" s="95" t="n">
        <f aca="false">[1]НАДІЙШЛО2!CA9</f>
        <v>0</v>
      </c>
      <c r="HW17" s="96" t="n">
        <f aca="false">[1]ВИБУЛО2!CA9</f>
        <v>0</v>
      </c>
      <c r="HX17" s="97" t="n">
        <f aca="false">HX16-HW17+HV17</f>
        <v>0</v>
      </c>
      <c r="HY17" s="95" t="n">
        <f aca="false">[1]НАДІЙШЛО2!CB9</f>
        <v>0</v>
      </c>
      <c r="HZ17" s="96" t="n">
        <f aca="false">[1]ВИБУЛО2!CB9</f>
        <v>0</v>
      </c>
      <c r="IA17" s="97" t="n">
        <f aca="false">IA16-HZ17+HY17</f>
        <v>0</v>
      </c>
      <c r="IB17" s="95" t="n">
        <f aca="false">[1]НАДІЙШЛО2!CC9</f>
        <v>0</v>
      </c>
      <c r="IC17" s="96" t="n">
        <f aca="false">[1]ВИБУЛО2!CC9</f>
        <v>0</v>
      </c>
      <c r="ID17" s="97" t="n">
        <f aca="false">ID16-IC17+IB17</f>
        <v>0</v>
      </c>
      <c r="IE17" s="95" t="n">
        <f aca="false">[1]НАДІЙШЛО2!CD9</f>
        <v>0</v>
      </c>
      <c r="IF17" s="96" t="n">
        <f aca="false">[1]ВИБУЛО2!CD9</f>
        <v>0</v>
      </c>
      <c r="IG17" s="97" t="n">
        <f aca="false">IG16-IF17+IE17</f>
        <v>0</v>
      </c>
      <c r="IH17" s="95" t="n">
        <f aca="false">[1]НАДІЙШЛО2!CE9</f>
        <v>0</v>
      </c>
      <c r="II17" s="96" t="n">
        <f aca="false">[1]ВИБУЛО2!CE9</f>
        <v>0</v>
      </c>
      <c r="IJ17" s="97" t="n">
        <f aca="false">IJ16-II17+IH17</f>
        <v>0</v>
      </c>
      <c r="IK17" s="95" t="n">
        <f aca="false">[1]НАДІЙШЛО2!CF9</f>
        <v>0</v>
      </c>
      <c r="IL17" s="96" t="n">
        <f aca="false">[1]ВИБУЛО2!CF9</f>
        <v>0</v>
      </c>
      <c r="IM17" s="97" t="n">
        <f aca="false">IM16-IL17+IK17</f>
        <v>0</v>
      </c>
      <c r="IN17" s="95" t="n">
        <f aca="false">[1]НАДІЙШЛО2!CG9</f>
        <v>0</v>
      </c>
      <c r="IO17" s="96" t="n">
        <f aca="false">[1]ВИБУЛО2!CG9</f>
        <v>0</v>
      </c>
      <c r="IP17" s="97" t="n">
        <f aca="false">IP16-IO17+IN17</f>
        <v>0</v>
      </c>
      <c r="IQ17" s="95" t="n">
        <f aca="false">[1]НАДІЙШЛО2!CH9</f>
        <v>0</v>
      </c>
      <c r="IR17" s="96" t="n">
        <f aca="false">[1]ВИБУЛО2!CH9</f>
        <v>0</v>
      </c>
      <c r="IS17" s="97" t="n">
        <f aca="false">IS16-IR17+IQ17</f>
        <v>0</v>
      </c>
      <c r="IT17" s="95" t="n">
        <f aca="false">[1]НАДІЙШЛО2!CI9</f>
        <v>0</v>
      </c>
      <c r="IU17" s="96" t="n">
        <f aca="false">[1]ВИБУЛО2!CI9</f>
        <v>0</v>
      </c>
      <c r="IV17" s="97" t="n">
        <f aca="false">IV16-IU17+IT17</f>
        <v>0</v>
      </c>
      <c r="IW17" s="95" t="n">
        <f aca="false">[1]НАДІЙШЛО2!CJ9</f>
        <v>0</v>
      </c>
      <c r="IX17" s="96" t="n">
        <f aca="false">[1]ВИБУЛО2!CJ9</f>
        <v>0</v>
      </c>
      <c r="IY17" s="97" t="n">
        <f aca="false">IY16-IX17+IW17</f>
        <v>0</v>
      </c>
      <c r="IZ17" s="95" t="n">
        <f aca="false">[1]НАДІЙШЛО2!CK9</f>
        <v>0</v>
      </c>
      <c r="JA17" s="96" t="n">
        <f aca="false">[1]ВИБУЛО2!CK9</f>
        <v>0</v>
      </c>
      <c r="JB17" s="97" t="n">
        <f aca="false">JB16-JA17+IZ17</f>
        <v>0</v>
      </c>
      <c r="JC17" s="95" t="n">
        <f aca="false">[1]НАДІЙШЛО2!CL9</f>
        <v>0</v>
      </c>
      <c r="JD17" s="96" t="n">
        <f aca="false">[1]ВИБУЛО2!CL9</f>
        <v>0</v>
      </c>
      <c r="JE17" s="97" t="n">
        <f aca="false">JE16-JD17+JC17</f>
        <v>0</v>
      </c>
      <c r="JF17" s="95" t="n">
        <f aca="false">[1]НАДІЙШЛО2!CM9</f>
        <v>0</v>
      </c>
      <c r="JG17" s="96" t="n">
        <f aca="false">[1]ВИБУЛО2!CM9</f>
        <v>0</v>
      </c>
      <c r="JH17" s="97" t="n">
        <f aca="false">JH16-JG17+JF17</f>
        <v>0</v>
      </c>
      <c r="JI17" s="95" t="n">
        <f aca="false">[1]НАДІЙШЛО2!CN9</f>
        <v>0</v>
      </c>
      <c r="JJ17" s="96" t="n">
        <f aca="false">[1]ВИБУЛО2!CN9</f>
        <v>0</v>
      </c>
      <c r="JK17" s="97" t="n">
        <f aca="false">JK16-JJ17+JI17</f>
        <v>0</v>
      </c>
      <c r="JL17" s="95" t="n">
        <f aca="false">[1]НАДІЙШЛО2!CO9</f>
        <v>0</v>
      </c>
      <c r="JM17" s="96" t="n">
        <f aca="false">[1]ВИБУЛО2!CO9</f>
        <v>0</v>
      </c>
      <c r="JN17" s="97" t="n">
        <f aca="false">JN16-JM17+JL17</f>
        <v>0</v>
      </c>
      <c r="JO17" s="95" t="n">
        <f aca="false">[1]НАДІЙШЛО2!CP9</f>
        <v>0</v>
      </c>
      <c r="JP17" s="96" t="n">
        <f aca="false">[1]ВИБУЛО2!CP9</f>
        <v>0</v>
      </c>
      <c r="JQ17" s="97" t="n">
        <f aca="false">JQ16-JP17+JO17</f>
        <v>0</v>
      </c>
      <c r="JR17" s="95" t="n">
        <f aca="false">[1]НАДІЙШЛО2!CQ9</f>
        <v>0</v>
      </c>
      <c r="JS17" s="96" t="n">
        <f aca="false">[1]ВИБУЛО2!CQ9</f>
        <v>0</v>
      </c>
      <c r="JT17" s="97" t="n">
        <f aca="false">JT16-JS17+JR17</f>
        <v>0</v>
      </c>
      <c r="JU17" s="95" t="n">
        <f aca="false">[1]НАДІЙШЛО2!CR9</f>
        <v>0</v>
      </c>
      <c r="JV17" s="96" t="n">
        <f aca="false">[1]ВИБУЛО2!CR9</f>
        <v>0</v>
      </c>
      <c r="JW17" s="97" t="n">
        <f aca="false">JW16-JV17+JU17</f>
        <v>0</v>
      </c>
      <c r="JX17" s="95" t="n">
        <f aca="false">[1]НАДІЙШЛО2!CS9</f>
        <v>0</v>
      </c>
      <c r="JY17" s="96" t="n">
        <f aca="false">[1]ВИБУЛО2!CS9</f>
        <v>0</v>
      </c>
      <c r="JZ17" s="97" t="n">
        <f aca="false">JZ16-JY17+JX17</f>
        <v>0</v>
      </c>
      <c r="KA17" s="95" t="n">
        <f aca="false">[1]НАДІЙШЛО2!CT9</f>
        <v>0</v>
      </c>
      <c r="KB17" s="96" t="n">
        <f aca="false">[1]ВИБУЛО2!CT9</f>
        <v>0</v>
      </c>
      <c r="KC17" s="97" t="n">
        <f aca="false">KC16-KB17+KA17</f>
        <v>0</v>
      </c>
      <c r="KD17" s="95" t="n">
        <f aca="false">[1]НАДІЙШЛО2!CU9</f>
        <v>0</v>
      </c>
      <c r="KE17" s="96" t="n">
        <f aca="false">[1]ВИБУЛО2!CU9</f>
        <v>0</v>
      </c>
      <c r="KF17" s="97" t="n">
        <f aca="false">KF16-KE17+KD17</f>
        <v>0</v>
      </c>
      <c r="KG17" s="95" t="n">
        <f aca="false">[1]НАДІЙШЛО2!CV9</f>
        <v>0</v>
      </c>
      <c r="KH17" s="96" t="n">
        <f aca="false">[1]ВИБУЛО2!CV9</f>
        <v>0</v>
      </c>
      <c r="KI17" s="97" t="n">
        <f aca="false">KI16-KH17+KG17</f>
        <v>0</v>
      </c>
      <c r="KJ17" s="95" t="n">
        <f aca="false">[1]НАДІЙШЛО2!CW9</f>
        <v>0</v>
      </c>
      <c r="KK17" s="96" t="n">
        <f aca="false">[1]ВИБУЛО2!CW9</f>
        <v>0</v>
      </c>
      <c r="KL17" s="97" t="n">
        <f aca="false">KL16-KK17+KJ17</f>
        <v>0</v>
      </c>
      <c r="KM17" s="95" t="n">
        <f aca="false">[1]НАДІЙШЛО2!CX9</f>
        <v>0</v>
      </c>
      <c r="KN17" s="96" t="n">
        <f aca="false">[1]ВИБУЛО2!CX9</f>
        <v>0</v>
      </c>
      <c r="KO17" s="97" t="n">
        <f aca="false">KO16-KN17+KM17</f>
        <v>0</v>
      </c>
      <c r="KP17" s="95" t="n">
        <f aca="false">[1]НАДІЙШЛО2!CY9</f>
        <v>0</v>
      </c>
      <c r="KQ17" s="96" t="n">
        <f aca="false">[1]ВИБУЛО2!CY9</f>
        <v>0</v>
      </c>
      <c r="KR17" s="97" t="n">
        <f aca="false">KR16-KQ17+KP17</f>
        <v>0</v>
      </c>
      <c r="KS17" s="95" t="n">
        <f aca="false">[1]НАДІЙШЛО2!CZ9</f>
        <v>0</v>
      </c>
      <c r="KT17" s="96" t="n">
        <f aca="false">[1]ВИБУЛО2!CZ9</f>
        <v>0</v>
      </c>
      <c r="KU17" s="97" t="n">
        <f aca="false">KU16-KT17+KS17</f>
        <v>0</v>
      </c>
      <c r="KV17" s="95" t="n">
        <f aca="false">[1]НАДІЙШЛО2!DA9</f>
        <v>0</v>
      </c>
      <c r="KW17" s="96" t="n">
        <f aca="false">[1]ВИБУЛО2!DA9</f>
        <v>0</v>
      </c>
      <c r="KX17" s="97" t="n">
        <f aca="false">KX16-KW17+KV17</f>
        <v>0</v>
      </c>
      <c r="KY17" s="95" t="n">
        <f aca="false">[1]НАДІЙШЛО2!DB9</f>
        <v>0</v>
      </c>
      <c r="KZ17" s="96" t="n">
        <f aca="false">[1]ВИБУЛО2!DB9</f>
        <v>0</v>
      </c>
      <c r="LA17" s="97" t="n">
        <f aca="false">LA16-KZ17+KY17</f>
        <v>0</v>
      </c>
      <c r="LB17" s="95" t="n">
        <f aca="false">[1]НАДІЙШЛО2!DC9</f>
        <v>0</v>
      </c>
      <c r="LC17" s="96" t="n">
        <f aca="false">[1]ВИБУЛО2!DC9</f>
        <v>0</v>
      </c>
      <c r="LD17" s="97" t="n">
        <f aca="false">LD16-LC17+LB17</f>
        <v>0</v>
      </c>
      <c r="LE17" s="95" t="n">
        <f aca="false">[1]НАДІЙШЛО2!DD9</f>
        <v>0</v>
      </c>
      <c r="LF17" s="96" t="n">
        <f aca="false">[1]ВИБУЛО2!DD9</f>
        <v>0</v>
      </c>
      <c r="LG17" s="97" t="n">
        <f aca="false">LG16-LF17+LE17</f>
        <v>0</v>
      </c>
      <c r="LH17" s="95" t="n">
        <f aca="false">[1]НАДІЙШЛО2!DE9</f>
        <v>0</v>
      </c>
      <c r="LI17" s="96" t="n">
        <f aca="false">[1]ВИБУЛО2!DE9</f>
        <v>0</v>
      </c>
      <c r="LJ17" s="97" t="n">
        <f aca="false">LJ16-LI17+LH17</f>
        <v>0</v>
      </c>
      <c r="LK17" s="95" t="n">
        <f aca="false">[1]НАДІЙШЛО2!DF9</f>
        <v>0</v>
      </c>
      <c r="LL17" s="96" t="n">
        <f aca="false">[1]ВИБУЛО2!DF9</f>
        <v>0</v>
      </c>
      <c r="LM17" s="97" t="n">
        <f aca="false">LM16-LL17+LK17</f>
        <v>0</v>
      </c>
      <c r="LN17" s="95" t="n">
        <f aca="false">[1]НАДІЙШЛО2!DG9</f>
        <v>0</v>
      </c>
      <c r="LO17" s="96" t="n">
        <f aca="false">[1]ВИБУЛО2!DG9</f>
        <v>0</v>
      </c>
      <c r="LP17" s="97" t="n">
        <f aca="false">LP16-LO17+LN17</f>
        <v>0</v>
      </c>
      <c r="LQ17" s="95" t="n">
        <f aca="false">[1]НАДІЙШЛО2!DH9</f>
        <v>0</v>
      </c>
      <c r="LR17" s="96" t="n">
        <f aca="false">[1]ВИБУЛО2!DH9</f>
        <v>0</v>
      </c>
      <c r="LS17" s="97" t="n">
        <f aca="false">LS16-LR17+LQ17</f>
        <v>0</v>
      </c>
      <c r="LT17" s="95" t="n">
        <f aca="false">[1]НАДІЙШЛО2!DI9</f>
        <v>0</v>
      </c>
      <c r="LU17" s="96" t="n">
        <f aca="false">[1]ВИБУЛО2!DI9</f>
        <v>0</v>
      </c>
      <c r="LV17" s="97" t="n">
        <f aca="false">LV16-LU17+LT17</f>
        <v>0</v>
      </c>
      <c r="LW17" s="95" t="n">
        <f aca="false">[1]НАДІЙШЛО2!DJ9</f>
        <v>0</v>
      </c>
      <c r="LX17" s="96" t="n">
        <f aca="false">[1]ВИБУЛО2!DJ9</f>
        <v>0</v>
      </c>
      <c r="LY17" s="97" t="n">
        <f aca="false">LY16-LX17+LW17</f>
        <v>0</v>
      </c>
      <c r="LZ17" s="95" t="n">
        <f aca="false">[1]НАДІЙШЛО2!DK9</f>
        <v>0</v>
      </c>
      <c r="MA17" s="96" t="n">
        <f aca="false">[1]ВИБУЛО2!DK9</f>
        <v>0</v>
      </c>
      <c r="MB17" s="97" t="n">
        <f aca="false">MB16-MA17+LZ17</f>
        <v>0</v>
      </c>
      <c r="MC17" s="95" t="n">
        <f aca="false">[1]НАДІЙШЛО2!DL9</f>
        <v>0</v>
      </c>
      <c r="MD17" s="96" t="n">
        <f aca="false">[1]ВИБУЛО2!DL9</f>
        <v>0</v>
      </c>
      <c r="ME17" s="97" t="n">
        <f aca="false">ME16-MD17+MC17</f>
        <v>0</v>
      </c>
      <c r="MF17" s="95" t="n">
        <f aca="false">[1]НАДІЙШЛО2!DM9</f>
        <v>0</v>
      </c>
      <c r="MG17" s="96" t="n">
        <f aca="false">[1]ВИБУЛО2!DM9</f>
        <v>0</v>
      </c>
      <c r="MH17" s="97" t="n">
        <f aca="false">MH16-MG17+MF17</f>
        <v>0</v>
      </c>
      <c r="MI17" s="95" t="n">
        <f aca="false">[1]НАДІЙШЛО2!DN9</f>
        <v>0</v>
      </c>
      <c r="MJ17" s="96" t="n">
        <f aca="false">[1]ВИБУЛО2!DN9</f>
        <v>0</v>
      </c>
      <c r="MK17" s="97" t="n">
        <f aca="false">MK16-MJ17+MI17</f>
        <v>0</v>
      </c>
      <c r="ML17" s="95" t="n">
        <f aca="false">[1]НАДІЙШЛО2!DO9</f>
        <v>0</v>
      </c>
      <c r="MM17" s="96" t="n">
        <f aca="false">[1]ВИБУЛО2!DO9</f>
        <v>0</v>
      </c>
      <c r="MN17" s="97" t="n">
        <f aca="false">MN16-MM17+ML17</f>
        <v>0</v>
      </c>
      <c r="MO17" s="95" t="n">
        <f aca="false">[1]НАДІЙШЛО2!DP9</f>
        <v>0</v>
      </c>
      <c r="MP17" s="96" t="n">
        <f aca="false">[1]ВИБУЛО2!DP9</f>
        <v>0</v>
      </c>
      <c r="MQ17" s="97" t="n">
        <f aca="false">MQ16-MP17+MO17</f>
        <v>0</v>
      </c>
      <c r="MR17" s="95" t="n">
        <f aca="false">[1]НАДІЙШЛО2!DQ9</f>
        <v>0</v>
      </c>
      <c r="MS17" s="96" t="n">
        <f aca="false">[1]ВИБУЛО2!DQ9</f>
        <v>0</v>
      </c>
      <c r="MT17" s="97" t="n">
        <f aca="false">MT16-MS17+MR17</f>
        <v>0</v>
      </c>
      <c r="MU17" s="95" t="n">
        <f aca="false">[1]НАДІЙШЛО2!DR9</f>
        <v>0</v>
      </c>
      <c r="MV17" s="96" t="n">
        <f aca="false">[1]ВИБУЛО2!DR9</f>
        <v>0</v>
      </c>
      <c r="MW17" s="97" t="n">
        <f aca="false">MW16-MV17+MU17</f>
        <v>0</v>
      </c>
      <c r="MX17" s="95" t="n">
        <f aca="false">[1]НАДІЙШЛО2!DS9</f>
        <v>0</v>
      </c>
      <c r="MY17" s="96" t="n">
        <f aca="false">[1]ВИБУЛО2!DS9</f>
        <v>0</v>
      </c>
      <c r="MZ17" s="97" t="n">
        <f aca="false">MZ16-MY17+MX17</f>
        <v>0</v>
      </c>
      <c r="NA17" s="95" t="n">
        <f aca="false">[1]НАДІЙШЛО2!DT9</f>
        <v>0</v>
      </c>
      <c r="NB17" s="96" t="n">
        <f aca="false">[1]ВИБУЛО2!DT9</f>
        <v>0</v>
      </c>
      <c r="NC17" s="97" t="n">
        <f aca="false">NC16-NB17+NA17</f>
        <v>0</v>
      </c>
      <c r="ND17" s="95" t="n">
        <f aca="false">[1]НАДІЙШЛО2!DU9</f>
        <v>0</v>
      </c>
      <c r="NE17" s="96" t="n">
        <f aca="false">[1]ВИБУЛО2!DU9</f>
        <v>0</v>
      </c>
      <c r="NF17" s="97" t="n">
        <f aca="false">NF16-NE17+ND17</f>
        <v>0</v>
      </c>
      <c r="NG17" s="95" t="n">
        <f aca="false">[1]НАДІЙШЛО2!DV9</f>
        <v>0</v>
      </c>
      <c r="NH17" s="96" t="n">
        <f aca="false">[1]ВИБУЛО2!DV9</f>
        <v>0</v>
      </c>
      <c r="NI17" s="97" t="n">
        <f aca="false">NI16-NH17+NG17</f>
        <v>0</v>
      </c>
      <c r="NJ17" s="95" t="n">
        <f aca="false">[1]НАДІЙШЛО2!DW9</f>
        <v>0</v>
      </c>
      <c r="NK17" s="96" t="n">
        <f aca="false">[1]ВИБУЛО2!DW9</f>
        <v>0</v>
      </c>
      <c r="NL17" s="97" t="n">
        <f aca="false">NL16-NK17+NJ17</f>
        <v>0</v>
      </c>
      <c r="NM17" s="95" t="n">
        <f aca="false">[1]НАДІЙШЛО2!DX9</f>
        <v>0</v>
      </c>
      <c r="NN17" s="96" t="n">
        <f aca="false">[1]ВИБУЛО2!DX9</f>
        <v>0</v>
      </c>
      <c r="NO17" s="97" t="n">
        <f aca="false">NO16-NN17+NM17</f>
        <v>0</v>
      </c>
      <c r="NP17" s="95" t="n">
        <f aca="false">[1]НАДІЙШЛО2!DY9</f>
        <v>0</v>
      </c>
      <c r="NQ17" s="96" t="n">
        <f aca="false">[1]ВИБУЛО2!DY9</f>
        <v>0</v>
      </c>
      <c r="NR17" s="97" t="n">
        <f aca="false">NR16-NQ17+NP17</f>
        <v>0</v>
      </c>
      <c r="NS17" s="95" t="n">
        <f aca="false">[1]НАДІЙШЛО2!DZ9</f>
        <v>0</v>
      </c>
      <c r="NT17" s="96" t="n">
        <f aca="false">[1]ВИБУЛО2!DZ9</f>
        <v>0</v>
      </c>
      <c r="NU17" s="97" t="n">
        <f aca="false">NU16-NT17+NS17</f>
        <v>0</v>
      </c>
      <c r="NV17" s="95" t="n">
        <f aca="false">[1]НАДІЙШЛО2!EA9</f>
        <v>0</v>
      </c>
      <c r="NW17" s="96" t="n">
        <f aca="false">[1]ВИБУЛО2!EA9</f>
        <v>0</v>
      </c>
      <c r="NX17" s="97" t="n">
        <f aca="false">NX16-NW17+NV17</f>
        <v>0</v>
      </c>
      <c r="NY17" s="95" t="n">
        <f aca="false">[1]НАДІЙШЛО2!EB9</f>
        <v>0</v>
      </c>
      <c r="NZ17" s="96" t="n">
        <f aca="false">[1]ВИБУЛО2!EB9</f>
        <v>0</v>
      </c>
      <c r="OA17" s="97" t="n">
        <f aca="false">OA16-NZ17+NY17</f>
        <v>0</v>
      </c>
      <c r="OB17" s="95" t="n">
        <f aca="false">[1]НАДІЙШЛО2!EC9</f>
        <v>0</v>
      </c>
      <c r="OC17" s="96" t="n">
        <f aca="false">[1]ВИБУЛО2!EC9</f>
        <v>0</v>
      </c>
      <c r="OD17" s="97" t="n">
        <f aca="false">OD16-OC17+OB17</f>
        <v>0</v>
      </c>
      <c r="OE17" s="95" t="n">
        <f aca="false">[1]НАДІЙШЛО2!ED9</f>
        <v>0</v>
      </c>
      <c r="OF17" s="96" t="n">
        <f aca="false">[1]ВИБУЛО2!ED9</f>
        <v>0</v>
      </c>
      <c r="OG17" s="97" t="n">
        <f aca="false">OG16-OF17+OE17</f>
        <v>0</v>
      </c>
      <c r="OH17" s="95" t="n">
        <f aca="false">[1]НАДІЙШЛО2!EE9</f>
        <v>0</v>
      </c>
      <c r="OI17" s="96" t="n">
        <f aca="false">[1]ВИБУЛО2!EE9</f>
        <v>0</v>
      </c>
      <c r="OJ17" s="97" t="n">
        <f aca="false">OJ16-OI17+OH17</f>
        <v>0</v>
      </c>
      <c r="OK17" s="95" t="n">
        <f aca="false">[1]НАДІЙШЛО2!EF9</f>
        <v>0</v>
      </c>
      <c r="OL17" s="96" t="n">
        <f aca="false">[1]ВИБУЛО2!EF9</f>
        <v>0</v>
      </c>
      <c r="OM17" s="97" t="n">
        <f aca="false">OM16-OL17+OK17</f>
        <v>0</v>
      </c>
      <c r="ON17" s="95" t="n">
        <f aca="false">[1]НАДІЙШЛО2!EG9</f>
        <v>0</v>
      </c>
      <c r="OO17" s="96" t="n">
        <f aca="false">[1]ВИБУЛО2!EG9</f>
        <v>0</v>
      </c>
      <c r="OP17" s="97" t="n">
        <f aca="false">OP16-OO17+ON17</f>
        <v>0</v>
      </c>
      <c r="OQ17" s="95" t="n">
        <f aca="false">[1]НАДІЙШЛО2!EH9</f>
        <v>0</v>
      </c>
      <c r="OR17" s="96" t="n">
        <f aca="false">[1]ВИБУЛО2!EH9</f>
        <v>0</v>
      </c>
      <c r="OS17" s="97" t="n">
        <f aca="false">OS16-OR17+OQ17</f>
        <v>0</v>
      </c>
      <c r="OT17" s="95" t="n">
        <f aca="false">[1]НАДІЙШЛО2!EI9</f>
        <v>0</v>
      </c>
      <c r="OU17" s="96" t="n">
        <f aca="false">[1]ВИБУЛО2!EI9</f>
        <v>0</v>
      </c>
      <c r="OV17" s="97" t="n">
        <f aca="false">OV16-OU17+OT17</f>
        <v>0</v>
      </c>
      <c r="OW17" s="95" t="n">
        <f aca="false">[1]НАДІЙШЛО2!EJ9</f>
        <v>0</v>
      </c>
      <c r="OX17" s="96" t="n">
        <f aca="false">[1]ВИБУЛО2!EJ9</f>
        <v>0</v>
      </c>
      <c r="OY17" s="97" t="n">
        <f aca="false">OY16-OX17+OW17</f>
        <v>0</v>
      </c>
      <c r="OZ17" s="95" t="n">
        <f aca="false">[1]НАДІЙШЛО2!EK9</f>
        <v>0</v>
      </c>
      <c r="PA17" s="96" t="n">
        <f aca="false">[1]ВИБУЛО2!EK9</f>
        <v>0</v>
      </c>
      <c r="PB17" s="97" t="n">
        <f aca="false">PB16-PA17+OZ17</f>
        <v>0</v>
      </c>
      <c r="PC17" s="95" t="n">
        <f aca="false">[1]НАДІЙШЛО2!EL9</f>
        <v>0</v>
      </c>
      <c r="PD17" s="96" t="n">
        <f aca="false">[1]ВИБУЛО2!EL9</f>
        <v>0</v>
      </c>
      <c r="PE17" s="97" t="n">
        <f aca="false">PE16-PD17+PC17</f>
        <v>0</v>
      </c>
      <c r="PF17" s="95" t="n">
        <f aca="false">[1]НАДІЙШЛО2!EM9</f>
        <v>0</v>
      </c>
      <c r="PG17" s="96" t="n">
        <f aca="false">[1]ВИБУЛО2!EM9</f>
        <v>0</v>
      </c>
      <c r="PH17" s="97" t="n">
        <f aca="false">PH16-PG17+PF17</f>
        <v>0</v>
      </c>
      <c r="PI17" s="95" t="n">
        <f aca="false">[1]НАДІЙШЛО2!EN9</f>
        <v>0</v>
      </c>
      <c r="PJ17" s="96" t="n">
        <f aca="false">[1]ВИБУЛО2!EN9</f>
        <v>0</v>
      </c>
      <c r="PK17" s="97" t="n">
        <f aca="false">PK16-PJ17+PI17</f>
        <v>0</v>
      </c>
      <c r="PL17" s="95" t="n">
        <f aca="false">[1]НАДІЙШЛО2!EO9</f>
        <v>0</v>
      </c>
      <c r="PM17" s="96" t="n">
        <f aca="false">[1]ВИБУЛО2!EO9</f>
        <v>0</v>
      </c>
      <c r="PN17" s="97" t="n">
        <f aca="false">PN16-PM17+PL17</f>
        <v>0</v>
      </c>
      <c r="PO17" s="95" t="n">
        <f aca="false">[1]НАДІЙШЛО2!EP9</f>
        <v>0</v>
      </c>
      <c r="PP17" s="96" t="n">
        <f aca="false">[1]ВИБУЛО2!EP9</f>
        <v>0</v>
      </c>
      <c r="PQ17" s="97" t="n">
        <f aca="false">PQ16-PP17+PO17</f>
        <v>0</v>
      </c>
      <c r="PR17" s="95" t="n">
        <f aca="false">[1]НАДІЙШЛО2!EQ9</f>
        <v>0</v>
      </c>
      <c r="PS17" s="96" t="n">
        <f aca="false">[1]ВИБУЛО2!EQ9</f>
        <v>0</v>
      </c>
      <c r="PT17" s="97" t="n">
        <f aca="false">PT16-PS17+PR17</f>
        <v>0</v>
      </c>
      <c r="PU17" s="95" t="n">
        <f aca="false">[1]НАДІЙШЛО2!ER9</f>
        <v>0</v>
      </c>
      <c r="PV17" s="96" t="n">
        <f aca="false">[1]ВИБУЛО2!ER9</f>
        <v>0</v>
      </c>
      <c r="PW17" s="97" t="n">
        <f aca="false">PW16-PV17+PU17</f>
        <v>0</v>
      </c>
      <c r="PX17" s="95" t="n">
        <f aca="false">[1]НАДІЙШЛО2!ES9</f>
        <v>0</v>
      </c>
      <c r="PY17" s="96" t="n">
        <f aca="false">[1]ВИБУЛО2!ES9</f>
        <v>0</v>
      </c>
      <c r="PZ17" s="97" t="n">
        <f aca="false">PZ16-PY17+PX17</f>
        <v>0</v>
      </c>
      <c r="QA17" s="95" t="n">
        <f aca="false">[1]НАДІЙШЛО2!ET9</f>
        <v>0</v>
      </c>
      <c r="QB17" s="96" t="n">
        <f aca="false">[1]ВИБУЛО2!ET9</f>
        <v>0</v>
      </c>
      <c r="QC17" s="97" t="n">
        <f aca="false">QC16-QB17+QA17</f>
        <v>0</v>
      </c>
      <c r="QD17" s="95" t="n">
        <f aca="false">[1]НАДІЙШЛО2!EU9</f>
        <v>0</v>
      </c>
      <c r="QE17" s="96" t="n">
        <f aca="false">[1]ВИБУЛО2!EU9</f>
        <v>0</v>
      </c>
      <c r="QF17" s="97" t="n">
        <f aca="false">QF16-QE17+QD17</f>
        <v>0</v>
      </c>
      <c r="QG17" s="95" t="n">
        <f aca="false">[1]НАДІЙШЛО2!EV9</f>
        <v>0</v>
      </c>
      <c r="QH17" s="96" t="n">
        <f aca="false">[1]ВИБУЛО2!EV9</f>
        <v>0</v>
      </c>
      <c r="QI17" s="97" t="n">
        <f aca="false">QI16-QH17+QG17</f>
        <v>0</v>
      </c>
      <c r="QJ17" s="95" t="n">
        <f aca="false">[1]НАДІЙШЛО2!EW9</f>
        <v>0</v>
      </c>
      <c r="QK17" s="96" t="n">
        <f aca="false">[1]ВИБУЛО2!EW9</f>
        <v>0</v>
      </c>
      <c r="QL17" s="97" t="n">
        <f aca="false">QL16-QK17+QJ17</f>
        <v>0</v>
      </c>
      <c r="QM17" s="95" t="n">
        <f aca="false">[1]НАДІЙШЛО2!EX9</f>
        <v>0</v>
      </c>
      <c r="QN17" s="96" t="n">
        <f aca="false">[1]ВИБУЛО2!EX9</f>
        <v>0</v>
      </c>
      <c r="QO17" s="97" t="n">
        <f aca="false">QO16-QN17+QM17</f>
        <v>0</v>
      </c>
      <c r="QP17" s="95" t="n">
        <f aca="false">[1]НАДІЙШЛО2!EY9</f>
        <v>0</v>
      </c>
      <c r="QQ17" s="96" t="n">
        <f aca="false">[1]ВИБУЛО2!EY9</f>
        <v>0</v>
      </c>
      <c r="QR17" s="97" t="n">
        <f aca="false">QR16-QQ17+QP17</f>
        <v>0</v>
      </c>
      <c r="QS17" s="95" t="n">
        <f aca="false">[1]НАДІЙШЛО2!EZ9</f>
        <v>0</v>
      </c>
      <c r="QT17" s="96" t="n">
        <f aca="false">[1]ВИБУЛО2!EZ9</f>
        <v>0</v>
      </c>
      <c r="QU17" s="97" t="n">
        <f aca="false">QU16-QT17+QS17</f>
        <v>0</v>
      </c>
      <c r="QV17" s="95" t="n">
        <f aca="false">[1]НАДІЙШЛО2!FA9</f>
        <v>0</v>
      </c>
      <c r="QW17" s="96" t="n">
        <f aca="false">[1]ВИБУЛО2!FA9</f>
        <v>0</v>
      </c>
      <c r="QX17" s="97" t="n">
        <f aca="false">QX16-QW17+QV17</f>
        <v>0</v>
      </c>
      <c r="QY17" s="95" t="n">
        <f aca="false">[1]НАДІЙШЛО2!FB9</f>
        <v>0</v>
      </c>
      <c r="QZ17" s="96" t="n">
        <f aca="false">[1]ВИБУЛО2!FB9</f>
        <v>0</v>
      </c>
      <c r="RA17" s="97" t="n">
        <f aca="false">RA16-QZ17+QY17</f>
        <v>0</v>
      </c>
      <c r="RB17" s="95" t="n">
        <f aca="false">[1]НАДІЙШЛО2!FC9</f>
        <v>0</v>
      </c>
      <c r="RC17" s="96" t="n">
        <f aca="false">[1]ВИБУЛО2!FC9</f>
        <v>0</v>
      </c>
      <c r="RD17" s="97" t="n">
        <f aca="false">RD16-RC17+RB17</f>
        <v>0</v>
      </c>
      <c r="RE17" s="95" t="n">
        <f aca="false">[1]НАДІЙШЛО2!FD9</f>
        <v>0</v>
      </c>
      <c r="RF17" s="96" t="n">
        <f aca="false">[1]ВИБУЛО2!FD9</f>
        <v>0</v>
      </c>
      <c r="RG17" s="97" t="n">
        <f aca="false">RG16-RF17+RE17</f>
        <v>0</v>
      </c>
      <c r="RH17" s="95" t="n">
        <f aca="false">[1]НАДІЙШЛО2!FE9</f>
        <v>0</v>
      </c>
      <c r="RI17" s="96" t="n">
        <f aca="false">[1]ВИБУЛО2!FE9</f>
        <v>0</v>
      </c>
      <c r="RJ17" s="97" t="n">
        <f aca="false">RJ16-RI17+RH17</f>
        <v>0</v>
      </c>
      <c r="RK17" s="95" t="n">
        <f aca="false">[1]НАДІЙШЛО2!FF9</f>
        <v>0</v>
      </c>
      <c r="RL17" s="96" t="n">
        <f aca="false">[1]ВИБУЛО2!FF9</f>
        <v>0</v>
      </c>
      <c r="RM17" s="97" t="n">
        <f aca="false">RM16-RL17+RK17</f>
        <v>0</v>
      </c>
      <c r="RN17" s="95" t="n">
        <f aca="false">[1]НАДІЙШЛО2!FG9</f>
        <v>0</v>
      </c>
      <c r="RO17" s="96" t="n">
        <f aca="false">[1]ВИБУЛО2!FG9</f>
        <v>0</v>
      </c>
      <c r="RP17" s="97" t="n">
        <f aca="false">RP16-RO17+RN17</f>
        <v>0</v>
      </c>
      <c r="RQ17" s="95" t="n">
        <f aca="false">[1]НАДІЙШЛО2!FH9</f>
        <v>0</v>
      </c>
      <c r="RR17" s="96" t="n">
        <f aca="false">[1]ВИБУЛО2!FH9</f>
        <v>0</v>
      </c>
      <c r="RS17" s="97" t="n">
        <f aca="false">RS16-RR17+RQ17</f>
        <v>0</v>
      </c>
      <c r="RT17" s="95" t="n">
        <f aca="false">[1]НАДІЙШЛО2!FI9</f>
        <v>0</v>
      </c>
      <c r="RU17" s="96" t="n">
        <f aca="false">[1]ВИБУЛО2!FI9</f>
        <v>0</v>
      </c>
      <c r="RV17" s="97" t="n">
        <f aca="false">RV16-RU17+RT17</f>
        <v>0</v>
      </c>
      <c r="RW17" s="95" t="n">
        <f aca="false">[1]НАДІЙШЛО2!FJ9</f>
        <v>0</v>
      </c>
      <c r="RX17" s="96" t="n">
        <f aca="false">[1]ВИБУЛО2!FJ9</f>
        <v>0</v>
      </c>
      <c r="RY17" s="97" t="n">
        <f aca="false">RY16-RX17+RW17</f>
        <v>0</v>
      </c>
      <c r="RZ17" s="95" t="n">
        <f aca="false">[1]НАДІЙШЛО2!FK9</f>
        <v>0</v>
      </c>
      <c r="SA17" s="96" t="n">
        <f aca="false">[1]ВИБУЛО2!FK9</f>
        <v>0</v>
      </c>
      <c r="SB17" s="97" t="n">
        <f aca="false">SB16-SA17+RZ17</f>
        <v>0</v>
      </c>
      <c r="SC17" s="95" t="n">
        <f aca="false">[1]НАДІЙШЛО2!FL9</f>
        <v>0</v>
      </c>
      <c r="SD17" s="96" t="n">
        <f aca="false">[1]ВИБУЛО2!FL9</f>
        <v>0</v>
      </c>
      <c r="SE17" s="97" t="n">
        <f aca="false">SE16-SD17+SC17</f>
        <v>0</v>
      </c>
      <c r="SF17" s="95" t="n">
        <f aca="false">[1]НАДІЙШЛО2!FM9</f>
        <v>0</v>
      </c>
      <c r="SG17" s="96" t="n">
        <f aca="false">[1]ВИБУЛО2!FM9</f>
        <v>0</v>
      </c>
      <c r="SH17" s="97" t="n">
        <f aca="false">SH16-SG17+SF17</f>
        <v>0</v>
      </c>
      <c r="SI17" s="95" t="n">
        <f aca="false">[1]НАДІЙШЛО2!FN9</f>
        <v>0</v>
      </c>
      <c r="SJ17" s="96" t="n">
        <f aca="false">[1]ВИБУЛО2!FN9</f>
        <v>0</v>
      </c>
      <c r="SK17" s="97" t="n">
        <f aca="false">SK16-SJ17+SI17</f>
        <v>0</v>
      </c>
      <c r="SL17" s="95" t="n">
        <f aca="false">[1]НАДІЙШЛО2!FO9</f>
        <v>0</v>
      </c>
      <c r="SM17" s="96" t="n">
        <f aca="false">[1]ВИБУЛО2!FO9</f>
        <v>0</v>
      </c>
      <c r="SN17" s="97" t="n">
        <f aca="false">SN16-SM17+SL17</f>
        <v>0</v>
      </c>
      <c r="SO17" s="95" t="n">
        <f aca="false">[1]НАДІЙШЛО2!FP9</f>
        <v>0</v>
      </c>
      <c r="SP17" s="96" t="n">
        <f aca="false">[1]ВИБУЛО2!FP9</f>
        <v>0</v>
      </c>
      <c r="SQ17" s="97" t="n">
        <f aca="false">SQ16-SP17+SO17</f>
        <v>0</v>
      </c>
      <c r="SR17" s="95" t="n">
        <f aca="false">[1]НАДІЙШЛО2!FQ9</f>
        <v>0</v>
      </c>
      <c r="SS17" s="96" t="n">
        <f aca="false">[1]ВИБУЛО2!FQ9</f>
        <v>0</v>
      </c>
      <c r="ST17" s="97" t="n">
        <f aca="false">ST16-SS17+SR17</f>
        <v>0</v>
      </c>
      <c r="SU17" s="95" t="n">
        <f aca="false">[1]НАДІЙШЛО2!FR9</f>
        <v>0</v>
      </c>
      <c r="SV17" s="96" t="n">
        <f aca="false">[1]ВИБУЛО2!FR9</f>
        <v>0</v>
      </c>
      <c r="SW17" s="97" t="n">
        <f aca="false">SW16-SV17+SU17</f>
        <v>0</v>
      </c>
      <c r="SX17" s="95" t="n">
        <f aca="false">[1]НАДІЙШЛО2!FS9</f>
        <v>0</v>
      </c>
      <c r="SY17" s="96" t="n">
        <f aca="false">[1]ВИБУЛО2!FS9</f>
        <v>0</v>
      </c>
      <c r="SZ17" s="97" t="n">
        <f aca="false">SZ16-SY17+SX17</f>
        <v>0</v>
      </c>
      <c r="TA17" s="95" t="n">
        <f aca="false">[1]НАДІЙШЛО2!FT9</f>
        <v>0</v>
      </c>
      <c r="TB17" s="96" t="n">
        <f aca="false">[1]ВИБУЛО2!FT9</f>
        <v>0</v>
      </c>
      <c r="TC17" s="97" t="n">
        <f aca="false">TC16-TB17+TA17</f>
        <v>0</v>
      </c>
      <c r="TD17" s="95" t="n">
        <f aca="false">[1]НАДІЙШЛО2!FU9</f>
        <v>0</v>
      </c>
      <c r="TE17" s="96" t="n">
        <f aca="false">[1]ВИБУЛО2!FU9</f>
        <v>0</v>
      </c>
      <c r="TF17" s="97" t="n">
        <f aca="false">TF16-TE17+TD17</f>
        <v>0</v>
      </c>
      <c r="TG17" s="95" t="n">
        <f aca="false">[1]НАДІЙШЛО2!FV9</f>
        <v>0</v>
      </c>
      <c r="TH17" s="96" t="n">
        <f aca="false">[1]ВИБУЛО2!FV9</f>
        <v>0</v>
      </c>
      <c r="TI17" s="97" t="n">
        <f aca="false">TI16-TH17+TG17</f>
        <v>0</v>
      </c>
      <c r="TJ17" s="95" t="n">
        <f aca="false">[1]НАДІЙШЛО2!FW9</f>
        <v>0</v>
      </c>
      <c r="TK17" s="96" t="n">
        <f aca="false">[1]ВИБУЛО2!FW9</f>
        <v>0</v>
      </c>
      <c r="TL17" s="97" t="n">
        <f aca="false">TL16-TK17+TJ17</f>
        <v>0</v>
      </c>
      <c r="TM17" s="95" t="n">
        <f aca="false">[1]НАДІЙШЛО2!FX9</f>
        <v>0</v>
      </c>
      <c r="TN17" s="96" t="n">
        <f aca="false">[1]ВИБУЛО2!FX9</f>
        <v>0</v>
      </c>
      <c r="TO17" s="97" t="n">
        <f aca="false">TO16-TN17+TM17</f>
        <v>0</v>
      </c>
      <c r="TP17" s="95" t="n">
        <f aca="false">[1]НАДІЙШЛО2!FY9</f>
        <v>0</v>
      </c>
      <c r="TQ17" s="96" t="n">
        <f aca="false">[1]ВИБУЛО2!FY9</f>
        <v>0</v>
      </c>
      <c r="TR17" s="97" t="n">
        <f aca="false">TR16-TQ17+TP17</f>
        <v>0</v>
      </c>
      <c r="TS17" s="95" t="n">
        <f aca="false">[1]НАДІЙШЛО2!FZ9</f>
        <v>0</v>
      </c>
      <c r="TT17" s="96" t="n">
        <f aca="false">[1]ВИБУЛО2!FZ9</f>
        <v>0</v>
      </c>
      <c r="TU17" s="97" t="n">
        <f aca="false">TU16-TT17+TS17</f>
        <v>0</v>
      </c>
      <c r="TV17" s="95" t="n">
        <f aca="false">[1]НАДІЙШЛО2!GA9</f>
        <v>0</v>
      </c>
      <c r="TW17" s="96" t="n">
        <f aca="false">[1]ВИБУЛО2!GA9</f>
        <v>0</v>
      </c>
      <c r="TX17" s="97" t="n">
        <f aca="false">TX16-TW17+TV17</f>
        <v>0</v>
      </c>
      <c r="TY17" s="95" t="n">
        <f aca="false">[1]НАДІЙШЛО2!GB9</f>
        <v>0</v>
      </c>
      <c r="TZ17" s="96" t="n">
        <f aca="false">[1]ВИБУЛО2!GB9</f>
        <v>0</v>
      </c>
      <c r="UA17" s="97" t="n">
        <f aca="false">UA16-TZ17+TY17</f>
        <v>0</v>
      </c>
      <c r="UB17" s="95" t="n">
        <f aca="false">[1]НАДІЙШЛО2!GC9</f>
        <v>0</v>
      </c>
      <c r="UC17" s="96" t="n">
        <f aca="false">[1]ВИБУЛО2!GC9</f>
        <v>0</v>
      </c>
      <c r="UD17" s="97" t="n">
        <f aca="false">UD16-UC17+UB17</f>
        <v>0</v>
      </c>
      <c r="UE17" s="95" t="n">
        <f aca="false">[1]НАДІЙШЛО2!GD9</f>
        <v>0</v>
      </c>
      <c r="UF17" s="96" t="n">
        <f aca="false">[1]ВИБУЛО2!GD9</f>
        <v>0</v>
      </c>
      <c r="UG17" s="97" t="n">
        <f aca="false">UG16-UF17+UE17</f>
        <v>0</v>
      </c>
      <c r="UH17" s="95" t="n">
        <f aca="false">[1]НАДІЙШЛО2!GE9</f>
        <v>0</v>
      </c>
      <c r="UI17" s="96" t="n">
        <f aca="false">[1]ВИБУЛО2!GE9</f>
        <v>0</v>
      </c>
      <c r="UJ17" s="97" t="n">
        <f aca="false">UJ16-UI17+UH17</f>
        <v>0</v>
      </c>
      <c r="UK17" s="95" t="n">
        <f aca="false">[1]НАДІЙШЛО2!GF9</f>
        <v>0</v>
      </c>
      <c r="UL17" s="96" t="n">
        <f aca="false">[1]ВИБУЛО2!GF9</f>
        <v>0</v>
      </c>
      <c r="UM17" s="97" t="n">
        <f aca="false">UM16-UL17+UK17</f>
        <v>0</v>
      </c>
      <c r="UN17" s="95" t="n">
        <f aca="false">[1]НАДІЙШЛО2!GG9</f>
        <v>0</v>
      </c>
      <c r="UO17" s="96" t="n">
        <f aca="false">[1]ВИБУЛО2!GG9</f>
        <v>0</v>
      </c>
      <c r="UP17" s="97" t="n">
        <f aca="false">UP16-UO17+UN17</f>
        <v>0</v>
      </c>
      <c r="UQ17" s="95" t="n">
        <f aca="false">[1]НАДІЙШЛО2!GH9</f>
        <v>0</v>
      </c>
      <c r="UR17" s="96" t="n">
        <f aca="false">[1]ВИБУЛО2!GH9</f>
        <v>0</v>
      </c>
      <c r="US17" s="97" t="n">
        <f aca="false">US16-UR17+UQ17</f>
        <v>0</v>
      </c>
      <c r="UT17" s="95" t="n">
        <f aca="false">[1]НАДІЙШЛО2!GI9</f>
        <v>0</v>
      </c>
      <c r="UU17" s="96" t="n">
        <f aca="false">[1]ВИБУЛО2!GI9</f>
        <v>0</v>
      </c>
      <c r="UV17" s="97" t="n">
        <f aca="false">UV16-UU17+UT17</f>
        <v>0</v>
      </c>
      <c r="UW17" s="95" t="n">
        <f aca="false">[1]НАДІЙШЛО2!GJ9</f>
        <v>0</v>
      </c>
      <c r="UX17" s="96" t="n">
        <f aca="false">[1]ВИБУЛО2!GJ9</f>
        <v>0</v>
      </c>
      <c r="UY17" s="97" t="n">
        <f aca="false">UY16-UX17+UW17</f>
        <v>0</v>
      </c>
      <c r="UZ17" s="95" t="n">
        <f aca="false">[1]НАДІЙШЛО2!GK9</f>
        <v>0</v>
      </c>
      <c r="VA17" s="96" t="n">
        <f aca="false">[1]ВИБУЛО2!GK9</f>
        <v>0</v>
      </c>
      <c r="VB17" s="97" t="n">
        <f aca="false">VB16-VA17+UZ17</f>
        <v>0</v>
      </c>
      <c r="VC17" s="95" t="n">
        <f aca="false">[1]НАДІЙШЛО2!GL9</f>
        <v>0</v>
      </c>
      <c r="VD17" s="96" t="n">
        <f aca="false">[1]ВИБУЛО2!GL9</f>
        <v>0</v>
      </c>
      <c r="VE17" s="97" t="n">
        <f aca="false">VE16-VD17+VC17</f>
        <v>0</v>
      </c>
      <c r="VF17" s="95" t="n">
        <f aca="false">[1]НАДІЙШЛО2!GM9</f>
        <v>0</v>
      </c>
      <c r="VG17" s="96" t="n">
        <f aca="false">[1]ВИБУЛО2!GM9</f>
        <v>0</v>
      </c>
      <c r="VH17" s="97" t="n">
        <f aca="false">VH16-VG17+VF17</f>
        <v>0</v>
      </c>
      <c r="VI17" s="95" t="n">
        <f aca="false">[1]НАДІЙШЛО2!GN9</f>
        <v>0</v>
      </c>
      <c r="VJ17" s="96" t="n">
        <f aca="false">[1]ВИБУЛО2!GN9</f>
        <v>0</v>
      </c>
      <c r="VK17" s="97" t="n">
        <f aca="false">VK16-VJ17+VI17</f>
        <v>0</v>
      </c>
      <c r="VL17" s="95" t="n">
        <f aca="false">[1]НАДІЙШЛО2!GO9</f>
        <v>0</v>
      </c>
      <c r="VM17" s="96" t="n">
        <f aca="false">[1]ВИБУЛО2!GO9</f>
        <v>0</v>
      </c>
      <c r="VN17" s="97" t="n">
        <f aca="false">VN16-VM17+VL17</f>
        <v>0</v>
      </c>
      <c r="VO17" s="95" t="n">
        <f aca="false">[1]НАДІЙШЛО2!GP9</f>
        <v>0</v>
      </c>
      <c r="VP17" s="96" t="n">
        <f aca="false">[1]ВИБУЛО2!GP9</f>
        <v>0</v>
      </c>
      <c r="VQ17" s="97" t="n">
        <f aca="false">VQ16-VP17+VO17</f>
        <v>0</v>
      </c>
      <c r="VR17" s="95" t="n">
        <f aca="false">[1]НАДІЙШЛО2!GQ9</f>
        <v>0</v>
      </c>
      <c r="VS17" s="96" t="n">
        <f aca="false">[1]ВИБУЛО2!GQ9</f>
        <v>0</v>
      </c>
      <c r="VT17" s="97" t="n">
        <f aca="false">VT16-VS17+VR17</f>
        <v>0</v>
      </c>
      <c r="VU17" s="95" t="n">
        <f aca="false">[1]НАДІЙШЛО2!GR9</f>
        <v>0</v>
      </c>
      <c r="VV17" s="96" t="n">
        <f aca="false">[1]ВИБУЛО2!GR9</f>
        <v>0</v>
      </c>
      <c r="VW17" s="97" t="n">
        <f aca="false">VW16-VV17+VU17</f>
        <v>0</v>
      </c>
      <c r="VX17" s="95" t="n">
        <f aca="false">[1]НАДІЙШЛО2!GS9</f>
        <v>0</v>
      </c>
      <c r="VY17" s="96" t="n">
        <f aca="false">[1]ВИБУЛО2!GS9</f>
        <v>0</v>
      </c>
      <c r="VZ17" s="97" t="n">
        <f aca="false">VZ16-VY17+VX17</f>
        <v>0</v>
      </c>
      <c r="WA17" s="95" t="n">
        <f aca="false">[1]НАДІЙШЛО2!GT9</f>
        <v>0</v>
      </c>
      <c r="WB17" s="96" t="n">
        <f aca="false">[1]ВИБУЛО2!GT9</f>
        <v>0</v>
      </c>
      <c r="WC17" s="97" t="n">
        <f aca="false">WC16-WB17+WA17</f>
        <v>0</v>
      </c>
      <c r="WD17" s="95" t="n">
        <f aca="false">[1]НАДІЙШЛО2!GU9</f>
        <v>0</v>
      </c>
      <c r="WE17" s="96" t="n">
        <f aca="false">[1]ВИБУЛО2!GU9</f>
        <v>0</v>
      </c>
      <c r="WF17" s="97" t="n">
        <f aca="false">WF16-WE17+WD17</f>
        <v>0</v>
      </c>
      <c r="WG17" s="95" t="n">
        <f aca="false">[1]НАДІЙШЛО2!GV9</f>
        <v>0</v>
      </c>
      <c r="WH17" s="96" t="n">
        <f aca="false">[1]ВИБУЛО2!GV9</f>
        <v>0</v>
      </c>
      <c r="WI17" s="97" t="n">
        <f aca="false">WI16-WH17+WG17</f>
        <v>0</v>
      </c>
      <c r="WJ17" s="95" t="n">
        <f aca="false">[1]НАДІЙШЛО2!GW9</f>
        <v>0</v>
      </c>
      <c r="WK17" s="96" t="n">
        <f aca="false">[1]ВИБУЛО2!GW9</f>
        <v>0</v>
      </c>
      <c r="WL17" s="97" t="n">
        <f aca="false">WL16-WK17+WJ17</f>
        <v>0</v>
      </c>
      <c r="WM17" s="95" t="n">
        <f aca="false">[1]НАДІЙШЛО2!GX9</f>
        <v>0</v>
      </c>
      <c r="WN17" s="96" t="n">
        <f aca="false">[1]ВИБУЛО2!GX9</f>
        <v>0</v>
      </c>
      <c r="WO17" s="97" t="n">
        <f aca="false">WO16-WN17+WM17</f>
        <v>0</v>
      </c>
      <c r="WP17" s="95" t="n">
        <f aca="false">[1]НАДІЙШЛО2!GY9</f>
        <v>0</v>
      </c>
      <c r="WQ17" s="96" t="n">
        <f aca="false">[1]ВИБУЛО2!GY9</f>
        <v>0</v>
      </c>
      <c r="WR17" s="97" t="n">
        <f aca="false">WR16-WQ17+WP17</f>
        <v>0</v>
      </c>
      <c r="WS17" s="95" t="n">
        <f aca="false">[1]НАДІЙШЛО2!GZ9</f>
        <v>0</v>
      </c>
      <c r="WT17" s="96" t="n">
        <f aca="false">[1]ВИБУЛО2!GZ9</f>
        <v>0</v>
      </c>
      <c r="WU17" s="97" t="n">
        <f aca="false">WU16-WT17+WS17</f>
        <v>0</v>
      </c>
      <c r="WV17" s="95" t="n">
        <f aca="false">[1]НАДІЙШЛО2!HA9</f>
        <v>0</v>
      </c>
      <c r="WW17" s="96" t="n">
        <f aca="false">[1]ВИБУЛО2!HA9</f>
        <v>0</v>
      </c>
      <c r="WX17" s="97" t="n">
        <f aca="false">WX16-WW17+WV17</f>
        <v>0</v>
      </c>
      <c r="WY17" s="95" t="n">
        <f aca="false">[1]НАДІЙШЛО2!HB9</f>
        <v>0</v>
      </c>
      <c r="WZ17" s="96" t="n">
        <f aca="false">[1]ВИБУЛО2!HB9</f>
        <v>0</v>
      </c>
      <c r="XA17" s="97" t="n">
        <f aca="false">XA16-WZ17+WY17</f>
        <v>0</v>
      </c>
      <c r="XB17" s="95" t="n">
        <f aca="false">[1]НАДІЙШЛО2!HC9</f>
        <v>0</v>
      </c>
      <c r="XC17" s="96" t="n">
        <f aca="false">[1]ВИБУЛО2!HC9</f>
        <v>0</v>
      </c>
      <c r="XD17" s="97" t="n">
        <f aca="false">XD16-XC17+XB17</f>
        <v>0</v>
      </c>
      <c r="XE17" s="95" t="n">
        <f aca="false">[1]НАДІЙШЛО2!HD9</f>
        <v>0</v>
      </c>
      <c r="XF17" s="96" t="n">
        <f aca="false">[1]ВИБУЛО2!HD9</f>
        <v>0</v>
      </c>
      <c r="XG17" s="97" t="n">
        <f aca="false">XG16-XF17+XE17</f>
        <v>0</v>
      </c>
      <c r="XH17" s="95" t="n">
        <f aca="false">[1]НАДІЙШЛО2!HE9</f>
        <v>0</v>
      </c>
      <c r="XI17" s="96" t="n">
        <f aca="false">[1]ВИБУЛО2!HE9</f>
        <v>0</v>
      </c>
      <c r="XJ17" s="97" t="n">
        <f aca="false">XJ16-XI17+XH17</f>
        <v>0</v>
      </c>
      <c r="XK17" s="95" t="n">
        <f aca="false">[1]НАДІЙШЛО2!HF9</f>
        <v>0</v>
      </c>
      <c r="XL17" s="96" t="n">
        <f aca="false">[1]ВИБУЛО2!HF9</f>
        <v>0</v>
      </c>
      <c r="XM17" s="97" t="n">
        <f aca="false">XM16-XL17+XK17</f>
        <v>0</v>
      </c>
      <c r="XN17" s="95" t="n">
        <f aca="false">[1]НАДІЙШЛО2!HG9</f>
        <v>0</v>
      </c>
      <c r="XO17" s="96" t="n">
        <f aca="false">[1]ВИБУЛО2!HG9</f>
        <v>0</v>
      </c>
      <c r="XP17" s="97" t="n">
        <f aca="false">XP16-XO17+XN17</f>
        <v>0</v>
      </c>
      <c r="XQ17" s="95" t="n">
        <f aca="false">[1]НАДІЙШЛО2!HH9</f>
        <v>0</v>
      </c>
      <c r="XR17" s="96" t="n">
        <f aca="false">[1]ВИБУЛО2!HH9</f>
        <v>0</v>
      </c>
      <c r="XS17" s="97" t="n">
        <f aca="false">XS16-XR17+XQ17</f>
        <v>0</v>
      </c>
      <c r="XT17" s="95" t="n">
        <f aca="false">[1]НАДІЙШЛО2!HI9</f>
        <v>0</v>
      </c>
      <c r="XU17" s="96" t="n">
        <f aca="false">[1]ВИБУЛО2!HI9</f>
        <v>0</v>
      </c>
      <c r="XV17" s="97" t="n">
        <f aca="false">XV16-XU17+XT17</f>
        <v>0</v>
      </c>
      <c r="XW17" s="95" t="n">
        <f aca="false">[1]НАДІЙШЛО2!HJ9</f>
        <v>0</v>
      </c>
      <c r="XX17" s="96" t="n">
        <f aca="false">[1]ВИБУЛО2!HJ9</f>
        <v>0</v>
      </c>
      <c r="XY17" s="97" t="n">
        <f aca="false">XY16-XX17+XW17</f>
        <v>0</v>
      </c>
      <c r="XZ17" s="95" t="n">
        <f aca="false">[1]НАДІЙШЛО2!HK9</f>
        <v>0</v>
      </c>
      <c r="YA17" s="96" t="n">
        <f aca="false">[1]ВИБУЛО2!HK9</f>
        <v>0</v>
      </c>
      <c r="YB17" s="97" t="n">
        <f aca="false">YB16-YA17+XZ17</f>
        <v>0</v>
      </c>
      <c r="YC17" s="95" t="n">
        <f aca="false">[1]НАДІЙШЛО2!HL9</f>
        <v>0</v>
      </c>
      <c r="YD17" s="96" t="n">
        <f aca="false">[1]ВИБУЛО2!HL9</f>
        <v>0</v>
      </c>
      <c r="YE17" s="97" t="n">
        <f aca="false">YE16-YD17+YC17</f>
        <v>0</v>
      </c>
      <c r="YF17" s="95" t="n">
        <f aca="false">[1]НАДІЙШЛО2!HM9</f>
        <v>0</v>
      </c>
      <c r="YG17" s="96" t="n">
        <f aca="false">[1]ВИБУЛО2!HM9</f>
        <v>0</v>
      </c>
      <c r="YH17" s="97" t="n">
        <f aca="false">YH16-YG17+YF17</f>
        <v>0</v>
      </c>
      <c r="YI17" s="95" t="n">
        <f aca="false">[1]НАДІЙШЛО2!HN9</f>
        <v>0</v>
      </c>
      <c r="YJ17" s="96" t="n">
        <f aca="false">[1]ВИБУЛО2!HN9</f>
        <v>0</v>
      </c>
      <c r="YK17" s="97" t="n">
        <f aca="false">YK16-YJ17+YI17</f>
        <v>0</v>
      </c>
      <c r="YL17" s="95" t="n">
        <f aca="false">[1]НАДІЙШЛО2!HO9</f>
        <v>0</v>
      </c>
      <c r="YM17" s="96" t="n">
        <f aca="false">[1]ВИБУЛО2!HO9</f>
        <v>0</v>
      </c>
      <c r="YN17" s="97" t="n">
        <f aca="false">YN16-YM17+YL17</f>
        <v>0</v>
      </c>
      <c r="YO17" s="95" t="n">
        <f aca="false">[1]НАДІЙШЛО2!HP9</f>
        <v>0</v>
      </c>
      <c r="YP17" s="96" t="n">
        <f aca="false">[1]ВИБУЛО2!HP9</f>
        <v>0</v>
      </c>
      <c r="YQ17" s="97" t="n">
        <f aca="false">YQ16-YP17+YO17</f>
        <v>0</v>
      </c>
      <c r="YR17" s="95" t="n">
        <f aca="false">[1]НАДІЙШЛО2!HQ9</f>
        <v>0</v>
      </c>
      <c r="YS17" s="96" t="n">
        <f aca="false">[1]ВИБУЛО2!HQ9</f>
        <v>0</v>
      </c>
      <c r="YT17" s="97" t="n">
        <f aca="false">YT16-YS17+YR17</f>
        <v>0</v>
      </c>
      <c r="YU17" s="95" t="n">
        <f aca="false">[1]НАДІЙШЛО2!HR9</f>
        <v>0</v>
      </c>
      <c r="YV17" s="96" t="n">
        <f aca="false">[1]ВИБУЛО2!HR9</f>
        <v>0</v>
      </c>
      <c r="YW17" s="97" t="n">
        <f aca="false">YW16-YV17+YU17</f>
        <v>0</v>
      </c>
      <c r="YX17" s="95" t="n">
        <f aca="false">[1]НАДІЙШЛО2!HS9</f>
        <v>0</v>
      </c>
      <c r="YY17" s="96" t="n">
        <f aca="false">[1]ВИБУЛО2!HS9</f>
        <v>0</v>
      </c>
      <c r="YZ17" s="97" t="n">
        <f aca="false">YZ16-YY17+YX17</f>
        <v>0</v>
      </c>
      <c r="ZA17" s="95" t="n">
        <f aca="false">[1]НАДІЙШЛО2!HT9</f>
        <v>0</v>
      </c>
      <c r="ZB17" s="96" t="n">
        <f aca="false">[1]ВИБУЛО2!HT9</f>
        <v>0</v>
      </c>
      <c r="ZC17" s="97" t="n">
        <f aca="false">ZC16-ZB17+ZA17</f>
        <v>0</v>
      </c>
      <c r="ZD17" s="95" t="n">
        <f aca="false">[1]НАДІЙШЛО2!HU9</f>
        <v>0</v>
      </c>
      <c r="ZE17" s="96" t="n">
        <f aca="false">[1]ВИБУЛО2!HU9</f>
        <v>0</v>
      </c>
      <c r="ZF17" s="97" t="n">
        <f aca="false">ZF16-ZE17+ZD17</f>
        <v>0</v>
      </c>
      <c r="ZG17" s="95" t="n">
        <f aca="false">[1]НАДІЙШЛО2!HV9</f>
        <v>0</v>
      </c>
      <c r="ZH17" s="96" t="n">
        <f aca="false">[1]ВИБУЛО2!HV9</f>
        <v>0</v>
      </c>
      <c r="ZI17" s="97" t="n">
        <f aca="false">ZI16-ZH17+ZG17</f>
        <v>0</v>
      </c>
      <c r="ZJ17" s="95" t="n">
        <f aca="false">[1]НАДІЙШЛО2!HW9</f>
        <v>0</v>
      </c>
      <c r="ZK17" s="96" t="n">
        <f aca="false">[1]ВИБУЛО2!HW9</f>
        <v>0</v>
      </c>
      <c r="ZL17" s="97" t="n">
        <f aca="false">ZL16-ZK17+ZJ17</f>
        <v>0</v>
      </c>
      <c r="ZM17" s="95" t="n">
        <f aca="false">[1]НАДІЙШЛО2!HX9</f>
        <v>0</v>
      </c>
      <c r="ZN17" s="96" t="n">
        <f aca="false">[1]ВИБУЛО2!HX9</f>
        <v>0</v>
      </c>
      <c r="ZO17" s="97" t="n">
        <f aca="false">ZO16-ZN17+ZM17</f>
        <v>0</v>
      </c>
      <c r="ZP17" s="95" t="n">
        <f aca="false">[1]НАДІЙШЛО2!HY9</f>
        <v>0</v>
      </c>
      <c r="ZQ17" s="96" t="n">
        <f aca="false">[1]ВИБУЛО2!HY9</f>
        <v>0</v>
      </c>
      <c r="ZR17" s="97" t="n">
        <f aca="false">ZR16-ZQ17+ZP17</f>
        <v>0</v>
      </c>
      <c r="ZS17" s="95" t="n">
        <f aca="false">[1]НАДІЙШЛО2!HZ9</f>
        <v>0</v>
      </c>
      <c r="ZT17" s="96" t="n">
        <f aca="false">[1]ВИБУЛО2!HZ9</f>
        <v>0</v>
      </c>
      <c r="ZU17" s="97" t="n">
        <f aca="false">ZU16-ZT17+ZS17</f>
        <v>0</v>
      </c>
      <c r="ZV17" s="95" t="n">
        <f aca="false">[1]НАДІЙШЛО2!IA9</f>
        <v>0</v>
      </c>
      <c r="ZW17" s="96" t="n">
        <f aca="false">[1]ВИБУЛО2!IA9</f>
        <v>0</v>
      </c>
      <c r="ZX17" s="97" t="n">
        <f aca="false">ZX16-ZW17+ZV17</f>
        <v>0</v>
      </c>
      <c r="ZY17" s="95" t="n">
        <f aca="false">[1]НАДІЙШЛО2!IB9</f>
        <v>0</v>
      </c>
      <c r="ZZ17" s="96" t="n">
        <f aca="false">[1]ВИБУЛО2!IB9</f>
        <v>0</v>
      </c>
      <c r="AAA17" s="97" t="n">
        <f aca="false">AAA16-ZZ17+ZY17</f>
        <v>0</v>
      </c>
      <c r="AAB17" s="95" t="n">
        <f aca="false">[1]НАДІЙШЛО2!IC9</f>
        <v>0</v>
      </c>
      <c r="AAC17" s="96" t="n">
        <f aca="false">[1]ВИБУЛО2!IC9</f>
        <v>0</v>
      </c>
      <c r="AAD17" s="97" t="n">
        <f aca="false">AAD16-AAC17+AAB17</f>
        <v>0</v>
      </c>
      <c r="AAE17" s="95" t="n">
        <f aca="false">[1]НАДІЙШЛО2!ID9</f>
        <v>0</v>
      </c>
      <c r="AAF17" s="96" t="n">
        <f aca="false">[1]ВИБУЛО2!ID9</f>
        <v>0</v>
      </c>
      <c r="AAG17" s="97" t="n">
        <f aca="false">AAG16-AAF17+AAE17</f>
        <v>0</v>
      </c>
      <c r="AAH17" s="95" t="n">
        <f aca="false">[1]НАДІЙШЛО2!IE9</f>
        <v>0</v>
      </c>
      <c r="AAI17" s="96" t="n">
        <f aca="false">[1]ВИБУЛО2!IE9</f>
        <v>0</v>
      </c>
      <c r="AAJ17" s="97" t="n">
        <f aca="false">AAJ16-AAI17+AAH17</f>
        <v>0</v>
      </c>
      <c r="AAK17" s="95" t="n">
        <f aca="false">[1]НАДІЙШЛО2!IF9</f>
        <v>0</v>
      </c>
      <c r="AAL17" s="96" t="n">
        <f aca="false">[1]ВИБУЛО2!IF9</f>
        <v>0</v>
      </c>
      <c r="AAM17" s="97" t="n">
        <f aca="false">AAM16-AAL17+AAK17</f>
        <v>0</v>
      </c>
      <c r="AAN17" s="95" t="n">
        <f aca="false">[1]НАДІЙШЛО2!IG9</f>
        <v>0</v>
      </c>
      <c r="AAO17" s="96" t="n">
        <f aca="false">[1]ВИБУЛО2!IG9</f>
        <v>0</v>
      </c>
      <c r="AAP17" s="97" t="n">
        <f aca="false">AAP16-AAO17+AAN17</f>
        <v>0</v>
      </c>
      <c r="AAQ17" s="95" t="n">
        <f aca="false">[1]НАДІЙШЛО2!IH9</f>
        <v>0</v>
      </c>
      <c r="AAR17" s="96" t="n">
        <f aca="false">[1]ВИБУЛО2!IH9</f>
        <v>0</v>
      </c>
      <c r="AAS17" s="97" t="n">
        <f aca="false">AAS16-AAR17+AAQ17</f>
        <v>0</v>
      </c>
      <c r="AAT17" s="95" t="n">
        <f aca="false">[1]НАДІЙШЛО2!II9</f>
        <v>0</v>
      </c>
      <c r="AAU17" s="96" t="n">
        <f aca="false">[1]ВИБУЛО2!II9</f>
        <v>0</v>
      </c>
      <c r="AAV17" s="97" t="n">
        <f aca="false">AAV16-AAU17+AAT17</f>
        <v>0</v>
      </c>
      <c r="AAW17" s="95" t="n">
        <f aca="false">[1]НАДІЙШЛО2!IJ9</f>
        <v>0</v>
      </c>
      <c r="AAX17" s="96" t="n">
        <f aca="false">[1]ВИБУЛО2!IJ9</f>
        <v>0</v>
      </c>
      <c r="AAY17" s="97" t="n">
        <f aca="false">AAY16-AAX17+AAW17</f>
        <v>0</v>
      </c>
      <c r="AAZ17" s="95" t="n">
        <f aca="false">[1]НАДІЙШЛО2!IK9</f>
        <v>0</v>
      </c>
      <c r="ABA17" s="96" t="n">
        <f aca="false">[1]ВИБУЛО2!IK9</f>
        <v>0</v>
      </c>
      <c r="ABB17" s="97" t="n">
        <f aca="false">ABB16-ABA17+AAZ17</f>
        <v>0</v>
      </c>
      <c r="ABC17" s="95" t="n">
        <f aca="false">[1]НАДІЙШЛО2!IL9</f>
        <v>0</v>
      </c>
      <c r="ABD17" s="96" t="n">
        <f aca="false">[1]ВИБУЛО2!IL9</f>
        <v>0</v>
      </c>
      <c r="ABE17" s="97" t="n">
        <f aca="false">ABE16-ABD17+ABC17</f>
        <v>0</v>
      </c>
      <c r="ABF17" s="95" t="n">
        <f aca="false">[1]НАДІЙШЛО2!IM9</f>
        <v>0</v>
      </c>
      <c r="ABG17" s="96" t="n">
        <f aca="false">[1]ВИБУЛО2!IM9</f>
        <v>0</v>
      </c>
      <c r="ABH17" s="97" t="n">
        <f aca="false">ABH16-ABG17+ABF17</f>
        <v>0</v>
      </c>
      <c r="ABI17" s="95" t="n">
        <f aca="false">[1]НАДІЙШЛО2!IN9</f>
        <v>0</v>
      </c>
      <c r="ABJ17" s="96" t="n">
        <f aca="false">[1]ВИБУЛО2!IN9</f>
        <v>0</v>
      </c>
      <c r="ABK17" s="97" t="n">
        <f aca="false">ABK16-ABJ17+ABI17</f>
        <v>0</v>
      </c>
      <c r="ABL17" s="95" t="n">
        <f aca="false">[1]НАДІЙШЛО2!IO9</f>
        <v>0</v>
      </c>
      <c r="ABM17" s="96" t="n">
        <f aca="false">[1]ВИБУЛО2!IO9</f>
        <v>0</v>
      </c>
      <c r="ABN17" s="97" t="n">
        <f aca="false">ABN16-ABM17+ABL17</f>
        <v>0</v>
      </c>
      <c r="ABO17" s="95" t="n">
        <f aca="false">[1]НАДІЙШЛО2!IP9</f>
        <v>0</v>
      </c>
      <c r="ABP17" s="96" t="n">
        <f aca="false">[1]ВИБУЛО2!IP9</f>
        <v>0</v>
      </c>
      <c r="ABQ17" s="97" t="n">
        <f aca="false">ABQ16-ABP17+ABO17</f>
        <v>0</v>
      </c>
      <c r="ABR17" s="95" t="n">
        <f aca="false">[1]НАДІЙШЛО2!IQ9</f>
        <v>0</v>
      </c>
      <c r="ABS17" s="96" t="n">
        <f aca="false">[1]ВИБУЛО2!IQ9</f>
        <v>0</v>
      </c>
      <c r="ABT17" s="97" t="n">
        <f aca="false">ABT16-ABS17+ABR17</f>
        <v>0</v>
      </c>
      <c r="ABU17" s="95" t="n">
        <f aca="false">[1]НАДІЙШЛО2!IR9</f>
        <v>0</v>
      </c>
      <c r="ABV17" s="96" t="n">
        <f aca="false">[1]ВИБУЛО2!IR9</f>
        <v>0</v>
      </c>
      <c r="ABW17" s="97" t="n">
        <f aca="false">ABW16-ABV17+ABU17</f>
        <v>0</v>
      </c>
      <c r="ABX17" s="95" t="n">
        <f aca="false">[1]НАДІЙШЛО2!IS9</f>
        <v>0</v>
      </c>
      <c r="ABY17" s="96" t="n">
        <f aca="false">[1]ВИБУЛО2!IS9</f>
        <v>0</v>
      </c>
      <c r="ABZ17" s="97" t="n">
        <f aca="false">ABZ16-ABY17+ABX17</f>
        <v>0</v>
      </c>
      <c r="ACA17" s="95" t="n">
        <f aca="false">[1]НАДІЙШЛО2!IT9</f>
        <v>0</v>
      </c>
      <c r="ACB17" s="96" t="n">
        <f aca="false">[1]ВИБУЛО2!IT9</f>
        <v>0</v>
      </c>
      <c r="ACC17" s="97" t="n">
        <f aca="false">ACC16-ACB17+ACA17</f>
        <v>0</v>
      </c>
      <c r="ACD17" s="95" t="n">
        <f aca="false">[1]НАДІЙШЛО2!IU9</f>
        <v>0</v>
      </c>
      <c r="ACE17" s="96" t="n">
        <f aca="false">[1]ВИБУЛО2!IU9</f>
        <v>0</v>
      </c>
      <c r="ACF17" s="97" t="n">
        <f aca="false">ACF16-ACE17+ACD17</f>
        <v>0</v>
      </c>
      <c r="ACG17" s="95" t="n">
        <f aca="false">[1]НАДІЙШЛО2!IV9</f>
        <v>0</v>
      </c>
      <c r="ACH17" s="96" t="n">
        <f aca="false">[1]ВИБУЛО2!IV9</f>
        <v>0</v>
      </c>
      <c r="ACI17" s="97" t="n">
        <f aca="false">ACI16-ACH17+ACG17</f>
        <v>0</v>
      </c>
      <c r="ACJ17" s="95" t="n">
        <f aca="false">[1]НАДІЙШЛО2!IW9</f>
        <v>0</v>
      </c>
      <c r="ACK17" s="96" t="n">
        <f aca="false">[1]ВИБУЛО2!IW9</f>
        <v>0</v>
      </c>
      <c r="ACL17" s="97" t="n">
        <f aca="false">ACL16-ACK17+ACJ17</f>
        <v>0</v>
      </c>
      <c r="ACM17" s="95" t="n">
        <f aca="false">[1]НАДІЙШЛО2!IX9</f>
        <v>0</v>
      </c>
      <c r="ACN17" s="96" t="n">
        <f aca="false">[1]ВИБУЛО2!IX9</f>
        <v>0</v>
      </c>
      <c r="ACO17" s="97" t="n">
        <f aca="false">ACO16-ACN17+ACM17</f>
        <v>0</v>
      </c>
      <c r="ACP17" s="95" t="n">
        <f aca="false">[1]НАДІЙШЛО2!IY9</f>
        <v>0</v>
      </c>
      <c r="ACQ17" s="96" t="n">
        <f aca="false">[1]ВИБУЛО2!IY9</f>
        <v>0</v>
      </c>
      <c r="ACR17" s="97" t="n">
        <f aca="false">ACR16-ACQ17+ACP17</f>
        <v>0</v>
      </c>
      <c r="ACS17" s="95" t="n">
        <f aca="false">[1]НАДІЙШЛО2!IZ9</f>
        <v>0</v>
      </c>
      <c r="ACT17" s="96" t="n">
        <f aca="false">[1]ВИБУЛО2!IZ9</f>
        <v>0</v>
      </c>
      <c r="ACU17" s="97" t="n">
        <f aca="false">ACU16-ACT17+ACS17</f>
        <v>0</v>
      </c>
      <c r="ACV17" s="95" t="n">
        <f aca="false">[1]НАДІЙШЛО2!JA9</f>
        <v>0</v>
      </c>
      <c r="ACW17" s="96" t="n">
        <f aca="false">[1]ВИБУЛО2!JA9</f>
        <v>0</v>
      </c>
      <c r="ACX17" s="97" t="n">
        <f aca="false">ACX16-ACW17+ACV17</f>
        <v>0</v>
      </c>
      <c r="ACY17" s="95" t="n">
        <f aca="false">[1]НАДІЙШЛО2!JB9</f>
        <v>0</v>
      </c>
      <c r="ACZ17" s="96" t="n">
        <f aca="false">[1]ВИБУЛО2!JB9</f>
        <v>0</v>
      </c>
      <c r="ADA17" s="97" t="n">
        <f aca="false">ADA16-ACZ17+ACY17</f>
        <v>0</v>
      </c>
      <c r="ADB17" s="95" t="n">
        <f aca="false">[1]НАДІЙШЛО2!JC9</f>
        <v>0</v>
      </c>
      <c r="ADC17" s="96" t="n">
        <f aca="false">[1]ВИБУЛО2!JC9</f>
        <v>0</v>
      </c>
      <c r="ADD17" s="97" t="n">
        <f aca="false">ADD16-ADC17+ADB17</f>
        <v>0</v>
      </c>
      <c r="ADE17" s="95" t="n">
        <f aca="false">[1]НАДІЙШЛО2!JD9</f>
        <v>0</v>
      </c>
      <c r="ADF17" s="96" t="n">
        <f aca="false">[1]ВИБУЛО2!JD9</f>
        <v>0</v>
      </c>
      <c r="ADG17" s="97" t="n">
        <f aca="false">ADG16-ADF17+ADE17</f>
        <v>0</v>
      </c>
      <c r="ADH17" s="95" t="n">
        <f aca="false">[1]НАДІЙШЛО2!JE9</f>
        <v>0</v>
      </c>
      <c r="ADI17" s="96" t="n">
        <f aca="false">[1]ВИБУЛО2!JE9</f>
        <v>0</v>
      </c>
      <c r="ADJ17" s="97" t="n">
        <f aca="false">ADJ16-ADI17+ADH17</f>
        <v>0</v>
      </c>
      <c r="ADK17" s="95" t="n">
        <f aca="false">[1]НАДІЙШЛО2!JF9</f>
        <v>0</v>
      </c>
      <c r="ADL17" s="96" t="n">
        <f aca="false">[1]ВИБУЛО2!JF9</f>
        <v>0</v>
      </c>
      <c r="ADM17" s="97" t="n">
        <f aca="false">ADM16-ADL17+ADK17</f>
        <v>0</v>
      </c>
      <c r="ADN17" s="95" t="n">
        <f aca="false">[1]НАДІЙШЛО2!JG9</f>
        <v>0</v>
      </c>
      <c r="ADO17" s="96" t="n">
        <f aca="false">[1]ВИБУЛО2!JG9</f>
        <v>0</v>
      </c>
      <c r="ADP17" s="97" t="n">
        <f aca="false">ADP16-ADO17+ADN17</f>
        <v>0</v>
      </c>
      <c r="ADQ17" s="95" t="n">
        <f aca="false">[1]НАДІЙШЛО2!JH9</f>
        <v>0</v>
      </c>
      <c r="ADR17" s="96" t="n">
        <f aca="false">[1]ВИБУЛО2!JH9</f>
        <v>0</v>
      </c>
      <c r="ADS17" s="97" t="n">
        <f aca="false">ADS16-ADR17+ADQ17</f>
        <v>0</v>
      </c>
      <c r="ADT17" s="95" t="n">
        <f aca="false">[1]НАДІЙШЛО2!JI9</f>
        <v>0</v>
      </c>
      <c r="ADU17" s="96" t="n">
        <f aca="false">[1]ВИБУЛО2!JI9</f>
        <v>0</v>
      </c>
      <c r="ADV17" s="97" t="n">
        <f aca="false">ADV16-ADU17+ADT17</f>
        <v>0</v>
      </c>
      <c r="ADW17" s="95" t="n">
        <f aca="false">[1]НАДІЙШЛО2!JJ9</f>
        <v>0</v>
      </c>
      <c r="ADX17" s="96" t="n">
        <f aca="false">[1]ВИБУЛО2!JJ9</f>
        <v>0</v>
      </c>
      <c r="ADY17" s="97" t="n">
        <f aca="false">ADY16-ADX17+ADW17</f>
        <v>0</v>
      </c>
      <c r="ADZ17" s="95" t="n">
        <f aca="false">[1]НАДІЙШЛО2!JK9</f>
        <v>0</v>
      </c>
      <c r="AEA17" s="96" t="n">
        <f aca="false">[1]ВИБУЛО2!JK9</f>
        <v>0</v>
      </c>
      <c r="AEB17" s="97" t="n">
        <f aca="false">AEB16-AEA17+ADZ17</f>
        <v>0</v>
      </c>
      <c r="AEC17" s="95" t="n">
        <f aca="false">[1]НАДІЙШЛО2!JL9</f>
        <v>0</v>
      </c>
      <c r="AED17" s="96" t="n">
        <f aca="false">[1]ВИБУЛО2!JL9</f>
        <v>0</v>
      </c>
      <c r="AEE17" s="97" t="n">
        <f aca="false">AEE16-AED17+AEC17</f>
        <v>0</v>
      </c>
      <c r="AEF17" s="95" t="n">
        <f aca="false">[1]НАДІЙШЛО2!JM9</f>
        <v>0</v>
      </c>
      <c r="AEG17" s="96" t="n">
        <f aca="false">[1]ВИБУЛО2!JM9</f>
        <v>0</v>
      </c>
      <c r="AEH17" s="97" t="n">
        <f aca="false">AEH16-AEG17+AEF17</f>
        <v>0</v>
      </c>
      <c r="AEI17" s="95" t="n">
        <f aca="false">[1]НАДІЙШЛО2!JN9</f>
        <v>0</v>
      </c>
      <c r="AEJ17" s="96" t="n">
        <f aca="false">[1]ВИБУЛО2!JN9</f>
        <v>0</v>
      </c>
      <c r="AEK17" s="97" t="n">
        <f aca="false">AEK16-AEJ17+AEI17</f>
        <v>0</v>
      </c>
      <c r="AEL17" s="95" t="n">
        <f aca="false">[1]НАДІЙШЛО2!JO9</f>
        <v>0</v>
      </c>
      <c r="AEM17" s="96" t="n">
        <f aca="false">[1]ВИБУЛО2!JO9</f>
        <v>0</v>
      </c>
      <c r="AEN17" s="97" t="n">
        <f aca="false">AEN16-AEM17+AEL17</f>
        <v>0</v>
      </c>
      <c r="AEO17" s="95" t="n">
        <f aca="false">[1]НАДІЙШЛО2!JP9</f>
        <v>0</v>
      </c>
      <c r="AEP17" s="96" t="n">
        <f aca="false">[1]ВИБУЛО2!JP9</f>
        <v>0</v>
      </c>
      <c r="AEQ17" s="97" t="n">
        <f aca="false">AEQ16-AEP17+AEO17</f>
        <v>0</v>
      </c>
      <c r="AER17" s="95" t="n">
        <f aca="false">[1]НАДІЙШЛО2!JQ9</f>
        <v>0</v>
      </c>
      <c r="AES17" s="96" t="n">
        <f aca="false">[1]ВИБУЛО2!JQ9</f>
        <v>0</v>
      </c>
      <c r="AET17" s="97" t="n">
        <f aca="false">AET16-AES17+AER17</f>
        <v>0</v>
      </c>
      <c r="AEU17" s="95" t="n">
        <f aca="false">[1]НАДІЙШЛО2!JR9</f>
        <v>0</v>
      </c>
      <c r="AEV17" s="96" t="n">
        <f aca="false">[1]ВИБУЛО2!JR9</f>
        <v>0</v>
      </c>
      <c r="AEW17" s="97" t="n">
        <f aca="false">AEW16-AEV17+AEU17</f>
        <v>0</v>
      </c>
      <c r="AEX17" s="95" t="n">
        <f aca="false">[1]НАДІЙШЛО2!JS9</f>
        <v>0</v>
      </c>
      <c r="AEY17" s="96" t="n">
        <f aca="false">[1]ВИБУЛО2!JS9</f>
        <v>0</v>
      </c>
      <c r="AEZ17" s="97" t="n">
        <f aca="false">AEZ16-AEY17+AEX17</f>
        <v>0</v>
      </c>
      <c r="AFA17" s="95" t="n">
        <f aca="false">[1]НАДІЙШЛО2!JT9</f>
        <v>0</v>
      </c>
      <c r="AFB17" s="96" t="n">
        <f aca="false">[1]ВИБУЛО2!JT9</f>
        <v>0</v>
      </c>
      <c r="AFC17" s="97" t="n">
        <f aca="false">AFC16-AFB17+AFA17</f>
        <v>0</v>
      </c>
      <c r="AFD17" s="95" t="n">
        <f aca="false">[1]НАДІЙШЛО2!JU9</f>
        <v>0</v>
      </c>
      <c r="AFE17" s="96" t="n">
        <f aca="false">[1]ВИБУЛО2!JU9</f>
        <v>0</v>
      </c>
      <c r="AFF17" s="97" t="n">
        <f aca="false">AFF16-AFE17+AFD17</f>
        <v>0</v>
      </c>
      <c r="AFG17" s="95" t="n">
        <f aca="false">[1]НАДІЙШЛО2!JV9</f>
        <v>0</v>
      </c>
      <c r="AFH17" s="96" t="n">
        <f aca="false">[1]ВИБУЛО2!JV9</f>
        <v>0</v>
      </c>
      <c r="AFI17" s="97" t="n">
        <f aca="false">AFI16-AFH17+AFG17</f>
        <v>0</v>
      </c>
      <c r="AFJ17" s="95" t="n">
        <f aca="false">[1]НАДІЙШЛО2!JW9</f>
        <v>0</v>
      </c>
      <c r="AFK17" s="96" t="n">
        <f aca="false">[1]ВИБУЛО2!JW9</f>
        <v>0</v>
      </c>
      <c r="AFL17" s="97" t="n">
        <f aca="false">AFL16-AFK17+AFJ17</f>
        <v>0</v>
      </c>
      <c r="AFM17" s="95" t="n">
        <f aca="false">[1]НАДІЙШЛО2!JX9</f>
        <v>0</v>
      </c>
      <c r="AFN17" s="96" t="n">
        <f aca="false">[1]ВИБУЛО2!JX9</f>
        <v>0</v>
      </c>
      <c r="AFO17" s="97" t="n">
        <f aca="false">AFO16-AFN17+AFM17</f>
        <v>0</v>
      </c>
      <c r="AFP17" s="95" t="n">
        <f aca="false">[1]НАДІЙШЛО2!JY9</f>
        <v>0</v>
      </c>
      <c r="AFQ17" s="96" t="n">
        <f aca="false">[1]ВИБУЛО2!JY9</f>
        <v>0</v>
      </c>
      <c r="AFR17" s="97" t="n">
        <f aca="false">AFR16-AFQ17+AFP17</f>
        <v>0</v>
      </c>
      <c r="AFS17" s="95" t="n">
        <f aca="false">[1]НАДІЙШЛО2!JZ9</f>
        <v>0</v>
      </c>
      <c r="AFT17" s="96" t="n">
        <f aca="false">[1]ВИБУЛО2!JZ9</f>
        <v>0</v>
      </c>
      <c r="AFU17" s="97" t="n">
        <f aca="false">AFU16-AFT17+AFS17</f>
        <v>0</v>
      </c>
      <c r="AFV17" s="95" t="n">
        <f aca="false">[1]НАДІЙШЛО2!KA9</f>
        <v>0</v>
      </c>
      <c r="AFW17" s="96" t="n">
        <f aca="false">[1]ВИБУЛО2!KA9</f>
        <v>0</v>
      </c>
      <c r="AFX17" s="97" t="n">
        <f aca="false">AFX16-AFW17+AFV17</f>
        <v>0</v>
      </c>
      <c r="AFY17" s="95" t="n">
        <f aca="false">[1]НАДІЙШЛО2!KB9</f>
        <v>0</v>
      </c>
      <c r="AFZ17" s="96" t="n">
        <f aca="false">[1]ВИБУЛО2!KB9</f>
        <v>0</v>
      </c>
      <c r="AGA17" s="97" t="n">
        <f aca="false">AGA16-AFZ17+AFY17</f>
        <v>0</v>
      </c>
      <c r="AGB17" s="95" t="n">
        <f aca="false">[1]НАДІЙШЛО2!KC9</f>
        <v>0</v>
      </c>
      <c r="AGC17" s="96" t="n">
        <f aca="false">[1]ВИБУЛО2!KC9</f>
        <v>0</v>
      </c>
      <c r="AGD17" s="97" t="n">
        <f aca="false">AGD16-AGC17+AGB17</f>
        <v>0</v>
      </c>
      <c r="AGE17" s="95" t="n">
        <f aca="false">[1]НАДІЙШЛО2!KD9</f>
        <v>0</v>
      </c>
      <c r="AGF17" s="96" t="n">
        <f aca="false">[1]ВИБУЛО2!KD9</f>
        <v>0</v>
      </c>
      <c r="AGG17" s="97" t="n">
        <f aca="false">AGG16-AGF17+AGE17</f>
        <v>0</v>
      </c>
      <c r="AGH17" s="95" t="n">
        <f aca="false">[1]НАДІЙШЛО2!KE9</f>
        <v>0</v>
      </c>
      <c r="AGI17" s="96" t="n">
        <f aca="false">[1]ВИБУЛО2!KE9</f>
        <v>0</v>
      </c>
      <c r="AGJ17" s="97" t="n">
        <f aca="false">AGJ16-AGI17+AGH17</f>
        <v>0</v>
      </c>
      <c r="AGK17" s="95" t="n">
        <f aca="false">[1]НАДІЙШЛО2!KF9</f>
        <v>0</v>
      </c>
      <c r="AGL17" s="96" t="n">
        <f aca="false">[1]ВИБУЛО2!KF9</f>
        <v>0</v>
      </c>
      <c r="AGM17" s="97" t="n">
        <f aca="false">AGM16-AGL17+AGK17</f>
        <v>0</v>
      </c>
      <c r="AGN17" s="95" t="n">
        <f aca="false">[1]НАДІЙШЛО2!KG9</f>
        <v>0</v>
      </c>
      <c r="AGO17" s="96" t="n">
        <f aca="false">[1]ВИБУЛО2!KG9</f>
        <v>0</v>
      </c>
      <c r="AGP17" s="97" t="n">
        <f aca="false">AGP16-AGO17+AGN17</f>
        <v>0</v>
      </c>
      <c r="AGQ17" s="95" t="n">
        <f aca="false">[1]НАДІЙШЛО2!KH9</f>
        <v>0</v>
      </c>
      <c r="AGR17" s="96" t="n">
        <f aca="false">[1]ВИБУЛО2!KH9</f>
        <v>0</v>
      </c>
      <c r="AGS17" s="97" t="n">
        <f aca="false">AGS16-AGR17+AGQ17</f>
        <v>0</v>
      </c>
      <c r="AGT17" s="95" t="n">
        <f aca="false">[1]НАДІЙШЛО2!KI9</f>
        <v>0</v>
      </c>
      <c r="AGU17" s="96" t="n">
        <f aca="false">[1]ВИБУЛО2!KI9</f>
        <v>0</v>
      </c>
      <c r="AGV17" s="97" t="n">
        <f aca="false">AGV16-AGU17+AGT17</f>
        <v>0</v>
      </c>
      <c r="AGW17" s="95" t="n">
        <f aca="false">[1]НАДІЙШЛО2!KJ9</f>
        <v>0</v>
      </c>
      <c r="AGX17" s="96" t="n">
        <f aca="false">[1]ВИБУЛО2!KJ9</f>
        <v>0</v>
      </c>
      <c r="AGY17" s="97" t="n">
        <f aca="false">AGY16-AGX17+AGW17</f>
        <v>0</v>
      </c>
      <c r="AGZ17" s="95" t="n">
        <f aca="false">[1]НАДІЙШЛО2!KK9</f>
        <v>0</v>
      </c>
      <c r="AHA17" s="96" t="n">
        <f aca="false">[1]ВИБУЛО2!KK9</f>
        <v>0</v>
      </c>
      <c r="AHB17" s="97" t="n">
        <f aca="false">AHB16-AHA17+AGZ17</f>
        <v>0</v>
      </c>
      <c r="AHC17" s="95" t="n">
        <f aca="false">[1]НАДІЙШЛО2!KL9</f>
        <v>0</v>
      </c>
      <c r="AHD17" s="96" t="n">
        <f aca="false">[1]ВИБУЛО2!KL9</f>
        <v>0</v>
      </c>
      <c r="AHE17" s="97" t="n">
        <f aca="false">AHE16-AHD17+AHC17</f>
        <v>0</v>
      </c>
      <c r="AHF17" s="95" t="n">
        <f aca="false">[1]НАДІЙШЛО2!KM9</f>
        <v>0</v>
      </c>
      <c r="AHG17" s="96" t="n">
        <f aca="false">[1]ВИБУЛО2!KM9</f>
        <v>0</v>
      </c>
      <c r="AHH17" s="97" t="n">
        <f aca="false">AHH16-AHG17+AHF17</f>
        <v>0</v>
      </c>
      <c r="AHI17" s="95" t="n">
        <f aca="false">[1]НАДІЙШЛО2!KN9</f>
        <v>0</v>
      </c>
      <c r="AHJ17" s="96" t="n">
        <f aca="false">[1]ВИБУЛО2!KN9</f>
        <v>0</v>
      </c>
      <c r="AHK17" s="97" t="n">
        <f aca="false">AHK16-AHJ17+AHI17</f>
        <v>0</v>
      </c>
      <c r="AHL17" s="95" t="n">
        <f aca="false">[1]НАДІЙШЛО2!KO9</f>
        <v>0</v>
      </c>
      <c r="AHM17" s="96" t="n">
        <f aca="false">[1]ВИБУЛО2!KO9</f>
        <v>0</v>
      </c>
      <c r="AHN17" s="97" t="n">
        <f aca="false">AHN16-AHM17+AHL17</f>
        <v>0</v>
      </c>
      <c r="AHO17" s="95" t="n">
        <f aca="false">[1]НАДІЙШЛО2!KP9</f>
        <v>0</v>
      </c>
      <c r="AHP17" s="96" t="n">
        <f aca="false">[1]ВИБУЛО2!KP9</f>
        <v>0</v>
      </c>
      <c r="AHQ17" s="97" t="n">
        <f aca="false">AHQ16-AHP17+AHO17</f>
        <v>0</v>
      </c>
      <c r="AHR17" s="95" t="n">
        <f aca="false">[1]НАДІЙШЛО2!KQ9</f>
        <v>0</v>
      </c>
      <c r="AHS17" s="96" t="n">
        <f aca="false">[1]ВИБУЛО2!KQ9</f>
        <v>0</v>
      </c>
      <c r="AHT17" s="97" t="n">
        <f aca="false">AHT16-AHS17+AHR17</f>
        <v>0</v>
      </c>
      <c r="AHU17" s="95" t="n">
        <f aca="false">[1]НАДІЙШЛО2!KR9</f>
        <v>0</v>
      </c>
      <c r="AHV17" s="96" t="n">
        <f aca="false">[1]ВИБУЛО2!KR9</f>
        <v>0</v>
      </c>
      <c r="AHW17" s="97" t="n">
        <f aca="false">AHW16-AHV17+AHU17</f>
        <v>0</v>
      </c>
      <c r="AHX17" s="95" t="n">
        <f aca="false">[1]НАДІЙШЛО2!KS9</f>
        <v>0</v>
      </c>
      <c r="AHY17" s="96" t="n">
        <f aca="false">[1]ВИБУЛО2!KS9</f>
        <v>0</v>
      </c>
      <c r="AHZ17" s="97" t="n">
        <f aca="false">AHZ16-AHY17+AHX17</f>
        <v>0</v>
      </c>
      <c r="AIA17" s="95" t="n">
        <f aca="false">[1]НАДІЙШЛО2!KT9</f>
        <v>0</v>
      </c>
      <c r="AIB17" s="96" t="n">
        <f aca="false">[1]ВИБУЛО2!KT9</f>
        <v>0</v>
      </c>
      <c r="AIC17" s="97" t="n">
        <f aca="false">AIC16-AIB17+AIA17</f>
        <v>0</v>
      </c>
      <c r="AID17" s="95" t="n">
        <f aca="false">[1]НАДІЙШЛО2!KU9</f>
        <v>0</v>
      </c>
      <c r="AIE17" s="96" t="n">
        <f aca="false">[1]ВИБУЛО2!KU9</f>
        <v>0</v>
      </c>
      <c r="AIF17" s="97" t="n">
        <f aca="false">AIF16-AIE17+AID17</f>
        <v>0</v>
      </c>
      <c r="AIG17" s="95" t="n">
        <f aca="false">[1]НАДІЙШЛО2!KV9</f>
        <v>0</v>
      </c>
      <c r="AIH17" s="96" t="n">
        <f aca="false">[1]ВИБУЛО2!KV9</f>
        <v>0</v>
      </c>
      <c r="AII17" s="97" t="n">
        <f aca="false">AII16-AIH17+AIG17</f>
        <v>0</v>
      </c>
      <c r="AIJ17" s="95" t="n">
        <f aca="false">[1]НАДІЙШЛО2!KW9</f>
        <v>0</v>
      </c>
      <c r="AIK17" s="96" t="n">
        <f aca="false">[1]ВИБУЛО2!KW9</f>
        <v>0</v>
      </c>
      <c r="AIL17" s="97" t="n">
        <f aca="false">AIL16-AIK17+AIJ17</f>
        <v>0</v>
      </c>
      <c r="AIM17" s="95" t="n">
        <f aca="false">[1]НАДІЙШЛО2!KX9</f>
        <v>0</v>
      </c>
      <c r="AIN17" s="96" t="n">
        <f aca="false">[1]ВИБУЛО2!KX9</f>
        <v>0</v>
      </c>
      <c r="AIO17" s="97" t="n">
        <f aca="false">AIO16-AIN17+AIM17</f>
        <v>0</v>
      </c>
      <c r="AIP17" s="95" t="n">
        <f aca="false">[1]НАДІЙШЛО2!KY9</f>
        <v>0</v>
      </c>
      <c r="AIQ17" s="96" t="n">
        <f aca="false">[1]ВИБУЛО2!KY9</f>
        <v>0</v>
      </c>
      <c r="AIR17" s="97" t="n">
        <f aca="false">AIR16-AIQ17+AIP17</f>
        <v>0</v>
      </c>
      <c r="AIS17" s="95" t="n">
        <f aca="false">[1]НАДІЙШЛО2!KZ9</f>
        <v>0</v>
      </c>
      <c r="AIT17" s="96" t="n">
        <f aca="false">[1]ВИБУЛО2!KZ9</f>
        <v>0</v>
      </c>
      <c r="AIU17" s="97" t="n">
        <f aca="false">AIU16-AIT17+AIS17</f>
        <v>0</v>
      </c>
      <c r="AIV17" s="95" t="n">
        <f aca="false">[1]НАДІЙШЛО2!LA9</f>
        <v>0</v>
      </c>
      <c r="AIW17" s="96" t="n">
        <f aca="false">[1]ВИБУЛО2!LA9</f>
        <v>0</v>
      </c>
      <c r="AIX17" s="97" t="n">
        <f aca="false">AIX16-AIW17+AIV17</f>
        <v>0</v>
      </c>
      <c r="AIY17" s="95" t="n">
        <f aca="false">[1]НАДІЙШЛО2!LB9</f>
        <v>0</v>
      </c>
      <c r="AIZ17" s="96" t="n">
        <f aca="false">[1]ВИБУЛО2!LB9</f>
        <v>0</v>
      </c>
      <c r="AJA17" s="97" t="n">
        <f aca="false">AJA16-AIZ17+AIY17</f>
        <v>0</v>
      </c>
      <c r="AJB17" s="95" t="n">
        <f aca="false">[1]НАДІЙШЛО2!LC9</f>
        <v>0</v>
      </c>
      <c r="AJC17" s="96" t="n">
        <f aca="false">[1]ВИБУЛО2!LC9</f>
        <v>0</v>
      </c>
      <c r="AJD17" s="97" t="n">
        <f aca="false">AJD16-AJC17+AJB17</f>
        <v>0</v>
      </c>
      <c r="AJE17" s="95" t="n">
        <f aca="false">[1]НАДІЙШЛО2!LD9</f>
        <v>0</v>
      </c>
      <c r="AJF17" s="96" t="n">
        <f aca="false">[1]ВИБУЛО2!LD9</f>
        <v>0</v>
      </c>
      <c r="AJG17" s="97" t="n">
        <f aca="false">AJG16-AJF17+AJE17</f>
        <v>0</v>
      </c>
      <c r="AJH17" s="95" t="n">
        <f aca="false">[1]НАДІЙШЛО2!LE9</f>
        <v>0</v>
      </c>
      <c r="AJI17" s="96" t="n">
        <f aca="false">[1]ВИБУЛО2!LE9</f>
        <v>0</v>
      </c>
      <c r="AJJ17" s="97" t="n">
        <f aca="false">AJJ16-AJI17+AJH17</f>
        <v>0</v>
      </c>
      <c r="AJK17" s="95" t="n">
        <f aca="false">[1]НАДІЙШЛО2!LF9</f>
        <v>0</v>
      </c>
      <c r="AJL17" s="96" t="n">
        <f aca="false">[1]ВИБУЛО2!LF9</f>
        <v>0</v>
      </c>
      <c r="AJM17" s="97" t="n">
        <f aca="false">AJM16-AJL17+AJK17</f>
        <v>0</v>
      </c>
      <c r="AJN17" s="95" t="n">
        <f aca="false">[1]НАДІЙШЛО2!LG9</f>
        <v>0</v>
      </c>
      <c r="AJO17" s="96" t="n">
        <f aca="false">[1]ВИБУЛО2!LG9</f>
        <v>0</v>
      </c>
      <c r="AJP17" s="97" t="n">
        <f aca="false">AJP16-AJO17+AJN17</f>
        <v>0</v>
      </c>
      <c r="AJQ17" s="95" t="n">
        <f aca="false">[1]НАДІЙШЛО2!LH9</f>
        <v>0</v>
      </c>
      <c r="AJR17" s="96" t="n">
        <f aca="false">[1]ВИБУЛО2!LH9</f>
        <v>0</v>
      </c>
      <c r="AJS17" s="97" t="n">
        <f aca="false">AJS16-AJR17+AJQ17</f>
        <v>0</v>
      </c>
      <c r="AJT17" s="95" t="n">
        <f aca="false">[1]НАДІЙШЛО2!LI9</f>
        <v>0</v>
      </c>
      <c r="AJU17" s="96" t="n">
        <f aca="false">[1]ВИБУЛО2!LI9</f>
        <v>0</v>
      </c>
      <c r="AJV17" s="97" t="n">
        <f aca="false">AJV16-AJU17+AJT17</f>
        <v>0</v>
      </c>
      <c r="AJW17" s="95" t="n">
        <f aca="false">[1]НАДІЙШЛО2!LJ9</f>
        <v>0</v>
      </c>
      <c r="AJX17" s="96" t="n">
        <f aca="false">[1]ВИБУЛО2!LJ9</f>
        <v>0</v>
      </c>
      <c r="AJY17" s="97" t="n">
        <f aca="false">AJY16-AJX17+AJW17</f>
        <v>0</v>
      </c>
      <c r="AJZ17" s="95" t="n">
        <f aca="false">[1]НАДІЙШЛО2!LK9</f>
        <v>0</v>
      </c>
      <c r="AKA17" s="96" t="n">
        <f aca="false">[1]ВИБУЛО2!LK9</f>
        <v>0</v>
      </c>
      <c r="AKB17" s="97" t="n">
        <f aca="false">AKB16-AKA17+AJZ17</f>
        <v>0</v>
      </c>
      <c r="AKC17" s="95" t="n">
        <f aca="false">[1]НАДІЙШЛО2!LL9</f>
        <v>0</v>
      </c>
      <c r="AKD17" s="96" t="n">
        <f aca="false">[1]ВИБУЛО2!LL9</f>
        <v>0</v>
      </c>
      <c r="AKE17" s="97" t="n">
        <f aca="false">AKE16-AKD17+AKC17</f>
        <v>0</v>
      </c>
      <c r="AKF17" s="95" t="n">
        <f aca="false">[1]НАДІЙШЛО2!LM9</f>
        <v>0</v>
      </c>
      <c r="AKG17" s="96" t="n">
        <f aca="false">[1]ВИБУЛО2!LM9</f>
        <v>0</v>
      </c>
      <c r="AKH17" s="97" t="n">
        <f aca="false">AKH16-AKG17+AKF17</f>
        <v>0</v>
      </c>
      <c r="AKI17" s="95" t="n">
        <f aca="false">[1]НАДІЙШЛО2!LN9</f>
        <v>0</v>
      </c>
      <c r="AKJ17" s="96" t="n">
        <f aca="false">[1]ВИБУЛО2!LN9</f>
        <v>0</v>
      </c>
      <c r="AKK17" s="97" t="n">
        <f aca="false">AKK16-AKJ17+AKI17</f>
        <v>0</v>
      </c>
      <c r="AKL17" s="95" t="n">
        <f aca="false">[1]НАДІЙШЛО2!LO9</f>
        <v>0</v>
      </c>
      <c r="AKM17" s="96" t="n">
        <f aca="false">[1]ВИБУЛО2!LO9</f>
        <v>0</v>
      </c>
      <c r="AKN17" s="97" t="n">
        <f aca="false">AKN16-AKM17+AKL17</f>
        <v>0</v>
      </c>
      <c r="AKO17" s="95" t="n">
        <f aca="false">[1]НАДІЙШЛО2!LP9</f>
        <v>0</v>
      </c>
      <c r="AKP17" s="96" t="n">
        <f aca="false">[1]ВИБУЛО2!LP9</f>
        <v>0</v>
      </c>
      <c r="AKQ17" s="97" t="n">
        <f aca="false">AKQ16-AKP17+AKO17</f>
        <v>0</v>
      </c>
      <c r="AKR17" s="95" t="n">
        <f aca="false">[1]НАДІЙШЛО2!LQ9</f>
        <v>0</v>
      </c>
      <c r="AKS17" s="96" t="n">
        <f aca="false">[1]ВИБУЛО2!LQ9</f>
        <v>0</v>
      </c>
      <c r="AKT17" s="97" t="n">
        <f aca="false">AKT16-AKS17+AKR17</f>
        <v>0</v>
      </c>
      <c r="AKU17" s="95" t="n">
        <f aca="false">[1]НАДІЙШЛО2!LR9</f>
        <v>0</v>
      </c>
      <c r="AKV17" s="96" t="n">
        <f aca="false">[1]ВИБУЛО2!LR9</f>
        <v>0</v>
      </c>
      <c r="AKW17" s="97" t="n">
        <f aca="false">AKW16-AKV17+AKU17</f>
        <v>0</v>
      </c>
      <c r="AKX17" s="95" t="n">
        <f aca="false">[1]НАДІЙШЛО2!LS9</f>
        <v>0</v>
      </c>
      <c r="AKY17" s="96" t="n">
        <f aca="false">[1]ВИБУЛО2!LS9</f>
        <v>0</v>
      </c>
      <c r="AKZ17" s="97" t="n">
        <f aca="false">AKZ16-AKY17+AKX17</f>
        <v>0</v>
      </c>
      <c r="ALA17" s="95" t="n">
        <f aca="false">[1]НАДІЙШЛО2!LT9</f>
        <v>0</v>
      </c>
      <c r="ALB17" s="96" t="n">
        <f aca="false">[1]ВИБУЛО2!LT9</f>
        <v>0</v>
      </c>
      <c r="ALC17" s="97" t="n">
        <f aca="false">ALC16-ALB17+ALA17</f>
        <v>0</v>
      </c>
      <c r="ALD17" s="95" t="n">
        <f aca="false">[1]НАДІЙШЛО2!LU9</f>
        <v>0</v>
      </c>
      <c r="ALE17" s="96" t="n">
        <f aca="false">[1]ВИБУЛО2!LU9</f>
        <v>0</v>
      </c>
      <c r="ALF17" s="97" t="n">
        <f aca="false">ALF16-ALE17+ALD17</f>
        <v>0</v>
      </c>
      <c r="ALG17" s="95" t="n">
        <f aca="false">[1]НАДІЙШЛО2!LV9</f>
        <v>0</v>
      </c>
      <c r="ALH17" s="96" t="n">
        <f aca="false">[1]ВИБУЛО2!LV9</f>
        <v>0</v>
      </c>
      <c r="ALI17" s="97" t="n">
        <f aca="false">ALI16-ALH17+ALG17</f>
        <v>0</v>
      </c>
      <c r="ALJ17" s="95" t="n">
        <f aca="false">[1]НАДІЙШЛО2!LW9</f>
        <v>0</v>
      </c>
      <c r="ALK17" s="96" t="n">
        <f aca="false">[1]ВИБУЛО2!LW9</f>
        <v>0</v>
      </c>
      <c r="ALL17" s="97" t="n">
        <f aca="false">ALL16-ALK17+ALJ17</f>
        <v>0</v>
      </c>
      <c r="ALM17" s="95" t="n">
        <f aca="false">[1]НАДІЙШЛО2!LX9</f>
        <v>0</v>
      </c>
      <c r="ALN17" s="96" t="n">
        <f aca="false">[1]ВИБУЛО2!LX9</f>
        <v>0</v>
      </c>
      <c r="ALO17" s="97" t="n">
        <f aca="false">ALO16-ALN17+ALM17</f>
        <v>0</v>
      </c>
      <c r="ALP17" s="95" t="n">
        <f aca="false">[1]НАДІЙШЛО2!LY9</f>
        <v>0</v>
      </c>
      <c r="ALQ17" s="96" t="n">
        <f aca="false">[1]ВИБУЛО2!LY9</f>
        <v>0</v>
      </c>
      <c r="ALR17" s="97" t="n">
        <f aca="false">ALR16-ALQ17+ALP17</f>
        <v>0</v>
      </c>
      <c r="ALS17" s="95" t="n">
        <f aca="false">[1]НАДІЙШЛО2!LZ9</f>
        <v>0</v>
      </c>
      <c r="ALT17" s="96" t="n">
        <f aca="false">[1]ВИБУЛО2!LZ9</f>
        <v>0</v>
      </c>
      <c r="ALU17" s="97" t="n">
        <f aca="false">ALU16-ALT17+ALS17</f>
        <v>0</v>
      </c>
      <c r="ALV17" s="95" t="n">
        <f aca="false">[1]НАДІЙШЛО2!MA9</f>
        <v>0</v>
      </c>
      <c r="ALW17" s="96" t="n">
        <f aca="false">[1]ВИБУЛО2!MA9</f>
        <v>0</v>
      </c>
      <c r="ALX17" s="97" t="n">
        <f aca="false">ALX16-ALW17+ALV17</f>
        <v>0</v>
      </c>
      <c r="ALY17" s="95" t="n">
        <f aca="false">[1]НАДІЙШЛО2!MB9</f>
        <v>0</v>
      </c>
      <c r="ALZ17" s="96" t="n">
        <f aca="false">[1]ВИБУЛО2!MB9</f>
        <v>0</v>
      </c>
      <c r="AMA17" s="97" t="n">
        <f aca="false">AMA16-ALZ17+ALY17</f>
        <v>0</v>
      </c>
      <c r="AMB17" s="95" t="n">
        <f aca="false">[1]НАДІЙШЛО2!MC9</f>
        <v>0</v>
      </c>
      <c r="AMC17" s="96" t="n">
        <f aca="false">[1]ВИБУЛО2!MC9</f>
        <v>0</v>
      </c>
      <c r="AMD17" s="97" t="n">
        <f aca="false">AMD16-AMC17+AMB17</f>
        <v>0</v>
      </c>
      <c r="AME17" s="95" t="n">
        <f aca="false">[1]НАДІЙШЛО2!MD9</f>
        <v>0</v>
      </c>
      <c r="AMF17" s="96" t="n">
        <f aca="false">[1]ВИБУЛО2!MD9</f>
        <v>0</v>
      </c>
      <c r="AMG17" s="97" t="n">
        <f aca="false">AMG16-AMF17+AME17</f>
        <v>0</v>
      </c>
      <c r="AMH17" s="95" t="n">
        <f aca="false">[1]НАДІЙШЛО2!ME9</f>
        <v>0</v>
      </c>
      <c r="AMI17" s="96" t="n">
        <f aca="false">[1]ВИБУЛО2!ME9</f>
        <v>0</v>
      </c>
      <c r="AMJ17" s="97" t="n">
        <f aca="false">AMJ16-AMI17+AMH17</f>
        <v>0</v>
      </c>
    </row>
    <row r="18" s="99" customFormat="true" ht="16.5" hidden="false" customHeight="false" outlineLevel="0" collapsed="false">
      <c r="A18" s="98"/>
      <c r="D18" s="103"/>
      <c r="E18" s="95" t="n">
        <f aca="false">[1]НАДІЙШЛО2!D10</f>
        <v>0</v>
      </c>
      <c r="F18" s="96" t="n">
        <f aca="false">[1]ВИБУЛО2!D10</f>
        <v>0</v>
      </c>
      <c r="G18" s="97" t="n">
        <f aca="false">G17-F18+E18</f>
        <v>0</v>
      </c>
      <c r="H18" s="95" t="n">
        <f aca="false">[1]НАДІЙШЛО2!E10</f>
        <v>0</v>
      </c>
      <c r="I18" s="96" t="n">
        <f aca="false">[1]ВИБУЛО2!E10</f>
        <v>0</v>
      </c>
      <c r="J18" s="97" t="n">
        <f aca="false">J17-I18+H18</f>
        <v>0</v>
      </c>
      <c r="K18" s="95" t="n">
        <f aca="false">[1]НАДІЙШЛО2!F10</f>
        <v>0</v>
      </c>
      <c r="L18" s="96" t="n">
        <f aca="false">[1]ВИБУЛО2!F10</f>
        <v>0</v>
      </c>
      <c r="M18" s="97" t="n">
        <f aca="false">M17-L18+K18</f>
        <v>2.06</v>
      </c>
      <c r="N18" s="95" t="n">
        <f aca="false">[1]НАДІЙШЛО2!G10</f>
        <v>0</v>
      </c>
      <c r="O18" s="96" t="n">
        <f aca="false">[1]ВИБУЛО2!G10</f>
        <v>0</v>
      </c>
      <c r="P18" s="97" t="n">
        <f aca="false">P17-O18+N18</f>
        <v>0</v>
      </c>
      <c r="Q18" s="95" t="n">
        <f aca="false">[1]НАДІЙШЛО2!H10</f>
        <v>0</v>
      </c>
      <c r="R18" s="96" t="n">
        <f aca="false">[1]ВИБУЛО2!H10</f>
        <v>0</v>
      </c>
      <c r="S18" s="97" t="n">
        <f aca="false">S17-R18+Q18</f>
        <v>0</v>
      </c>
      <c r="T18" s="95" t="n">
        <f aca="false">[1]НАДІЙШЛО2!I10</f>
        <v>0</v>
      </c>
      <c r="U18" s="96" t="n">
        <f aca="false">[1]ВИБУЛО2!I10</f>
        <v>0</v>
      </c>
      <c r="V18" s="97" t="n">
        <f aca="false">V17-U18+T18</f>
        <v>0</v>
      </c>
      <c r="W18" s="95" t="n">
        <f aca="false">[1]НАДІЙШЛО2!J10</f>
        <v>0</v>
      </c>
      <c r="X18" s="96" t="n">
        <f aca="false">[1]ВИБУЛО2!J10</f>
        <v>0</v>
      </c>
      <c r="Y18" s="97" t="n">
        <f aca="false">Y17-X18+W18</f>
        <v>0</v>
      </c>
      <c r="Z18" s="95" t="n">
        <f aca="false">[1]НАДІЙШЛО2!K10</f>
        <v>0</v>
      </c>
      <c r="AA18" s="96" t="n">
        <f aca="false">[1]ВИБУЛО2!K10</f>
        <v>0</v>
      </c>
      <c r="AB18" s="97" t="n">
        <f aca="false">AB17-AA18+Z18</f>
        <v>0</v>
      </c>
      <c r="AC18" s="95" t="n">
        <f aca="false">[1]НАДІЙШЛО2!L10</f>
        <v>0</v>
      </c>
      <c r="AD18" s="96" t="n">
        <f aca="false">[1]ВИБУЛО2!L10</f>
        <v>0</v>
      </c>
      <c r="AE18" s="97" t="n">
        <f aca="false">AE17-AD18+AC18</f>
        <v>0</v>
      </c>
      <c r="AF18" s="95" t="n">
        <f aca="false">[1]НАДІЙШЛО2!M10</f>
        <v>0</v>
      </c>
      <c r="AG18" s="96" t="n">
        <f aca="false">[1]ВИБУЛО2!M10</f>
        <v>0</v>
      </c>
      <c r="AH18" s="97" t="n">
        <f aca="false">AH17-AG18+AF18</f>
        <v>0</v>
      </c>
      <c r="AI18" s="95" t="n">
        <f aca="false">[1]НАДІЙШЛО2!N10</f>
        <v>0</v>
      </c>
      <c r="AJ18" s="96" t="n">
        <f aca="false">[1]ВИБУЛО2!N10</f>
        <v>0</v>
      </c>
      <c r="AK18" s="97" t="n">
        <f aca="false">AK17-AJ18+AI18</f>
        <v>0</v>
      </c>
      <c r="AL18" s="95" t="n">
        <f aca="false">[1]НАДІЙШЛО2!O10</f>
        <v>0</v>
      </c>
      <c r="AM18" s="96" t="n">
        <f aca="false">[1]ВИБУЛО2!O10</f>
        <v>0</v>
      </c>
      <c r="AN18" s="97" t="n">
        <f aca="false">AN17-AM18+AL18</f>
        <v>0</v>
      </c>
      <c r="AO18" s="95" t="n">
        <f aca="false">[1]НАДІЙШЛО2!P10</f>
        <v>0</v>
      </c>
      <c r="AP18" s="96" t="n">
        <f aca="false">[1]ВИБУЛО2!P10</f>
        <v>0</v>
      </c>
      <c r="AQ18" s="97" t="n">
        <f aca="false">AQ17-AP18+AO18</f>
        <v>0</v>
      </c>
      <c r="AR18" s="95" t="n">
        <f aca="false">[1]НАДІЙШЛО2!Q10</f>
        <v>0</v>
      </c>
      <c r="AS18" s="96" t="n">
        <f aca="false">[1]ВИБУЛО2!Q10</f>
        <v>0</v>
      </c>
      <c r="AT18" s="97" t="n">
        <f aca="false">AT17-AS18+AR18</f>
        <v>0</v>
      </c>
      <c r="AU18" s="95" t="n">
        <f aca="false">[1]НАДІЙШЛО2!R10</f>
        <v>0</v>
      </c>
      <c r="AV18" s="96" t="n">
        <f aca="false">[1]ВИБУЛО2!R10</f>
        <v>0</v>
      </c>
      <c r="AW18" s="97" t="n">
        <f aca="false">AW17-AV18+AU18</f>
        <v>0</v>
      </c>
      <c r="AX18" s="95" t="n">
        <f aca="false">[1]НАДІЙШЛО2!S10</f>
        <v>0</v>
      </c>
      <c r="AY18" s="96" t="n">
        <f aca="false">[1]ВИБУЛО2!S10</f>
        <v>0</v>
      </c>
      <c r="AZ18" s="97" t="n">
        <f aca="false">AZ17-AY18+AX18</f>
        <v>0</v>
      </c>
      <c r="BA18" s="95" t="n">
        <f aca="false">[1]НАДІЙШЛО2!T10</f>
        <v>0</v>
      </c>
      <c r="BB18" s="96" t="n">
        <f aca="false">[1]ВИБУЛО2!T10</f>
        <v>0</v>
      </c>
      <c r="BC18" s="97" t="n">
        <f aca="false">BC17-BB18+BA18</f>
        <v>0</v>
      </c>
      <c r="BD18" s="95" t="n">
        <f aca="false">[1]НАДІЙШЛО2!U10</f>
        <v>0</v>
      </c>
      <c r="BE18" s="96" t="n">
        <f aca="false">[1]ВИБУЛО2!U10</f>
        <v>0</v>
      </c>
      <c r="BF18" s="97" t="n">
        <f aca="false">BF17-BE18+BD18</f>
        <v>0</v>
      </c>
      <c r="BG18" s="95" t="n">
        <f aca="false">[1]НАДІЙШЛО2!V10</f>
        <v>0</v>
      </c>
      <c r="BH18" s="96" t="n">
        <f aca="false">[1]ВИБУЛО2!V10</f>
        <v>0</v>
      </c>
      <c r="BI18" s="97" t="n">
        <f aca="false">BI17-BH18+BG18</f>
        <v>0</v>
      </c>
      <c r="BJ18" s="95" t="n">
        <f aca="false">[1]НАДІЙШЛО2!W10</f>
        <v>0</v>
      </c>
      <c r="BK18" s="96" t="n">
        <f aca="false">[1]ВИБУЛО2!W10</f>
        <v>0</v>
      </c>
      <c r="BL18" s="97" t="n">
        <f aca="false">BL17-BK18+BJ18</f>
        <v>0</v>
      </c>
      <c r="BM18" s="95" t="n">
        <f aca="false">[1]НАДІЙШЛО2!X10</f>
        <v>0</v>
      </c>
      <c r="BN18" s="96" t="n">
        <f aca="false">[1]ВИБУЛО2!X10</f>
        <v>0</v>
      </c>
      <c r="BO18" s="97" t="n">
        <f aca="false">BO17-BN18+BM18</f>
        <v>0</v>
      </c>
      <c r="BP18" s="95" t="n">
        <f aca="false">[1]НАДІЙШЛО2!Y10</f>
        <v>0</v>
      </c>
      <c r="BQ18" s="96" t="n">
        <f aca="false">[1]ВИБУЛО2!Y10</f>
        <v>0</v>
      </c>
      <c r="BR18" s="97" t="n">
        <f aca="false">BR17-BQ18+BP18</f>
        <v>0</v>
      </c>
      <c r="BS18" s="95" t="n">
        <f aca="false">[1]НАДІЙШЛО2!Z10</f>
        <v>0</v>
      </c>
      <c r="BT18" s="96" t="n">
        <f aca="false">[1]ВИБУЛО2!Z10</f>
        <v>0</v>
      </c>
      <c r="BU18" s="97" t="n">
        <f aca="false">BU17-BT18+BS18</f>
        <v>0</v>
      </c>
      <c r="BV18" s="95" t="n">
        <f aca="false">[1]НАДІЙШЛО2!AA10</f>
        <v>0</v>
      </c>
      <c r="BW18" s="96" t="n">
        <f aca="false">[1]ВИБУЛО2!AA10</f>
        <v>0</v>
      </c>
      <c r="BX18" s="97" t="n">
        <f aca="false">BX17-BW18+BV18</f>
        <v>0</v>
      </c>
      <c r="BY18" s="95" t="n">
        <f aca="false">[1]НАДІЙШЛО2!AB10</f>
        <v>0</v>
      </c>
      <c r="BZ18" s="96" t="n">
        <f aca="false">[1]ВИБУЛО2!AB10</f>
        <v>0</v>
      </c>
      <c r="CA18" s="97" t="n">
        <f aca="false">CA17-BZ18+BY18</f>
        <v>0</v>
      </c>
      <c r="CB18" s="95" t="n">
        <f aca="false">[1]НАДІЙШЛО2!AC10</f>
        <v>0</v>
      </c>
      <c r="CC18" s="96" t="n">
        <f aca="false">[1]ВИБУЛО2!AC10</f>
        <v>0</v>
      </c>
      <c r="CD18" s="97" t="n">
        <f aca="false">CD17-CC18+CB18</f>
        <v>0</v>
      </c>
      <c r="CE18" s="95" t="n">
        <f aca="false">[1]НАДІЙШЛО2!AD10</f>
        <v>0</v>
      </c>
      <c r="CF18" s="96" t="n">
        <f aca="false">[1]ВИБУЛО2!AD10</f>
        <v>0</v>
      </c>
      <c r="CG18" s="97" t="n">
        <f aca="false">CG17-CF18+CE18</f>
        <v>0</v>
      </c>
      <c r="CH18" s="95" t="n">
        <f aca="false">[1]НАДІЙШЛО2!AE10</f>
        <v>0</v>
      </c>
      <c r="CI18" s="96" t="n">
        <f aca="false">[1]ВИБУЛО2!AE10</f>
        <v>0</v>
      </c>
      <c r="CJ18" s="97" t="n">
        <f aca="false">CJ17-CI18+CH18</f>
        <v>0</v>
      </c>
      <c r="CK18" s="95" t="n">
        <f aca="false">[1]НАДІЙШЛО2!AF10</f>
        <v>0</v>
      </c>
      <c r="CL18" s="96" t="n">
        <f aca="false">[1]ВИБУЛО2!AF10</f>
        <v>0</v>
      </c>
      <c r="CM18" s="97" t="n">
        <f aca="false">CM17-CL18+CK18</f>
        <v>0</v>
      </c>
      <c r="CN18" s="95" t="n">
        <f aca="false">[1]НАДІЙШЛО2!AG10</f>
        <v>0</v>
      </c>
      <c r="CO18" s="96" t="n">
        <f aca="false">[1]ВИБУЛО2!AG10</f>
        <v>0</v>
      </c>
      <c r="CP18" s="97" t="n">
        <f aca="false">CP17-CO18+CN18</f>
        <v>0</v>
      </c>
      <c r="CQ18" s="95" t="n">
        <f aca="false">[1]НАДІЙШЛО2!AH10</f>
        <v>0</v>
      </c>
      <c r="CR18" s="96" t="n">
        <f aca="false">[1]ВИБУЛО2!AH10</f>
        <v>0</v>
      </c>
      <c r="CS18" s="97" t="n">
        <f aca="false">CS17-CR18+CQ18</f>
        <v>0</v>
      </c>
      <c r="CT18" s="95" t="n">
        <f aca="false">[1]НАДІЙШЛО2!AI10</f>
        <v>0</v>
      </c>
      <c r="CU18" s="96" t="n">
        <f aca="false">[1]ВИБУЛО2!AI10</f>
        <v>0</v>
      </c>
      <c r="CV18" s="97" t="n">
        <f aca="false">CV17-CU18+CT18</f>
        <v>0</v>
      </c>
      <c r="CW18" s="95" t="n">
        <f aca="false">[1]НАДІЙШЛО2!AJ10</f>
        <v>0</v>
      </c>
      <c r="CX18" s="96" t="n">
        <f aca="false">[1]ВИБУЛО2!AJ10</f>
        <v>0</v>
      </c>
      <c r="CY18" s="97" t="n">
        <f aca="false">CY17-CX18+CW18</f>
        <v>0</v>
      </c>
      <c r="CZ18" s="95" t="n">
        <f aca="false">[1]НАДІЙШЛО2!AK10</f>
        <v>0</v>
      </c>
      <c r="DA18" s="96" t="n">
        <f aca="false">[1]ВИБУЛО2!AK10</f>
        <v>0</v>
      </c>
      <c r="DB18" s="97" t="n">
        <f aca="false">DB17-DA18+CZ18</f>
        <v>0</v>
      </c>
      <c r="DC18" s="95" t="n">
        <f aca="false">[1]НАДІЙШЛО2!AL10</f>
        <v>0</v>
      </c>
      <c r="DD18" s="96" t="n">
        <f aca="false">[1]ВИБУЛО2!AL10</f>
        <v>0</v>
      </c>
      <c r="DE18" s="97" t="n">
        <f aca="false">DE17-DD18+DC18</f>
        <v>0</v>
      </c>
      <c r="DF18" s="95" t="n">
        <f aca="false">[1]НАДІЙШЛО2!AM10</f>
        <v>0</v>
      </c>
      <c r="DG18" s="96" t="n">
        <f aca="false">[1]ВИБУЛО2!AM10</f>
        <v>0</v>
      </c>
      <c r="DH18" s="97" t="n">
        <f aca="false">DH17-DG18+DF18</f>
        <v>0</v>
      </c>
      <c r="DI18" s="95" t="n">
        <f aca="false">[1]НАДІЙШЛО2!AN10</f>
        <v>0</v>
      </c>
      <c r="DJ18" s="96" t="n">
        <f aca="false">[1]ВИБУЛО2!AN10</f>
        <v>0</v>
      </c>
      <c r="DK18" s="97" t="n">
        <f aca="false">DK17-DJ18+DI18</f>
        <v>0</v>
      </c>
      <c r="DL18" s="95" t="n">
        <f aca="false">[1]НАДІЙШЛО2!AO10</f>
        <v>0</v>
      </c>
      <c r="DM18" s="96" t="n">
        <f aca="false">[1]ВИБУЛО2!AO10</f>
        <v>0</v>
      </c>
      <c r="DN18" s="97" t="n">
        <f aca="false">DN17-DM18+DL18</f>
        <v>0</v>
      </c>
      <c r="DO18" s="95" t="n">
        <f aca="false">[1]НАДІЙШЛО2!AP10</f>
        <v>0</v>
      </c>
      <c r="DP18" s="96" t="n">
        <f aca="false">[1]ВИБУЛО2!AP10</f>
        <v>0</v>
      </c>
      <c r="DQ18" s="97" t="n">
        <f aca="false">DQ17-DP18+DO18</f>
        <v>0</v>
      </c>
      <c r="DR18" s="95" t="n">
        <f aca="false">[1]НАДІЙШЛО2!AQ10</f>
        <v>0</v>
      </c>
      <c r="DS18" s="96" t="n">
        <f aca="false">[1]ВИБУЛО2!AQ10</f>
        <v>0</v>
      </c>
      <c r="DT18" s="97" t="n">
        <f aca="false">DT17-DS18+DR18</f>
        <v>0</v>
      </c>
      <c r="DU18" s="95" t="n">
        <f aca="false">[1]НАДІЙШЛО2!AR10</f>
        <v>0</v>
      </c>
      <c r="DV18" s="96" t="n">
        <f aca="false">[1]ВИБУЛО2!AR10</f>
        <v>0</v>
      </c>
      <c r="DW18" s="97" t="n">
        <f aca="false">DW17-DV18+DU18</f>
        <v>0</v>
      </c>
      <c r="DX18" s="95" t="n">
        <f aca="false">[1]НАДІЙШЛО2!AS10</f>
        <v>0</v>
      </c>
      <c r="DY18" s="96" t="n">
        <f aca="false">[1]ВИБУЛО2!AS10</f>
        <v>0</v>
      </c>
      <c r="DZ18" s="97" t="n">
        <f aca="false">DZ17-DY18+DX18</f>
        <v>0</v>
      </c>
      <c r="EA18" s="95" t="n">
        <f aca="false">[1]НАДІЙШЛО2!AT10</f>
        <v>0</v>
      </c>
      <c r="EB18" s="96" t="n">
        <f aca="false">[1]ВИБУЛО2!AT10</f>
        <v>0</v>
      </c>
      <c r="EC18" s="97" t="n">
        <f aca="false">EC17-EB18+EA18</f>
        <v>0</v>
      </c>
      <c r="ED18" s="95" t="n">
        <f aca="false">[1]НАДІЙШЛО2!AU10</f>
        <v>0</v>
      </c>
      <c r="EE18" s="96" t="n">
        <f aca="false">[1]ВИБУЛО2!AU10</f>
        <v>0</v>
      </c>
      <c r="EF18" s="97" t="n">
        <f aca="false">EF17-EE18+ED18</f>
        <v>0</v>
      </c>
      <c r="EG18" s="95" t="n">
        <f aca="false">[1]НАДІЙШЛО2!AV10</f>
        <v>0</v>
      </c>
      <c r="EH18" s="96" t="n">
        <f aca="false">[1]ВИБУЛО2!AV10</f>
        <v>0</v>
      </c>
      <c r="EI18" s="97" t="n">
        <f aca="false">EI17-EH18+EG18</f>
        <v>0</v>
      </c>
      <c r="EJ18" s="95" t="n">
        <f aca="false">[1]НАДІЙШЛО2!AW10</f>
        <v>0</v>
      </c>
      <c r="EK18" s="96" t="n">
        <f aca="false">[1]ВИБУЛО2!AW10</f>
        <v>0</v>
      </c>
      <c r="EL18" s="97" t="n">
        <f aca="false">EL17-EK18+EJ18</f>
        <v>0</v>
      </c>
      <c r="EM18" s="95" t="n">
        <f aca="false">[1]НАДІЙШЛО2!AX10</f>
        <v>0</v>
      </c>
      <c r="EN18" s="96" t="n">
        <f aca="false">[1]ВИБУЛО2!AX10</f>
        <v>0</v>
      </c>
      <c r="EO18" s="97" t="n">
        <f aca="false">EO17-EN18+EM18</f>
        <v>0</v>
      </c>
      <c r="EP18" s="95" t="n">
        <f aca="false">[1]НАДІЙШЛО2!AY10</f>
        <v>0</v>
      </c>
      <c r="EQ18" s="96" t="n">
        <f aca="false">[1]ВИБУЛО2!AY10</f>
        <v>0</v>
      </c>
      <c r="ER18" s="97" t="n">
        <f aca="false">ER17-EQ18+EP18</f>
        <v>0</v>
      </c>
      <c r="ES18" s="95" t="n">
        <f aca="false">[1]НАДІЙШЛО2!AZ10</f>
        <v>0</v>
      </c>
      <c r="ET18" s="96" t="n">
        <f aca="false">[1]ВИБУЛО2!AZ10</f>
        <v>0</v>
      </c>
      <c r="EU18" s="97" t="n">
        <f aca="false">EU17-ET18+ES18</f>
        <v>0</v>
      </c>
      <c r="EV18" s="95" t="n">
        <f aca="false">[1]НАДІЙШЛО2!BA10</f>
        <v>0</v>
      </c>
      <c r="EW18" s="96" t="n">
        <f aca="false">[1]ВИБУЛО2!BA10</f>
        <v>0</v>
      </c>
      <c r="EX18" s="97" t="n">
        <f aca="false">EX17-EW18+EV18</f>
        <v>0</v>
      </c>
      <c r="EY18" s="95" t="n">
        <f aca="false">[1]НАДІЙШЛО2!BB10</f>
        <v>0</v>
      </c>
      <c r="EZ18" s="96" t="n">
        <f aca="false">[1]ВИБУЛО2!BB10</f>
        <v>0</v>
      </c>
      <c r="FA18" s="97" t="n">
        <f aca="false">FA17-EZ18+EY18</f>
        <v>0</v>
      </c>
      <c r="FB18" s="95" t="n">
        <f aca="false">[1]НАДІЙШЛО2!BC10</f>
        <v>0</v>
      </c>
      <c r="FC18" s="96" t="n">
        <f aca="false">[1]ВИБУЛО2!BC10</f>
        <v>0</v>
      </c>
      <c r="FD18" s="97" t="n">
        <f aca="false">FD17-FC18+FB18</f>
        <v>0</v>
      </c>
      <c r="FE18" s="95" t="n">
        <f aca="false">[1]НАДІЙШЛО2!BD10</f>
        <v>0</v>
      </c>
      <c r="FF18" s="96" t="n">
        <f aca="false">[1]ВИБУЛО2!BD10</f>
        <v>0</v>
      </c>
      <c r="FG18" s="97" t="n">
        <f aca="false">FG17-FF18+FE18</f>
        <v>0</v>
      </c>
      <c r="FH18" s="95" t="n">
        <f aca="false">[1]НАДІЙШЛО2!BE10</f>
        <v>0</v>
      </c>
      <c r="FI18" s="96" t="n">
        <f aca="false">[1]ВИБУЛО2!BE10</f>
        <v>0</v>
      </c>
      <c r="FJ18" s="97" t="n">
        <f aca="false">FJ17-FI18+FH18</f>
        <v>0</v>
      </c>
      <c r="FK18" s="95" t="n">
        <f aca="false">[1]НАДІЙШЛО2!BF10</f>
        <v>0</v>
      </c>
      <c r="FL18" s="96" t="n">
        <f aca="false">[1]ВИБУЛО2!BF10</f>
        <v>0</v>
      </c>
      <c r="FM18" s="97" t="n">
        <f aca="false">FM17-FL18+FK18</f>
        <v>0</v>
      </c>
      <c r="FN18" s="95" t="n">
        <f aca="false">[1]НАДІЙШЛО2!BG10</f>
        <v>0</v>
      </c>
      <c r="FO18" s="96" t="n">
        <f aca="false">[1]ВИБУЛО2!BG10</f>
        <v>0</v>
      </c>
      <c r="FP18" s="97" t="n">
        <f aca="false">FP17-FO18+FN18</f>
        <v>0</v>
      </c>
      <c r="FQ18" s="95" t="n">
        <f aca="false">[1]НАДІЙШЛО2!BH10</f>
        <v>0</v>
      </c>
      <c r="FR18" s="96" t="n">
        <f aca="false">[1]ВИБУЛО2!BH10</f>
        <v>0</v>
      </c>
      <c r="FS18" s="97" t="n">
        <f aca="false">FS17-FR18+FQ18</f>
        <v>0</v>
      </c>
      <c r="FT18" s="95" t="n">
        <f aca="false">[1]НАДІЙШЛО2!BI10</f>
        <v>0</v>
      </c>
      <c r="FU18" s="96" t="n">
        <f aca="false">[1]ВИБУЛО2!BI10</f>
        <v>0</v>
      </c>
      <c r="FV18" s="97" t="n">
        <f aca="false">FV17-FU18+FT18</f>
        <v>0</v>
      </c>
      <c r="FW18" s="95" t="n">
        <f aca="false">[1]НАДІЙШЛО2!BJ10</f>
        <v>0</v>
      </c>
      <c r="FX18" s="96" t="n">
        <f aca="false">[1]ВИБУЛО2!BJ10</f>
        <v>0</v>
      </c>
      <c r="FY18" s="97" t="n">
        <f aca="false">FY17-FX18+FW18</f>
        <v>0</v>
      </c>
      <c r="FZ18" s="95" t="n">
        <f aca="false">[1]НАДІЙШЛО2!BK10</f>
        <v>0</v>
      </c>
      <c r="GA18" s="96" t="n">
        <f aca="false">[1]ВИБУЛО2!BK10</f>
        <v>0</v>
      </c>
      <c r="GB18" s="97" t="n">
        <f aca="false">GB17-GA18+FZ18</f>
        <v>0</v>
      </c>
      <c r="GC18" s="95" t="n">
        <f aca="false">[1]НАДІЙШЛО2!BL10</f>
        <v>0</v>
      </c>
      <c r="GD18" s="96" t="n">
        <f aca="false">[1]ВИБУЛО2!BL10</f>
        <v>0</v>
      </c>
      <c r="GE18" s="97" t="n">
        <f aca="false">GE17-GD18+GC18</f>
        <v>0</v>
      </c>
      <c r="GF18" s="95" t="n">
        <f aca="false">[1]НАДІЙШЛО2!BM10</f>
        <v>0</v>
      </c>
      <c r="GG18" s="96" t="n">
        <f aca="false">[1]ВИБУЛО2!BM10</f>
        <v>0</v>
      </c>
      <c r="GH18" s="97" t="n">
        <f aca="false">GH17-GG18+GF18</f>
        <v>0</v>
      </c>
      <c r="GI18" s="95" t="n">
        <f aca="false">[1]НАДІЙШЛО2!BN10</f>
        <v>0</v>
      </c>
      <c r="GJ18" s="96" t="n">
        <f aca="false">[1]ВИБУЛО2!BN10</f>
        <v>0</v>
      </c>
      <c r="GK18" s="97" t="n">
        <f aca="false">GK17-GJ18+GI18</f>
        <v>0</v>
      </c>
      <c r="GL18" s="95" t="n">
        <f aca="false">[1]НАДІЙШЛО2!BO10</f>
        <v>0</v>
      </c>
      <c r="GM18" s="96" t="n">
        <f aca="false">[1]ВИБУЛО2!BO10</f>
        <v>0</v>
      </c>
      <c r="GN18" s="97" t="n">
        <f aca="false">GN17-GM18+GL18</f>
        <v>0</v>
      </c>
      <c r="GO18" s="95" t="n">
        <f aca="false">[1]НАДІЙШЛО2!BP10</f>
        <v>0</v>
      </c>
      <c r="GP18" s="96" t="n">
        <f aca="false">[1]ВИБУЛО2!BP10</f>
        <v>0</v>
      </c>
      <c r="GQ18" s="97" t="n">
        <f aca="false">GQ17-GP18+GO18</f>
        <v>0</v>
      </c>
      <c r="GR18" s="95" t="n">
        <f aca="false">[1]НАДІЙШЛО2!BQ10</f>
        <v>0</v>
      </c>
      <c r="GS18" s="96" t="n">
        <f aca="false">[1]ВИБУЛО2!BQ10</f>
        <v>0</v>
      </c>
      <c r="GT18" s="97" t="n">
        <f aca="false">GT17-GS18+GR18</f>
        <v>0</v>
      </c>
      <c r="GU18" s="95" t="n">
        <f aca="false">[1]НАДІЙШЛО2!BR10</f>
        <v>0</v>
      </c>
      <c r="GV18" s="96" t="n">
        <f aca="false">[1]ВИБУЛО2!BR10</f>
        <v>0</v>
      </c>
      <c r="GW18" s="97" t="n">
        <f aca="false">GW17-GV18+GU18</f>
        <v>0</v>
      </c>
      <c r="GX18" s="95" t="n">
        <f aca="false">[1]НАДІЙШЛО2!BS10</f>
        <v>0</v>
      </c>
      <c r="GY18" s="96" t="n">
        <f aca="false">[1]ВИБУЛО2!BS10</f>
        <v>0</v>
      </c>
      <c r="GZ18" s="97" t="n">
        <f aca="false">GZ17-GY18+GX18</f>
        <v>0</v>
      </c>
      <c r="HA18" s="95" t="n">
        <f aca="false">[1]НАДІЙШЛО2!BT10</f>
        <v>0</v>
      </c>
      <c r="HB18" s="96" t="n">
        <f aca="false">[1]ВИБУЛО2!BT10</f>
        <v>0</v>
      </c>
      <c r="HC18" s="97" t="n">
        <f aca="false">HC17-HB18+HA18</f>
        <v>0</v>
      </c>
      <c r="HD18" s="95" t="n">
        <f aca="false">[1]НАДІЙШЛО2!BU10</f>
        <v>0</v>
      </c>
      <c r="HE18" s="96" t="n">
        <f aca="false">[1]ВИБУЛО2!BU10</f>
        <v>0</v>
      </c>
      <c r="HF18" s="97" t="n">
        <f aca="false">HF17-HE18+HD18</f>
        <v>0</v>
      </c>
      <c r="HG18" s="95" t="n">
        <f aca="false">[1]НАДІЙШЛО2!BV10</f>
        <v>0</v>
      </c>
      <c r="HH18" s="96" t="n">
        <f aca="false">[1]ВИБУЛО2!BV10</f>
        <v>0</v>
      </c>
      <c r="HI18" s="97" t="n">
        <f aca="false">HI17-HH18+HG18</f>
        <v>0</v>
      </c>
      <c r="HJ18" s="95" t="n">
        <f aca="false">[1]НАДІЙШЛО2!BW10</f>
        <v>0</v>
      </c>
      <c r="HK18" s="96" t="n">
        <f aca="false">[1]ВИБУЛО2!BW10</f>
        <v>0</v>
      </c>
      <c r="HL18" s="97" t="n">
        <f aca="false">HL17-HK18+HJ18</f>
        <v>0</v>
      </c>
      <c r="HM18" s="95" t="n">
        <f aca="false">[1]НАДІЙШЛО2!BX10</f>
        <v>0</v>
      </c>
      <c r="HN18" s="96" t="n">
        <f aca="false">[1]ВИБУЛО2!BX10</f>
        <v>0</v>
      </c>
      <c r="HO18" s="97" t="n">
        <f aca="false">HO17-HN18+HM18</f>
        <v>0</v>
      </c>
      <c r="HP18" s="95" t="n">
        <f aca="false">[1]НАДІЙШЛО2!BY10</f>
        <v>0</v>
      </c>
      <c r="HQ18" s="96" t="n">
        <f aca="false">[1]ВИБУЛО2!BY10</f>
        <v>0</v>
      </c>
      <c r="HR18" s="97" t="n">
        <f aca="false">HR17-HQ18+HP18</f>
        <v>0</v>
      </c>
      <c r="HS18" s="95" t="n">
        <f aca="false">[1]НАДІЙШЛО2!BZ10</f>
        <v>0</v>
      </c>
      <c r="HT18" s="96" t="n">
        <f aca="false">[1]ВИБУЛО2!BZ10</f>
        <v>0</v>
      </c>
      <c r="HU18" s="97" t="n">
        <f aca="false">HU17-HT18+HS18</f>
        <v>0</v>
      </c>
      <c r="HV18" s="95" t="n">
        <f aca="false">[1]НАДІЙШЛО2!CA10</f>
        <v>0</v>
      </c>
      <c r="HW18" s="96" t="n">
        <f aca="false">[1]ВИБУЛО2!CA10</f>
        <v>0</v>
      </c>
      <c r="HX18" s="97" t="n">
        <f aca="false">HX17-HW18+HV18</f>
        <v>0</v>
      </c>
      <c r="HY18" s="95" t="n">
        <f aca="false">[1]НАДІЙШЛО2!CB10</f>
        <v>0</v>
      </c>
      <c r="HZ18" s="96" t="n">
        <f aca="false">[1]ВИБУЛО2!CB10</f>
        <v>0</v>
      </c>
      <c r="IA18" s="97" t="n">
        <f aca="false">IA17-HZ18+HY18</f>
        <v>0</v>
      </c>
      <c r="IB18" s="95" t="n">
        <f aca="false">[1]НАДІЙШЛО2!CC10</f>
        <v>0</v>
      </c>
      <c r="IC18" s="96" t="n">
        <f aca="false">[1]ВИБУЛО2!CC10</f>
        <v>0</v>
      </c>
      <c r="ID18" s="97" t="n">
        <f aca="false">ID17-IC18+IB18</f>
        <v>0</v>
      </c>
      <c r="IE18" s="95" t="n">
        <f aca="false">[1]НАДІЙШЛО2!CD10</f>
        <v>0</v>
      </c>
      <c r="IF18" s="96" t="n">
        <f aca="false">[1]ВИБУЛО2!CD10</f>
        <v>0</v>
      </c>
      <c r="IG18" s="97" t="n">
        <f aca="false">IG17-IF18+IE18</f>
        <v>0</v>
      </c>
      <c r="IH18" s="95" t="n">
        <f aca="false">[1]НАДІЙШЛО2!CE10</f>
        <v>0</v>
      </c>
      <c r="II18" s="96" t="n">
        <f aca="false">[1]ВИБУЛО2!CE10</f>
        <v>0</v>
      </c>
      <c r="IJ18" s="97" t="n">
        <f aca="false">IJ17-II18+IH18</f>
        <v>0</v>
      </c>
      <c r="IK18" s="95" t="n">
        <f aca="false">[1]НАДІЙШЛО2!CF10</f>
        <v>0</v>
      </c>
      <c r="IL18" s="96" t="n">
        <f aca="false">[1]ВИБУЛО2!CF10</f>
        <v>0</v>
      </c>
      <c r="IM18" s="97" t="n">
        <f aca="false">IM17-IL18+IK18</f>
        <v>0</v>
      </c>
      <c r="IN18" s="95" t="n">
        <f aca="false">[1]НАДІЙШЛО2!CG10</f>
        <v>0</v>
      </c>
      <c r="IO18" s="96" t="n">
        <f aca="false">[1]ВИБУЛО2!CG10</f>
        <v>0</v>
      </c>
      <c r="IP18" s="97" t="n">
        <f aca="false">IP17-IO18+IN18</f>
        <v>0</v>
      </c>
      <c r="IQ18" s="95" t="n">
        <f aca="false">[1]НАДІЙШЛО2!CH10</f>
        <v>0</v>
      </c>
      <c r="IR18" s="96" t="n">
        <f aca="false">[1]ВИБУЛО2!CH10</f>
        <v>0</v>
      </c>
      <c r="IS18" s="97" t="n">
        <f aca="false">IS17-IR18+IQ18</f>
        <v>0</v>
      </c>
      <c r="IT18" s="95" t="n">
        <f aca="false">[1]НАДІЙШЛО2!CI10</f>
        <v>0</v>
      </c>
      <c r="IU18" s="96" t="n">
        <f aca="false">[1]ВИБУЛО2!CI10</f>
        <v>0</v>
      </c>
      <c r="IV18" s="97" t="n">
        <f aca="false">IV17-IU18+IT18</f>
        <v>0</v>
      </c>
      <c r="IW18" s="95" t="n">
        <f aca="false">[1]НАДІЙШЛО2!CJ10</f>
        <v>0</v>
      </c>
      <c r="IX18" s="96" t="n">
        <f aca="false">[1]ВИБУЛО2!CJ10</f>
        <v>0</v>
      </c>
      <c r="IY18" s="97" t="n">
        <f aca="false">IY17-IX18+IW18</f>
        <v>0</v>
      </c>
      <c r="IZ18" s="95" t="n">
        <f aca="false">[1]НАДІЙШЛО2!CK10</f>
        <v>0</v>
      </c>
      <c r="JA18" s="96" t="n">
        <f aca="false">[1]ВИБУЛО2!CK10</f>
        <v>0</v>
      </c>
      <c r="JB18" s="97" t="n">
        <f aca="false">JB17-JA18+IZ18</f>
        <v>0</v>
      </c>
      <c r="JC18" s="95" t="n">
        <f aca="false">[1]НАДІЙШЛО2!CL10</f>
        <v>0</v>
      </c>
      <c r="JD18" s="96" t="n">
        <f aca="false">[1]ВИБУЛО2!CL10</f>
        <v>0</v>
      </c>
      <c r="JE18" s="97" t="n">
        <f aca="false">JE17-JD18+JC18</f>
        <v>0</v>
      </c>
      <c r="JF18" s="95" t="n">
        <f aca="false">[1]НАДІЙШЛО2!CM10</f>
        <v>0</v>
      </c>
      <c r="JG18" s="96" t="n">
        <f aca="false">[1]ВИБУЛО2!CM10</f>
        <v>0</v>
      </c>
      <c r="JH18" s="97" t="n">
        <f aca="false">JH17-JG18+JF18</f>
        <v>0</v>
      </c>
      <c r="JI18" s="95" t="n">
        <f aca="false">[1]НАДІЙШЛО2!CN10</f>
        <v>0</v>
      </c>
      <c r="JJ18" s="96" t="n">
        <f aca="false">[1]ВИБУЛО2!CN10</f>
        <v>0</v>
      </c>
      <c r="JK18" s="97" t="n">
        <f aca="false">JK17-JJ18+JI18</f>
        <v>0</v>
      </c>
      <c r="JL18" s="95" t="n">
        <f aca="false">[1]НАДІЙШЛО2!CO10</f>
        <v>0</v>
      </c>
      <c r="JM18" s="96" t="n">
        <f aca="false">[1]ВИБУЛО2!CO10</f>
        <v>0</v>
      </c>
      <c r="JN18" s="97" t="n">
        <f aca="false">JN17-JM18+JL18</f>
        <v>0</v>
      </c>
      <c r="JO18" s="95" t="n">
        <f aca="false">[1]НАДІЙШЛО2!CP10</f>
        <v>0</v>
      </c>
      <c r="JP18" s="96" t="n">
        <f aca="false">[1]ВИБУЛО2!CP10</f>
        <v>0</v>
      </c>
      <c r="JQ18" s="97" t="n">
        <f aca="false">JQ17-JP18+JO18</f>
        <v>0</v>
      </c>
      <c r="JR18" s="95" t="n">
        <f aca="false">[1]НАДІЙШЛО2!CQ10</f>
        <v>0</v>
      </c>
      <c r="JS18" s="96" t="n">
        <f aca="false">[1]ВИБУЛО2!CQ10</f>
        <v>0</v>
      </c>
      <c r="JT18" s="97" t="n">
        <f aca="false">JT17-JS18+JR18</f>
        <v>0</v>
      </c>
      <c r="JU18" s="95" t="n">
        <f aca="false">[1]НАДІЙШЛО2!CR10</f>
        <v>0</v>
      </c>
      <c r="JV18" s="96" t="n">
        <f aca="false">[1]ВИБУЛО2!CR10</f>
        <v>0</v>
      </c>
      <c r="JW18" s="97" t="n">
        <f aca="false">JW17-JV18+JU18</f>
        <v>0</v>
      </c>
      <c r="JX18" s="95" t="n">
        <f aca="false">[1]НАДІЙШЛО2!CS10</f>
        <v>0</v>
      </c>
      <c r="JY18" s="96" t="n">
        <f aca="false">[1]ВИБУЛО2!CS10</f>
        <v>0</v>
      </c>
      <c r="JZ18" s="97" t="n">
        <f aca="false">JZ17-JY18+JX18</f>
        <v>0</v>
      </c>
      <c r="KA18" s="95" t="n">
        <f aca="false">[1]НАДІЙШЛО2!CT10</f>
        <v>0</v>
      </c>
      <c r="KB18" s="96" t="n">
        <f aca="false">[1]ВИБУЛО2!CT10</f>
        <v>0</v>
      </c>
      <c r="KC18" s="97" t="n">
        <f aca="false">KC17-KB18+KA18</f>
        <v>0</v>
      </c>
      <c r="KD18" s="95" t="n">
        <f aca="false">[1]НАДІЙШЛО2!CU10</f>
        <v>0</v>
      </c>
      <c r="KE18" s="96" t="n">
        <f aca="false">[1]ВИБУЛО2!CU10</f>
        <v>0</v>
      </c>
      <c r="KF18" s="97" t="n">
        <f aca="false">KF17-KE18+KD18</f>
        <v>0</v>
      </c>
      <c r="KG18" s="95" t="n">
        <f aca="false">[1]НАДІЙШЛО2!CV10</f>
        <v>0</v>
      </c>
      <c r="KH18" s="96" t="n">
        <f aca="false">[1]ВИБУЛО2!CV10</f>
        <v>0</v>
      </c>
      <c r="KI18" s="97" t="n">
        <f aca="false">KI17-KH18+KG18</f>
        <v>0</v>
      </c>
      <c r="KJ18" s="95" t="n">
        <f aca="false">[1]НАДІЙШЛО2!CW10</f>
        <v>0</v>
      </c>
      <c r="KK18" s="96" t="n">
        <f aca="false">[1]ВИБУЛО2!CW10</f>
        <v>0</v>
      </c>
      <c r="KL18" s="97" t="n">
        <f aca="false">KL17-KK18+KJ18</f>
        <v>0</v>
      </c>
      <c r="KM18" s="95" t="n">
        <f aca="false">[1]НАДІЙШЛО2!CX10</f>
        <v>0</v>
      </c>
      <c r="KN18" s="96" t="n">
        <f aca="false">[1]ВИБУЛО2!CX10</f>
        <v>0</v>
      </c>
      <c r="KO18" s="97" t="n">
        <f aca="false">KO17-KN18+KM18</f>
        <v>0</v>
      </c>
      <c r="KP18" s="95" t="n">
        <f aca="false">[1]НАДІЙШЛО2!CY10</f>
        <v>0</v>
      </c>
      <c r="KQ18" s="96" t="n">
        <f aca="false">[1]ВИБУЛО2!CY10</f>
        <v>0</v>
      </c>
      <c r="KR18" s="97" t="n">
        <f aca="false">KR17-KQ18+KP18</f>
        <v>0</v>
      </c>
      <c r="KS18" s="95" t="n">
        <f aca="false">[1]НАДІЙШЛО2!CZ10</f>
        <v>0</v>
      </c>
      <c r="KT18" s="96" t="n">
        <f aca="false">[1]ВИБУЛО2!CZ10</f>
        <v>0</v>
      </c>
      <c r="KU18" s="97" t="n">
        <f aca="false">KU17-KT18+KS18</f>
        <v>0</v>
      </c>
      <c r="KV18" s="95" t="n">
        <f aca="false">[1]НАДІЙШЛО2!DA10</f>
        <v>0</v>
      </c>
      <c r="KW18" s="96" t="n">
        <f aca="false">[1]ВИБУЛО2!DA10</f>
        <v>0</v>
      </c>
      <c r="KX18" s="97" t="n">
        <f aca="false">KX17-KW18+KV18</f>
        <v>0</v>
      </c>
      <c r="KY18" s="95" t="n">
        <f aca="false">[1]НАДІЙШЛО2!DB10</f>
        <v>0</v>
      </c>
      <c r="KZ18" s="96" t="n">
        <f aca="false">[1]ВИБУЛО2!DB10</f>
        <v>0</v>
      </c>
      <c r="LA18" s="97" t="n">
        <f aca="false">LA17-KZ18+KY18</f>
        <v>0</v>
      </c>
      <c r="LB18" s="95" t="n">
        <f aca="false">[1]НАДІЙШЛО2!DC10</f>
        <v>0</v>
      </c>
      <c r="LC18" s="96" t="n">
        <f aca="false">[1]ВИБУЛО2!DC10</f>
        <v>0</v>
      </c>
      <c r="LD18" s="97" t="n">
        <f aca="false">LD17-LC18+LB18</f>
        <v>0</v>
      </c>
      <c r="LE18" s="95" t="n">
        <f aca="false">[1]НАДІЙШЛО2!DD10</f>
        <v>0</v>
      </c>
      <c r="LF18" s="96" t="n">
        <f aca="false">[1]ВИБУЛО2!DD10</f>
        <v>0</v>
      </c>
      <c r="LG18" s="97" t="n">
        <f aca="false">LG17-LF18+LE18</f>
        <v>0</v>
      </c>
      <c r="LH18" s="95" t="n">
        <f aca="false">[1]НАДІЙШЛО2!DE10</f>
        <v>0</v>
      </c>
      <c r="LI18" s="96" t="n">
        <f aca="false">[1]ВИБУЛО2!DE10</f>
        <v>0</v>
      </c>
      <c r="LJ18" s="97" t="n">
        <f aca="false">LJ17-LI18+LH18</f>
        <v>0</v>
      </c>
      <c r="LK18" s="95" t="n">
        <f aca="false">[1]НАДІЙШЛО2!DF10</f>
        <v>0</v>
      </c>
      <c r="LL18" s="96" t="n">
        <f aca="false">[1]ВИБУЛО2!DF10</f>
        <v>0</v>
      </c>
      <c r="LM18" s="97" t="n">
        <f aca="false">LM17-LL18+LK18</f>
        <v>0</v>
      </c>
      <c r="LN18" s="95" t="n">
        <f aca="false">[1]НАДІЙШЛО2!DG10</f>
        <v>0</v>
      </c>
      <c r="LO18" s="96" t="n">
        <f aca="false">[1]ВИБУЛО2!DG10</f>
        <v>0</v>
      </c>
      <c r="LP18" s="97" t="n">
        <f aca="false">LP17-LO18+LN18</f>
        <v>0</v>
      </c>
      <c r="LQ18" s="95" t="n">
        <f aca="false">[1]НАДІЙШЛО2!DH10</f>
        <v>0</v>
      </c>
      <c r="LR18" s="96" t="n">
        <f aca="false">[1]ВИБУЛО2!DH10</f>
        <v>0</v>
      </c>
      <c r="LS18" s="97" t="n">
        <f aca="false">LS17-LR18+LQ18</f>
        <v>0</v>
      </c>
      <c r="LT18" s="95" t="n">
        <f aca="false">[1]НАДІЙШЛО2!DI10</f>
        <v>0</v>
      </c>
      <c r="LU18" s="96" t="n">
        <f aca="false">[1]ВИБУЛО2!DI10</f>
        <v>0</v>
      </c>
      <c r="LV18" s="97" t="n">
        <f aca="false">LV17-LU18+LT18</f>
        <v>0</v>
      </c>
      <c r="LW18" s="95" t="n">
        <f aca="false">[1]НАДІЙШЛО2!DJ10</f>
        <v>0</v>
      </c>
      <c r="LX18" s="96" t="n">
        <f aca="false">[1]ВИБУЛО2!DJ10</f>
        <v>0</v>
      </c>
      <c r="LY18" s="97" t="n">
        <f aca="false">LY17-LX18+LW18</f>
        <v>0</v>
      </c>
      <c r="LZ18" s="95" t="n">
        <f aca="false">[1]НАДІЙШЛО2!DK10</f>
        <v>0</v>
      </c>
      <c r="MA18" s="96" t="n">
        <f aca="false">[1]ВИБУЛО2!DK10</f>
        <v>0</v>
      </c>
      <c r="MB18" s="97" t="n">
        <f aca="false">MB17-MA18+LZ18</f>
        <v>0</v>
      </c>
      <c r="MC18" s="95" t="n">
        <f aca="false">[1]НАДІЙШЛО2!DL10</f>
        <v>0</v>
      </c>
      <c r="MD18" s="96" t="n">
        <f aca="false">[1]ВИБУЛО2!DL10</f>
        <v>0</v>
      </c>
      <c r="ME18" s="97" t="n">
        <f aca="false">ME17-MD18+MC18</f>
        <v>0</v>
      </c>
      <c r="MF18" s="95" t="n">
        <f aca="false">[1]НАДІЙШЛО2!DM10</f>
        <v>0</v>
      </c>
      <c r="MG18" s="96" t="n">
        <f aca="false">[1]ВИБУЛО2!DM10</f>
        <v>0</v>
      </c>
      <c r="MH18" s="97" t="n">
        <f aca="false">MH17-MG18+MF18</f>
        <v>0</v>
      </c>
      <c r="MI18" s="95" t="n">
        <f aca="false">[1]НАДІЙШЛО2!DN10</f>
        <v>0</v>
      </c>
      <c r="MJ18" s="96" t="n">
        <f aca="false">[1]ВИБУЛО2!DN10</f>
        <v>0</v>
      </c>
      <c r="MK18" s="97" t="n">
        <f aca="false">MK17-MJ18+MI18</f>
        <v>0</v>
      </c>
      <c r="ML18" s="95" t="n">
        <f aca="false">[1]НАДІЙШЛО2!DO10</f>
        <v>0</v>
      </c>
      <c r="MM18" s="96" t="n">
        <f aca="false">[1]ВИБУЛО2!DO10</f>
        <v>0</v>
      </c>
      <c r="MN18" s="97" t="n">
        <f aca="false">MN17-MM18+ML18</f>
        <v>0</v>
      </c>
      <c r="MO18" s="95" t="n">
        <f aca="false">[1]НАДІЙШЛО2!DP10</f>
        <v>0</v>
      </c>
      <c r="MP18" s="96" t="n">
        <f aca="false">[1]ВИБУЛО2!DP10</f>
        <v>0</v>
      </c>
      <c r="MQ18" s="97" t="n">
        <f aca="false">MQ17-MP18+MO18</f>
        <v>0</v>
      </c>
      <c r="MR18" s="95" t="n">
        <f aca="false">[1]НАДІЙШЛО2!DQ10</f>
        <v>0</v>
      </c>
      <c r="MS18" s="96" t="n">
        <f aca="false">[1]ВИБУЛО2!DQ10</f>
        <v>0</v>
      </c>
      <c r="MT18" s="97" t="n">
        <f aca="false">MT17-MS18+MR18</f>
        <v>0</v>
      </c>
      <c r="MU18" s="95" t="n">
        <f aca="false">[1]НАДІЙШЛО2!DR10</f>
        <v>0</v>
      </c>
      <c r="MV18" s="96" t="n">
        <f aca="false">[1]ВИБУЛО2!DR10</f>
        <v>0</v>
      </c>
      <c r="MW18" s="97" t="n">
        <f aca="false">MW17-MV18+MU18</f>
        <v>0</v>
      </c>
      <c r="MX18" s="95" t="n">
        <f aca="false">[1]НАДІЙШЛО2!DS10</f>
        <v>0</v>
      </c>
      <c r="MY18" s="96" t="n">
        <f aca="false">[1]ВИБУЛО2!DS10</f>
        <v>0</v>
      </c>
      <c r="MZ18" s="97" t="n">
        <f aca="false">MZ17-MY18+MX18</f>
        <v>0</v>
      </c>
      <c r="NA18" s="95" t="n">
        <f aca="false">[1]НАДІЙШЛО2!DT10</f>
        <v>0</v>
      </c>
      <c r="NB18" s="96" t="n">
        <f aca="false">[1]ВИБУЛО2!DT10</f>
        <v>0</v>
      </c>
      <c r="NC18" s="97" t="n">
        <f aca="false">NC17-NB18+NA18</f>
        <v>0</v>
      </c>
      <c r="ND18" s="95" t="n">
        <f aca="false">[1]НАДІЙШЛО2!DU10</f>
        <v>0</v>
      </c>
      <c r="NE18" s="96" t="n">
        <f aca="false">[1]ВИБУЛО2!DU10</f>
        <v>0</v>
      </c>
      <c r="NF18" s="97" t="n">
        <f aca="false">NF17-NE18+ND18</f>
        <v>0</v>
      </c>
      <c r="NG18" s="95" t="n">
        <f aca="false">[1]НАДІЙШЛО2!DV10</f>
        <v>0</v>
      </c>
      <c r="NH18" s="96" t="n">
        <f aca="false">[1]ВИБУЛО2!DV10</f>
        <v>0</v>
      </c>
      <c r="NI18" s="97" t="n">
        <f aca="false">NI17-NH18+NG18</f>
        <v>0</v>
      </c>
      <c r="NJ18" s="95" t="n">
        <f aca="false">[1]НАДІЙШЛО2!DW10</f>
        <v>0</v>
      </c>
      <c r="NK18" s="96" t="n">
        <f aca="false">[1]ВИБУЛО2!DW10</f>
        <v>0</v>
      </c>
      <c r="NL18" s="97" t="n">
        <f aca="false">NL17-NK18+NJ18</f>
        <v>0</v>
      </c>
      <c r="NM18" s="95" t="n">
        <f aca="false">[1]НАДІЙШЛО2!DX10</f>
        <v>0</v>
      </c>
      <c r="NN18" s="96" t="n">
        <f aca="false">[1]ВИБУЛО2!DX10</f>
        <v>0</v>
      </c>
      <c r="NO18" s="97" t="n">
        <f aca="false">NO17-NN18+NM18</f>
        <v>0</v>
      </c>
      <c r="NP18" s="95" t="n">
        <f aca="false">[1]НАДІЙШЛО2!DY10</f>
        <v>0</v>
      </c>
      <c r="NQ18" s="96" t="n">
        <f aca="false">[1]ВИБУЛО2!DY10</f>
        <v>0</v>
      </c>
      <c r="NR18" s="97" t="n">
        <f aca="false">NR17-NQ18+NP18</f>
        <v>0</v>
      </c>
      <c r="NS18" s="95" t="n">
        <f aca="false">[1]НАДІЙШЛО2!DZ10</f>
        <v>0</v>
      </c>
      <c r="NT18" s="96" t="n">
        <f aca="false">[1]ВИБУЛО2!DZ10</f>
        <v>0</v>
      </c>
      <c r="NU18" s="97" t="n">
        <f aca="false">NU17-NT18+NS18</f>
        <v>0</v>
      </c>
      <c r="NV18" s="95" t="n">
        <f aca="false">[1]НАДІЙШЛО2!EA10</f>
        <v>0</v>
      </c>
      <c r="NW18" s="96" t="n">
        <f aca="false">[1]ВИБУЛО2!EA10</f>
        <v>0</v>
      </c>
      <c r="NX18" s="97" t="n">
        <f aca="false">NX17-NW18+NV18</f>
        <v>0</v>
      </c>
      <c r="NY18" s="95" t="n">
        <f aca="false">[1]НАДІЙШЛО2!EB10</f>
        <v>0</v>
      </c>
      <c r="NZ18" s="96" t="n">
        <f aca="false">[1]ВИБУЛО2!EB10</f>
        <v>0</v>
      </c>
      <c r="OA18" s="97" t="n">
        <f aca="false">OA17-NZ18+NY18</f>
        <v>0</v>
      </c>
      <c r="OB18" s="95" t="n">
        <f aca="false">[1]НАДІЙШЛО2!EC10</f>
        <v>0</v>
      </c>
      <c r="OC18" s="96" t="n">
        <f aca="false">[1]ВИБУЛО2!EC10</f>
        <v>0</v>
      </c>
      <c r="OD18" s="97" t="n">
        <f aca="false">OD17-OC18+OB18</f>
        <v>0</v>
      </c>
      <c r="OE18" s="95" t="n">
        <f aca="false">[1]НАДІЙШЛО2!ED10</f>
        <v>0</v>
      </c>
      <c r="OF18" s="96" t="n">
        <f aca="false">[1]ВИБУЛО2!ED10</f>
        <v>0</v>
      </c>
      <c r="OG18" s="97" t="n">
        <f aca="false">OG17-OF18+OE18</f>
        <v>0</v>
      </c>
      <c r="OH18" s="95" t="n">
        <f aca="false">[1]НАДІЙШЛО2!EE10</f>
        <v>0</v>
      </c>
      <c r="OI18" s="96" t="n">
        <f aca="false">[1]ВИБУЛО2!EE10</f>
        <v>0</v>
      </c>
      <c r="OJ18" s="97" t="n">
        <f aca="false">OJ17-OI18+OH18</f>
        <v>0</v>
      </c>
      <c r="OK18" s="95" t="n">
        <f aca="false">[1]НАДІЙШЛО2!EF10</f>
        <v>0</v>
      </c>
      <c r="OL18" s="96" t="n">
        <f aca="false">[1]ВИБУЛО2!EF10</f>
        <v>0</v>
      </c>
      <c r="OM18" s="97" t="n">
        <f aca="false">OM17-OL18+OK18</f>
        <v>0</v>
      </c>
      <c r="ON18" s="95" t="n">
        <f aca="false">[1]НАДІЙШЛО2!EG10</f>
        <v>0</v>
      </c>
      <c r="OO18" s="96" t="n">
        <f aca="false">[1]ВИБУЛО2!EG10</f>
        <v>0</v>
      </c>
      <c r="OP18" s="97" t="n">
        <f aca="false">OP17-OO18+ON18</f>
        <v>0</v>
      </c>
      <c r="OQ18" s="95" t="n">
        <f aca="false">[1]НАДІЙШЛО2!EH10</f>
        <v>0</v>
      </c>
      <c r="OR18" s="96" t="n">
        <f aca="false">[1]ВИБУЛО2!EH10</f>
        <v>0</v>
      </c>
      <c r="OS18" s="97" t="n">
        <f aca="false">OS17-OR18+OQ18</f>
        <v>0</v>
      </c>
      <c r="OT18" s="95" t="n">
        <f aca="false">[1]НАДІЙШЛО2!EI10</f>
        <v>0</v>
      </c>
      <c r="OU18" s="96" t="n">
        <f aca="false">[1]ВИБУЛО2!EI10</f>
        <v>0</v>
      </c>
      <c r="OV18" s="97" t="n">
        <f aca="false">OV17-OU18+OT18</f>
        <v>0</v>
      </c>
      <c r="OW18" s="95" t="n">
        <f aca="false">[1]НАДІЙШЛО2!EJ10</f>
        <v>0</v>
      </c>
      <c r="OX18" s="96" t="n">
        <f aca="false">[1]ВИБУЛО2!EJ10</f>
        <v>0</v>
      </c>
      <c r="OY18" s="97" t="n">
        <f aca="false">OY17-OX18+OW18</f>
        <v>0</v>
      </c>
      <c r="OZ18" s="95" t="n">
        <f aca="false">[1]НАДІЙШЛО2!EK10</f>
        <v>0</v>
      </c>
      <c r="PA18" s="96" t="n">
        <f aca="false">[1]ВИБУЛО2!EK10</f>
        <v>0</v>
      </c>
      <c r="PB18" s="97" t="n">
        <f aca="false">PB17-PA18+OZ18</f>
        <v>0</v>
      </c>
      <c r="PC18" s="95" t="n">
        <f aca="false">[1]НАДІЙШЛО2!EL10</f>
        <v>0</v>
      </c>
      <c r="PD18" s="96" t="n">
        <f aca="false">[1]ВИБУЛО2!EL10</f>
        <v>0</v>
      </c>
      <c r="PE18" s="97" t="n">
        <f aca="false">PE17-PD18+PC18</f>
        <v>0</v>
      </c>
      <c r="PF18" s="95" t="n">
        <f aca="false">[1]НАДІЙШЛО2!EM10</f>
        <v>0</v>
      </c>
      <c r="PG18" s="96" t="n">
        <f aca="false">[1]ВИБУЛО2!EM10</f>
        <v>0</v>
      </c>
      <c r="PH18" s="97" t="n">
        <f aca="false">PH17-PG18+PF18</f>
        <v>0</v>
      </c>
      <c r="PI18" s="95" t="n">
        <f aca="false">[1]НАДІЙШЛО2!EN10</f>
        <v>0</v>
      </c>
      <c r="PJ18" s="96" t="n">
        <f aca="false">[1]ВИБУЛО2!EN10</f>
        <v>0</v>
      </c>
      <c r="PK18" s="97" t="n">
        <f aca="false">PK17-PJ18+PI18</f>
        <v>0</v>
      </c>
      <c r="PL18" s="95" t="n">
        <f aca="false">[1]НАДІЙШЛО2!EO10</f>
        <v>0</v>
      </c>
      <c r="PM18" s="96" t="n">
        <f aca="false">[1]ВИБУЛО2!EO10</f>
        <v>0</v>
      </c>
      <c r="PN18" s="97" t="n">
        <f aca="false">PN17-PM18+PL18</f>
        <v>0</v>
      </c>
      <c r="PO18" s="95" t="n">
        <f aca="false">[1]НАДІЙШЛО2!EP10</f>
        <v>0</v>
      </c>
      <c r="PP18" s="96" t="n">
        <f aca="false">[1]ВИБУЛО2!EP10</f>
        <v>0</v>
      </c>
      <c r="PQ18" s="97" t="n">
        <f aca="false">PQ17-PP18+PO18</f>
        <v>0</v>
      </c>
      <c r="PR18" s="95" t="n">
        <f aca="false">[1]НАДІЙШЛО2!EQ10</f>
        <v>0</v>
      </c>
      <c r="PS18" s="96" t="n">
        <f aca="false">[1]ВИБУЛО2!EQ10</f>
        <v>0</v>
      </c>
      <c r="PT18" s="97" t="n">
        <f aca="false">PT17-PS18+PR18</f>
        <v>0</v>
      </c>
      <c r="PU18" s="95" t="n">
        <f aca="false">[1]НАДІЙШЛО2!ER10</f>
        <v>0</v>
      </c>
      <c r="PV18" s="96" t="n">
        <f aca="false">[1]ВИБУЛО2!ER10</f>
        <v>0</v>
      </c>
      <c r="PW18" s="97" t="n">
        <f aca="false">PW17-PV18+PU18</f>
        <v>0</v>
      </c>
      <c r="PX18" s="95" t="n">
        <f aca="false">[1]НАДІЙШЛО2!ES10</f>
        <v>0</v>
      </c>
      <c r="PY18" s="96" t="n">
        <f aca="false">[1]ВИБУЛО2!ES10</f>
        <v>0</v>
      </c>
      <c r="PZ18" s="97" t="n">
        <f aca="false">PZ17-PY18+PX18</f>
        <v>0</v>
      </c>
      <c r="QA18" s="95" t="n">
        <f aca="false">[1]НАДІЙШЛО2!ET10</f>
        <v>0</v>
      </c>
      <c r="QB18" s="96" t="n">
        <f aca="false">[1]ВИБУЛО2!ET10</f>
        <v>0</v>
      </c>
      <c r="QC18" s="97" t="n">
        <f aca="false">QC17-QB18+QA18</f>
        <v>0</v>
      </c>
      <c r="QD18" s="95" t="n">
        <f aca="false">[1]НАДІЙШЛО2!EU10</f>
        <v>0</v>
      </c>
      <c r="QE18" s="96" t="n">
        <f aca="false">[1]ВИБУЛО2!EU10</f>
        <v>0</v>
      </c>
      <c r="QF18" s="97" t="n">
        <f aca="false">QF17-QE18+QD18</f>
        <v>0</v>
      </c>
      <c r="QG18" s="95" t="n">
        <f aca="false">[1]НАДІЙШЛО2!EV10</f>
        <v>0</v>
      </c>
      <c r="QH18" s="96" t="n">
        <f aca="false">[1]ВИБУЛО2!EV10</f>
        <v>0</v>
      </c>
      <c r="QI18" s="97" t="n">
        <f aca="false">QI17-QH18+QG18</f>
        <v>0</v>
      </c>
      <c r="QJ18" s="95" t="n">
        <f aca="false">[1]НАДІЙШЛО2!EW10</f>
        <v>0</v>
      </c>
      <c r="QK18" s="96" t="n">
        <f aca="false">[1]ВИБУЛО2!EW10</f>
        <v>0</v>
      </c>
      <c r="QL18" s="97" t="n">
        <f aca="false">QL17-QK18+QJ18</f>
        <v>0</v>
      </c>
      <c r="QM18" s="95" t="n">
        <f aca="false">[1]НАДІЙШЛО2!EX10</f>
        <v>0</v>
      </c>
      <c r="QN18" s="96" t="n">
        <f aca="false">[1]ВИБУЛО2!EX10</f>
        <v>0</v>
      </c>
      <c r="QO18" s="97" t="n">
        <f aca="false">QO17-QN18+QM18</f>
        <v>0</v>
      </c>
      <c r="QP18" s="95" t="n">
        <f aca="false">[1]НАДІЙШЛО2!EY10</f>
        <v>0</v>
      </c>
      <c r="QQ18" s="96" t="n">
        <f aca="false">[1]ВИБУЛО2!EY10</f>
        <v>0</v>
      </c>
      <c r="QR18" s="97" t="n">
        <f aca="false">QR17-QQ18+QP18</f>
        <v>0</v>
      </c>
      <c r="QS18" s="95" t="n">
        <f aca="false">[1]НАДІЙШЛО2!EZ10</f>
        <v>0</v>
      </c>
      <c r="QT18" s="96" t="n">
        <f aca="false">[1]ВИБУЛО2!EZ10</f>
        <v>0</v>
      </c>
      <c r="QU18" s="97" t="n">
        <f aca="false">QU17-QT18+QS18</f>
        <v>0</v>
      </c>
      <c r="QV18" s="95" t="n">
        <f aca="false">[1]НАДІЙШЛО2!FA10</f>
        <v>0</v>
      </c>
      <c r="QW18" s="96" t="n">
        <f aca="false">[1]ВИБУЛО2!FA10</f>
        <v>0</v>
      </c>
      <c r="QX18" s="97" t="n">
        <f aca="false">QX17-QW18+QV18</f>
        <v>0</v>
      </c>
      <c r="QY18" s="95" t="n">
        <f aca="false">[1]НАДІЙШЛО2!FB10</f>
        <v>0</v>
      </c>
      <c r="QZ18" s="96" t="n">
        <f aca="false">[1]ВИБУЛО2!FB10</f>
        <v>0</v>
      </c>
      <c r="RA18" s="97" t="n">
        <f aca="false">RA17-QZ18+QY18</f>
        <v>0</v>
      </c>
      <c r="RB18" s="95" t="n">
        <f aca="false">[1]НАДІЙШЛО2!FC10</f>
        <v>0</v>
      </c>
      <c r="RC18" s="96" t="n">
        <f aca="false">[1]ВИБУЛО2!FC10</f>
        <v>0</v>
      </c>
      <c r="RD18" s="97" t="n">
        <f aca="false">RD17-RC18+RB18</f>
        <v>0</v>
      </c>
      <c r="RE18" s="95" t="n">
        <f aca="false">[1]НАДІЙШЛО2!FD10</f>
        <v>0</v>
      </c>
      <c r="RF18" s="96" t="n">
        <f aca="false">[1]ВИБУЛО2!FD10</f>
        <v>0</v>
      </c>
      <c r="RG18" s="97" t="n">
        <f aca="false">RG17-RF18+RE18</f>
        <v>0</v>
      </c>
      <c r="RH18" s="95" t="n">
        <f aca="false">[1]НАДІЙШЛО2!FE10</f>
        <v>0</v>
      </c>
      <c r="RI18" s="96" t="n">
        <f aca="false">[1]ВИБУЛО2!FE10</f>
        <v>0</v>
      </c>
      <c r="RJ18" s="97" t="n">
        <f aca="false">RJ17-RI18+RH18</f>
        <v>0</v>
      </c>
      <c r="RK18" s="95" t="n">
        <f aca="false">[1]НАДІЙШЛО2!FF10</f>
        <v>0</v>
      </c>
      <c r="RL18" s="96" t="n">
        <f aca="false">[1]ВИБУЛО2!FF10</f>
        <v>0</v>
      </c>
      <c r="RM18" s="97" t="n">
        <f aca="false">RM17-RL18+RK18</f>
        <v>0</v>
      </c>
      <c r="RN18" s="95" t="n">
        <f aca="false">[1]НАДІЙШЛО2!FG10</f>
        <v>0</v>
      </c>
      <c r="RO18" s="96" t="n">
        <f aca="false">[1]ВИБУЛО2!FG10</f>
        <v>0</v>
      </c>
      <c r="RP18" s="97" t="n">
        <f aca="false">RP17-RO18+RN18</f>
        <v>0</v>
      </c>
      <c r="RQ18" s="95" t="n">
        <f aca="false">[1]НАДІЙШЛО2!FH10</f>
        <v>0</v>
      </c>
      <c r="RR18" s="96" t="n">
        <f aca="false">[1]ВИБУЛО2!FH10</f>
        <v>0</v>
      </c>
      <c r="RS18" s="97" t="n">
        <f aca="false">RS17-RR18+RQ18</f>
        <v>0</v>
      </c>
      <c r="RT18" s="95" t="n">
        <f aca="false">[1]НАДІЙШЛО2!FI10</f>
        <v>0</v>
      </c>
      <c r="RU18" s="96" t="n">
        <f aca="false">[1]ВИБУЛО2!FI10</f>
        <v>0</v>
      </c>
      <c r="RV18" s="97" t="n">
        <f aca="false">RV17-RU18+RT18</f>
        <v>0</v>
      </c>
      <c r="RW18" s="95" t="n">
        <f aca="false">[1]НАДІЙШЛО2!FJ10</f>
        <v>0</v>
      </c>
      <c r="RX18" s="96" t="n">
        <f aca="false">[1]ВИБУЛО2!FJ10</f>
        <v>0</v>
      </c>
      <c r="RY18" s="97" t="n">
        <f aca="false">RY17-RX18+RW18</f>
        <v>0</v>
      </c>
      <c r="RZ18" s="95" t="n">
        <f aca="false">[1]НАДІЙШЛО2!FK10</f>
        <v>0</v>
      </c>
      <c r="SA18" s="96" t="n">
        <f aca="false">[1]ВИБУЛО2!FK10</f>
        <v>0</v>
      </c>
      <c r="SB18" s="97" t="n">
        <f aca="false">SB17-SA18+RZ18</f>
        <v>0</v>
      </c>
      <c r="SC18" s="95" t="n">
        <f aca="false">[1]НАДІЙШЛО2!FL10</f>
        <v>0</v>
      </c>
      <c r="SD18" s="96" t="n">
        <f aca="false">[1]ВИБУЛО2!FL10</f>
        <v>0</v>
      </c>
      <c r="SE18" s="97" t="n">
        <f aca="false">SE17-SD18+SC18</f>
        <v>0</v>
      </c>
      <c r="SF18" s="95" t="n">
        <f aca="false">[1]НАДІЙШЛО2!FM10</f>
        <v>0</v>
      </c>
      <c r="SG18" s="96" t="n">
        <f aca="false">[1]ВИБУЛО2!FM10</f>
        <v>0</v>
      </c>
      <c r="SH18" s="97" t="n">
        <f aca="false">SH17-SG18+SF18</f>
        <v>0</v>
      </c>
      <c r="SI18" s="95" t="n">
        <f aca="false">[1]НАДІЙШЛО2!FN10</f>
        <v>0</v>
      </c>
      <c r="SJ18" s="96" t="n">
        <f aca="false">[1]ВИБУЛО2!FN10</f>
        <v>0</v>
      </c>
      <c r="SK18" s="97" t="n">
        <f aca="false">SK17-SJ18+SI18</f>
        <v>0</v>
      </c>
      <c r="SL18" s="95" t="n">
        <f aca="false">[1]НАДІЙШЛО2!FO10</f>
        <v>0</v>
      </c>
      <c r="SM18" s="96" t="n">
        <f aca="false">[1]ВИБУЛО2!FO10</f>
        <v>0</v>
      </c>
      <c r="SN18" s="97" t="n">
        <f aca="false">SN17-SM18+SL18</f>
        <v>0</v>
      </c>
      <c r="SO18" s="95" t="n">
        <f aca="false">[1]НАДІЙШЛО2!FP10</f>
        <v>0</v>
      </c>
      <c r="SP18" s="96" t="n">
        <f aca="false">[1]ВИБУЛО2!FP10</f>
        <v>0</v>
      </c>
      <c r="SQ18" s="97" t="n">
        <f aca="false">SQ17-SP18+SO18</f>
        <v>0</v>
      </c>
      <c r="SR18" s="95" t="n">
        <f aca="false">[1]НАДІЙШЛО2!FQ10</f>
        <v>0</v>
      </c>
      <c r="SS18" s="96" t="n">
        <f aca="false">[1]ВИБУЛО2!FQ10</f>
        <v>0</v>
      </c>
      <c r="ST18" s="97" t="n">
        <f aca="false">ST17-SS18+SR18</f>
        <v>0</v>
      </c>
      <c r="SU18" s="95" t="n">
        <f aca="false">[1]НАДІЙШЛО2!FR10</f>
        <v>0</v>
      </c>
      <c r="SV18" s="96" t="n">
        <f aca="false">[1]ВИБУЛО2!FR10</f>
        <v>0</v>
      </c>
      <c r="SW18" s="97" t="n">
        <f aca="false">SW17-SV18+SU18</f>
        <v>0</v>
      </c>
      <c r="SX18" s="95" t="n">
        <f aca="false">[1]НАДІЙШЛО2!FS10</f>
        <v>0</v>
      </c>
      <c r="SY18" s="96" t="n">
        <f aca="false">[1]ВИБУЛО2!FS10</f>
        <v>0</v>
      </c>
      <c r="SZ18" s="97" t="n">
        <f aca="false">SZ17-SY18+SX18</f>
        <v>0</v>
      </c>
      <c r="TA18" s="95" t="n">
        <f aca="false">[1]НАДІЙШЛО2!FT10</f>
        <v>0</v>
      </c>
      <c r="TB18" s="96" t="n">
        <f aca="false">[1]ВИБУЛО2!FT10</f>
        <v>0</v>
      </c>
      <c r="TC18" s="97" t="n">
        <f aca="false">TC17-TB18+TA18</f>
        <v>0</v>
      </c>
      <c r="TD18" s="95" t="n">
        <f aca="false">[1]НАДІЙШЛО2!FU10</f>
        <v>0</v>
      </c>
      <c r="TE18" s="96" t="n">
        <f aca="false">[1]ВИБУЛО2!FU10</f>
        <v>0</v>
      </c>
      <c r="TF18" s="97" t="n">
        <f aca="false">TF17-TE18+TD18</f>
        <v>0</v>
      </c>
      <c r="TG18" s="95" t="n">
        <f aca="false">[1]НАДІЙШЛО2!FV10</f>
        <v>0</v>
      </c>
      <c r="TH18" s="96" t="n">
        <f aca="false">[1]ВИБУЛО2!FV10</f>
        <v>0</v>
      </c>
      <c r="TI18" s="97" t="n">
        <f aca="false">TI17-TH18+TG18</f>
        <v>0</v>
      </c>
      <c r="TJ18" s="95" t="n">
        <f aca="false">[1]НАДІЙШЛО2!FW10</f>
        <v>0</v>
      </c>
      <c r="TK18" s="96" t="n">
        <f aca="false">[1]ВИБУЛО2!FW10</f>
        <v>0</v>
      </c>
      <c r="TL18" s="97" t="n">
        <f aca="false">TL17-TK18+TJ18</f>
        <v>0</v>
      </c>
      <c r="TM18" s="95" t="n">
        <f aca="false">[1]НАДІЙШЛО2!FX10</f>
        <v>0</v>
      </c>
      <c r="TN18" s="96" t="n">
        <f aca="false">[1]ВИБУЛО2!FX10</f>
        <v>0</v>
      </c>
      <c r="TO18" s="97" t="n">
        <f aca="false">TO17-TN18+TM18</f>
        <v>0</v>
      </c>
      <c r="TP18" s="95" t="n">
        <f aca="false">[1]НАДІЙШЛО2!FY10</f>
        <v>0</v>
      </c>
      <c r="TQ18" s="96" t="n">
        <f aca="false">[1]ВИБУЛО2!FY10</f>
        <v>0</v>
      </c>
      <c r="TR18" s="97" t="n">
        <f aca="false">TR17-TQ18+TP18</f>
        <v>0</v>
      </c>
      <c r="TS18" s="95" t="n">
        <f aca="false">[1]НАДІЙШЛО2!FZ10</f>
        <v>0</v>
      </c>
      <c r="TT18" s="96" t="n">
        <f aca="false">[1]ВИБУЛО2!FZ10</f>
        <v>0</v>
      </c>
      <c r="TU18" s="97" t="n">
        <f aca="false">TU17-TT18+TS18</f>
        <v>0</v>
      </c>
      <c r="TV18" s="95" t="n">
        <f aca="false">[1]НАДІЙШЛО2!GA10</f>
        <v>0</v>
      </c>
      <c r="TW18" s="96" t="n">
        <f aca="false">[1]ВИБУЛО2!GA10</f>
        <v>0</v>
      </c>
      <c r="TX18" s="97" t="n">
        <f aca="false">TX17-TW18+TV18</f>
        <v>0</v>
      </c>
      <c r="TY18" s="95" t="n">
        <f aca="false">[1]НАДІЙШЛО2!GB10</f>
        <v>0</v>
      </c>
      <c r="TZ18" s="96" t="n">
        <f aca="false">[1]ВИБУЛО2!GB10</f>
        <v>0</v>
      </c>
      <c r="UA18" s="97" t="n">
        <f aca="false">UA17-TZ18+TY18</f>
        <v>0</v>
      </c>
      <c r="UB18" s="95" t="n">
        <f aca="false">[1]НАДІЙШЛО2!GC10</f>
        <v>0</v>
      </c>
      <c r="UC18" s="96" t="n">
        <f aca="false">[1]ВИБУЛО2!GC10</f>
        <v>0</v>
      </c>
      <c r="UD18" s="97" t="n">
        <f aca="false">UD17-UC18+UB18</f>
        <v>0</v>
      </c>
      <c r="UE18" s="95" t="n">
        <f aca="false">[1]НАДІЙШЛО2!GD10</f>
        <v>0</v>
      </c>
      <c r="UF18" s="96" t="n">
        <f aca="false">[1]ВИБУЛО2!GD10</f>
        <v>0</v>
      </c>
      <c r="UG18" s="97" t="n">
        <f aca="false">UG17-UF18+UE18</f>
        <v>0</v>
      </c>
      <c r="UH18" s="95" t="n">
        <f aca="false">[1]НАДІЙШЛО2!GE10</f>
        <v>0</v>
      </c>
      <c r="UI18" s="96" t="n">
        <f aca="false">[1]ВИБУЛО2!GE10</f>
        <v>0</v>
      </c>
      <c r="UJ18" s="97" t="n">
        <f aca="false">UJ17-UI18+UH18</f>
        <v>0</v>
      </c>
      <c r="UK18" s="95" t="n">
        <f aca="false">[1]НАДІЙШЛО2!GF10</f>
        <v>0</v>
      </c>
      <c r="UL18" s="96" t="n">
        <f aca="false">[1]ВИБУЛО2!GF10</f>
        <v>0</v>
      </c>
      <c r="UM18" s="97" t="n">
        <f aca="false">UM17-UL18+UK18</f>
        <v>0</v>
      </c>
      <c r="UN18" s="95" t="n">
        <f aca="false">[1]НАДІЙШЛО2!GG10</f>
        <v>0</v>
      </c>
      <c r="UO18" s="96" t="n">
        <f aca="false">[1]ВИБУЛО2!GG10</f>
        <v>0</v>
      </c>
      <c r="UP18" s="97" t="n">
        <f aca="false">UP17-UO18+UN18</f>
        <v>0</v>
      </c>
      <c r="UQ18" s="95" t="n">
        <f aca="false">[1]НАДІЙШЛО2!GH10</f>
        <v>0</v>
      </c>
      <c r="UR18" s="96" t="n">
        <f aca="false">[1]ВИБУЛО2!GH10</f>
        <v>0</v>
      </c>
      <c r="US18" s="97" t="n">
        <f aca="false">US17-UR18+UQ18</f>
        <v>0</v>
      </c>
      <c r="UT18" s="95" t="n">
        <f aca="false">[1]НАДІЙШЛО2!GI10</f>
        <v>0</v>
      </c>
      <c r="UU18" s="96" t="n">
        <f aca="false">[1]ВИБУЛО2!GI10</f>
        <v>0</v>
      </c>
      <c r="UV18" s="97" t="n">
        <f aca="false">UV17-UU18+UT18</f>
        <v>0</v>
      </c>
      <c r="UW18" s="95" t="n">
        <f aca="false">[1]НАДІЙШЛО2!GJ10</f>
        <v>0</v>
      </c>
      <c r="UX18" s="96" t="n">
        <f aca="false">[1]ВИБУЛО2!GJ10</f>
        <v>0</v>
      </c>
      <c r="UY18" s="97" t="n">
        <f aca="false">UY17-UX18+UW18</f>
        <v>0</v>
      </c>
      <c r="UZ18" s="95" t="n">
        <f aca="false">[1]НАДІЙШЛО2!GK10</f>
        <v>0</v>
      </c>
      <c r="VA18" s="96" t="n">
        <f aca="false">[1]ВИБУЛО2!GK10</f>
        <v>0</v>
      </c>
      <c r="VB18" s="97" t="n">
        <f aca="false">VB17-VA18+UZ18</f>
        <v>0</v>
      </c>
      <c r="VC18" s="95" t="n">
        <f aca="false">[1]НАДІЙШЛО2!GL10</f>
        <v>0</v>
      </c>
      <c r="VD18" s="96" t="n">
        <f aca="false">[1]ВИБУЛО2!GL10</f>
        <v>0</v>
      </c>
      <c r="VE18" s="97" t="n">
        <f aca="false">VE17-VD18+VC18</f>
        <v>0</v>
      </c>
      <c r="VF18" s="95" t="n">
        <f aca="false">[1]НАДІЙШЛО2!GM10</f>
        <v>0</v>
      </c>
      <c r="VG18" s="96" t="n">
        <f aca="false">[1]ВИБУЛО2!GM10</f>
        <v>0</v>
      </c>
      <c r="VH18" s="97" t="n">
        <f aca="false">VH17-VG18+VF18</f>
        <v>0</v>
      </c>
      <c r="VI18" s="95" t="n">
        <f aca="false">[1]НАДІЙШЛО2!GN10</f>
        <v>0</v>
      </c>
      <c r="VJ18" s="96" t="n">
        <f aca="false">[1]ВИБУЛО2!GN10</f>
        <v>0</v>
      </c>
      <c r="VK18" s="97" t="n">
        <f aca="false">VK17-VJ18+VI18</f>
        <v>0</v>
      </c>
      <c r="VL18" s="95" t="n">
        <f aca="false">[1]НАДІЙШЛО2!GO10</f>
        <v>0</v>
      </c>
      <c r="VM18" s="96" t="n">
        <f aca="false">[1]ВИБУЛО2!GO10</f>
        <v>0</v>
      </c>
      <c r="VN18" s="97" t="n">
        <f aca="false">VN17-VM18+VL18</f>
        <v>0</v>
      </c>
      <c r="VO18" s="95" t="n">
        <f aca="false">[1]НАДІЙШЛО2!GP10</f>
        <v>0</v>
      </c>
      <c r="VP18" s="96" t="n">
        <f aca="false">[1]ВИБУЛО2!GP10</f>
        <v>0</v>
      </c>
      <c r="VQ18" s="97" t="n">
        <f aca="false">VQ17-VP18+VO18</f>
        <v>0</v>
      </c>
      <c r="VR18" s="95" t="n">
        <f aca="false">[1]НАДІЙШЛО2!GQ10</f>
        <v>0</v>
      </c>
      <c r="VS18" s="96" t="n">
        <f aca="false">[1]ВИБУЛО2!GQ10</f>
        <v>0</v>
      </c>
      <c r="VT18" s="97" t="n">
        <f aca="false">VT17-VS18+VR18</f>
        <v>0</v>
      </c>
      <c r="VU18" s="95" t="n">
        <f aca="false">[1]НАДІЙШЛО2!GR10</f>
        <v>0</v>
      </c>
      <c r="VV18" s="96" t="n">
        <f aca="false">[1]ВИБУЛО2!GR10</f>
        <v>0</v>
      </c>
      <c r="VW18" s="97" t="n">
        <f aca="false">VW17-VV18+VU18</f>
        <v>0</v>
      </c>
      <c r="VX18" s="95" t="n">
        <f aca="false">[1]НАДІЙШЛО2!GS10</f>
        <v>0</v>
      </c>
      <c r="VY18" s="96" t="n">
        <f aca="false">[1]ВИБУЛО2!GS10</f>
        <v>0</v>
      </c>
      <c r="VZ18" s="97" t="n">
        <f aca="false">VZ17-VY18+VX18</f>
        <v>0</v>
      </c>
      <c r="WA18" s="95" t="n">
        <f aca="false">[1]НАДІЙШЛО2!GT10</f>
        <v>0</v>
      </c>
      <c r="WB18" s="96" t="n">
        <f aca="false">[1]ВИБУЛО2!GT10</f>
        <v>0</v>
      </c>
      <c r="WC18" s="97" t="n">
        <f aca="false">WC17-WB18+WA18</f>
        <v>0</v>
      </c>
      <c r="WD18" s="95" t="n">
        <f aca="false">[1]НАДІЙШЛО2!GU10</f>
        <v>0</v>
      </c>
      <c r="WE18" s="96" t="n">
        <f aca="false">[1]ВИБУЛО2!GU10</f>
        <v>0</v>
      </c>
      <c r="WF18" s="97" t="n">
        <f aca="false">WF17-WE18+WD18</f>
        <v>0</v>
      </c>
      <c r="WG18" s="95" t="n">
        <f aca="false">[1]НАДІЙШЛО2!GV10</f>
        <v>0</v>
      </c>
      <c r="WH18" s="96" t="n">
        <f aca="false">[1]ВИБУЛО2!GV10</f>
        <v>0</v>
      </c>
      <c r="WI18" s="97" t="n">
        <f aca="false">WI17-WH18+WG18</f>
        <v>0</v>
      </c>
      <c r="WJ18" s="95" t="n">
        <f aca="false">[1]НАДІЙШЛО2!GW10</f>
        <v>0</v>
      </c>
      <c r="WK18" s="96" t="n">
        <f aca="false">[1]ВИБУЛО2!GW10</f>
        <v>0</v>
      </c>
      <c r="WL18" s="97" t="n">
        <f aca="false">WL17-WK18+WJ18</f>
        <v>0</v>
      </c>
      <c r="WM18" s="95" t="n">
        <f aca="false">[1]НАДІЙШЛО2!GX10</f>
        <v>0</v>
      </c>
      <c r="WN18" s="96" t="n">
        <f aca="false">[1]ВИБУЛО2!GX10</f>
        <v>0</v>
      </c>
      <c r="WO18" s="97" t="n">
        <f aca="false">WO17-WN18+WM18</f>
        <v>0</v>
      </c>
      <c r="WP18" s="95" t="n">
        <f aca="false">[1]НАДІЙШЛО2!GY10</f>
        <v>0</v>
      </c>
      <c r="WQ18" s="96" t="n">
        <f aca="false">[1]ВИБУЛО2!GY10</f>
        <v>0</v>
      </c>
      <c r="WR18" s="97" t="n">
        <f aca="false">WR17-WQ18+WP18</f>
        <v>0</v>
      </c>
      <c r="WS18" s="95" t="n">
        <f aca="false">[1]НАДІЙШЛО2!GZ10</f>
        <v>0</v>
      </c>
      <c r="WT18" s="96" t="n">
        <f aca="false">[1]ВИБУЛО2!GZ10</f>
        <v>0</v>
      </c>
      <c r="WU18" s="97" t="n">
        <f aca="false">WU17-WT18+WS18</f>
        <v>0</v>
      </c>
      <c r="WV18" s="95" t="n">
        <f aca="false">[1]НАДІЙШЛО2!HA10</f>
        <v>0</v>
      </c>
      <c r="WW18" s="96" t="n">
        <f aca="false">[1]ВИБУЛО2!HA10</f>
        <v>0</v>
      </c>
      <c r="WX18" s="97" t="n">
        <f aca="false">WX17-WW18+WV18</f>
        <v>0</v>
      </c>
      <c r="WY18" s="95" t="n">
        <f aca="false">[1]НАДІЙШЛО2!HB10</f>
        <v>0</v>
      </c>
      <c r="WZ18" s="96" t="n">
        <f aca="false">[1]ВИБУЛО2!HB10</f>
        <v>0</v>
      </c>
      <c r="XA18" s="97" t="n">
        <f aca="false">XA17-WZ18+WY18</f>
        <v>0</v>
      </c>
      <c r="XB18" s="95" t="n">
        <f aca="false">[1]НАДІЙШЛО2!HC10</f>
        <v>0</v>
      </c>
      <c r="XC18" s="96" t="n">
        <f aca="false">[1]ВИБУЛО2!HC10</f>
        <v>0</v>
      </c>
      <c r="XD18" s="97" t="n">
        <f aca="false">XD17-XC18+XB18</f>
        <v>0</v>
      </c>
      <c r="XE18" s="95" t="n">
        <f aca="false">[1]НАДІЙШЛО2!HD10</f>
        <v>0</v>
      </c>
      <c r="XF18" s="96" t="n">
        <f aca="false">[1]ВИБУЛО2!HD10</f>
        <v>0</v>
      </c>
      <c r="XG18" s="97" t="n">
        <f aca="false">XG17-XF18+XE18</f>
        <v>0</v>
      </c>
      <c r="XH18" s="95" t="n">
        <f aca="false">[1]НАДІЙШЛО2!HE10</f>
        <v>0</v>
      </c>
      <c r="XI18" s="96" t="n">
        <f aca="false">[1]ВИБУЛО2!HE10</f>
        <v>0</v>
      </c>
      <c r="XJ18" s="97" t="n">
        <f aca="false">XJ17-XI18+XH18</f>
        <v>0</v>
      </c>
      <c r="XK18" s="95" t="n">
        <f aca="false">[1]НАДІЙШЛО2!HF10</f>
        <v>0</v>
      </c>
      <c r="XL18" s="96" t="n">
        <f aca="false">[1]ВИБУЛО2!HF10</f>
        <v>0</v>
      </c>
      <c r="XM18" s="97" t="n">
        <f aca="false">XM17-XL18+XK18</f>
        <v>0</v>
      </c>
      <c r="XN18" s="95" t="n">
        <f aca="false">[1]НАДІЙШЛО2!HG10</f>
        <v>0</v>
      </c>
      <c r="XO18" s="96" t="n">
        <f aca="false">[1]ВИБУЛО2!HG10</f>
        <v>0</v>
      </c>
      <c r="XP18" s="97" t="n">
        <f aca="false">XP17-XO18+XN18</f>
        <v>0</v>
      </c>
      <c r="XQ18" s="95" t="n">
        <f aca="false">[1]НАДІЙШЛО2!HH10</f>
        <v>0</v>
      </c>
      <c r="XR18" s="96" t="n">
        <f aca="false">[1]ВИБУЛО2!HH10</f>
        <v>0</v>
      </c>
      <c r="XS18" s="97" t="n">
        <f aca="false">XS17-XR18+XQ18</f>
        <v>0</v>
      </c>
      <c r="XT18" s="95" t="n">
        <f aca="false">[1]НАДІЙШЛО2!HI10</f>
        <v>0</v>
      </c>
      <c r="XU18" s="96" t="n">
        <f aca="false">[1]ВИБУЛО2!HI10</f>
        <v>0</v>
      </c>
      <c r="XV18" s="97" t="n">
        <f aca="false">XV17-XU18+XT18</f>
        <v>0</v>
      </c>
      <c r="XW18" s="95" t="n">
        <f aca="false">[1]НАДІЙШЛО2!HJ10</f>
        <v>0</v>
      </c>
      <c r="XX18" s="96" t="n">
        <f aca="false">[1]ВИБУЛО2!HJ10</f>
        <v>0</v>
      </c>
      <c r="XY18" s="97" t="n">
        <f aca="false">XY17-XX18+XW18</f>
        <v>0</v>
      </c>
      <c r="XZ18" s="95" t="n">
        <f aca="false">[1]НАДІЙШЛО2!HK10</f>
        <v>0</v>
      </c>
      <c r="YA18" s="96" t="n">
        <f aca="false">[1]ВИБУЛО2!HK10</f>
        <v>0</v>
      </c>
      <c r="YB18" s="97" t="n">
        <f aca="false">YB17-YA18+XZ18</f>
        <v>0</v>
      </c>
      <c r="YC18" s="95" t="n">
        <f aca="false">[1]НАДІЙШЛО2!HL10</f>
        <v>0</v>
      </c>
      <c r="YD18" s="96" t="n">
        <f aca="false">[1]ВИБУЛО2!HL10</f>
        <v>0</v>
      </c>
      <c r="YE18" s="97" t="n">
        <f aca="false">YE17-YD18+YC18</f>
        <v>0</v>
      </c>
      <c r="YF18" s="95" t="n">
        <f aca="false">[1]НАДІЙШЛО2!HM10</f>
        <v>0</v>
      </c>
      <c r="YG18" s="96" t="n">
        <f aca="false">[1]ВИБУЛО2!HM10</f>
        <v>0</v>
      </c>
      <c r="YH18" s="97" t="n">
        <f aca="false">YH17-YG18+YF18</f>
        <v>0</v>
      </c>
      <c r="YI18" s="95" t="n">
        <f aca="false">[1]НАДІЙШЛО2!HN10</f>
        <v>0</v>
      </c>
      <c r="YJ18" s="96" t="n">
        <f aca="false">[1]ВИБУЛО2!HN10</f>
        <v>0</v>
      </c>
      <c r="YK18" s="97" t="n">
        <f aca="false">YK17-YJ18+YI18</f>
        <v>0</v>
      </c>
      <c r="YL18" s="95" t="n">
        <f aca="false">[1]НАДІЙШЛО2!HO10</f>
        <v>0</v>
      </c>
      <c r="YM18" s="96" t="n">
        <f aca="false">[1]ВИБУЛО2!HO10</f>
        <v>0</v>
      </c>
      <c r="YN18" s="97" t="n">
        <f aca="false">YN17-YM18+YL18</f>
        <v>0</v>
      </c>
      <c r="YO18" s="95" t="n">
        <f aca="false">[1]НАДІЙШЛО2!HP10</f>
        <v>0</v>
      </c>
      <c r="YP18" s="96" t="n">
        <f aca="false">[1]ВИБУЛО2!HP10</f>
        <v>0</v>
      </c>
      <c r="YQ18" s="97" t="n">
        <f aca="false">YQ17-YP18+YO18</f>
        <v>0</v>
      </c>
      <c r="YR18" s="95" t="n">
        <f aca="false">[1]НАДІЙШЛО2!HQ10</f>
        <v>0</v>
      </c>
      <c r="YS18" s="96" t="n">
        <f aca="false">[1]ВИБУЛО2!HQ10</f>
        <v>0</v>
      </c>
      <c r="YT18" s="97" t="n">
        <f aca="false">YT17-YS18+YR18</f>
        <v>0</v>
      </c>
      <c r="YU18" s="95" t="n">
        <f aca="false">[1]НАДІЙШЛО2!HR10</f>
        <v>0</v>
      </c>
      <c r="YV18" s="96" t="n">
        <f aca="false">[1]ВИБУЛО2!HR10</f>
        <v>0</v>
      </c>
      <c r="YW18" s="97" t="n">
        <f aca="false">YW17-YV18+YU18</f>
        <v>0</v>
      </c>
      <c r="YX18" s="95" t="n">
        <f aca="false">[1]НАДІЙШЛО2!HS10</f>
        <v>0</v>
      </c>
      <c r="YY18" s="96" t="n">
        <f aca="false">[1]ВИБУЛО2!HS10</f>
        <v>0</v>
      </c>
      <c r="YZ18" s="97" t="n">
        <f aca="false">YZ17-YY18+YX18</f>
        <v>0</v>
      </c>
      <c r="ZA18" s="95" t="n">
        <f aca="false">[1]НАДІЙШЛО2!HT10</f>
        <v>0</v>
      </c>
      <c r="ZB18" s="96" t="n">
        <f aca="false">[1]ВИБУЛО2!HT10</f>
        <v>0</v>
      </c>
      <c r="ZC18" s="97" t="n">
        <f aca="false">ZC17-ZB18+ZA18</f>
        <v>0</v>
      </c>
      <c r="ZD18" s="95" t="n">
        <f aca="false">[1]НАДІЙШЛО2!HU10</f>
        <v>0</v>
      </c>
      <c r="ZE18" s="96" t="n">
        <f aca="false">[1]ВИБУЛО2!HU10</f>
        <v>0</v>
      </c>
      <c r="ZF18" s="97" t="n">
        <f aca="false">ZF17-ZE18+ZD18</f>
        <v>0</v>
      </c>
      <c r="ZG18" s="95" t="n">
        <f aca="false">[1]НАДІЙШЛО2!HV10</f>
        <v>0</v>
      </c>
      <c r="ZH18" s="96" t="n">
        <f aca="false">[1]ВИБУЛО2!HV10</f>
        <v>0</v>
      </c>
      <c r="ZI18" s="97" t="n">
        <f aca="false">ZI17-ZH18+ZG18</f>
        <v>0</v>
      </c>
      <c r="ZJ18" s="95" t="n">
        <f aca="false">[1]НАДІЙШЛО2!HW10</f>
        <v>0</v>
      </c>
      <c r="ZK18" s="96" t="n">
        <f aca="false">[1]ВИБУЛО2!HW10</f>
        <v>0</v>
      </c>
      <c r="ZL18" s="97" t="n">
        <f aca="false">ZL17-ZK18+ZJ18</f>
        <v>0</v>
      </c>
      <c r="ZM18" s="95" t="n">
        <f aca="false">[1]НАДІЙШЛО2!HX10</f>
        <v>0</v>
      </c>
      <c r="ZN18" s="96" t="n">
        <f aca="false">[1]ВИБУЛО2!HX10</f>
        <v>0</v>
      </c>
      <c r="ZO18" s="97" t="n">
        <f aca="false">ZO17-ZN18+ZM18</f>
        <v>0</v>
      </c>
      <c r="ZP18" s="95" t="n">
        <f aca="false">[1]НАДІЙШЛО2!HY10</f>
        <v>0</v>
      </c>
      <c r="ZQ18" s="96" t="n">
        <f aca="false">[1]ВИБУЛО2!HY10</f>
        <v>0</v>
      </c>
      <c r="ZR18" s="97" t="n">
        <f aca="false">ZR17-ZQ18+ZP18</f>
        <v>0</v>
      </c>
      <c r="ZS18" s="95" t="n">
        <f aca="false">[1]НАДІЙШЛО2!HZ10</f>
        <v>0</v>
      </c>
      <c r="ZT18" s="96" t="n">
        <f aca="false">[1]ВИБУЛО2!HZ10</f>
        <v>0</v>
      </c>
      <c r="ZU18" s="97" t="n">
        <f aca="false">ZU17-ZT18+ZS18</f>
        <v>0</v>
      </c>
      <c r="ZV18" s="95" t="n">
        <f aca="false">[1]НАДІЙШЛО2!IA10</f>
        <v>0</v>
      </c>
      <c r="ZW18" s="96" t="n">
        <f aca="false">[1]ВИБУЛО2!IA10</f>
        <v>0</v>
      </c>
      <c r="ZX18" s="97" t="n">
        <f aca="false">ZX17-ZW18+ZV18</f>
        <v>0</v>
      </c>
      <c r="ZY18" s="95" t="n">
        <f aca="false">[1]НАДІЙШЛО2!IB10</f>
        <v>0</v>
      </c>
      <c r="ZZ18" s="96" t="n">
        <f aca="false">[1]ВИБУЛО2!IB10</f>
        <v>0</v>
      </c>
      <c r="AAA18" s="97" t="n">
        <f aca="false">AAA17-ZZ18+ZY18</f>
        <v>0</v>
      </c>
      <c r="AAB18" s="95" t="n">
        <f aca="false">[1]НАДІЙШЛО2!IC10</f>
        <v>0</v>
      </c>
      <c r="AAC18" s="96" t="n">
        <f aca="false">[1]ВИБУЛО2!IC10</f>
        <v>0</v>
      </c>
      <c r="AAD18" s="97" t="n">
        <f aca="false">AAD17-AAC18+AAB18</f>
        <v>0</v>
      </c>
      <c r="AAE18" s="95" t="n">
        <f aca="false">[1]НАДІЙШЛО2!ID10</f>
        <v>0</v>
      </c>
      <c r="AAF18" s="96" t="n">
        <f aca="false">[1]ВИБУЛО2!ID10</f>
        <v>0</v>
      </c>
      <c r="AAG18" s="97" t="n">
        <f aca="false">AAG17-AAF18+AAE18</f>
        <v>0</v>
      </c>
      <c r="AAH18" s="95" t="n">
        <f aca="false">[1]НАДІЙШЛО2!IE10</f>
        <v>0</v>
      </c>
      <c r="AAI18" s="96" t="n">
        <f aca="false">[1]ВИБУЛО2!IE10</f>
        <v>0</v>
      </c>
      <c r="AAJ18" s="97" t="n">
        <f aca="false">AAJ17-AAI18+AAH18</f>
        <v>0</v>
      </c>
      <c r="AAK18" s="95" t="n">
        <f aca="false">[1]НАДІЙШЛО2!IF10</f>
        <v>0</v>
      </c>
      <c r="AAL18" s="96" t="n">
        <f aca="false">[1]ВИБУЛО2!IF10</f>
        <v>0</v>
      </c>
      <c r="AAM18" s="97" t="n">
        <f aca="false">AAM17-AAL18+AAK18</f>
        <v>0</v>
      </c>
      <c r="AAN18" s="95" t="n">
        <f aca="false">[1]НАДІЙШЛО2!IG10</f>
        <v>0</v>
      </c>
      <c r="AAO18" s="96" t="n">
        <f aca="false">[1]ВИБУЛО2!IG10</f>
        <v>0</v>
      </c>
      <c r="AAP18" s="97" t="n">
        <f aca="false">AAP17-AAO18+AAN18</f>
        <v>0</v>
      </c>
      <c r="AAQ18" s="95" t="n">
        <f aca="false">[1]НАДІЙШЛО2!IH10</f>
        <v>0</v>
      </c>
      <c r="AAR18" s="96" t="n">
        <f aca="false">[1]ВИБУЛО2!IH10</f>
        <v>0</v>
      </c>
      <c r="AAS18" s="97" t="n">
        <f aca="false">AAS17-AAR18+AAQ18</f>
        <v>0</v>
      </c>
      <c r="AAT18" s="95" t="n">
        <f aca="false">[1]НАДІЙШЛО2!II10</f>
        <v>0</v>
      </c>
      <c r="AAU18" s="96" t="n">
        <f aca="false">[1]ВИБУЛО2!II10</f>
        <v>0</v>
      </c>
      <c r="AAV18" s="97" t="n">
        <f aca="false">AAV17-AAU18+AAT18</f>
        <v>0</v>
      </c>
      <c r="AAW18" s="95" t="n">
        <f aca="false">[1]НАДІЙШЛО2!IJ10</f>
        <v>0</v>
      </c>
      <c r="AAX18" s="96" t="n">
        <f aca="false">[1]ВИБУЛО2!IJ10</f>
        <v>0</v>
      </c>
      <c r="AAY18" s="97" t="n">
        <f aca="false">AAY17-AAX18+AAW18</f>
        <v>0</v>
      </c>
      <c r="AAZ18" s="95" t="n">
        <f aca="false">[1]НАДІЙШЛО2!IK10</f>
        <v>0</v>
      </c>
      <c r="ABA18" s="96" t="n">
        <f aca="false">[1]ВИБУЛО2!IK10</f>
        <v>0</v>
      </c>
      <c r="ABB18" s="97" t="n">
        <f aca="false">ABB17-ABA18+AAZ18</f>
        <v>0</v>
      </c>
      <c r="ABC18" s="95" t="n">
        <f aca="false">[1]НАДІЙШЛО2!IL10</f>
        <v>0</v>
      </c>
      <c r="ABD18" s="96" t="n">
        <f aca="false">[1]ВИБУЛО2!IL10</f>
        <v>0</v>
      </c>
      <c r="ABE18" s="97" t="n">
        <f aca="false">ABE17-ABD18+ABC18</f>
        <v>0</v>
      </c>
      <c r="ABF18" s="95" t="n">
        <f aca="false">[1]НАДІЙШЛО2!IM10</f>
        <v>0</v>
      </c>
      <c r="ABG18" s="96" t="n">
        <f aca="false">[1]ВИБУЛО2!IM10</f>
        <v>0</v>
      </c>
      <c r="ABH18" s="97" t="n">
        <f aca="false">ABH17-ABG18+ABF18</f>
        <v>0</v>
      </c>
      <c r="ABI18" s="95" t="n">
        <f aca="false">[1]НАДІЙШЛО2!IN10</f>
        <v>0</v>
      </c>
      <c r="ABJ18" s="96" t="n">
        <f aca="false">[1]ВИБУЛО2!IN10</f>
        <v>0</v>
      </c>
      <c r="ABK18" s="97" t="n">
        <f aca="false">ABK17-ABJ18+ABI18</f>
        <v>0</v>
      </c>
      <c r="ABL18" s="95" t="n">
        <f aca="false">[1]НАДІЙШЛО2!IO10</f>
        <v>0</v>
      </c>
      <c r="ABM18" s="96" t="n">
        <f aca="false">[1]ВИБУЛО2!IO10</f>
        <v>0</v>
      </c>
      <c r="ABN18" s="97" t="n">
        <f aca="false">ABN17-ABM18+ABL18</f>
        <v>0</v>
      </c>
      <c r="ABO18" s="95" t="n">
        <f aca="false">[1]НАДІЙШЛО2!IP10</f>
        <v>0</v>
      </c>
      <c r="ABP18" s="96" t="n">
        <f aca="false">[1]ВИБУЛО2!IP10</f>
        <v>0</v>
      </c>
      <c r="ABQ18" s="97" t="n">
        <f aca="false">ABQ17-ABP18+ABO18</f>
        <v>0</v>
      </c>
      <c r="ABR18" s="95" t="n">
        <f aca="false">[1]НАДІЙШЛО2!IQ10</f>
        <v>0</v>
      </c>
      <c r="ABS18" s="96" t="n">
        <f aca="false">[1]ВИБУЛО2!IQ10</f>
        <v>0</v>
      </c>
      <c r="ABT18" s="97" t="n">
        <f aca="false">ABT17-ABS18+ABR18</f>
        <v>0</v>
      </c>
      <c r="ABU18" s="95" t="n">
        <f aca="false">[1]НАДІЙШЛО2!IR10</f>
        <v>0</v>
      </c>
      <c r="ABV18" s="96" t="n">
        <f aca="false">[1]ВИБУЛО2!IR10</f>
        <v>0</v>
      </c>
      <c r="ABW18" s="97" t="n">
        <f aca="false">ABW17-ABV18+ABU18</f>
        <v>0</v>
      </c>
      <c r="ABX18" s="95" t="n">
        <f aca="false">[1]НАДІЙШЛО2!IS10</f>
        <v>0</v>
      </c>
      <c r="ABY18" s="96" t="n">
        <f aca="false">[1]ВИБУЛО2!IS10</f>
        <v>0</v>
      </c>
      <c r="ABZ18" s="97" t="n">
        <f aca="false">ABZ17-ABY18+ABX18</f>
        <v>0</v>
      </c>
      <c r="ACA18" s="95" t="n">
        <f aca="false">[1]НАДІЙШЛО2!IT10</f>
        <v>0</v>
      </c>
      <c r="ACB18" s="96" t="n">
        <f aca="false">[1]ВИБУЛО2!IT10</f>
        <v>0</v>
      </c>
      <c r="ACC18" s="97" t="n">
        <f aca="false">ACC17-ACB18+ACA18</f>
        <v>0</v>
      </c>
      <c r="ACD18" s="95" t="n">
        <f aca="false">[1]НАДІЙШЛО2!IU10</f>
        <v>0</v>
      </c>
      <c r="ACE18" s="96" t="n">
        <f aca="false">[1]ВИБУЛО2!IU10</f>
        <v>0</v>
      </c>
      <c r="ACF18" s="97" t="n">
        <f aca="false">ACF17-ACE18+ACD18</f>
        <v>0</v>
      </c>
      <c r="ACG18" s="95" t="n">
        <f aca="false">[1]НАДІЙШЛО2!IV10</f>
        <v>0</v>
      </c>
      <c r="ACH18" s="96" t="n">
        <f aca="false">[1]ВИБУЛО2!IV10</f>
        <v>0</v>
      </c>
      <c r="ACI18" s="97" t="n">
        <f aca="false">ACI17-ACH18+ACG18</f>
        <v>0</v>
      </c>
      <c r="ACJ18" s="95" t="n">
        <f aca="false">[1]НАДІЙШЛО2!IW10</f>
        <v>0</v>
      </c>
      <c r="ACK18" s="96" t="n">
        <f aca="false">[1]ВИБУЛО2!IW10</f>
        <v>0</v>
      </c>
      <c r="ACL18" s="97" t="n">
        <f aca="false">ACL17-ACK18+ACJ18</f>
        <v>0</v>
      </c>
      <c r="ACM18" s="95" t="n">
        <f aca="false">[1]НАДІЙШЛО2!IX10</f>
        <v>0</v>
      </c>
      <c r="ACN18" s="96" t="n">
        <f aca="false">[1]ВИБУЛО2!IX10</f>
        <v>0</v>
      </c>
      <c r="ACO18" s="97" t="n">
        <f aca="false">ACO17-ACN18+ACM18</f>
        <v>0</v>
      </c>
      <c r="ACP18" s="95" t="n">
        <f aca="false">[1]НАДІЙШЛО2!IY10</f>
        <v>0</v>
      </c>
      <c r="ACQ18" s="96" t="n">
        <f aca="false">[1]ВИБУЛО2!IY10</f>
        <v>0</v>
      </c>
      <c r="ACR18" s="97" t="n">
        <f aca="false">ACR17-ACQ18+ACP18</f>
        <v>0</v>
      </c>
      <c r="ACS18" s="95" t="n">
        <f aca="false">[1]НАДІЙШЛО2!IZ10</f>
        <v>0</v>
      </c>
      <c r="ACT18" s="96" t="n">
        <f aca="false">[1]ВИБУЛО2!IZ10</f>
        <v>0</v>
      </c>
      <c r="ACU18" s="97" t="n">
        <f aca="false">ACU17-ACT18+ACS18</f>
        <v>0</v>
      </c>
      <c r="ACV18" s="95" t="n">
        <f aca="false">[1]НАДІЙШЛО2!JA10</f>
        <v>0</v>
      </c>
      <c r="ACW18" s="96" t="n">
        <f aca="false">[1]ВИБУЛО2!JA10</f>
        <v>0</v>
      </c>
      <c r="ACX18" s="97" t="n">
        <f aca="false">ACX17-ACW18+ACV18</f>
        <v>0</v>
      </c>
      <c r="ACY18" s="95" t="n">
        <f aca="false">[1]НАДІЙШЛО2!JB10</f>
        <v>0</v>
      </c>
      <c r="ACZ18" s="96" t="n">
        <f aca="false">[1]ВИБУЛО2!JB10</f>
        <v>0</v>
      </c>
      <c r="ADA18" s="97" t="n">
        <f aca="false">ADA17-ACZ18+ACY18</f>
        <v>0</v>
      </c>
      <c r="ADB18" s="95" t="n">
        <f aca="false">[1]НАДІЙШЛО2!JC10</f>
        <v>0</v>
      </c>
      <c r="ADC18" s="96" t="n">
        <f aca="false">[1]ВИБУЛО2!JC10</f>
        <v>0</v>
      </c>
      <c r="ADD18" s="97" t="n">
        <f aca="false">ADD17-ADC18+ADB18</f>
        <v>0</v>
      </c>
      <c r="ADE18" s="95" t="n">
        <f aca="false">[1]НАДІЙШЛО2!JD10</f>
        <v>0</v>
      </c>
      <c r="ADF18" s="96" t="n">
        <f aca="false">[1]ВИБУЛО2!JD10</f>
        <v>0</v>
      </c>
      <c r="ADG18" s="97" t="n">
        <f aca="false">ADG17-ADF18+ADE18</f>
        <v>0</v>
      </c>
      <c r="ADH18" s="95" t="n">
        <f aca="false">[1]НАДІЙШЛО2!JE10</f>
        <v>0</v>
      </c>
      <c r="ADI18" s="96" t="n">
        <f aca="false">[1]ВИБУЛО2!JE10</f>
        <v>0</v>
      </c>
      <c r="ADJ18" s="97" t="n">
        <f aca="false">ADJ17-ADI18+ADH18</f>
        <v>0</v>
      </c>
      <c r="ADK18" s="95" t="n">
        <f aca="false">[1]НАДІЙШЛО2!JF10</f>
        <v>0</v>
      </c>
      <c r="ADL18" s="96" t="n">
        <f aca="false">[1]ВИБУЛО2!JF10</f>
        <v>0</v>
      </c>
      <c r="ADM18" s="97" t="n">
        <f aca="false">ADM17-ADL18+ADK18</f>
        <v>0</v>
      </c>
      <c r="ADN18" s="95" t="n">
        <f aca="false">[1]НАДІЙШЛО2!JG10</f>
        <v>0</v>
      </c>
      <c r="ADO18" s="96" t="n">
        <f aca="false">[1]ВИБУЛО2!JG10</f>
        <v>0</v>
      </c>
      <c r="ADP18" s="97" t="n">
        <f aca="false">ADP17-ADO18+ADN18</f>
        <v>0</v>
      </c>
      <c r="ADQ18" s="95" t="n">
        <f aca="false">[1]НАДІЙШЛО2!JH10</f>
        <v>0</v>
      </c>
      <c r="ADR18" s="96" t="n">
        <f aca="false">[1]ВИБУЛО2!JH10</f>
        <v>0</v>
      </c>
      <c r="ADS18" s="97" t="n">
        <f aca="false">ADS17-ADR18+ADQ18</f>
        <v>0</v>
      </c>
      <c r="ADT18" s="95" t="n">
        <f aca="false">[1]НАДІЙШЛО2!JI10</f>
        <v>0</v>
      </c>
      <c r="ADU18" s="96" t="n">
        <f aca="false">[1]ВИБУЛО2!JI10</f>
        <v>0</v>
      </c>
      <c r="ADV18" s="97" t="n">
        <f aca="false">ADV17-ADU18+ADT18</f>
        <v>0</v>
      </c>
      <c r="ADW18" s="95" t="n">
        <f aca="false">[1]НАДІЙШЛО2!JJ10</f>
        <v>0</v>
      </c>
      <c r="ADX18" s="96" t="n">
        <f aca="false">[1]ВИБУЛО2!JJ10</f>
        <v>0</v>
      </c>
      <c r="ADY18" s="97" t="n">
        <f aca="false">ADY17-ADX18+ADW18</f>
        <v>0</v>
      </c>
      <c r="ADZ18" s="95" t="n">
        <f aca="false">[1]НАДІЙШЛО2!JK10</f>
        <v>0</v>
      </c>
      <c r="AEA18" s="96" t="n">
        <f aca="false">[1]ВИБУЛО2!JK10</f>
        <v>0</v>
      </c>
      <c r="AEB18" s="97" t="n">
        <f aca="false">AEB17-AEA18+ADZ18</f>
        <v>0</v>
      </c>
      <c r="AEC18" s="95" t="n">
        <f aca="false">[1]НАДІЙШЛО2!JL10</f>
        <v>0</v>
      </c>
      <c r="AED18" s="96" t="n">
        <f aca="false">[1]ВИБУЛО2!JL10</f>
        <v>0</v>
      </c>
      <c r="AEE18" s="97" t="n">
        <f aca="false">AEE17-AED18+AEC18</f>
        <v>0</v>
      </c>
      <c r="AEF18" s="95" t="n">
        <f aca="false">[1]НАДІЙШЛО2!JM10</f>
        <v>0</v>
      </c>
      <c r="AEG18" s="96" t="n">
        <f aca="false">[1]ВИБУЛО2!JM10</f>
        <v>0</v>
      </c>
      <c r="AEH18" s="97" t="n">
        <f aca="false">AEH17-AEG18+AEF18</f>
        <v>0</v>
      </c>
      <c r="AEI18" s="95" t="n">
        <f aca="false">[1]НАДІЙШЛО2!JN10</f>
        <v>0</v>
      </c>
      <c r="AEJ18" s="96" t="n">
        <f aca="false">[1]ВИБУЛО2!JN10</f>
        <v>0</v>
      </c>
      <c r="AEK18" s="97" t="n">
        <f aca="false">AEK17-AEJ18+AEI18</f>
        <v>0</v>
      </c>
      <c r="AEL18" s="95" t="n">
        <f aca="false">[1]НАДІЙШЛО2!JO10</f>
        <v>0</v>
      </c>
      <c r="AEM18" s="96" t="n">
        <f aca="false">[1]ВИБУЛО2!JO10</f>
        <v>0</v>
      </c>
      <c r="AEN18" s="97" t="n">
        <f aca="false">AEN17-AEM18+AEL18</f>
        <v>0</v>
      </c>
      <c r="AEO18" s="95" t="n">
        <f aca="false">[1]НАДІЙШЛО2!JP10</f>
        <v>0</v>
      </c>
      <c r="AEP18" s="96" t="n">
        <f aca="false">[1]ВИБУЛО2!JP10</f>
        <v>0</v>
      </c>
      <c r="AEQ18" s="97" t="n">
        <f aca="false">AEQ17-AEP18+AEO18</f>
        <v>0</v>
      </c>
      <c r="AER18" s="95" t="n">
        <f aca="false">[1]НАДІЙШЛО2!JQ10</f>
        <v>0</v>
      </c>
      <c r="AES18" s="96" t="n">
        <f aca="false">[1]ВИБУЛО2!JQ10</f>
        <v>0</v>
      </c>
      <c r="AET18" s="97" t="n">
        <f aca="false">AET17-AES18+AER18</f>
        <v>0</v>
      </c>
      <c r="AEU18" s="95" t="n">
        <f aca="false">[1]НАДІЙШЛО2!JR10</f>
        <v>0</v>
      </c>
      <c r="AEV18" s="96" t="n">
        <f aca="false">[1]ВИБУЛО2!JR10</f>
        <v>0</v>
      </c>
      <c r="AEW18" s="97" t="n">
        <f aca="false">AEW17-AEV18+AEU18</f>
        <v>0</v>
      </c>
      <c r="AEX18" s="95" t="n">
        <f aca="false">[1]НАДІЙШЛО2!JS10</f>
        <v>0</v>
      </c>
      <c r="AEY18" s="96" t="n">
        <f aca="false">[1]ВИБУЛО2!JS10</f>
        <v>0</v>
      </c>
      <c r="AEZ18" s="97" t="n">
        <f aca="false">AEZ17-AEY18+AEX18</f>
        <v>0</v>
      </c>
      <c r="AFA18" s="95" t="n">
        <f aca="false">[1]НАДІЙШЛО2!JT10</f>
        <v>0</v>
      </c>
      <c r="AFB18" s="96" t="n">
        <f aca="false">[1]ВИБУЛО2!JT10</f>
        <v>0</v>
      </c>
      <c r="AFC18" s="97" t="n">
        <f aca="false">AFC17-AFB18+AFA18</f>
        <v>0</v>
      </c>
      <c r="AFD18" s="95" t="n">
        <f aca="false">[1]НАДІЙШЛО2!JU10</f>
        <v>0</v>
      </c>
      <c r="AFE18" s="96" t="n">
        <f aca="false">[1]ВИБУЛО2!JU10</f>
        <v>0</v>
      </c>
      <c r="AFF18" s="97" t="n">
        <f aca="false">AFF17-AFE18+AFD18</f>
        <v>0</v>
      </c>
      <c r="AFG18" s="95" t="n">
        <f aca="false">[1]НАДІЙШЛО2!JV10</f>
        <v>0</v>
      </c>
      <c r="AFH18" s="96" t="n">
        <f aca="false">[1]ВИБУЛО2!JV10</f>
        <v>0</v>
      </c>
      <c r="AFI18" s="97" t="n">
        <f aca="false">AFI17-AFH18+AFG18</f>
        <v>0</v>
      </c>
      <c r="AFJ18" s="95" t="n">
        <f aca="false">[1]НАДІЙШЛО2!JW10</f>
        <v>0</v>
      </c>
      <c r="AFK18" s="96" t="n">
        <f aca="false">[1]ВИБУЛО2!JW10</f>
        <v>0</v>
      </c>
      <c r="AFL18" s="97" t="n">
        <f aca="false">AFL17-AFK18+AFJ18</f>
        <v>0</v>
      </c>
      <c r="AFM18" s="95" t="n">
        <f aca="false">[1]НАДІЙШЛО2!JX10</f>
        <v>0</v>
      </c>
      <c r="AFN18" s="96" t="n">
        <f aca="false">[1]ВИБУЛО2!JX10</f>
        <v>0</v>
      </c>
      <c r="AFO18" s="97" t="n">
        <f aca="false">AFO17-AFN18+AFM18</f>
        <v>0</v>
      </c>
      <c r="AFP18" s="95" t="n">
        <f aca="false">[1]НАДІЙШЛО2!JY10</f>
        <v>0</v>
      </c>
      <c r="AFQ18" s="96" t="n">
        <f aca="false">[1]ВИБУЛО2!JY10</f>
        <v>0</v>
      </c>
      <c r="AFR18" s="97" t="n">
        <f aca="false">AFR17-AFQ18+AFP18</f>
        <v>0</v>
      </c>
      <c r="AFS18" s="95" t="n">
        <f aca="false">[1]НАДІЙШЛО2!JZ10</f>
        <v>0</v>
      </c>
      <c r="AFT18" s="96" t="n">
        <f aca="false">[1]ВИБУЛО2!JZ10</f>
        <v>0</v>
      </c>
      <c r="AFU18" s="97" t="n">
        <f aca="false">AFU17-AFT18+AFS18</f>
        <v>0</v>
      </c>
      <c r="AFV18" s="95" t="n">
        <f aca="false">[1]НАДІЙШЛО2!KA10</f>
        <v>0</v>
      </c>
      <c r="AFW18" s="96" t="n">
        <f aca="false">[1]ВИБУЛО2!KA10</f>
        <v>0</v>
      </c>
      <c r="AFX18" s="97" t="n">
        <f aca="false">AFX17-AFW18+AFV18</f>
        <v>0</v>
      </c>
      <c r="AFY18" s="95" t="n">
        <f aca="false">[1]НАДІЙШЛО2!KB10</f>
        <v>0</v>
      </c>
      <c r="AFZ18" s="96" t="n">
        <f aca="false">[1]ВИБУЛО2!KB10</f>
        <v>0</v>
      </c>
      <c r="AGA18" s="97" t="n">
        <f aca="false">AGA17-AFZ18+AFY18</f>
        <v>0</v>
      </c>
      <c r="AGB18" s="95" t="n">
        <f aca="false">[1]НАДІЙШЛО2!KC10</f>
        <v>0</v>
      </c>
      <c r="AGC18" s="96" t="n">
        <f aca="false">[1]ВИБУЛО2!KC10</f>
        <v>0</v>
      </c>
      <c r="AGD18" s="97" t="n">
        <f aca="false">AGD17-AGC18+AGB18</f>
        <v>0</v>
      </c>
      <c r="AGE18" s="95" t="n">
        <f aca="false">[1]НАДІЙШЛО2!KD10</f>
        <v>0</v>
      </c>
      <c r="AGF18" s="96" t="n">
        <f aca="false">[1]ВИБУЛО2!KD10</f>
        <v>0</v>
      </c>
      <c r="AGG18" s="97" t="n">
        <f aca="false">AGG17-AGF18+AGE18</f>
        <v>0</v>
      </c>
      <c r="AGH18" s="95" t="n">
        <f aca="false">[1]НАДІЙШЛО2!KE10</f>
        <v>0</v>
      </c>
      <c r="AGI18" s="96" t="n">
        <f aca="false">[1]ВИБУЛО2!KE10</f>
        <v>0</v>
      </c>
      <c r="AGJ18" s="97" t="n">
        <f aca="false">AGJ17-AGI18+AGH18</f>
        <v>0</v>
      </c>
      <c r="AGK18" s="95" t="n">
        <f aca="false">[1]НАДІЙШЛО2!KF10</f>
        <v>0</v>
      </c>
      <c r="AGL18" s="96" t="n">
        <f aca="false">[1]ВИБУЛО2!KF10</f>
        <v>0</v>
      </c>
      <c r="AGM18" s="97" t="n">
        <f aca="false">AGM17-AGL18+AGK18</f>
        <v>0</v>
      </c>
      <c r="AGN18" s="95" t="n">
        <f aca="false">[1]НАДІЙШЛО2!KG10</f>
        <v>0</v>
      </c>
      <c r="AGO18" s="96" t="n">
        <f aca="false">[1]ВИБУЛО2!KG10</f>
        <v>0</v>
      </c>
      <c r="AGP18" s="97" t="n">
        <f aca="false">AGP17-AGO18+AGN18</f>
        <v>0</v>
      </c>
      <c r="AGQ18" s="95" t="n">
        <f aca="false">[1]НАДІЙШЛО2!KH10</f>
        <v>0</v>
      </c>
      <c r="AGR18" s="96" t="n">
        <f aca="false">[1]ВИБУЛО2!KH10</f>
        <v>0</v>
      </c>
      <c r="AGS18" s="97" t="n">
        <f aca="false">AGS17-AGR18+AGQ18</f>
        <v>0</v>
      </c>
      <c r="AGT18" s="95" t="n">
        <f aca="false">[1]НАДІЙШЛО2!KI10</f>
        <v>0</v>
      </c>
      <c r="AGU18" s="96" t="n">
        <f aca="false">[1]ВИБУЛО2!KI10</f>
        <v>0</v>
      </c>
      <c r="AGV18" s="97" t="n">
        <f aca="false">AGV17-AGU18+AGT18</f>
        <v>0</v>
      </c>
      <c r="AGW18" s="95" t="n">
        <f aca="false">[1]НАДІЙШЛО2!KJ10</f>
        <v>0</v>
      </c>
      <c r="AGX18" s="96" t="n">
        <f aca="false">[1]ВИБУЛО2!KJ10</f>
        <v>0</v>
      </c>
      <c r="AGY18" s="97" t="n">
        <f aca="false">AGY17-AGX18+AGW18</f>
        <v>0</v>
      </c>
      <c r="AGZ18" s="95" t="n">
        <f aca="false">[1]НАДІЙШЛО2!KK10</f>
        <v>0</v>
      </c>
      <c r="AHA18" s="96" t="n">
        <f aca="false">[1]ВИБУЛО2!KK10</f>
        <v>0</v>
      </c>
      <c r="AHB18" s="97" t="n">
        <f aca="false">AHB17-AHA18+AGZ18</f>
        <v>0</v>
      </c>
      <c r="AHC18" s="95" t="n">
        <f aca="false">[1]НАДІЙШЛО2!KL10</f>
        <v>0</v>
      </c>
      <c r="AHD18" s="96" t="n">
        <f aca="false">[1]ВИБУЛО2!KL10</f>
        <v>0</v>
      </c>
      <c r="AHE18" s="97" t="n">
        <f aca="false">AHE17-AHD18+AHC18</f>
        <v>0</v>
      </c>
      <c r="AHF18" s="95" t="n">
        <f aca="false">[1]НАДІЙШЛО2!KM10</f>
        <v>0</v>
      </c>
      <c r="AHG18" s="96" t="n">
        <f aca="false">[1]ВИБУЛО2!KM10</f>
        <v>0</v>
      </c>
      <c r="AHH18" s="97" t="n">
        <f aca="false">AHH17-AHG18+AHF18</f>
        <v>0</v>
      </c>
      <c r="AHI18" s="95" t="n">
        <f aca="false">[1]НАДІЙШЛО2!KN10</f>
        <v>0</v>
      </c>
      <c r="AHJ18" s="96" t="n">
        <f aca="false">[1]ВИБУЛО2!KN10</f>
        <v>0</v>
      </c>
      <c r="AHK18" s="97" t="n">
        <f aca="false">AHK17-AHJ18+AHI18</f>
        <v>0</v>
      </c>
      <c r="AHL18" s="95" t="n">
        <f aca="false">[1]НАДІЙШЛО2!KO10</f>
        <v>0</v>
      </c>
      <c r="AHM18" s="96" t="n">
        <f aca="false">[1]ВИБУЛО2!KO10</f>
        <v>0</v>
      </c>
      <c r="AHN18" s="97" t="n">
        <f aca="false">AHN17-AHM18+AHL18</f>
        <v>0</v>
      </c>
      <c r="AHO18" s="95" t="n">
        <f aca="false">[1]НАДІЙШЛО2!KP10</f>
        <v>0</v>
      </c>
      <c r="AHP18" s="96" t="n">
        <f aca="false">[1]ВИБУЛО2!KP10</f>
        <v>0</v>
      </c>
      <c r="AHQ18" s="97" t="n">
        <f aca="false">AHQ17-AHP18+AHO18</f>
        <v>0</v>
      </c>
      <c r="AHR18" s="95" t="n">
        <f aca="false">[1]НАДІЙШЛО2!KQ10</f>
        <v>0</v>
      </c>
      <c r="AHS18" s="96" t="n">
        <f aca="false">[1]ВИБУЛО2!KQ10</f>
        <v>0</v>
      </c>
      <c r="AHT18" s="97" t="n">
        <f aca="false">AHT17-AHS18+AHR18</f>
        <v>0</v>
      </c>
      <c r="AHU18" s="95" t="n">
        <f aca="false">[1]НАДІЙШЛО2!KR10</f>
        <v>0</v>
      </c>
      <c r="AHV18" s="96" t="n">
        <f aca="false">[1]ВИБУЛО2!KR10</f>
        <v>0</v>
      </c>
      <c r="AHW18" s="97" t="n">
        <f aca="false">AHW17-AHV18+AHU18</f>
        <v>0</v>
      </c>
      <c r="AHX18" s="95" t="n">
        <f aca="false">[1]НАДІЙШЛО2!KS10</f>
        <v>0</v>
      </c>
      <c r="AHY18" s="96" t="n">
        <f aca="false">[1]ВИБУЛО2!KS10</f>
        <v>0</v>
      </c>
      <c r="AHZ18" s="97" t="n">
        <f aca="false">AHZ17-AHY18+AHX18</f>
        <v>0</v>
      </c>
      <c r="AIA18" s="95" t="n">
        <f aca="false">[1]НАДІЙШЛО2!KT10</f>
        <v>0</v>
      </c>
      <c r="AIB18" s="96" t="n">
        <f aca="false">[1]ВИБУЛО2!KT10</f>
        <v>0</v>
      </c>
      <c r="AIC18" s="97" t="n">
        <f aca="false">AIC17-AIB18+AIA18</f>
        <v>0</v>
      </c>
      <c r="AID18" s="95" t="n">
        <f aca="false">[1]НАДІЙШЛО2!KU10</f>
        <v>0</v>
      </c>
      <c r="AIE18" s="96" t="n">
        <f aca="false">[1]ВИБУЛО2!KU10</f>
        <v>0</v>
      </c>
      <c r="AIF18" s="97" t="n">
        <f aca="false">AIF17-AIE18+AID18</f>
        <v>0</v>
      </c>
      <c r="AIG18" s="95" t="n">
        <f aca="false">[1]НАДІЙШЛО2!KV10</f>
        <v>0</v>
      </c>
      <c r="AIH18" s="96" t="n">
        <f aca="false">[1]ВИБУЛО2!KV10</f>
        <v>0</v>
      </c>
      <c r="AII18" s="97" t="n">
        <f aca="false">AII17-AIH18+AIG18</f>
        <v>0</v>
      </c>
      <c r="AIJ18" s="95" t="n">
        <f aca="false">[1]НАДІЙШЛО2!KW10</f>
        <v>0</v>
      </c>
      <c r="AIK18" s="96" t="n">
        <f aca="false">[1]ВИБУЛО2!KW10</f>
        <v>0</v>
      </c>
      <c r="AIL18" s="97" t="n">
        <f aca="false">AIL17-AIK18+AIJ18</f>
        <v>0</v>
      </c>
      <c r="AIM18" s="95" t="n">
        <f aca="false">[1]НАДІЙШЛО2!KX10</f>
        <v>0</v>
      </c>
      <c r="AIN18" s="96" t="n">
        <f aca="false">[1]ВИБУЛО2!KX10</f>
        <v>0</v>
      </c>
      <c r="AIO18" s="97" t="n">
        <f aca="false">AIO17-AIN18+AIM18</f>
        <v>0</v>
      </c>
      <c r="AIP18" s="95" t="n">
        <f aca="false">[1]НАДІЙШЛО2!KY10</f>
        <v>0</v>
      </c>
      <c r="AIQ18" s="96" t="n">
        <f aca="false">[1]ВИБУЛО2!KY10</f>
        <v>0</v>
      </c>
      <c r="AIR18" s="97" t="n">
        <f aca="false">AIR17-AIQ18+AIP18</f>
        <v>0</v>
      </c>
      <c r="AIS18" s="95" t="n">
        <f aca="false">[1]НАДІЙШЛО2!KZ10</f>
        <v>0</v>
      </c>
      <c r="AIT18" s="96" t="n">
        <f aca="false">[1]ВИБУЛО2!KZ10</f>
        <v>0</v>
      </c>
      <c r="AIU18" s="97" t="n">
        <f aca="false">AIU17-AIT18+AIS18</f>
        <v>0</v>
      </c>
      <c r="AIV18" s="95" t="n">
        <f aca="false">[1]НАДІЙШЛО2!LA10</f>
        <v>0</v>
      </c>
      <c r="AIW18" s="96" t="n">
        <f aca="false">[1]ВИБУЛО2!LA10</f>
        <v>0</v>
      </c>
      <c r="AIX18" s="97" t="n">
        <f aca="false">AIX17-AIW18+AIV18</f>
        <v>0</v>
      </c>
      <c r="AIY18" s="95" t="n">
        <f aca="false">[1]НАДІЙШЛО2!LB10</f>
        <v>0</v>
      </c>
      <c r="AIZ18" s="96" t="n">
        <f aca="false">[1]ВИБУЛО2!LB10</f>
        <v>0</v>
      </c>
      <c r="AJA18" s="97" t="n">
        <f aca="false">AJA17-AIZ18+AIY18</f>
        <v>0</v>
      </c>
      <c r="AJB18" s="95" t="n">
        <f aca="false">[1]НАДІЙШЛО2!LC10</f>
        <v>0</v>
      </c>
      <c r="AJC18" s="96" t="n">
        <f aca="false">[1]ВИБУЛО2!LC10</f>
        <v>0</v>
      </c>
      <c r="AJD18" s="97" t="n">
        <f aca="false">AJD17-AJC18+AJB18</f>
        <v>0</v>
      </c>
      <c r="AJE18" s="95" t="n">
        <f aca="false">[1]НАДІЙШЛО2!LD10</f>
        <v>0</v>
      </c>
      <c r="AJF18" s="96" t="n">
        <f aca="false">[1]ВИБУЛО2!LD10</f>
        <v>0</v>
      </c>
      <c r="AJG18" s="97" t="n">
        <f aca="false">AJG17-AJF18+AJE18</f>
        <v>0</v>
      </c>
      <c r="AJH18" s="95" t="n">
        <f aca="false">[1]НАДІЙШЛО2!LE10</f>
        <v>0</v>
      </c>
      <c r="AJI18" s="96" t="n">
        <f aca="false">[1]ВИБУЛО2!LE10</f>
        <v>0</v>
      </c>
      <c r="AJJ18" s="97" t="n">
        <f aca="false">AJJ17-AJI18+AJH18</f>
        <v>0</v>
      </c>
      <c r="AJK18" s="95" t="n">
        <f aca="false">[1]НАДІЙШЛО2!LF10</f>
        <v>0</v>
      </c>
      <c r="AJL18" s="96" t="n">
        <f aca="false">[1]ВИБУЛО2!LF10</f>
        <v>0</v>
      </c>
      <c r="AJM18" s="97" t="n">
        <f aca="false">AJM17-AJL18+AJK18</f>
        <v>0</v>
      </c>
      <c r="AJN18" s="95" t="n">
        <f aca="false">[1]НАДІЙШЛО2!LG10</f>
        <v>0</v>
      </c>
      <c r="AJO18" s="96" t="n">
        <f aca="false">[1]ВИБУЛО2!LG10</f>
        <v>0</v>
      </c>
      <c r="AJP18" s="97" t="n">
        <f aca="false">AJP17-AJO18+AJN18</f>
        <v>0</v>
      </c>
      <c r="AJQ18" s="95" t="n">
        <f aca="false">[1]НАДІЙШЛО2!LH10</f>
        <v>0</v>
      </c>
      <c r="AJR18" s="96" t="n">
        <f aca="false">[1]ВИБУЛО2!LH10</f>
        <v>0</v>
      </c>
      <c r="AJS18" s="97" t="n">
        <f aca="false">AJS17-AJR18+AJQ18</f>
        <v>0</v>
      </c>
      <c r="AJT18" s="95" t="n">
        <f aca="false">[1]НАДІЙШЛО2!LI10</f>
        <v>0</v>
      </c>
      <c r="AJU18" s="96" t="n">
        <f aca="false">[1]ВИБУЛО2!LI10</f>
        <v>0</v>
      </c>
      <c r="AJV18" s="97" t="n">
        <f aca="false">AJV17-AJU18+AJT18</f>
        <v>0</v>
      </c>
      <c r="AJW18" s="95" t="n">
        <f aca="false">[1]НАДІЙШЛО2!LJ10</f>
        <v>0</v>
      </c>
      <c r="AJX18" s="96" t="n">
        <f aca="false">[1]ВИБУЛО2!LJ10</f>
        <v>0</v>
      </c>
      <c r="AJY18" s="97" t="n">
        <f aca="false">AJY17-AJX18+AJW18</f>
        <v>0</v>
      </c>
      <c r="AJZ18" s="95" t="n">
        <f aca="false">[1]НАДІЙШЛО2!LK10</f>
        <v>0</v>
      </c>
      <c r="AKA18" s="96" t="n">
        <f aca="false">[1]ВИБУЛО2!LK10</f>
        <v>0</v>
      </c>
      <c r="AKB18" s="97" t="n">
        <f aca="false">AKB17-AKA18+AJZ18</f>
        <v>0</v>
      </c>
      <c r="AKC18" s="95" t="n">
        <f aca="false">[1]НАДІЙШЛО2!LL10</f>
        <v>0</v>
      </c>
      <c r="AKD18" s="96" t="n">
        <f aca="false">[1]ВИБУЛО2!LL10</f>
        <v>0</v>
      </c>
      <c r="AKE18" s="97" t="n">
        <f aca="false">AKE17-AKD18+AKC18</f>
        <v>0</v>
      </c>
      <c r="AKF18" s="95" t="n">
        <f aca="false">[1]НАДІЙШЛО2!LM10</f>
        <v>0</v>
      </c>
      <c r="AKG18" s="96" t="n">
        <f aca="false">[1]ВИБУЛО2!LM10</f>
        <v>0</v>
      </c>
      <c r="AKH18" s="97" t="n">
        <f aca="false">AKH17-AKG18+AKF18</f>
        <v>0</v>
      </c>
      <c r="AKI18" s="95" t="n">
        <f aca="false">[1]НАДІЙШЛО2!LN10</f>
        <v>0</v>
      </c>
      <c r="AKJ18" s="96" t="n">
        <f aca="false">[1]ВИБУЛО2!LN10</f>
        <v>0</v>
      </c>
      <c r="AKK18" s="97" t="n">
        <f aca="false">AKK17-AKJ18+AKI18</f>
        <v>0</v>
      </c>
      <c r="AKL18" s="95" t="n">
        <f aca="false">[1]НАДІЙШЛО2!LO10</f>
        <v>0</v>
      </c>
      <c r="AKM18" s="96" t="n">
        <f aca="false">[1]ВИБУЛО2!LO10</f>
        <v>0</v>
      </c>
      <c r="AKN18" s="97" t="n">
        <f aca="false">AKN17-AKM18+AKL18</f>
        <v>0</v>
      </c>
      <c r="AKO18" s="95" t="n">
        <f aca="false">[1]НАДІЙШЛО2!LP10</f>
        <v>0</v>
      </c>
      <c r="AKP18" s="96" t="n">
        <f aca="false">[1]ВИБУЛО2!LP10</f>
        <v>0</v>
      </c>
      <c r="AKQ18" s="97" t="n">
        <f aca="false">AKQ17-AKP18+AKO18</f>
        <v>0</v>
      </c>
      <c r="AKR18" s="95" t="n">
        <f aca="false">[1]НАДІЙШЛО2!LQ10</f>
        <v>0</v>
      </c>
      <c r="AKS18" s="96" t="n">
        <f aca="false">[1]ВИБУЛО2!LQ10</f>
        <v>0</v>
      </c>
      <c r="AKT18" s="97" t="n">
        <f aca="false">AKT17-AKS18+AKR18</f>
        <v>0</v>
      </c>
      <c r="AKU18" s="95" t="n">
        <f aca="false">[1]НАДІЙШЛО2!LR10</f>
        <v>0</v>
      </c>
      <c r="AKV18" s="96" t="n">
        <f aca="false">[1]ВИБУЛО2!LR10</f>
        <v>0</v>
      </c>
      <c r="AKW18" s="97" t="n">
        <f aca="false">AKW17-AKV18+AKU18</f>
        <v>0</v>
      </c>
      <c r="AKX18" s="95" t="n">
        <f aca="false">[1]НАДІЙШЛО2!LS10</f>
        <v>0</v>
      </c>
      <c r="AKY18" s="96" t="n">
        <f aca="false">[1]ВИБУЛО2!LS10</f>
        <v>0</v>
      </c>
      <c r="AKZ18" s="97" t="n">
        <f aca="false">AKZ17-AKY18+AKX18</f>
        <v>0</v>
      </c>
      <c r="ALA18" s="95" t="n">
        <f aca="false">[1]НАДІЙШЛО2!LT10</f>
        <v>0</v>
      </c>
      <c r="ALB18" s="96" t="n">
        <f aca="false">[1]ВИБУЛО2!LT10</f>
        <v>0</v>
      </c>
      <c r="ALC18" s="97" t="n">
        <f aca="false">ALC17-ALB18+ALA18</f>
        <v>0</v>
      </c>
      <c r="ALD18" s="95" t="n">
        <f aca="false">[1]НАДІЙШЛО2!LU10</f>
        <v>0</v>
      </c>
      <c r="ALE18" s="96" t="n">
        <f aca="false">[1]ВИБУЛО2!LU10</f>
        <v>0</v>
      </c>
      <c r="ALF18" s="97" t="n">
        <f aca="false">ALF17-ALE18+ALD18</f>
        <v>0</v>
      </c>
      <c r="ALG18" s="95" t="n">
        <f aca="false">[1]НАДІЙШЛО2!LV10</f>
        <v>0</v>
      </c>
      <c r="ALH18" s="96" t="n">
        <f aca="false">[1]ВИБУЛО2!LV10</f>
        <v>0</v>
      </c>
      <c r="ALI18" s="97" t="n">
        <f aca="false">ALI17-ALH18+ALG18</f>
        <v>0</v>
      </c>
      <c r="ALJ18" s="95" t="n">
        <f aca="false">[1]НАДІЙШЛО2!LW10</f>
        <v>0</v>
      </c>
      <c r="ALK18" s="96" t="n">
        <f aca="false">[1]ВИБУЛО2!LW10</f>
        <v>0</v>
      </c>
      <c r="ALL18" s="97" t="n">
        <f aca="false">ALL17-ALK18+ALJ18</f>
        <v>0</v>
      </c>
      <c r="ALM18" s="95" t="n">
        <f aca="false">[1]НАДІЙШЛО2!LX10</f>
        <v>0</v>
      </c>
      <c r="ALN18" s="96" t="n">
        <f aca="false">[1]ВИБУЛО2!LX10</f>
        <v>0</v>
      </c>
      <c r="ALO18" s="97" t="n">
        <f aca="false">ALO17-ALN18+ALM18</f>
        <v>0</v>
      </c>
      <c r="ALP18" s="95" t="n">
        <f aca="false">[1]НАДІЙШЛО2!LY10</f>
        <v>0</v>
      </c>
      <c r="ALQ18" s="96" t="n">
        <f aca="false">[1]ВИБУЛО2!LY10</f>
        <v>0</v>
      </c>
      <c r="ALR18" s="97" t="n">
        <f aca="false">ALR17-ALQ18+ALP18</f>
        <v>0</v>
      </c>
      <c r="ALS18" s="95" t="n">
        <f aca="false">[1]НАДІЙШЛО2!LZ10</f>
        <v>0</v>
      </c>
      <c r="ALT18" s="96" t="n">
        <f aca="false">[1]ВИБУЛО2!LZ10</f>
        <v>0</v>
      </c>
      <c r="ALU18" s="97" t="n">
        <f aca="false">ALU17-ALT18+ALS18</f>
        <v>0</v>
      </c>
      <c r="ALV18" s="95" t="n">
        <f aca="false">[1]НАДІЙШЛО2!MA10</f>
        <v>0</v>
      </c>
      <c r="ALW18" s="96" t="n">
        <f aca="false">[1]ВИБУЛО2!MA10</f>
        <v>0</v>
      </c>
      <c r="ALX18" s="97" t="n">
        <f aca="false">ALX17-ALW18+ALV18</f>
        <v>0</v>
      </c>
      <c r="ALY18" s="95" t="n">
        <f aca="false">[1]НАДІЙШЛО2!MB10</f>
        <v>0</v>
      </c>
      <c r="ALZ18" s="96" t="n">
        <f aca="false">[1]ВИБУЛО2!MB10</f>
        <v>0</v>
      </c>
      <c r="AMA18" s="97" t="n">
        <f aca="false">AMA17-ALZ18+ALY18</f>
        <v>0</v>
      </c>
      <c r="AMB18" s="95" t="n">
        <f aca="false">[1]НАДІЙШЛО2!MC10</f>
        <v>0</v>
      </c>
      <c r="AMC18" s="96" t="n">
        <f aca="false">[1]ВИБУЛО2!MC10</f>
        <v>0</v>
      </c>
      <c r="AMD18" s="97" t="n">
        <f aca="false">AMD17-AMC18+AMB18</f>
        <v>0</v>
      </c>
      <c r="AME18" s="95" t="n">
        <f aca="false">[1]НАДІЙШЛО2!MD10</f>
        <v>0</v>
      </c>
      <c r="AMF18" s="96" t="n">
        <f aca="false">[1]ВИБУЛО2!MD10</f>
        <v>0</v>
      </c>
      <c r="AMG18" s="97" t="n">
        <f aca="false">AMG17-AMF18+AME18</f>
        <v>0</v>
      </c>
      <c r="AMH18" s="95" t="n">
        <f aca="false">[1]НАДІЙШЛО2!ME10</f>
        <v>0</v>
      </c>
      <c r="AMI18" s="96" t="n">
        <f aca="false">[1]ВИБУЛО2!ME10</f>
        <v>0</v>
      </c>
      <c r="AMJ18" s="97" t="n">
        <f aca="false">AMJ17-AMI18+AMH18</f>
        <v>0</v>
      </c>
    </row>
    <row r="19" s="99" customFormat="true" ht="16.5" hidden="false" customHeight="false" outlineLevel="0" collapsed="false">
      <c r="A19" s="98"/>
      <c r="D19" s="103"/>
      <c r="E19" s="95" t="n">
        <f aca="false">[1]НАДІЙШЛО2!D11</f>
        <v>0</v>
      </c>
      <c r="F19" s="96" t="n">
        <f aca="false">[1]ВИБУЛО2!D11</f>
        <v>0</v>
      </c>
      <c r="G19" s="97" t="n">
        <f aca="false">G18-F19+E19</f>
        <v>0</v>
      </c>
      <c r="H19" s="95" t="n">
        <f aca="false">[1]НАДІЙШЛО2!E11</f>
        <v>0</v>
      </c>
      <c r="I19" s="96" t="n">
        <f aca="false">[1]ВИБУЛО2!E11</f>
        <v>0</v>
      </c>
      <c r="J19" s="97" t="n">
        <f aca="false">J18-I19+H19</f>
        <v>0</v>
      </c>
      <c r="K19" s="95" t="n">
        <f aca="false">[1]НАДІЙШЛО2!F11</f>
        <v>0</v>
      </c>
      <c r="L19" s="96" t="n">
        <f aca="false">[1]ВИБУЛО2!F11</f>
        <v>0</v>
      </c>
      <c r="M19" s="97" t="n">
        <f aca="false">M18-L19+K19</f>
        <v>2.06</v>
      </c>
      <c r="N19" s="95" t="n">
        <f aca="false">[1]НАДІЙШЛО2!G11</f>
        <v>0</v>
      </c>
      <c r="O19" s="96" t="n">
        <f aca="false">[1]ВИБУЛО2!G11</f>
        <v>0</v>
      </c>
      <c r="P19" s="97" t="n">
        <f aca="false">P18-O19+N19</f>
        <v>0</v>
      </c>
      <c r="Q19" s="95" t="n">
        <f aca="false">[1]НАДІЙШЛО2!H11</f>
        <v>0</v>
      </c>
      <c r="R19" s="96" t="n">
        <f aca="false">[1]ВИБУЛО2!H11</f>
        <v>0</v>
      </c>
      <c r="S19" s="97" t="n">
        <f aca="false">S18-R19+Q19</f>
        <v>0</v>
      </c>
      <c r="T19" s="95" t="n">
        <f aca="false">[1]НАДІЙШЛО2!I11</f>
        <v>0</v>
      </c>
      <c r="U19" s="96" t="n">
        <f aca="false">[1]ВИБУЛО2!I11</f>
        <v>0</v>
      </c>
      <c r="V19" s="97" t="n">
        <f aca="false">V18-U19+T19</f>
        <v>0</v>
      </c>
      <c r="W19" s="95" t="n">
        <f aca="false">[1]НАДІЙШЛО2!J11</f>
        <v>0</v>
      </c>
      <c r="X19" s="96" t="n">
        <f aca="false">[1]ВИБУЛО2!J11</f>
        <v>0</v>
      </c>
      <c r="Y19" s="97" t="n">
        <f aca="false">Y18-X19+W19</f>
        <v>0</v>
      </c>
      <c r="Z19" s="95" t="n">
        <f aca="false">[1]НАДІЙШЛО2!K11</f>
        <v>0</v>
      </c>
      <c r="AA19" s="96" t="n">
        <f aca="false">[1]ВИБУЛО2!K11</f>
        <v>0</v>
      </c>
      <c r="AB19" s="97" t="n">
        <f aca="false">AB18-AA19+Z19</f>
        <v>0</v>
      </c>
      <c r="AC19" s="95" t="n">
        <f aca="false">[1]НАДІЙШЛО2!L11</f>
        <v>0</v>
      </c>
      <c r="AD19" s="96" t="n">
        <f aca="false">[1]ВИБУЛО2!L11</f>
        <v>0</v>
      </c>
      <c r="AE19" s="97" t="n">
        <f aca="false">AE18-AD19+AC19</f>
        <v>0</v>
      </c>
      <c r="AF19" s="95" t="n">
        <f aca="false">[1]НАДІЙШЛО2!M11</f>
        <v>0</v>
      </c>
      <c r="AG19" s="96" t="n">
        <f aca="false">[1]ВИБУЛО2!M11</f>
        <v>0</v>
      </c>
      <c r="AH19" s="97" t="n">
        <f aca="false">AH18-AG19+AF19</f>
        <v>0</v>
      </c>
      <c r="AI19" s="95" t="n">
        <f aca="false">[1]НАДІЙШЛО2!N11</f>
        <v>0</v>
      </c>
      <c r="AJ19" s="96" t="n">
        <f aca="false">[1]ВИБУЛО2!N11</f>
        <v>0</v>
      </c>
      <c r="AK19" s="97" t="n">
        <f aca="false">AK18-AJ19+AI19</f>
        <v>0</v>
      </c>
      <c r="AL19" s="95" t="n">
        <f aca="false">[1]НАДІЙШЛО2!O11</f>
        <v>0</v>
      </c>
      <c r="AM19" s="96" t="n">
        <f aca="false">[1]ВИБУЛО2!O11</f>
        <v>0</v>
      </c>
      <c r="AN19" s="97" t="n">
        <f aca="false">AN18-AM19+AL19</f>
        <v>0</v>
      </c>
      <c r="AO19" s="95" t="n">
        <f aca="false">[1]НАДІЙШЛО2!P11</f>
        <v>0</v>
      </c>
      <c r="AP19" s="96" t="n">
        <f aca="false">[1]ВИБУЛО2!P11</f>
        <v>0</v>
      </c>
      <c r="AQ19" s="97" t="n">
        <f aca="false">AQ18-AP19+AO19</f>
        <v>0</v>
      </c>
      <c r="AR19" s="95" t="n">
        <f aca="false">[1]НАДІЙШЛО2!Q11</f>
        <v>0</v>
      </c>
      <c r="AS19" s="96" t="n">
        <f aca="false">[1]ВИБУЛО2!Q11</f>
        <v>0</v>
      </c>
      <c r="AT19" s="97" t="n">
        <f aca="false">AT18-AS19+AR19</f>
        <v>0</v>
      </c>
      <c r="AU19" s="95" t="n">
        <f aca="false">[1]НАДІЙШЛО2!R11</f>
        <v>0</v>
      </c>
      <c r="AV19" s="96" t="n">
        <f aca="false">[1]ВИБУЛО2!R11</f>
        <v>0</v>
      </c>
      <c r="AW19" s="97" t="n">
        <f aca="false">AW18-AV19+AU19</f>
        <v>0</v>
      </c>
      <c r="AX19" s="95" t="n">
        <f aca="false">[1]НАДІЙШЛО2!S11</f>
        <v>0</v>
      </c>
      <c r="AY19" s="96" t="n">
        <f aca="false">[1]ВИБУЛО2!S11</f>
        <v>0</v>
      </c>
      <c r="AZ19" s="97" t="n">
        <f aca="false">AZ18-AY19+AX19</f>
        <v>0</v>
      </c>
      <c r="BA19" s="95" t="n">
        <f aca="false">[1]НАДІЙШЛО2!T11</f>
        <v>0</v>
      </c>
      <c r="BB19" s="96" t="n">
        <f aca="false">[1]ВИБУЛО2!T11</f>
        <v>0</v>
      </c>
      <c r="BC19" s="97" t="n">
        <f aca="false">BC18-BB19+BA19</f>
        <v>0</v>
      </c>
      <c r="BD19" s="95" t="n">
        <f aca="false">[1]НАДІЙШЛО2!U11</f>
        <v>0</v>
      </c>
      <c r="BE19" s="96" t="n">
        <f aca="false">[1]ВИБУЛО2!U11</f>
        <v>0</v>
      </c>
      <c r="BF19" s="97" t="n">
        <f aca="false">BF18-BE19+BD19</f>
        <v>0</v>
      </c>
      <c r="BG19" s="95" t="n">
        <f aca="false">[1]НАДІЙШЛО2!V11</f>
        <v>0</v>
      </c>
      <c r="BH19" s="96" t="n">
        <f aca="false">[1]ВИБУЛО2!V11</f>
        <v>0</v>
      </c>
      <c r="BI19" s="97" t="n">
        <f aca="false">BI18-BH19+BG19</f>
        <v>0</v>
      </c>
      <c r="BJ19" s="95" t="n">
        <f aca="false">[1]НАДІЙШЛО2!W11</f>
        <v>0</v>
      </c>
      <c r="BK19" s="96" t="n">
        <f aca="false">[1]ВИБУЛО2!W11</f>
        <v>0</v>
      </c>
      <c r="BL19" s="97" t="n">
        <f aca="false">BL18-BK19+BJ19</f>
        <v>0</v>
      </c>
      <c r="BM19" s="95" t="n">
        <f aca="false">[1]НАДІЙШЛО2!X11</f>
        <v>0</v>
      </c>
      <c r="BN19" s="96" t="n">
        <f aca="false">[1]ВИБУЛО2!X11</f>
        <v>0</v>
      </c>
      <c r="BO19" s="97" t="n">
        <f aca="false">BO18-BN19+BM19</f>
        <v>0</v>
      </c>
      <c r="BP19" s="95" t="n">
        <f aca="false">[1]НАДІЙШЛО2!Y11</f>
        <v>0</v>
      </c>
      <c r="BQ19" s="96" t="n">
        <f aca="false">[1]ВИБУЛО2!Y11</f>
        <v>0</v>
      </c>
      <c r="BR19" s="97" t="n">
        <f aca="false">BR18-BQ19+BP19</f>
        <v>0</v>
      </c>
      <c r="BS19" s="95" t="n">
        <f aca="false">[1]НАДІЙШЛО2!Z11</f>
        <v>0</v>
      </c>
      <c r="BT19" s="96" t="n">
        <f aca="false">[1]ВИБУЛО2!Z11</f>
        <v>0</v>
      </c>
      <c r="BU19" s="97" t="n">
        <f aca="false">BU18-BT19+BS19</f>
        <v>0</v>
      </c>
      <c r="BV19" s="95" t="n">
        <f aca="false">[1]НАДІЙШЛО2!AA11</f>
        <v>0</v>
      </c>
      <c r="BW19" s="96" t="n">
        <f aca="false">[1]ВИБУЛО2!AA11</f>
        <v>0</v>
      </c>
      <c r="BX19" s="97" t="n">
        <f aca="false">BX18-BW19+BV19</f>
        <v>0</v>
      </c>
      <c r="BY19" s="95" t="n">
        <f aca="false">[1]НАДІЙШЛО2!AB11</f>
        <v>0</v>
      </c>
      <c r="BZ19" s="96" t="n">
        <f aca="false">[1]ВИБУЛО2!AB11</f>
        <v>0</v>
      </c>
      <c r="CA19" s="97" t="n">
        <f aca="false">CA18-BZ19+BY19</f>
        <v>0</v>
      </c>
      <c r="CB19" s="95" t="n">
        <f aca="false">[1]НАДІЙШЛО2!AC11</f>
        <v>0</v>
      </c>
      <c r="CC19" s="96" t="n">
        <f aca="false">[1]ВИБУЛО2!AC11</f>
        <v>0</v>
      </c>
      <c r="CD19" s="97" t="n">
        <f aca="false">CD18-CC19+CB19</f>
        <v>0</v>
      </c>
      <c r="CE19" s="95" t="n">
        <f aca="false">[1]НАДІЙШЛО2!AD11</f>
        <v>0</v>
      </c>
      <c r="CF19" s="96" t="n">
        <f aca="false">[1]ВИБУЛО2!AD11</f>
        <v>0</v>
      </c>
      <c r="CG19" s="97" t="n">
        <f aca="false">CG18-CF19+CE19</f>
        <v>0</v>
      </c>
      <c r="CH19" s="95" t="n">
        <f aca="false">[1]НАДІЙШЛО2!AE11</f>
        <v>0</v>
      </c>
      <c r="CI19" s="96" t="n">
        <f aca="false">[1]ВИБУЛО2!AE11</f>
        <v>0</v>
      </c>
      <c r="CJ19" s="97" t="n">
        <f aca="false">CJ18-CI19+CH19</f>
        <v>0</v>
      </c>
      <c r="CK19" s="95" t="n">
        <f aca="false">[1]НАДІЙШЛО2!AF11</f>
        <v>0</v>
      </c>
      <c r="CL19" s="96" t="n">
        <f aca="false">[1]ВИБУЛО2!AF11</f>
        <v>0</v>
      </c>
      <c r="CM19" s="97" t="n">
        <f aca="false">CM18-CL19+CK19</f>
        <v>0</v>
      </c>
      <c r="CN19" s="95" t="n">
        <f aca="false">[1]НАДІЙШЛО2!AG11</f>
        <v>0</v>
      </c>
      <c r="CO19" s="96" t="n">
        <f aca="false">[1]ВИБУЛО2!AG11</f>
        <v>0</v>
      </c>
      <c r="CP19" s="97" t="n">
        <f aca="false">CP18-CO19+CN19</f>
        <v>0</v>
      </c>
      <c r="CQ19" s="95" t="n">
        <f aca="false">[1]НАДІЙШЛО2!AH11</f>
        <v>0</v>
      </c>
      <c r="CR19" s="96" t="n">
        <f aca="false">[1]ВИБУЛО2!AH11</f>
        <v>0</v>
      </c>
      <c r="CS19" s="97" t="n">
        <f aca="false">CS18-CR19+CQ19</f>
        <v>0</v>
      </c>
      <c r="CT19" s="95" t="n">
        <f aca="false">[1]НАДІЙШЛО2!AI11</f>
        <v>0</v>
      </c>
      <c r="CU19" s="96" t="n">
        <f aca="false">[1]ВИБУЛО2!AI11</f>
        <v>0</v>
      </c>
      <c r="CV19" s="97" t="n">
        <f aca="false">CV18-CU19+CT19</f>
        <v>0</v>
      </c>
      <c r="CW19" s="95" t="n">
        <f aca="false">[1]НАДІЙШЛО2!AJ11</f>
        <v>0</v>
      </c>
      <c r="CX19" s="96" t="n">
        <f aca="false">[1]ВИБУЛО2!AJ11</f>
        <v>0</v>
      </c>
      <c r="CY19" s="97" t="n">
        <f aca="false">CY18-CX19+CW19</f>
        <v>0</v>
      </c>
      <c r="CZ19" s="95" t="n">
        <f aca="false">[1]НАДІЙШЛО2!AK11</f>
        <v>0</v>
      </c>
      <c r="DA19" s="96" t="n">
        <f aca="false">[1]ВИБУЛО2!AK11</f>
        <v>0</v>
      </c>
      <c r="DB19" s="97" t="n">
        <f aca="false">DB18-DA19+CZ19</f>
        <v>0</v>
      </c>
      <c r="DC19" s="95" t="n">
        <f aca="false">[1]НАДІЙШЛО2!AL11</f>
        <v>0</v>
      </c>
      <c r="DD19" s="96" t="n">
        <f aca="false">[1]ВИБУЛО2!AL11</f>
        <v>0</v>
      </c>
      <c r="DE19" s="97" t="n">
        <f aca="false">DE18-DD19+DC19</f>
        <v>0</v>
      </c>
      <c r="DF19" s="95" t="n">
        <f aca="false">[1]НАДІЙШЛО2!AM11</f>
        <v>0</v>
      </c>
      <c r="DG19" s="96" t="n">
        <f aca="false">[1]ВИБУЛО2!AM11</f>
        <v>0</v>
      </c>
      <c r="DH19" s="97" t="n">
        <f aca="false">DH18-DG19+DF19</f>
        <v>0</v>
      </c>
      <c r="DI19" s="95" t="n">
        <f aca="false">[1]НАДІЙШЛО2!AN11</f>
        <v>0</v>
      </c>
      <c r="DJ19" s="96" t="n">
        <f aca="false">[1]ВИБУЛО2!AN11</f>
        <v>0</v>
      </c>
      <c r="DK19" s="97" t="n">
        <f aca="false">DK18-DJ19+DI19</f>
        <v>0</v>
      </c>
      <c r="DL19" s="95" t="n">
        <f aca="false">[1]НАДІЙШЛО2!AO11</f>
        <v>0</v>
      </c>
      <c r="DM19" s="96" t="n">
        <f aca="false">[1]ВИБУЛО2!AO11</f>
        <v>0</v>
      </c>
      <c r="DN19" s="97" t="n">
        <f aca="false">DN18-DM19+DL19</f>
        <v>0</v>
      </c>
      <c r="DO19" s="95" t="n">
        <f aca="false">[1]НАДІЙШЛО2!AP11</f>
        <v>0</v>
      </c>
      <c r="DP19" s="96" t="n">
        <f aca="false">[1]ВИБУЛО2!AP11</f>
        <v>0</v>
      </c>
      <c r="DQ19" s="97" t="n">
        <f aca="false">DQ18-DP19+DO19</f>
        <v>0</v>
      </c>
      <c r="DR19" s="95" t="n">
        <f aca="false">[1]НАДІЙШЛО2!AQ11</f>
        <v>0</v>
      </c>
      <c r="DS19" s="96" t="n">
        <f aca="false">[1]ВИБУЛО2!AQ11</f>
        <v>0</v>
      </c>
      <c r="DT19" s="97" t="n">
        <f aca="false">DT18-DS19+DR19</f>
        <v>0</v>
      </c>
      <c r="DU19" s="95" t="n">
        <f aca="false">[1]НАДІЙШЛО2!AR11</f>
        <v>0</v>
      </c>
      <c r="DV19" s="96" t="n">
        <f aca="false">[1]ВИБУЛО2!AR11</f>
        <v>0</v>
      </c>
      <c r="DW19" s="97" t="n">
        <f aca="false">DW18-DV19+DU19</f>
        <v>0</v>
      </c>
      <c r="DX19" s="95" t="n">
        <f aca="false">[1]НАДІЙШЛО2!AS11</f>
        <v>0</v>
      </c>
      <c r="DY19" s="96" t="n">
        <f aca="false">[1]ВИБУЛО2!AS11</f>
        <v>0</v>
      </c>
      <c r="DZ19" s="97" t="n">
        <f aca="false">DZ18-DY19+DX19</f>
        <v>0</v>
      </c>
      <c r="EA19" s="95" t="n">
        <f aca="false">[1]НАДІЙШЛО2!AT11</f>
        <v>0</v>
      </c>
      <c r="EB19" s="96" t="n">
        <f aca="false">[1]ВИБУЛО2!AT11</f>
        <v>0</v>
      </c>
      <c r="EC19" s="97" t="n">
        <f aca="false">EC18-EB19+EA19</f>
        <v>0</v>
      </c>
      <c r="ED19" s="95" t="n">
        <f aca="false">[1]НАДІЙШЛО2!AU11</f>
        <v>0</v>
      </c>
      <c r="EE19" s="96" t="n">
        <f aca="false">[1]ВИБУЛО2!AU11</f>
        <v>0</v>
      </c>
      <c r="EF19" s="97" t="n">
        <f aca="false">EF18-EE19+ED19</f>
        <v>0</v>
      </c>
      <c r="EG19" s="95" t="n">
        <f aca="false">[1]НАДІЙШЛО2!AV11</f>
        <v>0</v>
      </c>
      <c r="EH19" s="96" t="n">
        <f aca="false">[1]ВИБУЛО2!AV11</f>
        <v>0</v>
      </c>
      <c r="EI19" s="97" t="n">
        <f aca="false">EI18-EH19+EG19</f>
        <v>0</v>
      </c>
      <c r="EJ19" s="95" t="n">
        <f aca="false">[1]НАДІЙШЛО2!AW11</f>
        <v>0</v>
      </c>
      <c r="EK19" s="96" t="n">
        <f aca="false">[1]ВИБУЛО2!AW11</f>
        <v>0</v>
      </c>
      <c r="EL19" s="97" t="n">
        <f aca="false">EL18-EK19+EJ19</f>
        <v>0</v>
      </c>
      <c r="EM19" s="95" t="n">
        <f aca="false">[1]НАДІЙШЛО2!AX11</f>
        <v>0</v>
      </c>
      <c r="EN19" s="96" t="n">
        <f aca="false">[1]ВИБУЛО2!AX11</f>
        <v>0</v>
      </c>
      <c r="EO19" s="97" t="n">
        <f aca="false">EO18-EN19+EM19</f>
        <v>0</v>
      </c>
      <c r="EP19" s="95" t="n">
        <f aca="false">[1]НАДІЙШЛО2!AY11</f>
        <v>0</v>
      </c>
      <c r="EQ19" s="96" t="n">
        <f aca="false">[1]ВИБУЛО2!AY11</f>
        <v>0</v>
      </c>
      <c r="ER19" s="97" t="n">
        <f aca="false">ER18-EQ19+EP19</f>
        <v>0</v>
      </c>
      <c r="ES19" s="95" t="n">
        <f aca="false">[1]НАДІЙШЛО2!AZ11</f>
        <v>0</v>
      </c>
      <c r="ET19" s="96" t="n">
        <f aca="false">[1]ВИБУЛО2!AZ11</f>
        <v>0</v>
      </c>
      <c r="EU19" s="97" t="n">
        <f aca="false">EU18-ET19+ES19</f>
        <v>0</v>
      </c>
      <c r="EV19" s="95" t="n">
        <f aca="false">[1]НАДІЙШЛО2!BA11</f>
        <v>0</v>
      </c>
      <c r="EW19" s="96" t="n">
        <f aca="false">[1]ВИБУЛО2!BA11</f>
        <v>0</v>
      </c>
      <c r="EX19" s="97" t="n">
        <f aca="false">EX18-EW19+EV19</f>
        <v>0</v>
      </c>
      <c r="EY19" s="95" t="n">
        <f aca="false">[1]НАДІЙШЛО2!BB11</f>
        <v>0</v>
      </c>
      <c r="EZ19" s="96" t="n">
        <f aca="false">[1]ВИБУЛО2!BB11</f>
        <v>0</v>
      </c>
      <c r="FA19" s="97" t="n">
        <f aca="false">FA18-EZ19+EY19</f>
        <v>0</v>
      </c>
      <c r="FB19" s="95" t="n">
        <f aca="false">[1]НАДІЙШЛО2!BC11</f>
        <v>0</v>
      </c>
      <c r="FC19" s="96" t="n">
        <f aca="false">[1]ВИБУЛО2!BC11</f>
        <v>0</v>
      </c>
      <c r="FD19" s="97" t="n">
        <f aca="false">FD18-FC19+FB19</f>
        <v>0</v>
      </c>
      <c r="FE19" s="95" t="n">
        <f aca="false">[1]НАДІЙШЛО2!BD11</f>
        <v>0</v>
      </c>
      <c r="FF19" s="96" t="n">
        <f aca="false">[1]ВИБУЛО2!BD11</f>
        <v>0</v>
      </c>
      <c r="FG19" s="97" t="n">
        <f aca="false">FG18-FF19+FE19</f>
        <v>0</v>
      </c>
      <c r="FH19" s="95" t="n">
        <f aca="false">[1]НАДІЙШЛО2!BE11</f>
        <v>0</v>
      </c>
      <c r="FI19" s="96" t="n">
        <f aca="false">[1]ВИБУЛО2!BE11</f>
        <v>0</v>
      </c>
      <c r="FJ19" s="97" t="n">
        <f aca="false">FJ18-FI19+FH19</f>
        <v>0</v>
      </c>
      <c r="FK19" s="95" t="n">
        <f aca="false">[1]НАДІЙШЛО2!BF11</f>
        <v>0</v>
      </c>
      <c r="FL19" s="96" t="n">
        <f aca="false">[1]ВИБУЛО2!BF11</f>
        <v>0</v>
      </c>
      <c r="FM19" s="97" t="n">
        <f aca="false">FM18-FL19+FK19</f>
        <v>0</v>
      </c>
      <c r="FN19" s="95" t="n">
        <f aca="false">[1]НАДІЙШЛО2!BG11</f>
        <v>0</v>
      </c>
      <c r="FO19" s="96" t="n">
        <f aca="false">[1]ВИБУЛО2!BG11</f>
        <v>0</v>
      </c>
      <c r="FP19" s="97" t="n">
        <f aca="false">FP18-FO19+FN19</f>
        <v>0</v>
      </c>
      <c r="FQ19" s="95" t="n">
        <f aca="false">[1]НАДІЙШЛО2!BH11</f>
        <v>0</v>
      </c>
      <c r="FR19" s="96" t="n">
        <f aca="false">[1]ВИБУЛО2!BH11</f>
        <v>0</v>
      </c>
      <c r="FS19" s="97" t="n">
        <f aca="false">FS18-FR19+FQ19</f>
        <v>0</v>
      </c>
      <c r="FT19" s="95" t="n">
        <f aca="false">[1]НАДІЙШЛО2!BI11</f>
        <v>0</v>
      </c>
      <c r="FU19" s="96" t="n">
        <f aca="false">[1]ВИБУЛО2!BI11</f>
        <v>0</v>
      </c>
      <c r="FV19" s="97" t="n">
        <f aca="false">FV18-FU19+FT19</f>
        <v>0</v>
      </c>
      <c r="FW19" s="95" t="n">
        <f aca="false">[1]НАДІЙШЛО2!BJ11</f>
        <v>0</v>
      </c>
      <c r="FX19" s="96" t="n">
        <f aca="false">[1]ВИБУЛО2!BJ11</f>
        <v>0</v>
      </c>
      <c r="FY19" s="97" t="n">
        <f aca="false">FY18-FX19+FW19</f>
        <v>0</v>
      </c>
      <c r="FZ19" s="95" t="n">
        <f aca="false">[1]НАДІЙШЛО2!BK11</f>
        <v>0</v>
      </c>
      <c r="GA19" s="96" t="n">
        <f aca="false">[1]ВИБУЛО2!BK11</f>
        <v>0</v>
      </c>
      <c r="GB19" s="97" t="n">
        <f aca="false">GB18-GA19+FZ19</f>
        <v>0</v>
      </c>
      <c r="GC19" s="95" t="n">
        <f aca="false">[1]НАДІЙШЛО2!BL11</f>
        <v>0</v>
      </c>
      <c r="GD19" s="96" t="n">
        <f aca="false">[1]ВИБУЛО2!BL11</f>
        <v>0</v>
      </c>
      <c r="GE19" s="97" t="n">
        <f aca="false">GE18-GD19+GC19</f>
        <v>0</v>
      </c>
      <c r="GF19" s="95" t="n">
        <f aca="false">[1]НАДІЙШЛО2!BM11</f>
        <v>0</v>
      </c>
      <c r="GG19" s="96" t="n">
        <f aca="false">[1]ВИБУЛО2!BM11</f>
        <v>0</v>
      </c>
      <c r="GH19" s="97" t="n">
        <f aca="false">GH18-GG19+GF19</f>
        <v>0</v>
      </c>
      <c r="GI19" s="95" t="n">
        <f aca="false">[1]НАДІЙШЛО2!BN11</f>
        <v>0</v>
      </c>
      <c r="GJ19" s="96" t="n">
        <f aca="false">[1]ВИБУЛО2!BN11</f>
        <v>0</v>
      </c>
      <c r="GK19" s="97" t="n">
        <f aca="false">GK18-GJ19+GI19</f>
        <v>0</v>
      </c>
      <c r="GL19" s="95" t="n">
        <f aca="false">[1]НАДІЙШЛО2!BO11</f>
        <v>0</v>
      </c>
      <c r="GM19" s="96" t="n">
        <f aca="false">[1]ВИБУЛО2!BO11</f>
        <v>0</v>
      </c>
      <c r="GN19" s="97" t="n">
        <f aca="false">GN18-GM19+GL19</f>
        <v>0</v>
      </c>
      <c r="GO19" s="95" t="n">
        <f aca="false">[1]НАДІЙШЛО2!BP11</f>
        <v>0</v>
      </c>
      <c r="GP19" s="96" t="n">
        <f aca="false">[1]ВИБУЛО2!BP11</f>
        <v>0</v>
      </c>
      <c r="GQ19" s="97" t="n">
        <f aca="false">GQ18-GP19+GO19</f>
        <v>0</v>
      </c>
      <c r="GR19" s="95" t="n">
        <f aca="false">[1]НАДІЙШЛО2!BQ11</f>
        <v>0</v>
      </c>
      <c r="GS19" s="96" t="n">
        <f aca="false">[1]ВИБУЛО2!BQ11</f>
        <v>0</v>
      </c>
      <c r="GT19" s="97" t="n">
        <f aca="false">GT18-GS19+GR19</f>
        <v>0</v>
      </c>
      <c r="GU19" s="95" t="n">
        <f aca="false">[1]НАДІЙШЛО2!BR11</f>
        <v>0</v>
      </c>
      <c r="GV19" s="96" t="n">
        <f aca="false">[1]ВИБУЛО2!BR11</f>
        <v>0</v>
      </c>
      <c r="GW19" s="97" t="n">
        <f aca="false">GW18-GV19+GU19</f>
        <v>0</v>
      </c>
      <c r="GX19" s="95" t="n">
        <f aca="false">[1]НАДІЙШЛО2!BS11</f>
        <v>0</v>
      </c>
      <c r="GY19" s="96" t="n">
        <f aca="false">[1]ВИБУЛО2!BS11</f>
        <v>0</v>
      </c>
      <c r="GZ19" s="97" t="n">
        <f aca="false">GZ18-GY19+GX19</f>
        <v>0</v>
      </c>
      <c r="HA19" s="95" t="n">
        <f aca="false">[1]НАДІЙШЛО2!BT11</f>
        <v>0</v>
      </c>
      <c r="HB19" s="96" t="n">
        <f aca="false">[1]ВИБУЛО2!BT11</f>
        <v>0</v>
      </c>
      <c r="HC19" s="97" t="n">
        <f aca="false">HC18-HB19+HA19</f>
        <v>0</v>
      </c>
      <c r="HD19" s="95" t="n">
        <f aca="false">[1]НАДІЙШЛО2!BU11</f>
        <v>0</v>
      </c>
      <c r="HE19" s="96" t="n">
        <f aca="false">[1]ВИБУЛО2!BU11</f>
        <v>0</v>
      </c>
      <c r="HF19" s="97" t="n">
        <f aca="false">HF18-HE19+HD19</f>
        <v>0</v>
      </c>
      <c r="HG19" s="95" t="n">
        <f aca="false">[1]НАДІЙШЛО2!BV11</f>
        <v>0</v>
      </c>
      <c r="HH19" s="96" t="n">
        <f aca="false">[1]ВИБУЛО2!BV11</f>
        <v>0</v>
      </c>
      <c r="HI19" s="97" t="n">
        <f aca="false">HI18-HH19+HG19</f>
        <v>0</v>
      </c>
      <c r="HJ19" s="95" t="n">
        <f aca="false">[1]НАДІЙШЛО2!BW11</f>
        <v>0</v>
      </c>
      <c r="HK19" s="96" t="n">
        <f aca="false">[1]ВИБУЛО2!BW11</f>
        <v>0</v>
      </c>
      <c r="HL19" s="97" t="n">
        <f aca="false">HL18-HK19+HJ19</f>
        <v>0</v>
      </c>
      <c r="HM19" s="95" t="n">
        <f aca="false">[1]НАДІЙШЛО2!BX11</f>
        <v>0</v>
      </c>
      <c r="HN19" s="96" t="n">
        <f aca="false">[1]ВИБУЛО2!BX11</f>
        <v>0</v>
      </c>
      <c r="HO19" s="97" t="n">
        <f aca="false">HO18-HN19+HM19</f>
        <v>0</v>
      </c>
      <c r="HP19" s="95" t="n">
        <f aca="false">[1]НАДІЙШЛО2!BY11</f>
        <v>0</v>
      </c>
      <c r="HQ19" s="96" t="n">
        <f aca="false">[1]ВИБУЛО2!BY11</f>
        <v>0</v>
      </c>
      <c r="HR19" s="97" t="n">
        <f aca="false">HR18-HQ19+HP19</f>
        <v>0</v>
      </c>
      <c r="HS19" s="95" t="n">
        <f aca="false">[1]НАДІЙШЛО2!BZ11</f>
        <v>0</v>
      </c>
      <c r="HT19" s="96" t="n">
        <f aca="false">[1]ВИБУЛО2!BZ11</f>
        <v>0</v>
      </c>
      <c r="HU19" s="97" t="n">
        <f aca="false">HU18-HT19+HS19</f>
        <v>0</v>
      </c>
      <c r="HV19" s="95" t="n">
        <f aca="false">[1]НАДІЙШЛО2!CA11</f>
        <v>0</v>
      </c>
      <c r="HW19" s="96" t="n">
        <f aca="false">[1]ВИБУЛО2!CA11</f>
        <v>0</v>
      </c>
      <c r="HX19" s="97" t="n">
        <f aca="false">HX18-HW19+HV19</f>
        <v>0</v>
      </c>
      <c r="HY19" s="95" t="n">
        <f aca="false">[1]НАДІЙШЛО2!CB11</f>
        <v>0</v>
      </c>
      <c r="HZ19" s="96" t="n">
        <f aca="false">[1]ВИБУЛО2!CB11</f>
        <v>0</v>
      </c>
      <c r="IA19" s="97" t="n">
        <f aca="false">IA18-HZ19+HY19</f>
        <v>0</v>
      </c>
      <c r="IB19" s="95" t="n">
        <f aca="false">[1]НАДІЙШЛО2!CC11</f>
        <v>0</v>
      </c>
      <c r="IC19" s="96" t="n">
        <f aca="false">[1]ВИБУЛО2!CC11</f>
        <v>0</v>
      </c>
      <c r="ID19" s="97" t="n">
        <f aca="false">ID18-IC19+IB19</f>
        <v>0</v>
      </c>
      <c r="IE19" s="95" t="n">
        <f aca="false">[1]НАДІЙШЛО2!CD11</f>
        <v>0</v>
      </c>
      <c r="IF19" s="96" t="n">
        <f aca="false">[1]ВИБУЛО2!CD11</f>
        <v>0</v>
      </c>
      <c r="IG19" s="97" t="n">
        <f aca="false">IG18-IF19+IE19</f>
        <v>0</v>
      </c>
      <c r="IH19" s="95" t="n">
        <f aca="false">[1]НАДІЙШЛО2!CE11</f>
        <v>0</v>
      </c>
      <c r="II19" s="96" t="n">
        <f aca="false">[1]ВИБУЛО2!CE11</f>
        <v>0</v>
      </c>
      <c r="IJ19" s="97" t="n">
        <f aca="false">IJ18-II19+IH19</f>
        <v>0</v>
      </c>
      <c r="IK19" s="95" t="n">
        <f aca="false">[1]НАДІЙШЛО2!CF11</f>
        <v>0</v>
      </c>
      <c r="IL19" s="96" t="n">
        <f aca="false">[1]ВИБУЛО2!CF11</f>
        <v>0</v>
      </c>
      <c r="IM19" s="97" t="n">
        <f aca="false">IM18-IL19+IK19</f>
        <v>0</v>
      </c>
      <c r="IN19" s="95" t="n">
        <f aca="false">[1]НАДІЙШЛО2!CG11</f>
        <v>0</v>
      </c>
      <c r="IO19" s="96" t="n">
        <f aca="false">[1]ВИБУЛО2!CG11</f>
        <v>0</v>
      </c>
      <c r="IP19" s="97" t="n">
        <f aca="false">IP18-IO19+IN19</f>
        <v>0</v>
      </c>
      <c r="IQ19" s="95" t="n">
        <f aca="false">[1]НАДІЙШЛО2!CH11</f>
        <v>0</v>
      </c>
      <c r="IR19" s="96" t="n">
        <f aca="false">[1]ВИБУЛО2!CH11</f>
        <v>0</v>
      </c>
      <c r="IS19" s="97" t="n">
        <f aca="false">IS18-IR19+IQ19</f>
        <v>0</v>
      </c>
      <c r="IT19" s="95" t="n">
        <f aca="false">[1]НАДІЙШЛО2!CI11</f>
        <v>0</v>
      </c>
      <c r="IU19" s="96" t="n">
        <f aca="false">[1]ВИБУЛО2!CI11</f>
        <v>0</v>
      </c>
      <c r="IV19" s="97" t="n">
        <f aca="false">IV18-IU19+IT19</f>
        <v>0</v>
      </c>
      <c r="IW19" s="95" t="n">
        <f aca="false">[1]НАДІЙШЛО2!CJ11</f>
        <v>0</v>
      </c>
      <c r="IX19" s="96" t="n">
        <f aca="false">[1]ВИБУЛО2!CJ11</f>
        <v>0</v>
      </c>
      <c r="IY19" s="97" t="n">
        <f aca="false">IY18-IX19+IW19</f>
        <v>0</v>
      </c>
      <c r="IZ19" s="95" t="n">
        <f aca="false">[1]НАДІЙШЛО2!CK11</f>
        <v>0</v>
      </c>
      <c r="JA19" s="96" t="n">
        <f aca="false">[1]ВИБУЛО2!CK11</f>
        <v>0</v>
      </c>
      <c r="JB19" s="97" t="n">
        <f aca="false">JB18-JA19+IZ19</f>
        <v>0</v>
      </c>
      <c r="JC19" s="95" t="n">
        <f aca="false">[1]НАДІЙШЛО2!CL11</f>
        <v>0</v>
      </c>
      <c r="JD19" s="96" t="n">
        <f aca="false">[1]ВИБУЛО2!CL11</f>
        <v>0</v>
      </c>
      <c r="JE19" s="97" t="n">
        <f aca="false">JE18-JD19+JC19</f>
        <v>0</v>
      </c>
      <c r="JF19" s="95" t="n">
        <f aca="false">[1]НАДІЙШЛО2!CM11</f>
        <v>0</v>
      </c>
      <c r="JG19" s="96" t="n">
        <f aca="false">[1]ВИБУЛО2!CM11</f>
        <v>0</v>
      </c>
      <c r="JH19" s="97" t="n">
        <f aca="false">JH18-JG19+JF19</f>
        <v>0</v>
      </c>
      <c r="JI19" s="95" t="n">
        <f aca="false">[1]НАДІЙШЛО2!CN11</f>
        <v>0</v>
      </c>
      <c r="JJ19" s="96" t="n">
        <f aca="false">[1]ВИБУЛО2!CN11</f>
        <v>0</v>
      </c>
      <c r="JK19" s="97" t="n">
        <f aca="false">JK18-JJ19+JI19</f>
        <v>0</v>
      </c>
      <c r="JL19" s="95" t="n">
        <f aca="false">[1]НАДІЙШЛО2!CO11</f>
        <v>0</v>
      </c>
      <c r="JM19" s="96" t="n">
        <f aca="false">[1]ВИБУЛО2!CO11</f>
        <v>0</v>
      </c>
      <c r="JN19" s="97" t="n">
        <f aca="false">JN18-JM19+JL19</f>
        <v>0</v>
      </c>
      <c r="JO19" s="95" t="n">
        <f aca="false">[1]НАДІЙШЛО2!CP11</f>
        <v>0</v>
      </c>
      <c r="JP19" s="96" t="n">
        <f aca="false">[1]ВИБУЛО2!CP11</f>
        <v>0</v>
      </c>
      <c r="JQ19" s="97" t="n">
        <f aca="false">JQ18-JP19+JO19</f>
        <v>0</v>
      </c>
      <c r="JR19" s="95" t="n">
        <f aca="false">[1]НАДІЙШЛО2!CQ11</f>
        <v>0</v>
      </c>
      <c r="JS19" s="96" t="n">
        <f aca="false">[1]ВИБУЛО2!CQ11</f>
        <v>0</v>
      </c>
      <c r="JT19" s="97" t="n">
        <f aca="false">JT18-JS19+JR19</f>
        <v>0</v>
      </c>
      <c r="JU19" s="95" t="n">
        <f aca="false">[1]НАДІЙШЛО2!CR11</f>
        <v>0</v>
      </c>
      <c r="JV19" s="96" t="n">
        <f aca="false">[1]ВИБУЛО2!CR11</f>
        <v>0</v>
      </c>
      <c r="JW19" s="97" t="n">
        <f aca="false">JW18-JV19+JU19</f>
        <v>0</v>
      </c>
      <c r="JX19" s="95" t="n">
        <f aca="false">[1]НАДІЙШЛО2!CS11</f>
        <v>0</v>
      </c>
      <c r="JY19" s="96" t="n">
        <f aca="false">[1]ВИБУЛО2!CS11</f>
        <v>0</v>
      </c>
      <c r="JZ19" s="97" t="n">
        <f aca="false">JZ18-JY19+JX19</f>
        <v>0</v>
      </c>
      <c r="KA19" s="95" t="n">
        <f aca="false">[1]НАДІЙШЛО2!CT11</f>
        <v>0</v>
      </c>
      <c r="KB19" s="96" t="n">
        <f aca="false">[1]ВИБУЛО2!CT11</f>
        <v>0</v>
      </c>
      <c r="KC19" s="97" t="n">
        <f aca="false">KC18-KB19+KA19</f>
        <v>0</v>
      </c>
      <c r="KD19" s="95" t="n">
        <f aca="false">[1]НАДІЙШЛО2!CU11</f>
        <v>0</v>
      </c>
      <c r="KE19" s="96" t="n">
        <f aca="false">[1]ВИБУЛО2!CU11</f>
        <v>0</v>
      </c>
      <c r="KF19" s="97" t="n">
        <f aca="false">KF18-KE19+KD19</f>
        <v>0</v>
      </c>
      <c r="KG19" s="95" t="n">
        <f aca="false">[1]НАДІЙШЛО2!CV11</f>
        <v>0</v>
      </c>
      <c r="KH19" s="96" t="n">
        <f aca="false">[1]ВИБУЛО2!CV11</f>
        <v>0</v>
      </c>
      <c r="KI19" s="97" t="n">
        <f aca="false">KI18-KH19+KG19</f>
        <v>0</v>
      </c>
      <c r="KJ19" s="95" t="n">
        <f aca="false">[1]НАДІЙШЛО2!CW11</f>
        <v>0</v>
      </c>
      <c r="KK19" s="96" t="n">
        <f aca="false">[1]ВИБУЛО2!CW11</f>
        <v>0</v>
      </c>
      <c r="KL19" s="97" t="n">
        <f aca="false">KL18-KK19+KJ19</f>
        <v>0</v>
      </c>
      <c r="KM19" s="95" t="n">
        <f aca="false">[1]НАДІЙШЛО2!CX11</f>
        <v>0</v>
      </c>
      <c r="KN19" s="96" t="n">
        <f aca="false">[1]ВИБУЛО2!CX11</f>
        <v>0</v>
      </c>
      <c r="KO19" s="97" t="n">
        <f aca="false">KO18-KN19+KM19</f>
        <v>0</v>
      </c>
      <c r="KP19" s="95" t="n">
        <f aca="false">[1]НАДІЙШЛО2!CY11</f>
        <v>0</v>
      </c>
      <c r="KQ19" s="96" t="n">
        <f aca="false">[1]ВИБУЛО2!CY11</f>
        <v>0</v>
      </c>
      <c r="KR19" s="97" t="n">
        <f aca="false">KR18-KQ19+KP19</f>
        <v>0</v>
      </c>
      <c r="KS19" s="95" t="n">
        <f aca="false">[1]НАДІЙШЛО2!CZ11</f>
        <v>0</v>
      </c>
      <c r="KT19" s="96" t="n">
        <f aca="false">[1]ВИБУЛО2!CZ11</f>
        <v>0</v>
      </c>
      <c r="KU19" s="97" t="n">
        <f aca="false">KU18-KT19+KS19</f>
        <v>0</v>
      </c>
      <c r="KV19" s="95" t="n">
        <f aca="false">[1]НАДІЙШЛО2!DA11</f>
        <v>0</v>
      </c>
      <c r="KW19" s="96" t="n">
        <f aca="false">[1]ВИБУЛО2!DA11</f>
        <v>0</v>
      </c>
      <c r="KX19" s="97" t="n">
        <f aca="false">KX18-KW19+KV19</f>
        <v>0</v>
      </c>
      <c r="KY19" s="95" t="n">
        <f aca="false">[1]НАДІЙШЛО2!DB11</f>
        <v>0</v>
      </c>
      <c r="KZ19" s="96" t="n">
        <f aca="false">[1]ВИБУЛО2!DB11</f>
        <v>0</v>
      </c>
      <c r="LA19" s="97" t="n">
        <f aca="false">LA18-KZ19+KY19</f>
        <v>0</v>
      </c>
      <c r="LB19" s="95" t="n">
        <f aca="false">[1]НАДІЙШЛО2!DC11</f>
        <v>0</v>
      </c>
      <c r="LC19" s="96" t="n">
        <f aca="false">[1]ВИБУЛО2!DC11</f>
        <v>0</v>
      </c>
      <c r="LD19" s="97" t="n">
        <f aca="false">LD18-LC19+LB19</f>
        <v>0</v>
      </c>
      <c r="LE19" s="95" t="n">
        <f aca="false">[1]НАДІЙШЛО2!DD11</f>
        <v>0</v>
      </c>
      <c r="LF19" s="96" t="n">
        <f aca="false">[1]ВИБУЛО2!DD11</f>
        <v>0</v>
      </c>
      <c r="LG19" s="97" t="n">
        <f aca="false">LG18-LF19+LE19</f>
        <v>0</v>
      </c>
      <c r="LH19" s="95" t="n">
        <f aca="false">[1]НАДІЙШЛО2!DE11</f>
        <v>0</v>
      </c>
      <c r="LI19" s="96" t="n">
        <f aca="false">[1]ВИБУЛО2!DE11</f>
        <v>0</v>
      </c>
      <c r="LJ19" s="97" t="n">
        <f aca="false">LJ18-LI19+LH19</f>
        <v>0</v>
      </c>
      <c r="LK19" s="95" t="n">
        <f aca="false">[1]НАДІЙШЛО2!DF11</f>
        <v>0</v>
      </c>
      <c r="LL19" s="96" t="n">
        <f aca="false">[1]ВИБУЛО2!DF11</f>
        <v>0</v>
      </c>
      <c r="LM19" s="97" t="n">
        <f aca="false">LM18-LL19+LK19</f>
        <v>0</v>
      </c>
      <c r="LN19" s="95" t="n">
        <f aca="false">[1]НАДІЙШЛО2!DG11</f>
        <v>0</v>
      </c>
      <c r="LO19" s="96" t="n">
        <f aca="false">[1]ВИБУЛО2!DG11</f>
        <v>0</v>
      </c>
      <c r="LP19" s="97" t="n">
        <f aca="false">LP18-LO19+LN19</f>
        <v>0</v>
      </c>
      <c r="LQ19" s="95" t="n">
        <f aca="false">[1]НАДІЙШЛО2!DH11</f>
        <v>0</v>
      </c>
      <c r="LR19" s="96" t="n">
        <f aca="false">[1]ВИБУЛО2!DH11</f>
        <v>0</v>
      </c>
      <c r="LS19" s="97" t="n">
        <f aca="false">LS18-LR19+LQ19</f>
        <v>0</v>
      </c>
      <c r="LT19" s="95" t="n">
        <f aca="false">[1]НАДІЙШЛО2!DI11</f>
        <v>0</v>
      </c>
      <c r="LU19" s="96" t="n">
        <f aca="false">[1]ВИБУЛО2!DI11</f>
        <v>0</v>
      </c>
      <c r="LV19" s="97" t="n">
        <f aca="false">LV18-LU19+LT19</f>
        <v>0</v>
      </c>
      <c r="LW19" s="95" t="n">
        <f aca="false">[1]НАДІЙШЛО2!DJ11</f>
        <v>0</v>
      </c>
      <c r="LX19" s="96" t="n">
        <f aca="false">[1]ВИБУЛО2!DJ11</f>
        <v>0</v>
      </c>
      <c r="LY19" s="97" t="n">
        <f aca="false">LY18-LX19+LW19</f>
        <v>0</v>
      </c>
      <c r="LZ19" s="95" t="n">
        <f aca="false">[1]НАДІЙШЛО2!DK11</f>
        <v>0</v>
      </c>
      <c r="MA19" s="96" t="n">
        <f aca="false">[1]ВИБУЛО2!DK11</f>
        <v>0</v>
      </c>
      <c r="MB19" s="97" t="n">
        <f aca="false">MB18-MA19+LZ19</f>
        <v>0</v>
      </c>
      <c r="MC19" s="95" t="n">
        <f aca="false">[1]НАДІЙШЛО2!DL11</f>
        <v>0</v>
      </c>
      <c r="MD19" s="96" t="n">
        <f aca="false">[1]ВИБУЛО2!DL11</f>
        <v>0</v>
      </c>
      <c r="ME19" s="97" t="n">
        <f aca="false">ME18-MD19+MC19</f>
        <v>0</v>
      </c>
      <c r="MF19" s="95" t="n">
        <f aca="false">[1]НАДІЙШЛО2!DM11</f>
        <v>0</v>
      </c>
      <c r="MG19" s="96" t="n">
        <f aca="false">[1]ВИБУЛО2!DM11</f>
        <v>0</v>
      </c>
      <c r="MH19" s="97" t="n">
        <f aca="false">MH18-MG19+MF19</f>
        <v>0</v>
      </c>
      <c r="MI19" s="95" t="n">
        <f aca="false">[1]НАДІЙШЛО2!DN11</f>
        <v>0</v>
      </c>
      <c r="MJ19" s="96" t="n">
        <f aca="false">[1]ВИБУЛО2!DN11</f>
        <v>0</v>
      </c>
      <c r="MK19" s="97" t="n">
        <f aca="false">MK18-MJ19+MI19</f>
        <v>0</v>
      </c>
      <c r="ML19" s="95" t="n">
        <f aca="false">[1]НАДІЙШЛО2!DO11</f>
        <v>0</v>
      </c>
      <c r="MM19" s="96" t="n">
        <f aca="false">[1]ВИБУЛО2!DO11</f>
        <v>0</v>
      </c>
      <c r="MN19" s="97" t="n">
        <f aca="false">MN18-MM19+ML19</f>
        <v>0</v>
      </c>
      <c r="MO19" s="95" t="n">
        <f aca="false">[1]НАДІЙШЛО2!DP11</f>
        <v>0</v>
      </c>
      <c r="MP19" s="96" t="n">
        <f aca="false">[1]ВИБУЛО2!DP11</f>
        <v>0</v>
      </c>
      <c r="MQ19" s="97" t="n">
        <f aca="false">MQ18-MP19+MO19</f>
        <v>0</v>
      </c>
      <c r="MR19" s="95" t="n">
        <f aca="false">[1]НАДІЙШЛО2!DQ11</f>
        <v>0</v>
      </c>
      <c r="MS19" s="96" t="n">
        <f aca="false">[1]ВИБУЛО2!DQ11</f>
        <v>0</v>
      </c>
      <c r="MT19" s="97" t="n">
        <f aca="false">MT18-MS19+MR19</f>
        <v>0</v>
      </c>
      <c r="MU19" s="95" t="n">
        <f aca="false">[1]НАДІЙШЛО2!DR11</f>
        <v>0</v>
      </c>
      <c r="MV19" s="96" t="n">
        <f aca="false">[1]ВИБУЛО2!DR11</f>
        <v>0</v>
      </c>
      <c r="MW19" s="97" t="n">
        <f aca="false">MW18-MV19+MU19</f>
        <v>0</v>
      </c>
      <c r="MX19" s="95" t="n">
        <f aca="false">[1]НАДІЙШЛО2!DS11</f>
        <v>0</v>
      </c>
      <c r="MY19" s="96" t="n">
        <f aca="false">[1]ВИБУЛО2!DS11</f>
        <v>0</v>
      </c>
      <c r="MZ19" s="97" t="n">
        <f aca="false">MZ18-MY19+MX19</f>
        <v>0</v>
      </c>
      <c r="NA19" s="95" t="n">
        <f aca="false">[1]НАДІЙШЛО2!DT11</f>
        <v>0</v>
      </c>
      <c r="NB19" s="96" t="n">
        <f aca="false">[1]ВИБУЛО2!DT11</f>
        <v>0</v>
      </c>
      <c r="NC19" s="97" t="n">
        <f aca="false">NC18-NB19+NA19</f>
        <v>0</v>
      </c>
      <c r="ND19" s="95" t="n">
        <f aca="false">[1]НАДІЙШЛО2!DU11</f>
        <v>0</v>
      </c>
      <c r="NE19" s="96" t="n">
        <f aca="false">[1]ВИБУЛО2!DU11</f>
        <v>0</v>
      </c>
      <c r="NF19" s="97" t="n">
        <f aca="false">NF18-NE19+ND19</f>
        <v>0</v>
      </c>
      <c r="NG19" s="95" t="n">
        <f aca="false">[1]НАДІЙШЛО2!DV11</f>
        <v>0</v>
      </c>
      <c r="NH19" s="96" t="n">
        <f aca="false">[1]ВИБУЛО2!DV11</f>
        <v>0</v>
      </c>
      <c r="NI19" s="97" t="n">
        <f aca="false">NI18-NH19+NG19</f>
        <v>0</v>
      </c>
      <c r="NJ19" s="95" t="n">
        <f aca="false">[1]НАДІЙШЛО2!DW11</f>
        <v>0</v>
      </c>
      <c r="NK19" s="96" t="n">
        <f aca="false">[1]ВИБУЛО2!DW11</f>
        <v>0</v>
      </c>
      <c r="NL19" s="97" t="n">
        <f aca="false">NL18-NK19+NJ19</f>
        <v>0</v>
      </c>
      <c r="NM19" s="95" t="n">
        <f aca="false">[1]НАДІЙШЛО2!DX11</f>
        <v>0</v>
      </c>
      <c r="NN19" s="96" t="n">
        <f aca="false">[1]ВИБУЛО2!DX11</f>
        <v>0</v>
      </c>
      <c r="NO19" s="97" t="n">
        <f aca="false">NO18-NN19+NM19</f>
        <v>0</v>
      </c>
      <c r="NP19" s="95" t="n">
        <f aca="false">[1]НАДІЙШЛО2!DY11</f>
        <v>0</v>
      </c>
      <c r="NQ19" s="96" t="n">
        <f aca="false">[1]ВИБУЛО2!DY11</f>
        <v>0</v>
      </c>
      <c r="NR19" s="97" t="n">
        <f aca="false">NR18-NQ19+NP19</f>
        <v>0</v>
      </c>
      <c r="NS19" s="95" t="n">
        <f aca="false">[1]НАДІЙШЛО2!DZ11</f>
        <v>0</v>
      </c>
      <c r="NT19" s="96" t="n">
        <f aca="false">[1]ВИБУЛО2!DZ11</f>
        <v>0</v>
      </c>
      <c r="NU19" s="97" t="n">
        <f aca="false">NU18-NT19+NS19</f>
        <v>0</v>
      </c>
      <c r="NV19" s="95" t="n">
        <f aca="false">[1]НАДІЙШЛО2!EA11</f>
        <v>0</v>
      </c>
      <c r="NW19" s="96" t="n">
        <f aca="false">[1]ВИБУЛО2!EA11</f>
        <v>0</v>
      </c>
      <c r="NX19" s="97" t="n">
        <f aca="false">NX18-NW19+NV19</f>
        <v>0</v>
      </c>
      <c r="NY19" s="95" t="n">
        <f aca="false">[1]НАДІЙШЛО2!EB11</f>
        <v>0</v>
      </c>
      <c r="NZ19" s="96" t="n">
        <f aca="false">[1]ВИБУЛО2!EB11</f>
        <v>0</v>
      </c>
      <c r="OA19" s="97" t="n">
        <f aca="false">OA18-NZ19+NY19</f>
        <v>0</v>
      </c>
      <c r="OB19" s="95" t="n">
        <f aca="false">[1]НАДІЙШЛО2!EC11</f>
        <v>0</v>
      </c>
      <c r="OC19" s="96" t="n">
        <f aca="false">[1]ВИБУЛО2!EC11</f>
        <v>0</v>
      </c>
      <c r="OD19" s="97" t="n">
        <f aca="false">OD18-OC19+OB19</f>
        <v>0</v>
      </c>
      <c r="OE19" s="95" t="n">
        <f aca="false">[1]НАДІЙШЛО2!ED11</f>
        <v>0</v>
      </c>
      <c r="OF19" s="96" t="n">
        <f aca="false">[1]ВИБУЛО2!ED11</f>
        <v>0</v>
      </c>
      <c r="OG19" s="97" t="n">
        <f aca="false">OG18-OF19+OE19</f>
        <v>0</v>
      </c>
      <c r="OH19" s="95" t="n">
        <f aca="false">[1]НАДІЙШЛО2!EE11</f>
        <v>0</v>
      </c>
      <c r="OI19" s="96" t="n">
        <f aca="false">[1]ВИБУЛО2!EE11</f>
        <v>0</v>
      </c>
      <c r="OJ19" s="97" t="n">
        <f aca="false">OJ18-OI19+OH19</f>
        <v>0</v>
      </c>
      <c r="OK19" s="95" t="n">
        <f aca="false">[1]НАДІЙШЛО2!EF11</f>
        <v>0</v>
      </c>
      <c r="OL19" s="96" t="n">
        <f aca="false">[1]ВИБУЛО2!EF11</f>
        <v>0</v>
      </c>
      <c r="OM19" s="97" t="n">
        <f aca="false">OM18-OL19+OK19</f>
        <v>0</v>
      </c>
      <c r="ON19" s="95" t="n">
        <f aca="false">[1]НАДІЙШЛО2!EG11</f>
        <v>0</v>
      </c>
      <c r="OO19" s="96" t="n">
        <f aca="false">[1]ВИБУЛО2!EG11</f>
        <v>0</v>
      </c>
      <c r="OP19" s="97" t="n">
        <f aca="false">OP18-OO19+ON19</f>
        <v>0</v>
      </c>
      <c r="OQ19" s="95" t="n">
        <f aca="false">[1]НАДІЙШЛО2!EH11</f>
        <v>0</v>
      </c>
      <c r="OR19" s="96" t="n">
        <f aca="false">[1]ВИБУЛО2!EH11</f>
        <v>0</v>
      </c>
      <c r="OS19" s="97" t="n">
        <f aca="false">OS18-OR19+OQ19</f>
        <v>0</v>
      </c>
      <c r="OT19" s="95" t="n">
        <f aca="false">[1]НАДІЙШЛО2!EI11</f>
        <v>0</v>
      </c>
      <c r="OU19" s="96" t="n">
        <f aca="false">[1]ВИБУЛО2!EI11</f>
        <v>0</v>
      </c>
      <c r="OV19" s="97" t="n">
        <f aca="false">OV18-OU19+OT19</f>
        <v>0</v>
      </c>
      <c r="OW19" s="95" t="n">
        <f aca="false">[1]НАДІЙШЛО2!EJ11</f>
        <v>0</v>
      </c>
      <c r="OX19" s="96" t="n">
        <f aca="false">[1]ВИБУЛО2!EJ11</f>
        <v>0</v>
      </c>
      <c r="OY19" s="97" t="n">
        <f aca="false">OY18-OX19+OW19</f>
        <v>0</v>
      </c>
      <c r="OZ19" s="95" t="n">
        <f aca="false">[1]НАДІЙШЛО2!EK11</f>
        <v>0</v>
      </c>
      <c r="PA19" s="96" t="n">
        <f aca="false">[1]ВИБУЛО2!EK11</f>
        <v>0</v>
      </c>
      <c r="PB19" s="97" t="n">
        <f aca="false">PB18-PA19+OZ19</f>
        <v>0</v>
      </c>
      <c r="PC19" s="95" t="n">
        <f aca="false">[1]НАДІЙШЛО2!EL11</f>
        <v>0</v>
      </c>
      <c r="PD19" s="96" t="n">
        <f aca="false">[1]ВИБУЛО2!EL11</f>
        <v>0</v>
      </c>
      <c r="PE19" s="97" t="n">
        <f aca="false">PE18-PD19+PC19</f>
        <v>0</v>
      </c>
      <c r="PF19" s="95" t="n">
        <f aca="false">[1]НАДІЙШЛО2!EM11</f>
        <v>0</v>
      </c>
      <c r="PG19" s="96" t="n">
        <f aca="false">[1]ВИБУЛО2!EM11</f>
        <v>0</v>
      </c>
      <c r="PH19" s="97" t="n">
        <f aca="false">PH18-PG19+PF19</f>
        <v>0</v>
      </c>
      <c r="PI19" s="95" t="n">
        <f aca="false">[1]НАДІЙШЛО2!EN11</f>
        <v>0</v>
      </c>
      <c r="PJ19" s="96" t="n">
        <f aca="false">[1]ВИБУЛО2!EN11</f>
        <v>0</v>
      </c>
      <c r="PK19" s="97" t="n">
        <f aca="false">PK18-PJ19+PI19</f>
        <v>0</v>
      </c>
      <c r="PL19" s="95" t="n">
        <f aca="false">[1]НАДІЙШЛО2!EO11</f>
        <v>0</v>
      </c>
      <c r="PM19" s="96" t="n">
        <f aca="false">[1]ВИБУЛО2!EO11</f>
        <v>0</v>
      </c>
      <c r="PN19" s="97" t="n">
        <f aca="false">PN18-PM19+PL19</f>
        <v>0</v>
      </c>
      <c r="PO19" s="95" t="n">
        <f aca="false">[1]НАДІЙШЛО2!EP11</f>
        <v>0</v>
      </c>
      <c r="PP19" s="96" t="n">
        <f aca="false">[1]ВИБУЛО2!EP11</f>
        <v>0</v>
      </c>
      <c r="PQ19" s="97" t="n">
        <f aca="false">PQ18-PP19+PO19</f>
        <v>0</v>
      </c>
      <c r="PR19" s="95" t="n">
        <f aca="false">[1]НАДІЙШЛО2!EQ11</f>
        <v>0</v>
      </c>
      <c r="PS19" s="96" t="n">
        <f aca="false">[1]ВИБУЛО2!EQ11</f>
        <v>0</v>
      </c>
      <c r="PT19" s="97" t="n">
        <f aca="false">PT18-PS19+PR19</f>
        <v>0</v>
      </c>
      <c r="PU19" s="95" t="n">
        <f aca="false">[1]НАДІЙШЛО2!ER11</f>
        <v>0</v>
      </c>
      <c r="PV19" s="96" t="n">
        <f aca="false">[1]ВИБУЛО2!ER11</f>
        <v>0</v>
      </c>
      <c r="PW19" s="97" t="n">
        <f aca="false">PW18-PV19+PU19</f>
        <v>0</v>
      </c>
      <c r="PX19" s="95" t="n">
        <f aca="false">[1]НАДІЙШЛО2!ES11</f>
        <v>0</v>
      </c>
      <c r="PY19" s="96" t="n">
        <f aca="false">[1]ВИБУЛО2!ES11</f>
        <v>0</v>
      </c>
      <c r="PZ19" s="97" t="n">
        <f aca="false">PZ18-PY19+PX19</f>
        <v>0</v>
      </c>
      <c r="QA19" s="95" t="n">
        <f aca="false">[1]НАДІЙШЛО2!ET11</f>
        <v>0</v>
      </c>
      <c r="QB19" s="96" t="n">
        <f aca="false">[1]ВИБУЛО2!ET11</f>
        <v>0</v>
      </c>
      <c r="QC19" s="97" t="n">
        <f aca="false">QC18-QB19+QA19</f>
        <v>0</v>
      </c>
      <c r="QD19" s="95" t="n">
        <f aca="false">[1]НАДІЙШЛО2!EU11</f>
        <v>0</v>
      </c>
      <c r="QE19" s="96" t="n">
        <f aca="false">[1]ВИБУЛО2!EU11</f>
        <v>0</v>
      </c>
      <c r="QF19" s="97" t="n">
        <f aca="false">QF18-QE19+QD19</f>
        <v>0</v>
      </c>
      <c r="QG19" s="95" t="n">
        <f aca="false">[1]НАДІЙШЛО2!EV11</f>
        <v>0</v>
      </c>
      <c r="QH19" s="96" t="n">
        <f aca="false">[1]ВИБУЛО2!EV11</f>
        <v>0</v>
      </c>
      <c r="QI19" s="97" t="n">
        <f aca="false">QI18-QH19+QG19</f>
        <v>0</v>
      </c>
      <c r="QJ19" s="95" t="n">
        <f aca="false">[1]НАДІЙШЛО2!EW11</f>
        <v>0</v>
      </c>
      <c r="QK19" s="96" t="n">
        <f aca="false">[1]ВИБУЛО2!EW11</f>
        <v>0</v>
      </c>
      <c r="QL19" s="97" t="n">
        <f aca="false">QL18-QK19+QJ19</f>
        <v>0</v>
      </c>
      <c r="QM19" s="95" t="n">
        <f aca="false">[1]НАДІЙШЛО2!EX11</f>
        <v>0</v>
      </c>
      <c r="QN19" s="96" t="n">
        <f aca="false">[1]ВИБУЛО2!EX11</f>
        <v>0</v>
      </c>
      <c r="QO19" s="97" t="n">
        <f aca="false">QO18-QN19+QM19</f>
        <v>0</v>
      </c>
      <c r="QP19" s="95" t="n">
        <f aca="false">[1]НАДІЙШЛО2!EY11</f>
        <v>0</v>
      </c>
      <c r="QQ19" s="96" t="n">
        <f aca="false">[1]ВИБУЛО2!EY11</f>
        <v>0</v>
      </c>
      <c r="QR19" s="97" t="n">
        <f aca="false">QR18-QQ19+QP19</f>
        <v>0</v>
      </c>
      <c r="QS19" s="95" t="n">
        <f aca="false">[1]НАДІЙШЛО2!EZ11</f>
        <v>0</v>
      </c>
      <c r="QT19" s="96" t="n">
        <f aca="false">[1]ВИБУЛО2!EZ11</f>
        <v>0</v>
      </c>
      <c r="QU19" s="97" t="n">
        <f aca="false">QU18-QT19+QS19</f>
        <v>0</v>
      </c>
      <c r="QV19" s="95" t="n">
        <f aca="false">[1]НАДІЙШЛО2!FA11</f>
        <v>0</v>
      </c>
      <c r="QW19" s="96" t="n">
        <f aca="false">[1]ВИБУЛО2!FA11</f>
        <v>0</v>
      </c>
      <c r="QX19" s="97" t="n">
        <f aca="false">QX18-QW19+QV19</f>
        <v>0</v>
      </c>
      <c r="QY19" s="95" t="n">
        <f aca="false">[1]НАДІЙШЛО2!FB11</f>
        <v>0</v>
      </c>
      <c r="QZ19" s="96" t="n">
        <f aca="false">[1]ВИБУЛО2!FB11</f>
        <v>0</v>
      </c>
      <c r="RA19" s="97" t="n">
        <f aca="false">RA18-QZ19+QY19</f>
        <v>0</v>
      </c>
      <c r="RB19" s="95" t="n">
        <f aca="false">[1]НАДІЙШЛО2!FC11</f>
        <v>0</v>
      </c>
      <c r="RC19" s="96" t="n">
        <f aca="false">[1]ВИБУЛО2!FC11</f>
        <v>0</v>
      </c>
      <c r="RD19" s="97" t="n">
        <f aca="false">RD18-RC19+RB19</f>
        <v>0</v>
      </c>
      <c r="RE19" s="95" t="n">
        <f aca="false">[1]НАДІЙШЛО2!FD11</f>
        <v>0</v>
      </c>
      <c r="RF19" s="96" t="n">
        <f aca="false">[1]ВИБУЛО2!FD11</f>
        <v>0</v>
      </c>
      <c r="RG19" s="97" t="n">
        <f aca="false">RG18-RF19+RE19</f>
        <v>0</v>
      </c>
      <c r="RH19" s="95" t="n">
        <f aca="false">[1]НАДІЙШЛО2!FE11</f>
        <v>0</v>
      </c>
      <c r="RI19" s="96" t="n">
        <f aca="false">[1]ВИБУЛО2!FE11</f>
        <v>0</v>
      </c>
      <c r="RJ19" s="97" t="n">
        <f aca="false">RJ18-RI19+RH19</f>
        <v>0</v>
      </c>
      <c r="RK19" s="95" t="n">
        <f aca="false">[1]НАДІЙШЛО2!FF11</f>
        <v>0</v>
      </c>
      <c r="RL19" s="96" t="n">
        <f aca="false">[1]ВИБУЛО2!FF11</f>
        <v>0</v>
      </c>
      <c r="RM19" s="97" t="n">
        <f aca="false">RM18-RL19+RK19</f>
        <v>0</v>
      </c>
      <c r="RN19" s="95" t="n">
        <f aca="false">[1]НАДІЙШЛО2!FG11</f>
        <v>0</v>
      </c>
      <c r="RO19" s="96" t="n">
        <f aca="false">[1]ВИБУЛО2!FG11</f>
        <v>0</v>
      </c>
      <c r="RP19" s="97" t="n">
        <f aca="false">RP18-RO19+RN19</f>
        <v>0</v>
      </c>
      <c r="RQ19" s="95" t="n">
        <f aca="false">[1]НАДІЙШЛО2!FH11</f>
        <v>0</v>
      </c>
      <c r="RR19" s="96" t="n">
        <f aca="false">[1]ВИБУЛО2!FH11</f>
        <v>0</v>
      </c>
      <c r="RS19" s="97" t="n">
        <f aca="false">RS18-RR19+RQ19</f>
        <v>0</v>
      </c>
      <c r="RT19" s="95" t="n">
        <f aca="false">[1]НАДІЙШЛО2!FI11</f>
        <v>0</v>
      </c>
      <c r="RU19" s="96" t="n">
        <f aca="false">[1]ВИБУЛО2!FI11</f>
        <v>0</v>
      </c>
      <c r="RV19" s="97" t="n">
        <f aca="false">RV18-RU19+RT19</f>
        <v>0</v>
      </c>
      <c r="RW19" s="95" t="n">
        <f aca="false">[1]НАДІЙШЛО2!FJ11</f>
        <v>0</v>
      </c>
      <c r="RX19" s="96" t="n">
        <f aca="false">[1]ВИБУЛО2!FJ11</f>
        <v>0</v>
      </c>
      <c r="RY19" s="97" t="n">
        <f aca="false">RY18-RX19+RW19</f>
        <v>0</v>
      </c>
      <c r="RZ19" s="95" t="n">
        <f aca="false">[1]НАДІЙШЛО2!FK11</f>
        <v>0</v>
      </c>
      <c r="SA19" s="96" t="n">
        <f aca="false">[1]ВИБУЛО2!FK11</f>
        <v>0</v>
      </c>
      <c r="SB19" s="97" t="n">
        <f aca="false">SB18-SA19+RZ19</f>
        <v>0</v>
      </c>
      <c r="SC19" s="95" t="n">
        <f aca="false">[1]НАДІЙШЛО2!FL11</f>
        <v>0</v>
      </c>
      <c r="SD19" s="96" t="n">
        <f aca="false">[1]ВИБУЛО2!FL11</f>
        <v>0</v>
      </c>
      <c r="SE19" s="97" t="n">
        <f aca="false">SE18-SD19+SC19</f>
        <v>0</v>
      </c>
      <c r="SF19" s="95" t="n">
        <f aca="false">[1]НАДІЙШЛО2!FM11</f>
        <v>0</v>
      </c>
      <c r="SG19" s="96" t="n">
        <f aca="false">[1]ВИБУЛО2!FM11</f>
        <v>0</v>
      </c>
      <c r="SH19" s="97" t="n">
        <f aca="false">SH18-SG19+SF19</f>
        <v>0</v>
      </c>
      <c r="SI19" s="95" t="n">
        <f aca="false">[1]НАДІЙШЛО2!FN11</f>
        <v>0</v>
      </c>
      <c r="SJ19" s="96" t="n">
        <f aca="false">[1]ВИБУЛО2!FN11</f>
        <v>0</v>
      </c>
      <c r="SK19" s="97" t="n">
        <f aca="false">SK18-SJ19+SI19</f>
        <v>0</v>
      </c>
      <c r="SL19" s="95" t="n">
        <f aca="false">[1]НАДІЙШЛО2!FO11</f>
        <v>0</v>
      </c>
      <c r="SM19" s="96" t="n">
        <f aca="false">[1]ВИБУЛО2!FO11</f>
        <v>0</v>
      </c>
      <c r="SN19" s="97" t="n">
        <f aca="false">SN18-SM19+SL19</f>
        <v>0</v>
      </c>
      <c r="SO19" s="95" t="n">
        <f aca="false">[1]НАДІЙШЛО2!FP11</f>
        <v>0</v>
      </c>
      <c r="SP19" s="96" t="n">
        <f aca="false">[1]ВИБУЛО2!FP11</f>
        <v>0</v>
      </c>
      <c r="SQ19" s="97" t="n">
        <f aca="false">SQ18-SP19+SO19</f>
        <v>0</v>
      </c>
      <c r="SR19" s="95" t="n">
        <f aca="false">[1]НАДІЙШЛО2!FQ11</f>
        <v>0</v>
      </c>
      <c r="SS19" s="96" t="n">
        <f aca="false">[1]ВИБУЛО2!FQ11</f>
        <v>0</v>
      </c>
      <c r="ST19" s="97" t="n">
        <f aca="false">ST18-SS19+SR19</f>
        <v>0</v>
      </c>
      <c r="SU19" s="95" t="n">
        <f aca="false">[1]НАДІЙШЛО2!FR11</f>
        <v>0</v>
      </c>
      <c r="SV19" s="96" t="n">
        <f aca="false">[1]ВИБУЛО2!FR11</f>
        <v>0</v>
      </c>
      <c r="SW19" s="97" t="n">
        <f aca="false">SW18-SV19+SU19</f>
        <v>0</v>
      </c>
      <c r="SX19" s="95" t="n">
        <f aca="false">[1]НАДІЙШЛО2!FS11</f>
        <v>0</v>
      </c>
      <c r="SY19" s="96" t="n">
        <f aca="false">[1]ВИБУЛО2!FS11</f>
        <v>0</v>
      </c>
      <c r="SZ19" s="97" t="n">
        <f aca="false">SZ18-SY19+SX19</f>
        <v>0</v>
      </c>
      <c r="TA19" s="95" t="n">
        <f aca="false">[1]НАДІЙШЛО2!FT11</f>
        <v>0</v>
      </c>
      <c r="TB19" s="96" t="n">
        <f aca="false">[1]ВИБУЛО2!FT11</f>
        <v>0</v>
      </c>
      <c r="TC19" s="97" t="n">
        <f aca="false">TC18-TB19+TA19</f>
        <v>0</v>
      </c>
      <c r="TD19" s="95" t="n">
        <f aca="false">[1]НАДІЙШЛО2!FU11</f>
        <v>0</v>
      </c>
      <c r="TE19" s="96" t="n">
        <f aca="false">[1]ВИБУЛО2!FU11</f>
        <v>0</v>
      </c>
      <c r="TF19" s="97" t="n">
        <f aca="false">TF18-TE19+TD19</f>
        <v>0</v>
      </c>
      <c r="TG19" s="95" t="n">
        <f aca="false">[1]НАДІЙШЛО2!FV11</f>
        <v>0</v>
      </c>
      <c r="TH19" s="96" t="n">
        <f aca="false">[1]ВИБУЛО2!FV11</f>
        <v>0</v>
      </c>
      <c r="TI19" s="97" t="n">
        <f aca="false">TI18-TH19+TG19</f>
        <v>0</v>
      </c>
      <c r="TJ19" s="95" t="n">
        <f aca="false">[1]НАДІЙШЛО2!FW11</f>
        <v>0</v>
      </c>
      <c r="TK19" s="96" t="n">
        <f aca="false">[1]ВИБУЛО2!FW11</f>
        <v>0</v>
      </c>
      <c r="TL19" s="97" t="n">
        <f aca="false">TL18-TK19+TJ19</f>
        <v>0</v>
      </c>
      <c r="TM19" s="95" t="n">
        <f aca="false">[1]НАДІЙШЛО2!FX11</f>
        <v>0</v>
      </c>
      <c r="TN19" s="96" t="n">
        <f aca="false">[1]ВИБУЛО2!FX11</f>
        <v>0</v>
      </c>
      <c r="TO19" s="97" t="n">
        <f aca="false">TO18-TN19+TM19</f>
        <v>0</v>
      </c>
      <c r="TP19" s="95" t="n">
        <f aca="false">[1]НАДІЙШЛО2!FY11</f>
        <v>0</v>
      </c>
      <c r="TQ19" s="96" t="n">
        <f aca="false">[1]ВИБУЛО2!FY11</f>
        <v>0</v>
      </c>
      <c r="TR19" s="97" t="n">
        <f aca="false">TR18-TQ19+TP19</f>
        <v>0</v>
      </c>
      <c r="TS19" s="95" t="n">
        <f aca="false">[1]НАДІЙШЛО2!FZ11</f>
        <v>0</v>
      </c>
      <c r="TT19" s="96" t="n">
        <f aca="false">[1]ВИБУЛО2!FZ11</f>
        <v>0</v>
      </c>
      <c r="TU19" s="97" t="n">
        <f aca="false">TU18-TT19+TS19</f>
        <v>0</v>
      </c>
      <c r="TV19" s="95" t="n">
        <f aca="false">[1]НАДІЙШЛО2!GA11</f>
        <v>0</v>
      </c>
      <c r="TW19" s="96" t="n">
        <f aca="false">[1]ВИБУЛО2!GA11</f>
        <v>0</v>
      </c>
      <c r="TX19" s="97" t="n">
        <f aca="false">TX18-TW19+TV19</f>
        <v>0</v>
      </c>
      <c r="TY19" s="95" t="n">
        <f aca="false">[1]НАДІЙШЛО2!GB11</f>
        <v>0</v>
      </c>
      <c r="TZ19" s="96" t="n">
        <f aca="false">[1]ВИБУЛО2!GB11</f>
        <v>0</v>
      </c>
      <c r="UA19" s="97" t="n">
        <f aca="false">UA18-TZ19+TY19</f>
        <v>0</v>
      </c>
      <c r="UB19" s="95" t="n">
        <f aca="false">[1]НАДІЙШЛО2!GC11</f>
        <v>0</v>
      </c>
      <c r="UC19" s="96" t="n">
        <f aca="false">[1]ВИБУЛО2!GC11</f>
        <v>0</v>
      </c>
      <c r="UD19" s="97" t="n">
        <f aca="false">UD18-UC19+UB19</f>
        <v>0</v>
      </c>
      <c r="UE19" s="95" t="n">
        <f aca="false">[1]НАДІЙШЛО2!GD11</f>
        <v>0</v>
      </c>
      <c r="UF19" s="96" t="n">
        <f aca="false">[1]ВИБУЛО2!GD11</f>
        <v>0</v>
      </c>
      <c r="UG19" s="97" t="n">
        <f aca="false">UG18-UF19+UE19</f>
        <v>0</v>
      </c>
      <c r="UH19" s="95" t="n">
        <f aca="false">[1]НАДІЙШЛО2!GE11</f>
        <v>0</v>
      </c>
      <c r="UI19" s="96" t="n">
        <f aca="false">[1]ВИБУЛО2!GE11</f>
        <v>0</v>
      </c>
      <c r="UJ19" s="97" t="n">
        <f aca="false">UJ18-UI19+UH19</f>
        <v>0</v>
      </c>
      <c r="UK19" s="95" t="n">
        <f aca="false">[1]НАДІЙШЛО2!GF11</f>
        <v>0</v>
      </c>
      <c r="UL19" s="96" t="n">
        <f aca="false">[1]ВИБУЛО2!GF11</f>
        <v>0</v>
      </c>
      <c r="UM19" s="97" t="n">
        <f aca="false">UM18-UL19+UK19</f>
        <v>0</v>
      </c>
      <c r="UN19" s="95" t="n">
        <f aca="false">[1]НАДІЙШЛО2!GG11</f>
        <v>0</v>
      </c>
      <c r="UO19" s="96" t="n">
        <f aca="false">[1]ВИБУЛО2!GG11</f>
        <v>0</v>
      </c>
      <c r="UP19" s="97" t="n">
        <f aca="false">UP18-UO19+UN19</f>
        <v>0</v>
      </c>
      <c r="UQ19" s="95" t="n">
        <f aca="false">[1]НАДІЙШЛО2!GH11</f>
        <v>0</v>
      </c>
      <c r="UR19" s="96" t="n">
        <f aca="false">[1]ВИБУЛО2!GH11</f>
        <v>0</v>
      </c>
      <c r="US19" s="97" t="n">
        <f aca="false">US18-UR19+UQ19</f>
        <v>0</v>
      </c>
      <c r="UT19" s="95" t="n">
        <f aca="false">[1]НАДІЙШЛО2!GI11</f>
        <v>0</v>
      </c>
      <c r="UU19" s="96" t="n">
        <f aca="false">[1]ВИБУЛО2!GI11</f>
        <v>0</v>
      </c>
      <c r="UV19" s="97" t="n">
        <f aca="false">UV18-UU19+UT19</f>
        <v>0</v>
      </c>
      <c r="UW19" s="95" t="n">
        <f aca="false">[1]НАДІЙШЛО2!GJ11</f>
        <v>0</v>
      </c>
      <c r="UX19" s="96" t="n">
        <f aca="false">[1]ВИБУЛО2!GJ11</f>
        <v>0</v>
      </c>
      <c r="UY19" s="97" t="n">
        <f aca="false">UY18-UX19+UW19</f>
        <v>0</v>
      </c>
      <c r="UZ19" s="95" t="n">
        <f aca="false">[1]НАДІЙШЛО2!GK11</f>
        <v>0</v>
      </c>
      <c r="VA19" s="96" t="n">
        <f aca="false">[1]ВИБУЛО2!GK11</f>
        <v>0</v>
      </c>
      <c r="VB19" s="97" t="n">
        <f aca="false">VB18-VA19+UZ19</f>
        <v>0</v>
      </c>
      <c r="VC19" s="95" t="n">
        <f aca="false">[1]НАДІЙШЛО2!GL11</f>
        <v>0</v>
      </c>
      <c r="VD19" s="96" t="n">
        <f aca="false">[1]ВИБУЛО2!GL11</f>
        <v>0</v>
      </c>
      <c r="VE19" s="97" t="n">
        <f aca="false">VE18-VD19+VC19</f>
        <v>0</v>
      </c>
      <c r="VF19" s="95" t="n">
        <f aca="false">[1]НАДІЙШЛО2!GM11</f>
        <v>0</v>
      </c>
      <c r="VG19" s="96" t="n">
        <f aca="false">[1]ВИБУЛО2!GM11</f>
        <v>0</v>
      </c>
      <c r="VH19" s="97" t="n">
        <f aca="false">VH18-VG19+VF19</f>
        <v>0</v>
      </c>
      <c r="VI19" s="95" t="n">
        <f aca="false">[1]НАДІЙШЛО2!GN11</f>
        <v>0</v>
      </c>
      <c r="VJ19" s="96" t="n">
        <f aca="false">[1]ВИБУЛО2!GN11</f>
        <v>0</v>
      </c>
      <c r="VK19" s="97" t="n">
        <f aca="false">VK18-VJ19+VI19</f>
        <v>0</v>
      </c>
      <c r="VL19" s="95" t="n">
        <f aca="false">[1]НАДІЙШЛО2!GO11</f>
        <v>0</v>
      </c>
      <c r="VM19" s="96" t="n">
        <f aca="false">[1]ВИБУЛО2!GO11</f>
        <v>0</v>
      </c>
      <c r="VN19" s="97" t="n">
        <f aca="false">VN18-VM19+VL19</f>
        <v>0</v>
      </c>
      <c r="VO19" s="95" t="n">
        <f aca="false">[1]НАДІЙШЛО2!GP11</f>
        <v>0</v>
      </c>
      <c r="VP19" s="96" t="n">
        <f aca="false">[1]ВИБУЛО2!GP11</f>
        <v>0</v>
      </c>
      <c r="VQ19" s="97" t="n">
        <f aca="false">VQ18-VP19+VO19</f>
        <v>0</v>
      </c>
      <c r="VR19" s="95" t="n">
        <f aca="false">[1]НАДІЙШЛО2!GQ11</f>
        <v>0</v>
      </c>
      <c r="VS19" s="96" t="n">
        <f aca="false">[1]ВИБУЛО2!GQ11</f>
        <v>0</v>
      </c>
      <c r="VT19" s="97" t="n">
        <f aca="false">VT18-VS19+VR19</f>
        <v>0</v>
      </c>
      <c r="VU19" s="95" t="n">
        <f aca="false">[1]НАДІЙШЛО2!GR11</f>
        <v>0</v>
      </c>
      <c r="VV19" s="96" t="n">
        <f aca="false">[1]ВИБУЛО2!GR11</f>
        <v>0</v>
      </c>
      <c r="VW19" s="97" t="n">
        <f aca="false">VW18-VV19+VU19</f>
        <v>0</v>
      </c>
      <c r="VX19" s="95" t="n">
        <f aca="false">[1]НАДІЙШЛО2!GS11</f>
        <v>0</v>
      </c>
      <c r="VY19" s="96" t="n">
        <f aca="false">[1]ВИБУЛО2!GS11</f>
        <v>0</v>
      </c>
      <c r="VZ19" s="97" t="n">
        <f aca="false">VZ18-VY19+VX19</f>
        <v>0</v>
      </c>
      <c r="WA19" s="95" t="n">
        <f aca="false">[1]НАДІЙШЛО2!GT11</f>
        <v>0</v>
      </c>
      <c r="WB19" s="96" t="n">
        <f aca="false">[1]ВИБУЛО2!GT11</f>
        <v>0</v>
      </c>
      <c r="WC19" s="97" t="n">
        <f aca="false">WC18-WB19+WA19</f>
        <v>0</v>
      </c>
      <c r="WD19" s="95" t="n">
        <f aca="false">[1]НАДІЙШЛО2!GU11</f>
        <v>0</v>
      </c>
      <c r="WE19" s="96" t="n">
        <f aca="false">[1]ВИБУЛО2!GU11</f>
        <v>0</v>
      </c>
      <c r="WF19" s="97" t="n">
        <f aca="false">WF18-WE19+WD19</f>
        <v>0</v>
      </c>
      <c r="WG19" s="95" t="n">
        <f aca="false">[1]НАДІЙШЛО2!GV11</f>
        <v>0</v>
      </c>
      <c r="WH19" s="96" t="n">
        <f aca="false">[1]ВИБУЛО2!GV11</f>
        <v>0</v>
      </c>
      <c r="WI19" s="97" t="n">
        <f aca="false">WI18-WH19+WG19</f>
        <v>0</v>
      </c>
      <c r="WJ19" s="95" t="n">
        <f aca="false">[1]НАДІЙШЛО2!GW11</f>
        <v>0</v>
      </c>
      <c r="WK19" s="96" t="n">
        <f aca="false">[1]ВИБУЛО2!GW11</f>
        <v>0</v>
      </c>
      <c r="WL19" s="97" t="n">
        <f aca="false">WL18-WK19+WJ19</f>
        <v>0</v>
      </c>
      <c r="WM19" s="95" t="n">
        <f aca="false">[1]НАДІЙШЛО2!GX11</f>
        <v>0</v>
      </c>
      <c r="WN19" s="96" t="n">
        <f aca="false">[1]ВИБУЛО2!GX11</f>
        <v>0</v>
      </c>
      <c r="WO19" s="97" t="n">
        <f aca="false">WO18-WN19+WM19</f>
        <v>0</v>
      </c>
      <c r="WP19" s="95" t="n">
        <f aca="false">[1]НАДІЙШЛО2!GY11</f>
        <v>0</v>
      </c>
      <c r="WQ19" s="96" t="n">
        <f aca="false">[1]ВИБУЛО2!GY11</f>
        <v>0</v>
      </c>
      <c r="WR19" s="97" t="n">
        <f aca="false">WR18-WQ19+WP19</f>
        <v>0</v>
      </c>
      <c r="WS19" s="95" t="n">
        <f aca="false">[1]НАДІЙШЛО2!GZ11</f>
        <v>0</v>
      </c>
      <c r="WT19" s="96" t="n">
        <f aca="false">[1]ВИБУЛО2!GZ11</f>
        <v>0</v>
      </c>
      <c r="WU19" s="97" t="n">
        <f aca="false">WU18-WT19+WS19</f>
        <v>0</v>
      </c>
      <c r="WV19" s="95" t="n">
        <f aca="false">[1]НАДІЙШЛО2!HA11</f>
        <v>0</v>
      </c>
      <c r="WW19" s="96" t="n">
        <f aca="false">[1]ВИБУЛО2!HA11</f>
        <v>0</v>
      </c>
      <c r="WX19" s="97" t="n">
        <f aca="false">WX18-WW19+WV19</f>
        <v>0</v>
      </c>
      <c r="WY19" s="95" t="n">
        <f aca="false">[1]НАДІЙШЛО2!HB11</f>
        <v>0</v>
      </c>
      <c r="WZ19" s="96" t="n">
        <f aca="false">[1]ВИБУЛО2!HB11</f>
        <v>0</v>
      </c>
      <c r="XA19" s="97" t="n">
        <f aca="false">XA18-WZ19+WY19</f>
        <v>0</v>
      </c>
      <c r="XB19" s="95" t="n">
        <f aca="false">[1]НАДІЙШЛО2!HC11</f>
        <v>0</v>
      </c>
      <c r="XC19" s="96" t="n">
        <f aca="false">[1]ВИБУЛО2!HC11</f>
        <v>0</v>
      </c>
      <c r="XD19" s="97" t="n">
        <f aca="false">XD18-XC19+XB19</f>
        <v>0</v>
      </c>
      <c r="XE19" s="95" t="n">
        <f aca="false">[1]НАДІЙШЛО2!HD11</f>
        <v>0</v>
      </c>
      <c r="XF19" s="96" t="n">
        <f aca="false">[1]ВИБУЛО2!HD11</f>
        <v>0</v>
      </c>
      <c r="XG19" s="97" t="n">
        <f aca="false">XG18-XF19+XE19</f>
        <v>0</v>
      </c>
      <c r="XH19" s="95" t="n">
        <f aca="false">[1]НАДІЙШЛО2!HE11</f>
        <v>0</v>
      </c>
      <c r="XI19" s="96" t="n">
        <f aca="false">[1]ВИБУЛО2!HE11</f>
        <v>0</v>
      </c>
      <c r="XJ19" s="97" t="n">
        <f aca="false">XJ18-XI19+XH19</f>
        <v>0</v>
      </c>
      <c r="XK19" s="95" t="n">
        <f aca="false">[1]НАДІЙШЛО2!HF11</f>
        <v>0</v>
      </c>
      <c r="XL19" s="96" t="n">
        <f aca="false">[1]ВИБУЛО2!HF11</f>
        <v>0</v>
      </c>
      <c r="XM19" s="97" t="n">
        <f aca="false">XM18-XL19+XK19</f>
        <v>0</v>
      </c>
      <c r="XN19" s="95" t="n">
        <f aca="false">[1]НАДІЙШЛО2!HG11</f>
        <v>0</v>
      </c>
      <c r="XO19" s="96" t="n">
        <f aca="false">[1]ВИБУЛО2!HG11</f>
        <v>0</v>
      </c>
      <c r="XP19" s="97" t="n">
        <f aca="false">XP18-XO19+XN19</f>
        <v>0</v>
      </c>
      <c r="XQ19" s="95" t="n">
        <f aca="false">[1]НАДІЙШЛО2!HH11</f>
        <v>0</v>
      </c>
      <c r="XR19" s="96" t="n">
        <f aca="false">[1]ВИБУЛО2!HH11</f>
        <v>0</v>
      </c>
      <c r="XS19" s="97" t="n">
        <f aca="false">XS18-XR19+XQ19</f>
        <v>0</v>
      </c>
      <c r="XT19" s="95" t="n">
        <f aca="false">[1]НАДІЙШЛО2!HI11</f>
        <v>0</v>
      </c>
      <c r="XU19" s="96" t="n">
        <f aca="false">[1]ВИБУЛО2!HI11</f>
        <v>0</v>
      </c>
      <c r="XV19" s="97" t="n">
        <f aca="false">XV18-XU19+XT19</f>
        <v>0</v>
      </c>
      <c r="XW19" s="95" t="n">
        <f aca="false">[1]НАДІЙШЛО2!HJ11</f>
        <v>0</v>
      </c>
      <c r="XX19" s="96" t="n">
        <f aca="false">[1]ВИБУЛО2!HJ11</f>
        <v>0</v>
      </c>
      <c r="XY19" s="97" t="n">
        <f aca="false">XY18-XX19+XW19</f>
        <v>0</v>
      </c>
      <c r="XZ19" s="95" t="n">
        <f aca="false">[1]НАДІЙШЛО2!HK11</f>
        <v>0</v>
      </c>
      <c r="YA19" s="96" t="n">
        <f aca="false">[1]ВИБУЛО2!HK11</f>
        <v>0</v>
      </c>
      <c r="YB19" s="97" t="n">
        <f aca="false">YB18-YA19+XZ19</f>
        <v>0</v>
      </c>
      <c r="YC19" s="95" t="n">
        <f aca="false">[1]НАДІЙШЛО2!HL11</f>
        <v>0</v>
      </c>
      <c r="YD19" s="96" t="n">
        <f aca="false">[1]ВИБУЛО2!HL11</f>
        <v>0</v>
      </c>
      <c r="YE19" s="97" t="n">
        <f aca="false">YE18-YD19+YC19</f>
        <v>0</v>
      </c>
      <c r="YF19" s="95" t="n">
        <f aca="false">[1]НАДІЙШЛО2!HM11</f>
        <v>0</v>
      </c>
      <c r="YG19" s="96" t="n">
        <f aca="false">[1]ВИБУЛО2!HM11</f>
        <v>0</v>
      </c>
      <c r="YH19" s="97" t="n">
        <f aca="false">YH18-YG19+YF19</f>
        <v>0</v>
      </c>
      <c r="YI19" s="95" t="n">
        <f aca="false">[1]НАДІЙШЛО2!HN11</f>
        <v>0</v>
      </c>
      <c r="YJ19" s="96" t="n">
        <f aca="false">[1]ВИБУЛО2!HN11</f>
        <v>0</v>
      </c>
      <c r="YK19" s="97" t="n">
        <f aca="false">YK18-YJ19+YI19</f>
        <v>0</v>
      </c>
      <c r="YL19" s="95" t="n">
        <f aca="false">[1]НАДІЙШЛО2!HO11</f>
        <v>0</v>
      </c>
      <c r="YM19" s="96" t="n">
        <f aca="false">[1]ВИБУЛО2!HO11</f>
        <v>0</v>
      </c>
      <c r="YN19" s="97" t="n">
        <f aca="false">YN18-YM19+YL19</f>
        <v>0</v>
      </c>
      <c r="YO19" s="95" t="n">
        <f aca="false">[1]НАДІЙШЛО2!HP11</f>
        <v>0</v>
      </c>
      <c r="YP19" s="96" t="n">
        <f aca="false">[1]ВИБУЛО2!HP11</f>
        <v>0</v>
      </c>
      <c r="YQ19" s="97" t="n">
        <f aca="false">YQ18-YP19+YO19</f>
        <v>0</v>
      </c>
      <c r="YR19" s="95" t="n">
        <f aca="false">[1]НАДІЙШЛО2!HQ11</f>
        <v>0</v>
      </c>
      <c r="YS19" s="96" t="n">
        <f aca="false">[1]ВИБУЛО2!HQ11</f>
        <v>0</v>
      </c>
      <c r="YT19" s="97" t="n">
        <f aca="false">YT18-YS19+YR19</f>
        <v>0</v>
      </c>
      <c r="YU19" s="95" t="n">
        <f aca="false">[1]НАДІЙШЛО2!HR11</f>
        <v>0</v>
      </c>
      <c r="YV19" s="96" t="n">
        <f aca="false">[1]ВИБУЛО2!HR11</f>
        <v>0</v>
      </c>
      <c r="YW19" s="97" t="n">
        <f aca="false">YW18-YV19+YU19</f>
        <v>0</v>
      </c>
      <c r="YX19" s="95" t="n">
        <f aca="false">[1]НАДІЙШЛО2!HS11</f>
        <v>0</v>
      </c>
      <c r="YY19" s="96" t="n">
        <f aca="false">[1]ВИБУЛО2!HS11</f>
        <v>0</v>
      </c>
      <c r="YZ19" s="97" t="n">
        <f aca="false">YZ18-YY19+YX19</f>
        <v>0</v>
      </c>
      <c r="ZA19" s="95" t="n">
        <f aca="false">[1]НАДІЙШЛО2!HT11</f>
        <v>0</v>
      </c>
      <c r="ZB19" s="96" t="n">
        <f aca="false">[1]ВИБУЛО2!HT11</f>
        <v>0</v>
      </c>
      <c r="ZC19" s="97" t="n">
        <f aca="false">ZC18-ZB19+ZA19</f>
        <v>0</v>
      </c>
      <c r="ZD19" s="95" t="n">
        <f aca="false">[1]НАДІЙШЛО2!HU11</f>
        <v>0</v>
      </c>
      <c r="ZE19" s="96" t="n">
        <f aca="false">[1]ВИБУЛО2!HU11</f>
        <v>0</v>
      </c>
      <c r="ZF19" s="97" t="n">
        <f aca="false">ZF18-ZE19+ZD19</f>
        <v>0</v>
      </c>
      <c r="ZG19" s="95" t="n">
        <f aca="false">[1]НАДІЙШЛО2!HV11</f>
        <v>0</v>
      </c>
      <c r="ZH19" s="96" t="n">
        <f aca="false">[1]ВИБУЛО2!HV11</f>
        <v>0</v>
      </c>
      <c r="ZI19" s="97" t="n">
        <f aca="false">ZI18-ZH19+ZG19</f>
        <v>0</v>
      </c>
      <c r="ZJ19" s="95" t="n">
        <f aca="false">[1]НАДІЙШЛО2!HW11</f>
        <v>0</v>
      </c>
      <c r="ZK19" s="96" t="n">
        <f aca="false">[1]ВИБУЛО2!HW11</f>
        <v>0</v>
      </c>
      <c r="ZL19" s="97" t="n">
        <f aca="false">ZL18-ZK19+ZJ19</f>
        <v>0</v>
      </c>
      <c r="ZM19" s="95" t="n">
        <f aca="false">[1]НАДІЙШЛО2!HX11</f>
        <v>0</v>
      </c>
      <c r="ZN19" s="96" t="n">
        <f aca="false">[1]ВИБУЛО2!HX11</f>
        <v>0</v>
      </c>
      <c r="ZO19" s="97" t="n">
        <f aca="false">ZO18-ZN19+ZM19</f>
        <v>0</v>
      </c>
      <c r="ZP19" s="95" t="n">
        <f aca="false">[1]НАДІЙШЛО2!HY11</f>
        <v>0</v>
      </c>
      <c r="ZQ19" s="96" t="n">
        <f aca="false">[1]ВИБУЛО2!HY11</f>
        <v>0</v>
      </c>
      <c r="ZR19" s="97" t="n">
        <f aca="false">ZR18-ZQ19+ZP19</f>
        <v>0</v>
      </c>
      <c r="ZS19" s="95" t="n">
        <f aca="false">[1]НАДІЙШЛО2!HZ11</f>
        <v>0</v>
      </c>
      <c r="ZT19" s="96" t="n">
        <f aca="false">[1]ВИБУЛО2!HZ11</f>
        <v>0</v>
      </c>
      <c r="ZU19" s="97" t="n">
        <f aca="false">ZU18-ZT19+ZS19</f>
        <v>0</v>
      </c>
      <c r="ZV19" s="95" t="n">
        <f aca="false">[1]НАДІЙШЛО2!IA11</f>
        <v>0</v>
      </c>
      <c r="ZW19" s="96" t="n">
        <f aca="false">[1]ВИБУЛО2!IA11</f>
        <v>0</v>
      </c>
      <c r="ZX19" s="97" t="n">
        <f aca="false">ZX18-ZW19+ZV19</f>
        <v>0</v>
      </c>
      <c r="ZY19" s="95" t="n">
        <f aca="false">[1]НАДІЙШЛО2!IB11</f>
        <v>0</v>
      </c>
      <c r="ZZ19" s="96" t="n">
        <f aca="false">[1]ВИБУЛО2!IB11</f>
        <v>0</v>
      </c>
      <c r="AAA19" s="97" t="n">
        <f aca="false">AAA18-ZZ19+ZY19</f>
        <v>0</v>
      </c>
      <c r="AAB19" s="95" t="n">
        <f aca="false">[1]НАДІЙШЛО2!IC11</f>
        <v>0</v>
      </c>
      <c r="AAC19" s="96" t="n">
        <f aca="false">[1]ВИБУЛО2!IC11</f>
        <v>0</v>
      </c>
      <c r="AAD19" s="97" t="n">
        <f aca="false">AAD18-AAC19+AAB19</f>
        <v>0</v>
      </c>
      <c r="AAE19" s="95" t="n">
        <f aca="false">[1]НАДІЙШЛО2!ID11</f>
        <v>0</v>
      </c>
      <c r="AAF19" s="96" t="n">
        <f aca="false">[1]ВИБУЛО2!ID11</f>
        <v>0</v>
      </c>
      <c r="AAG19" s="97" t="n">
        <f aca="false">AAG18-AAF19+AAE19</f>
        <v>0</v>
      </c>
      <c r="AAH19" s="95" t="n">
        <f aca="false">[1]НАДІЙШЛО2!IE11</f>
        <v>0</v>
      </c>
      <c r="AAI19" s="96" t="n">
        <f aca="false">[1]ВИБУЛО2!IE11</f>
        <v>0</v>
      </c>
      <c r="AAJ19" s="97" t="n">
        <f aca="false">AAJ18-AAI19+AAH19</f>
        <v>0</v>
      </c>
      <c r="AAK19" s="95" t="n">
        <f aca="false">[1]НАДІЙШЛО2!IF11</f>
        <v>0</v>
      </c>
      <c r="AAL19" s="96" t="n">
        <f aca="false">[1]ВИБУЛО2!IF11</f>
        <v>0</v>
      </c>
      <c r="AAM19" s="97" t="n">
        <f aca="false">AAM18-AAL19+AAK19</f>
        <v>0</v>
      </c>
      <c r="AAN19" s="95" t="n">
        <f aca="false">[1]НАДІЙШЛО2!IG11</f>
        <v>0</v>
      </c>
      <c r="AAO19" s="96" t="n">
        <f aca="false">[1]ВИБУЛО2!IG11</f>
        <v>0</v>
      </c>
      <c r="AAP19" s="97" t="n">
        <f aca="false">AAP18-AAO19+AAN19</f>
        <v>0</v>
      </c>
      <c r="AAQ19" s="95" t="n">
        <f aca="false">[1]НАДІЙШЛО2!IH11</f>
        <v>0</v>
      </c>
      <c r="AAR19" s="96" t="n">
        <f aca="false">[1]ВИБУЛО2!IH11</f>
        <v>0</v>
      </c>
      <c r="AAS19" s="97" t="n">
        <f aca="false">AAS18-AAR19+AAQ19</f>
        <v>0</v>
      </c>
      <c r="AAT19" s="95" t="n">
        <f aca="false">[1]НАДІЙШЛО2!II11</f>
        <v>0</v>
      </c>
      <c r="AAU19" s="96" t="n">
        <f aca="false">[1]ВИБУЛО2!II11</f>
        <v>0</v>
      </c>
      <c r="AAV19" s="97" t="n">
        <f aca="false">AAV18-AAU19+AAT19</f>
        <v>0</v>
      </c>
      <c r="AAW19" s="95" t="n">
        <f aca="false">[1]НАДІЙШЛО2!IJ11</f>
        <v>0</v>
      </c>
      <c r="AAX19" s="96" t="n">
        <f aca="false">[1]ВИБУЛО2!IJ11</f>
        <v>0</v>
      </c>
      <c r="AAY19" s="97" t="n">
        <f aca="false">AAY18-AAX19+AAW19</f>
        <v>0</v>
      </c>
      <c r="AAZ19" s="95" t="n">
        <f aca="false">[1]НАДІЙШЛО2!IK11</f>
        <v>0</v>
      </c>
      <c r="ABA19" s="96" t="n">
        <f aca="false">[1]ВИБУЛО2!IK11</f>
        <v>0</v>
      </c>
      <c r="ABB19" s="97" t="n">
        <f aca="false">ABB18-ABA19+AAZ19</f>
        <v>0</v>
      </c>
      <c r="ABC19" s="95" t="n">
        <f aca="false">[1]НАДІЙШЛО2!IL11</f>
        <v>0</v>
      </c>
      <c r="ABD19" s="96" t="n">
        <f aca="false">[1]ВИБУЛО2!IL11</f>
        <v>0</v>
      </c>
      <c r="ABE19" s="97" t="n">
        <f aca="false">ABE18-ABD19+ABC19</f>
        <v>0</v>
      </c>
      <c r="ABF19" s="95" t="n">
        <f aca="false">[1]НАДІЙШЛО2!IM11</f>
        <v>0</v>
      </c>
      <c r="ABG19" s="96" t="n">
        <f aca="false">[1]ВИБУЛО2!IM11</f>
        <v>0</v>
      </c>
      <c r="ABH19" s="97" t="n">
        <f aca="false">ABH18-ABG19+ABF19</f>
        <v>0</v>
      </c>
      <c r="ABI19" s="95" t="n">
        <f aca="false">[1]НАДІЙШЛО2!IN11</f>
        <v>0</v>
      </c>
      <c r="ABJ19" s="96" t="n">
        <f aca="false">[1]ВИБУЛО2!IN11</f>
        <v>0</v>
      </c>
      <c r="ABK19" s="97" t="n">
        <f aca="false">ABK18-ABJ19+ABI19</f>
        <v>0</v>
      </c>
      <c r="ABL19" s="95" t="n">
        <f aca="false">[1]НАДІЙШЛО2!IO11</f>
        <v>0</v>
      </c>
      <c r="ABM19" s="96" t="n">
        <f aca="false">[1]ВИБУЛО2!IO11</f>
        <v>0</v>
      </c>
      <c r="ABN19" s="97" t="n">
        <f aca="false">ABN18-ABM19+ABL19</f>
        <v>0</v>
      </c>
      <c r="ABO19" s="95" t="n">
        <f aca="false">[1]НАДІЙШЛО2!IP11</f>
        <v>0</v>
      </c>
      <c r="ABP19" s="96" t="n">
        <f aca="false">[1]ВИБУЛО2!IP11</f>
        <v>0</v>
      </c>
      <c r="ABQ19" s="97" t="n">
        <f aca="false">ABQ18-ABP19+ABO19</f>
        <v>0</v>
      </c>
      <c r="ABR19" s="95" t="n">
        <f aca="false">[1]НАДІЙШЛО2!IQ11</f>
        <v>0</v>
      </c>
      <c r="ABS19" s="96" t="n">
        <f aca="false">[1]ВИБУЛО2!IQ11</f>
        <v>0</v>
      </c>
      <c r="ABT19" s="97" t="n">
        <f aca="false">ABT18-ABS19+ABR19</f>
        <v>0</v>
      </c>
      <c r="ABU19" s="95" t="n">
        <f aca="false">[1]НАДІЙШЛО2!IR11</f>
        <v>0</v>
      </c>
      <c r="ABV19" s="96" t="n">
        <f aca="false">[1]ВИБУЛО2!IR11</f>
        <v>0</v>
      </c>
      <c r="ABW19" s="97" t="n">
        <f aca="false">ABW18-ABV19+ABU19</f>
        <v>0</v>
      </c>
      <c r="ABX19" s="95" t="n">
        <f aca="false">[1]НАДІЙШЛО2!IS11</f>
        <v>0</v>
      </c>
      <c r="ABY19" s="96" t="n">
        <f aca="false">[1]ВИБУЛО2!IS11</f>
        <v>0</v>
      </c>
      <c r="ABZ19" s="97" t="n">
        <f aca="false">ABZ18-ABY19+ABX19</f>
        <v>0</v>
      </c>
      <c r="ACA19" s="95" t="n">
        <f aca="false">[1]НАДІЙШЛО2!IT11</f>
        <v>0</v>
      </c>
      <c r="ACB19" s="96" t="n">
        <f aca="false">[1]ВИБУЛО2!IT11</f>
        <v>0</v>
      </c>
      <c r="ACC19" s="97" t="n">
        <f aca="false">ACC18-ACB19+ACA19</f>
        <v>0</v>
      </c>
      <c r="ACD19" s="95" t="n">
        <f aca="false">[1]НАДІЙШЛО2!IU11</f>
        <v>0</v>
      </c>
      <c r="ACE19" s="96" t="n">
        <f aca="false">[1]ВИБУЛО2!IU11</f>
        <v>0</v>
      </c>
      <c r="ACF19" s="97" t="n">
        <f aca="false">ACF18-ACE19+ACD19</f>
        <v>0</v>
      </c>
      <c r="ACG19" s="95" t="n">
        <f aca="false">[1]НАДІЙШЛО2!IV11</f>
        <v>0</v>
      </c>
      <c r="ACH19" s="96" t="n">
        <f aca="false">[1]ВИБУЛО2!IV11</f>
        <v>0</v>
      </c>
      <c r="ACI19" s="97" t="n">
        <f aca="false">ACI18-ACH19+ACG19</f>
        <v>0</v>
      </c>
      <c r="ACJ19" s="95" t="n">
        <f aca="false">[1]НАДІЙШЛО2!IW11</f>
        <v>0</v>
      </c>
      <c r="ACK19" s="96" t="n">
        <f aca="false">[1]ВИБУЛО2!IW11</f>
        <v>0</v>
      </c>
      <c r="ACL19" s="97" t="n">
        <f aca="false">ACL18-ACK19+ACJ19</f>
        <v>0</v>
      </c>
      <c r="ACM19" s="95" t="n">
        <f aca="false">[1]НАДІЙШЛО2!IX11</f>
        <v>0</v>
      </c>
      <c r="ACN19" s="96" t="n">
        <f aca="false">[1]ВИБУЛО2!IX11</f>
        <v>0</v>
      </c>
      <c r="ACO19" s="97" t="n">
        <f aca="false">ACO18-ACN19+ACM19</f>
        <v>0</v>
      </c>
      <c r="ACP19" s="95" t="n">
        <f aca="false">[1]НАДІЙШЛО2!IY11</f>
        <v>0</v>
      </c>
      <c r="ACQ19" s="96" t="n">
        <f aca="false">[1]ВИБУЛО2!IY11</f>
        <v>0</v>
      </c>
      <c r="ACR19" s="97" t="n">
        <f aca="false">ACR18-ACQ19+ACP19</f>
        <v>0</v>
      </c>
      <c r="ACS19" s="95" t="n">
        <f aca="false">[1]НАДІЙШЛО2!IZ11</f>
        <v>0</v>
      </c>
      <c r="ACT19" s="96" t="n">
        <f aca="false">[1]ВИБУЛО2!IZ11</f>
        <v>0</v>
      </c>
      <c r="ACU19" s="97" t="n">
        <f aca="false">ACU18-ACT19+ACS19</f>
        <v>0</v>
      </c>
      <c r="ACV19" s="95" t="n">
        <f aca="false">[1]НАДІЙШЛО2!JA11</f>
        <v>0</v>
      </c>
      <c r="ACW19" s="96" t="n">
        <f aca="false">[1]ВИБУЛО2!JA11</f>
        <v>0</v>
      </c>
      <c r="ACX19" s="97" t="n">
        <f aca="false">ACX18-ACW19+ACV19</f>
        <v>0</v>
      </c>
      <c r="ACY19" s="95" t="n">
        <f aca="false">[1]НАДІЙШЛО2!JB11</f>
        <v>0</v>
      </c>
      <c r="ACZ19" s="96" t="n">
        <f aca="false">[1]ВИБУЛО2!JB11</f>
        <v>0</v>
      </c>
      <c r="ADA19" s="97" t="n">
        <f aca="false">ADA18-ACZ19+ACY19</f>
        <v>0</v>
      </c>
      <c r="ADB19" s="95" t="n">
        <f aca="false">[1]НАДІЙШЛО2!JC11</f>
        <v>0</v>
      </c>
      <c r="ADC19" s="96" t="n">
        <f aca="false">[1]ВИБУЛО2!JC11</f>
        <v>0</v>
      </c>
      <c r="ADD19" s="97" t="n">
        <f aca="false">ADD18-ADC19+ADB19</f>
        <v>0</v>
      </c>
      <c r="ADE19" s="95" t="n">
        <f aca="false">[1]НАДІЙШЛО2!JD11</f>
        <v>0</v>
      </c>
      <c r="ADF19" s="96" t="n">
        <f aca="false">[1]ВИБУЛО2!JD11</f>
        <v>0</v>
      </c>
      <c r="ADG19" s="97" t="n">
        <f aca="false">ADG18-ADF19+ADE19</f>
        <v>0</v>
      </c>
      <c r="ADH19" s="95" t="n">
        <f aca="false">[1]НАДІЙШЛО2!JE11</f>
        <v>0</v>
      </c>
      <c r="ADI19" s="96" t="n">
        <f aca="false">[1]ВИБУЛО2!JE11</f>
        <v>0</v>
      </c>
      <c r="ADJ19" s="97" t="n">
        <f aca="false">ADJ18-ADI19+ADH19</f>
        <v>0</v>
      </c>
      <c r="ADK19" s="95" t="n">
        <f aca="false">[1]НАДІЙШЛО2!JF11</f>
        <v>0</v>
      </c>
      <c r="ADL19" s="96" t="n">
        <f aca="false">[1]ВИБУЛО2!JF11</f>
        <v>0</v>
      </c>
      <c r="ADM19" s="97" t="n">
        <f aca="false">ADM18-ADL19+ADK19</f>
        <v>0</v>
      </c>
      <c r="ADN19" s="95" t="n">
        <f aca="false">[1]НАДІЙШЛО2!JG11</f>
        <v>0</v>
      </c>
      <c r="ADO19" s="96" t="n">
        <f aca="false">[1]ВИБУЛО2!JG11</f>
        <v>0</v>
      </c>
      <c r="ADP19" s="97" t="n">
        <f aca="false">ADP18-ADO19+ADN19</f>
        <v>0</v>
      </c>
      <c r="ADQ19" s="95" t="n">
        <f aca="false">[1]НАДІЙШЛО2!JH11</f>
        <v>0</v>
      </c>
      <c r="ADR19" s="96" t="n">
        <f aca="false">[1]ВИБУЛО2!JH11</f>
        <v>0</v>
      </c>
      <c r="ADS19" s="97" t="n">
        <f aca="false">ADS18-ADR19+ADQ19</f>
        <v>0</v>
      </c>
      <c r="ADT19" s="95" t="n">
        <f aca="false">[1]НАДІЙШЛО2!JI11</f>
        <v>0</v>
      </c>
      <c r="ADU19" s="96" t="n">
        <f aca="false">[1]ВИБУЛО2!JI11</f>
        <v>0</v>
      </c>
      <c r="ADV19" s="97" t="n">
        <f aca="false">ADV18-ADU19+ADT19</f>
        <v>0</v>
      </c>
      <c r="ADW19" s="95" t="n">
        <f aca="false">[1]НАДІЙШЛО2!JJ11</f>
        <v>0</v>
      </c>
      <c r="ADX19" s="96" t="n">
        <f aca="false">[1]ВИБУЛО2!JJ11</f>
        <v>0</v>
      </c>
      <c r="ADY19" s="97" t="n">
        <f aca="false">ADY18-ADX19+ADW19</f>
        <v>0</v>
      </c>
      <c r="ADZ19" s="95" t="n">
        <f aca="false">[1]НАДІЙШЛО2!JK11</f>
        <v>0</v>
      </c>
      <c r="AEA19" s="96" t="n">
        <f aca="false">[1]ВИБУЛО2!JK11</f>
        <v>0</v>
      </c>
      <c r="AEB19" s="97" t="n">
        <f aca="false">AEB18-AEA19+ADZ19</f>
        <v>0</v>
      </c>
      <c r="AEC19" s="95" t="n">
        <f aca="false">[1]НАДІЙШЛО2!JL11</f>
        <v>0</v>
      </c>
      <c r="AED19" s="96" t="n">
        <f aca="false">[1]ВИБУЛО2!JL11</f>
        <v>0</v>
      </c>
      <c r="AEE19" s="97" t="n">
        <f aca="false">AEE18-AED19+AEC19</f>
        <v>0</v>
      </c>
      <c r="AEF19" s="95" t="n">
        <f aca="false">[1]НАДІЙШЛО2!JM11</f>
        <v>0</v>
      </c>
      <c r="AEG19" s="96" t="n">
        <f aca="false">[1]ВИБУЛО2!JM11</f>
        <v>0</v>
      </c>
      <c r="AEH19" s="97" t="n">
        <f aca="false">AEH18-AEG19+AEF19</f>
        <v>0</v>
      </c>
      <c r="AEI19" s="95" t="n">
        <f aca="false">[1]НАДІЙШЛО2!JN11</f>
        <v>0</v>
      </c>
      <c r="AEJ19" s="96" t="n">
        <f aca="false">[1]ВИБУЛО2!JN11</f>
        <v>0</v>
      </c>
      <c r="AEK19" s="97" t="n">
        <f aca="false">AEK18-AEJ19+AEI19</f>
        <v>0</v>
      </c>
      <c r="AEL19" s="95" t="n">
        <f aca="false">[1]НАДІЙШЛО2!JO11</f>
        <v>0</v>
      </c>
      <c r="AEM19" s="96" t="n">
        <f aca="false">[1]ВИБУЛО2!JO11</f>
        <v>0</v>
      </c>
      <c r="AEN19" s="97" t="n">
        <f aca="false">AEN18-AEM19+AEL19</f>
        <v>0</v>
      </c>
      <c r="AEO19" s="95" t="n">
        <f aca="false">[1]НАДІЙШЛО2!JP11</f>
        <v>0</v>
      </c>
      <c r="AEP19" s="96" t="n">
        <f aca="false">[1]ВИБУЛО2!JP11</f>
        <v>0</v>
      </c>
      <c r="AEQ19" s="97" t="n">
        <f aca="false">AEQ18-AEP19+AEO19</f>
        <v>0</v>
      </c>
      <c r="AER19" s="95" t="n">
        <f aca="false">[1]НАДІЙШЛО2!JQ11</f>
        <v>0</v>
      </c>
      <c r="AES19" s="96" t="n">
        <f aca="false">[1]ВИБУЛО2!JQ11</f>
        <v>0</v>
      </c>
      <c r="AET19" s="97" t="n">
        <f aca="false">AET18-AES19+AER19</f>
        <v>0</v>
      </c>
      <c r="AEU19" s="95" t="n">
        <f aca="false">[1]НАДІЙШЛО2!JR11</f>
        <v>0</v>
      </c>
      <c r="AEV19" s="96" t="n">
        <f aca="false">[1]ВИБУЛО2!JR11</f>
        <v>0</v>
      </c>
      <c r="AEW19" s="97" t="n">
        <f aca="false">AEW18-AEV19+AEU19</f>
        <v>0</v>
      </c>
      <c r="AEX19" s="95" t="n">
        <f aca="false">[1]НАДІЙШЛО2!JS11</f>
        <v>0</v>
      </c>
      <c r="AEY19" s="96" t="n">
        <f aca="false">[1]ВИБУЛО2!JS11</f>
        <v>0</v>
      </c>
      <c r="AEZ19" s="97" t="n">
        <f aca="false">AEZ18-AEY19+AEX19</f>
        <v>0</v>
      </c>
      <c r="AFA19" s="95" t="n">
        <f aca="false">[1]НАДІЙШЛО2!JT11</f>
        <v>0</v>
      </c>
      <c r="AFB19" s="96" t="n">
        <f aca="false">[1]ВИБУЛО2!JT11</f>
        <v>0</v>
      </c>
      <c r="AFC19" s="97" t="n">
        <f aca="false">AFC18-AFB19+AFA19</f>
        <v>0</v>
      </c>
      <c r="AFD19" s="95" t="n">
        <f aca="false">[1]НАДІЙШЛО2!JU11</f>
        <v>0</v>
      </c>
      <c r="AFE19" s="96" t="n">
        <f aca="false">[1]ВИБУЛО2!JU11</f>
        <v>0</v>
      </c>
      <c r="AFF19" s="97" t="n">
        <f aca="false">AFF18-AFE19+AFD19</f>
        <v>0</v>
      </c>
      <c r="AFG19" s="95" t="n">
        <f aca="false">[1]НАДІЙШЛО2!JV11</f>
        <v>0</v>
      </c>
      <c r="AFH19" s="96" t="n">
        <f aca="false">[1]ВИБУЛО2!JV11</f>
        <v>0</v>
      </c>
      <c r="AFI19" s="97" t="n">
        <f aca="false">AFI18-AFH19+AFG19</f>
        <v>0</v>
      </c>
      <c r="AFJ19" s="95" t="n">
        <f aca="false">[1]НАДІЙШЛО2!JW11</f>
        <v>0</v>
      </c>
      <c r="AFK19" s="96" t="n">
        <f aca="false">[1]ВИБУЛО2!JW11</f>
        <v>0</v>
      </c>
      <c r="AFL19" s="97" t="n">
        <f aca="false">AFL18-AFK19+AFJ19</f>
        <v>0</v>
      </c>
      <c r="AFM19" s="95" t="n">
        <f aca="false">[1]НАДІЙШЛО2!JX11</f>
        <v>0</v>
      </c>
      <c r="AFN19" s="96" t="n">
        <f aca="false">[1]ВИБУЛО2!JX11</f>
        <v>0</v>
      </c>
      <c r="AFO19" s="97" t="n">
        <f aca="false">AFO18-AFN19+AFM19</f>
        <v>0</v>
      </c>
      <c r="AFP19" s="95" t="n">
        <f aca="false">[1]НАДІЙШЛО2!JY11</f>
        <v>0</v>
      </c>
      <c r="AFQ19" s="96" t="n">
        <f aca="false">[1]ВИБУЛО2!JY11</f>
        <v>0</v>
      </c>
      <c r="AFR19" s="97" t="n">
        <f aca="false">AFR18-AFQ19+AFP19</f>
        <v>0</v>
      </c>
      <c r="AFS19" s="95" t="n">
        <f aca="false">[1]НАДІЙШЛО2!JZ11</f>
        <v>0</v>
      </c>
      <c r="AFT19" s="96" t="n">
        <f aca="false">[1]ВИБУЛО2!JZ11</f>
        <v>0</v>
      </c>
      <c r="AFU19" s="97" t="n">
        <f aca="false">AFU18-AFT19+AFS19</f>
        <v>0</v>
      </c>
      <c r="AFV19" s="95" t="n">
        <f aca="false">[1]НАДІЙШЛО2!KA11</f>
        <v>0</v>
      </c>
      <c r="AFW19" s="96" t="n">
        <f aca="false">[1]ВИБУЛО2!KA11</f>
        <v>0</v>
      </c>
      <c r="AFX19" s="97" t="n">
        <f aca="false">AFX18-AFW19+AFV19</f>
        <v>0</v>
      </c>
      <c r="AFY19" s="95" t="n">
        <f aca="false">[1]НАДІЙШЛО2!KB11</f>
        <v>0</v>
      </c>
      <c r="AFZ19" s="96" t="n">
        <f aca="false">[1]ВИБУЛО2!KB11</f>
        <v>0</v>
      </c>
      <c r="AGA19" s="97" t="n">
        <f aca="false">AGA18-AFZ19+AFY19</f>
        <v>0</v>
      </c>
      <c r="AGB19" s="95" t="n">
        <f aca="false">[1]НАДІЙШЛО2!KC11</f>
        <v>0</v>
      </c>
      <c r="AGC19" s="96" t="n">
        <f aca="false">[1]ВИБУЛО2!KC11</f>
        <v>0</v>
      </c>
      <c r="AGD19" s="97" t="n">
        <f aca="false">AGD18-AGC19+AGB19</f>
        <v>0</v>
      </c>
      <c r="AGE19" s="95" t="n">
        <f aca="false">[1]НАДІЙШЛО2!KD11</f>
        <v>0</v>
      </c>
      <c r="AGF19" s="96" t="n">
        <f aca="false">[1]ВИБУЛО2!KD11</f>
        <v>0</v>
      </c>
      <c r="AGG19" s="97" t="n">
        <f aca="false">AGG18-AGF19+AGE19</f>
        <v>0</v>
      </c>
      <c r="AGH19" s="95" t="n">
        <f aca="false">[1]НАДІЙШЛО2!KE11</f>
        <v>0</v>
      </c>
      <c r="AGI19" s="96" t="n">
        <f aca="false">[1]ВИБУЛО2!KE11</f>
        <v>0</v>
      </c>
      <c r="AGJ19" s="97" t="n">
        <f aca="false">AGJ18-AGI19+AGH19</f>
        <v>0</v>
      </c>
      <c r="AGK19" s="95" t="n">
        <f aca="false">[1]НАДІЙШЛО2!KF11</f>
        <v>0</v>
      </c>
      <c r="AGL19" s="96" t="n">
        <f aca="false">[1]ВИБУЛО2!KF11</f>
        <v>0</v>
      </c>
      <c r="AGM19" s="97" t="n">
        <f aca="false">AGM18-AGL19+AGK19</f>
        <v>0</v>
      </c>
      <c r="AGN19" s="95" t="n">
        <f aca="false">[1]НАДІЙШЛО2!KG11</f>
        <v>0</v>
      </c>
      <c r="AGO19" s="96" t="n">
        <f aca="false">[1]ВИБУЛО2!KG11</f>
        <v>0</v>
      </c>
      <c r="AGP19" s="97" t="n">
        <f aca="false">AGP18-AGO19+AGN19</f>
        <v>0</v>
      </c>
      <c r="AGQ19" s="95" t="n">
        <f aca="false">[1]НАДІЙШЛО2!KH11</f>
        <v>0</v>
      </c>
      <c r="AGR19" s="96" t="n">
        <f aca="false">[1]ВИБУЛО2!KH11</f>
        <v>0</v>
      </c>
      <c r="AGS19" s="97" t="n">
        <f aca="false">AGS18-AGR19+AGQ19</f>
        <v>0</v>
      </c>
      <c r="AGT19" s="95" t="n">
        <f aca="false">[1]НАДІЙШЛО2!KI11</f>
        <v>0</v>
      </c>
      <c r="AGU19" s="96" t="n">
        <f aca="false">[1]ВИБУЛО2!KI11</f>
        <v>0</v>
      </c>
      <c r="AGV19" s="97" t="n">
        <f aca="false">AGV18-AGU19+AGT19</f>
        <v>0</v>
      </c>
      <c r="AGW19" s="95" t="n">
        <f aca="false">[1]НАДІЙШЛО2!KJ11</f>
        <v>0</v>
      </c>
      <c r="AGX19" s="96" t="n">
        <f aca="false">[1]ВИБУЛО2!KJ11</f>
        <v>0</v>
      </c>
      <c r="AGY19" s="97" t="n">
        <f aca="false">AGY18-AGX19+AGW19</f>
        <v>0</v>
      </c>
      <c r="AGZ19" s="95" t="n">
        <f aca="false">[1]НАДІЙШЛО2!KK11</f>
        <v>0</v>
      </c>
      <c r="AHA19" s="96" t="n">
        <f aca="false">[1]ВИБУЛО2!KK11</f>
        <v>0</v>
      </c>
      <c r="AHB19" s="97" t="n">
        <f aca="false">AHB18-AHA19+AGZ19</f>
        <v>0</v>
      </c>
      <c r="AHC19" s="95" t="n">
        <f aca="false">[1]НАДІЙШЛО2!KL11</f>
        <v>0</v>
      </c>
      <c r="AHD19" s="96" t="n">
        <f aca="false">[1]ВИБУЛО2!KL11</f>
        <v>0</v>
      </c>
      <c r="AHE19" s="97" t="n">
        <f aca="false">AHE18-AHD19+AHC19</f>
        <v>0</v>
      </c>
      <c r="AHF19" s="95" t="n">
        <f aca="false">[1]НАДІЙШЛО2!KM11</f>
        <v>0</v>
      </c>
      <c r="AHG19" s="96" t="n">
        <f aca="false">[1]ВИБУЛО2!KM11</f>
        <v>0</v>
      </c>
      <c r="AHH19" s="97" t="n">
        <f aca="false">AHH18-AHG19+AHF19</f>
        <v>0</v>
      </c>
      <c r="AHI19" s="95" t="n">
        <f aca="false">[1]НАДІЙШЛО2!KN11</f>
        <v>0</v>
      </c>
      <c r="AHJ19" s="96" t="n">
        <f aca="false">[1]ВИБУЛО2!KN11</f>
        <v>0</v>
      </c>
      <c r="AHK19" s="97" t="n">
        <f aca="false">AHK18-AHJ19+AHI19</f>
        <v>0</v>
      </c>
      <c r="AHL19" s="95" t="n">
        <f aca="false">[1]НАДІЙШЛО2!KO11</f>
        <v>0</v>
      </c>
      <c r="AHM19" s="96" t="n">
        <f aca="false">[1]ВИБУЛО2!KO11</f>
        <v>0</v>
      </c>
      <c r="AHN19" s="97" t="n">
        <f aca="false">AHN18-AHM19+AHL19</f>
        <v>0</v>
      </c>
      <c r="AHO19" s="95" t="n">
        <f aca="false">[1]НАДІЙШЛО2!KP11</f>
        <v>0</v>
      </c>
      <c r="AHP19" s="96" t="n">
        <f aca="false">[1]ВИБУЛО2!KP11</f>
        <v>0</v>
      </c>
      <c r="AHQ19" s="97" t="n">
        <f aca="false">AHQ18-AHP19+AHO19</f>
        <v>0</v>
      </c>
      <c r="AHR19" s="95" t="n">
        <f aca="false">[1]НАДІЙШЛО2!KQ11</f>
        <v>0</v>
      </c>
      <c r="AHS19" s="96" t="n">
        <f aca="false">[1]ВИБУЛО2!KQ11</f>
        <v>0</v>
      </c>
      <c r="AHT19" s="97" t="n">
        <f aca="false">AHT18-AHS19+AHR19</f>
        <v>0</v>
      </c>
      <c r="AHU19" s="95" t="n">
        <f aca="false">[1]НАДІЙШЛО2!KR11</f>
        <v>0</v>
      </c>
      <c r="AHV19" s="96" t="n">
        <f aca="false">[1]ВИБУЛО2!KR11</f>
        <v>0</v>
      </c>
      <c r="AHW19" s="97" t="n">
        <f aca="false">AHW18-AHV19+AHU19</f>
        <v>0</v>
      </c>
      <c r="AHX19" s="95" t="n">
        <f aca="false">[1]НАДІЙШЛО2!KS11</f>
        <v>0</v>
      </c>
      <c r="AHY19" s="96" t="n">
        <f aca="false">[1]ВИБУЛО2!KS11</f>
        <v>0</v>
      </c>
      <c r="AHZ19" s="97" t="n">
        <f aca="false">AHZ18-AHY19+AHX19</f>
        <v>0</v>
      </c>
      <c r="AIA19" s="95" t="n">
        <f aca="false">[1]НАДІЙШЛО2!KT11</f>
        <v>0</v>
      </c>
      <c r="AIB19" s="96" t="n">
        <f aca="false">[1]ВИБУЛО2!KT11</f>
        <v>0</v>
      </c>
      <c r="AIC19" s="97" t="n">
        <f aca="false">AIC18-AIB19+AIA19</f>
        <v>0</v>
      </c>
      <c r="AID19" s="95" t="n">
        <f aca="false">[1]НАДІЙШЛО2!KU11</f>
        <v>0</v>
      </c>
      <c r="AIE19" s="96" t="n">
        <f aca="false">[1]ВИБУЛО2!KU11</f>
        <v>0</v>
      </c>
      <c r="AIF19" s="97" t="n">
        <f aca="false">AIF18-AIE19+AID19</f>
        <v>0</v>
      </c>
      <c r="AIG19" s="95" t="n">
        <f aca="false">[1]НАДІЙШЛО2!KV11</f>
        <v>0</v>
      </c>
      <c r="AIH19" s="96" t="n">
        <f aca="false">[1]ВИБУЛО2!KV11</f>
        <v>0</v>
      </c>
      <c r="AII19" s="97" t="n">
        <f aca="false">AII18-AIH19+AIG19</f>
        <v>0</v>
      </c>
      <c r="AIJ19" s="95" t="n">
        <f aca="false">[1]НАДІЙШЛО2!KW11</f>
        <v>0</v>
      </c>
      <c r="AIK19" s="96" t="n">
        <f aca="false">[1]ВИБУЛО2!KW11</f>
        <v>0</v>
      </c>
      <c r="AIL19" s="97" t="n">
        <f aca="false">AIL18-AIK19+AIJ19</f>
        <v>0</v>
      </c>
      <c r="AIM19" s="95" t="n">
        <f aca="false">[1]НАДІЙШЛО2!KX11</f>
        <v>0</v>
      </c>
      <c r="AIN19" s="96" t="n">
        <f aca="false">[1]ВИБУЛО2!KX11</f>
        <v>0</v>
      </c>
      <c r="AIO19" s="97" t="n">
        <f aca="false">AIO18-AIN19+AIM19</f>
        <v>0</v>
      </c>
      <c r="AIP19" s="95" t="n">
        <f aca="false">[1]НАДІЙШЛО2!KY11</f>
        <v>0</v>
      </c>
      <c r="AIQ19" s="96" t="n">
        <f aca="false">[1]ВИБУЛО2!KY11</f>
        <v>0</v>
      </c>
      <c r="AIR19" s="97" t="n">
        <f aca="false">AIR18-AIQ19+AIP19</f>
        <v>0</v>
      </c>
      <c r="AIS19" s="95" t="n">
        <f aca="false">[1]НАДІЙШЛО2!KZ11</f>
        <v>0</v>
      </c>
      <c r="AIT19" s="96" t="n">
        <f aca="false">[1]ВИБУЛО2!KZ11</f>
        <v>0</v>
      </c>
      <c r="AIU19" s="97" t="n">
        <f aca="false">AIU18-AIT19+AIS19</f>
        <v>0</v>
      </c>
      <c r="AIV19" s="95" t="n">
        <f aca="false">[1]НАДІЙШЛО2!LA11</f>
        <v>0</v>
      </c>
      <c r="AIW19" s="96" t="n">
        <f aca="false">[1]ВИБУЛО2!LA11</f>
        <v>0</v>
      </c>
      <c r="AIX19" s="97" t="n">
        <f aca="false">AIX18-AIW19+AIV19</f>
        <v>0</v>
      </c>
      <c r="AIY19" s="95" t="n">
        <f aca="false">[1]НАДІЙШЛО2!LB11</f>
        <v>0</v>
      </c>
      <c r="AIZ19" s="96" t="n">
        <f aca="false">[1]ВИБУЛО2!LB11</f>
        <v>0</v>
      </c>
      <c r="AJA19" s="97" t="n">
        <f aca="false">AJA18-AIZ19+AIY19</f>
        <v>0</v>
      </c>
      <c r="AJB19" s="95" t="n">
        <f aca="false">[1]НАДІЙШЛО2!LC11</f>
        <v>0</v>
      </c>
      <c r="AJC19" s="96" t="n">
        <f aca="false">[1]ВИБУЛО2!LC11</f>
        <v>0</v>
      </c>
      <c r="AJD19" s="97" t="n">
        <f aca="false">AJD18-AJC19+AJB19</f>
        <v>0</v>
      </c>
      <c r="AJE19" s="95" t="n">
        <f aca="false">[1]НАДІЙШЛО2!LD11</f>
        <v>0</v>
      </c>
      <c r="AJF19" s="96" t="n">
        <f aca="false">[1]ВИБУЛО2!LD11</f>
        <v>0</v>
      </c>
      <c r="AJG19" s="97" t="n">
        <f aca="false">AJG18-AJF19+AJE19</f>
        <v>0</v>
      </c>
      <c r="AJH19" s="95" t="n">
        <f aca="false">[1]НАДІЙШЛО2!LE11</f>
        <v>0</v>
      </c>
      <c r="AJI19" s="96" t="n">
        <f aca="false">[1]ВИБУЛО2!LE11</f>
        <v>0</v>
      </c>
      <c r="AJJ19" s="97" t="n">
        <f aca="false">AJJ18-AJI19+AJH19</f>
        <v>0</v>
      </c>
      <c r="AJK19" s="95" t="n">
        <f aca="false">[1]НАДІЙШЛО2!LF11</f>
        <v>0</v>
      </c>
      <c r="AJL19" s="96" t="n">
        <f aca="false">[1]ВИБУЛО2!LF11</f>
        <v>0</v>
      </c>
      <c r="AJM19" s="97" t="n">
        <f aca="false">AJM18-AJL19+AJK19</f>
        <v>0</v>
      </c>
      <c r="AJN19" s="95" t="n">
        <f aca="false">[1]НАДІЙШЛО2!LG11</f>
        <v>0</v>
      </c>
      <c r="AJO19" s="96" t="n">
        <f aca="false">[1]ВИБУЛО2!LG11</f>
        <v>0</v>
      </c>
      <c r="AJP19" s="97" t="n">
        <f aca="false">AJP18-AJO19+AJN19</f>
        <v>0</v>
      </c>
      <c r="AJQ19" s="95" t="n">
        <f aca="false">[1]НАДІЙШЛО2!LH11</f>
        <v>0</v>
      </c>
      <c r="AJR19" s="96" t="n">
        <f aca="false">[1]ВИБУЛО2!LH11</f>
        <v>0</v>
      </c>
      <c r="AJS19" s="97" t="n">
        <f aca="false">AJS18-AJR19+AJQ19</f>
        <v>0</v>
      </c>
      <c r="AJT19" s="95" t="n">
        <f aca="false">[1]НАДІЙШЛО2!LI11</f>
        <v>0</v>
      </c>
      <c r="AJU19" s="96" t="n">
        <f aca="false">[1]ВИБУЛО2!LI11</f>
        <v>0</v>
      </c>
      <c r="AJV19" s="97" t="n">
        <f aca="false">AJV18-AJU19+AJT19</f>
        <v>0</v>
      </c>
      <c r="AJW19" s="95" t="n">
        <f aca="false">[1]НАДІЙШЛО2!LJ11</f>
        <v>0</v>
      </c>
      <c r="AJX19" s="96" t="n">
        <f aca="false">[1]ВИБУЛО2!LJ11</f>
        <v>0</v>
      </c>
      <c r="AJY19" s="97" t="n">
        <f aca="false">AJY18-AJX19+AJW19</f>
        <v>0</v>
      </c>
      <c r="AJZ19" s="95" t="n">
        <f aca="false">[1]НАДІЙШЛО2!LK11</f>
        <v>0</v>
      </c>
      <c r="AKA19" s="96" t="n">
        <f aca="false">[1]ВИБУЛО2!LK11</f>
        <v>0</v>
      </c>
      <c r="AKB19" s="97" t="n">
        <f aca="false">AKB18-AKA19+AJZ19</f>
        <v>0</v>
      </c>
      <c r="AKC19" s="95" t="n">
        <f aca="false">[1]НАДІЙШЛО2!LL11</f>
        <v>0</v>
      </c>
      <c r="AKD19" s="96" t="n">
        <f aca="false">[1]ВИБУЛО2!LL11</f>
        <v>0</v>
      </c>
      <c r="AKE19" s="97" t="n">
        <f aca="false">AKE18-AKD19+AKC19</f>
        <v>0</v>
      </c>
      <c r="AKF19" s="95" t="n">
        <f aca="false">[1]НАДІЙШЛО2!LM11</f>
        <v>0</v>
      </c>
      <c r="AKG19" s="96" t="n">
        <f aca="false">[1]ВИБУЛО2!LM11</f>
        <v>0</v>
      </c>
      <c r="AKH19" s="97" t="n">
        <f aca="false">AKH18-AKG19+AKF19</f>
        <v>0</v>
      </c>
      <c r="AKI19" s="95" t="n">
        <f aca="false">[1]НАДІЙШЛО2!LN11</f>
        <v>0</v>
      </c>
      <c r="AKJ19" s="96" t="n">
        <f aca="false">[1]ВИБУЛО2!LN11</f>
        <v>0</v>
      </c>
      <c r="AKK19" s="97" t="n">
        <f aca="false">AKK18-AKJ19+AKI19</f>
        <v>0</v>
      </c>
      <c r="AKL19" s="95" t="n">
        <f aca="false">[1]НАДІЙШЛО2!LO11</f>
        <v>0</v>
      </c>
      <c r="AKM19" s="96" t="n">
        <f aca="false">[1]ВИБУЛО2!LO11</f>
        <v>0</v>
      </c>
      <c r="AKN19" s="97" t="n">
        <f aca="false">AKN18-AKM19+AKL19</f>
        <v>0</v>
      </c>
      <c r="AKO19" s="95" t="n">
        <f aca="false">[1]НАДІЙШЛО2!LP11</f>
        <v>0</v>
      </c>
      <c r="AKP19" s="96" t="n">
        <f aca="false">[1]ВИБУЛО2!LP11</f>
        <v>0</v>
      </c>
      <c r="AKQ19" s="97" t="n">
        <f aca="false">AKQ18-AKP19+AKO19</f>
        <v>0</v>
      </c>
      <c r="AKR19" s="95" t="n">
        <f aca="false">[1]НАДІЙШЛО2!LQ11</f>
        <v>0</v>
      </c>
      <c r="AKS19" s="96" t="n">
        <f aca="false">[1]ВИБУЛО2!LQ11</f>
        <v>0</v>
      </c>
      <c r="AKT19" s="97" t="n">
        <f aca="false">AKT18-AKS19+AKR19</f>
        <v>0</v>
      </c>
      <c r="AKU19" s="95" t="n">
        <f aca="false">[1]НАДІЙШЛО2!LR11</f>
        <v>0</v>
      </c>
      <c r="AKV19" s="96" t="n">
        <f aca="false">[1]ВИБУЛО2!LR11</f>
        <v>0</v>
      </c>
      <c r="AKW19" s="97" t="n">
        <f aca="false">AKW18-AKV19+AKU19</f>
        <v>0</v>
      </c>
      <c r="AKX19" s="95" t="n">
        <f aca="false">[1]НАДІЙШЛО2!LS11</f>
        <v>0</v>
      </c>
      <c r="AKY19" s="96" t="n">
        <f aca="false">[1]ВИБУЛО2!LS11</f>
        <v>0</v>
      </c>
      <c r="AKZ19" s="97" t="n">
        <f aca="false">AKZ18-AKY19+AKX19</f>
        <v>0</v>
      </c>
      <c r="ALA19" s="95" t="n">
        <f aca="false">[1]НАДІЙШЛО2!LT11</f>
        <v>0</v>
      </c>
      <c r="ALB19" s="96" t="n">
        <f aca="false">[1]ВИБУЛО2!LT11</f>
        <v>0</v>
      </c>
      <c r="ALC19" s="97" t="n">
        <f aca="false">ALC18-ALB19+ALA19</f>
        <v>0</v>
      </c>
      <c r="ALD19" s="95" t="n">
        <f aca="false">[1]НАДІЙШЛО2!LU11</f>
        <v>0</v>
      </c>
      <c r="ALE19" s="96" t="n">
        <f aca="false">[1]ВИБУЛО2!LU11</f>
        <v>0</v>
      </c>
      <c r="ALF19" s="97" t="n">
        <f aca="false">ALF18-ALE19+ALD19</f>
        <v>0</v>
      </c>
      <c r="ALG19" s="95" t="n">
        <f aca="false">[1]НАДІЙШЛО2!LV11</f>
        <v>0</v>
      </c>
      <c r="ALH19" s="96" t="n">
        <f aca="false">[1]ВИБУЛО2!LV11</f>
        <v>0</v>
      </c>
      <c r="ALI19" s="97" t="n">
        <f aca="false">ALI18-ALH19+ALG19</f>
        <v>0</v>
      </c>
      <c r="ALJ19" s="95" t="n">
        <f aca="false">[1]НАДІЙШЛО2!LW11</f>
        <v>0</v>
      </c>
      <c r="ALK19" s="96" t="n">
        <f aca="false">[1]ВИБУЛО2!LW11</f>
        <v>0</v>
      </c>
      <c r="ALL19" s="97" t="n">
        <f aca="false">ALL18-ALK19+ALJ19</f>
        <v>0</v>
      </c>
      <c r="ALM19" s="95" t="n">
        <f aca="false">[1]НАДІЙШЛО2!LX11</f>
        <v>0</v>
      </c>
      <c r="ALN19" s="96" t="n">
        <f aca="false">[1]ВИБУЛО2!LX11</f>
        <v>0</v>
      </c>
      <c r="ALO19" s="97" t="n">
        <f aca="false">ALO18-ALN19+ALM19</f>
        <v>0</v>
      </c>
      <c r="ALP19" s="95" t="n">
        <f aca="false">[1]НАДІЙШЛО2!LY11</f>
        <v>0</v>
      </c>
      <c r="ALQ19" s="96" t="n">
        <f aca="false">[1]ВИБУЛО2!LY11</f>
        <v>0</v>
      </c>
      <c r="ALR19" s="97" t="n">
        <f aca="false">ALR18-ALQ19+ALP19</f>
        <v>0</v>
      </c>
      <c r="ALS19" s="95" t="n">
        <f aca="false">[1]НАДІЙШЛО2!LZ11</f>
        <v>0</v>
      </c>
      <c r="ALT19" s="96" t="n">
        <f aca="false">[1]ВИБУЛО2!LZ11</f>
        <v>0</v>
      </c>
      <c r="ALU19" s="97" t="n">
        <f aca="false">ALU18-ALT19+ALS19</f>
        <v>0</v>
      </c>
      <c r="ALV19" s="95" t="n">
        <f aca="false">[1]НАДІЙШЛО2!MA11</f>
        <v>0</v>
      </c>
      <c r="ALW19" s="96" t="n">
        <f aca="false">[1]ВИБУЛО2!MA11</f>
        <v>0</v>
      </c>
      <c r="ALX19" s="97" t="n">
        <f aca="false">ALX18-ALW19+ALV19</f>
        <v>0</v>
      </c>
      <c r="ALY19" s="95" t="n">
        <f aca="false">[1]НАДІЙШЛО2!MB11</f>
        <v>0</v>
      </c>
      <c r="ALZ19" s="96" t="n">
        <f aca="false">[1]ВИБУЛО2!MB11</f>
        <v>0</v>
      </c>
      <c r="AMA19" s="97" t="n">
        <f aca="false">AMA18-ALZ19+ALY19</f>
        <v>0</v>
      </c>
      <c r="AMB19" s="95" t="n">
        <f aca="false">[1]НАДІЙШЛО2!MC11</f>
        <v>0</v>
      </c>
      <c r="AMC19" s="96" t="n">
        <f aca="false">[1]ВИБУЛО2!MC11</f>
        <v>0</v>
      </c>
      <c r="AMD19" s="97" t="n">
        <f aca="false">AMD18-AMC19+AMB19</f>
        <v>0</v>
      </c>
      <c r="AME19" s="95" t="n">
        <f aca="false">[1]НАДІЙШЛО2!MD11</f>
        <v>0</v>
      </c>
      <c r="AMF19" s="96" t="n">
        <f aca="false">[1]ВИБУЛО2!MD11</f>
        <v>0</v>
      </c>
      <c r="AMG19" s="97" t="n">
        <f aca="false">AMG18-AMF19+AME19</f>
        <v>0</v>
      </c>
      <c r="AMH19" s="95" t="n">
        <f aca="false">[1]НАДІЙШЛО2!ME11</f>
        <v>0</v>
      </c>
      <c r="AMI19" s="96" t="n">
        <f aca="false">[1]ВИБУЛО2!ME11</f>
        <v>0</v>
      </c>
      <c r="AMJ19" s="97" t="n">
        <f aca="false">AMJ18-AMI19+AMH19</f>
        <v>0</v>
      </c>
    </row>
    <row r="20" s="99" customFormat="true" ht="16.5" hidden="false" customHeight="false" outlineLevel="0" collapsed="false">
      <c r="A20" s="98"/>
      <c r="D20" s="103"/>
      <c r="E20" s="95" t="n">
        <f aca="false">[1]НАДІЙШЛО2!D12</f>
        <v>0</v>
      </c>
      <c r="F20" s="96" t="n">
        <f aca="false">[1]ВИБУЛО2!D12</f>
        <v>0</v>
      </c>
      <c r="G20" s="97" t="n">
        <f aca="false">G19-F20+E20</f>
        <v>0</v>
      </c>
      <c r="H20" s="95" t="n">
        <f aca="false">[1]НАДІЙШЛО2!E12</f>
        <v>0</v>
      </c>
      <c r="I20" s="96" t="n">
        <f aca="false">[1]ВИБУЛО2!E12</f>
        <v>0</v>
      </c>
      <c r="J20" s="97" t="n">
        <f aca="false">J19-I20+H20</f>
        <v>0</v>
      </c>
      <c r="K20" s="95" t="n">
        <f aca="false">[1]НАДІЙШЛО2!F12</f>
        <v>0</v>
      </c>
      <c r="L20" s="96" t="n">
        <f aca="false">[1]ВИБУЛО2!F12</f>
        <v>0</v>
      </c>
      <c r="M20" s="97" t="n">
        <f aca="false">M19-L20+K20</f>
        <v>2.06</v>
      </c>
      <c r="N20" s="95" t="n">
        <f aca="false">[1]НАДІЙШЛО2!G12</f>
        <v>0</v>
      </c>
      <c r="O20" s="96" t="n">
        <f aca="false">[1]ВИБУЛО2!G12</f>
        <v>0</v>
      </c>
      <c r="P20" s="97" t="n">
        <f aca="false">P19-O20+N20</f>
        <v>0</v>
      </c>
      <c r="Q20" s="95" t="n">
        <f aca="false">[1]НАДІЙШЛО2!H12</f>
        <v>0</v>
      </c>
      <c r="R20" s="96" t="n">
        <f aca="false">[1]ВИБУЛО2!H12</f>
        <v>0</v>
      </c>
      <c r="S20" s="97" t="n">
        <f aca="false">S19-R20+Q20</f>
        <v>0</v>
      </c>
      <c r="T20" s="95" t="n">
        <f aca="false">[1]НАДІЙШЛО2!I12</f>
        <v>0</v>
      </c>
      <c r="U20" s="96" t="n">
        <f aca="false">[1]ВИБУЛО2!I12</f>
        <v>0</v>
      </c>
      <c r="V20" s="97" t="n">
        <f aca="false">V19-U20+T20</f>
        <v>0</v>
      </c>
      <c r="W20" s="95" t="n">
        <f aca="false">[1]НАДІЙШЛО2!J12</f>
        <v>0</v>
      </c>
      <c r="X20" s="96" t="n">
        <f aca="false">[1]ВИБУЛО2!J12</f>
        <v>0</v>
      </c>
      <c r="Y20" s="97" t="n">
        <f aca="false">Y19-X20+W20</f>
        <v>0</v>
      </c>
      <c r="Z20" s="95" t="n">
        <f aca="false">[1]НАДІЙШЛО2!K12</f>
        <v>0</v>
      </c>
      <c r="AA20" s="96" t="n">
        <f aca="false">[1]ВИБУЛО2!K12</f>
        <v>0</v>
      </c>
      <c r="AB20" s="97" t="n">
        <f aca="false">AB19-AA20+Z20</f>
        <v>0</v>
      </c>
      <c r="AC20" s="95" t="n">
        <f aca="false">[1]НАДІЙШЛО2!L12</f>
        <v>0</v>
      </c>
      <c r="AD20" s="96" t="n">
        <f aca="false">[1]ВИБУЛО2!L12</f>
        <v>0</v>
      </c>
      <c r="AE20" s="97" t="n">
        <f aca="false">AE19-AD20+AC20</f>
        <v>0</v>
      </c>
      <c r="AF20" s="95" t="n">
        <f aca="false">[1]НАДІЙШЛО2!M12</f>
        <v>0</v>
      </c>
      <c r="AG20" s="96" t="n">
        <f aca="false">[1]ВИБУЛО2!M12</f>
        <v>0</v>
      </c>
      <c r="AH20" s="97" t="n">
        <f aca="false">AH19-AG20+AF20</f>
        <v>0</v>
      </c>
      <c r="AI20" s="95" t="n">
        <f aca="false">[1]НАДІЙШЛО2!N12</f>
        <v>0</v>
      </c>
      <c r="AJ20" s="96" t="n">
        <f aca="false">[1]ВИБУЛО2!N12</f>
        <v>0</v>
      </c>
      <c r="AK20" s="97" t="n">
        <f aca="false">AK19-AJ20+AI20</f>
        <v>0</v>
      </c>
      <c r="AL20" s="95" t="n">
        <f aca="false">[1]НАДІЙШЛО2!O12</f>
        <v>0</v>
      </c>
      <c r="AM20" s="96" t="n">
        <f aca="false">[1]ВИБУЛО2!O12</f>
        <v>0</v>
      </c>
      <c r="AN20" s="97" t="n">
        <f aca="false">AN19-AM20+AL20</f>
        <v>0</v>
      </c>
      <c r="AO20" s="95" t="n">
        <f aca="false">[1]НАДІЙШЛО2!P12</f>
        <v>0</v>
      </c>
      <c r="AP20" s="96" t="n">
        <f aca="false">[1]ВИБУЛО2!P12</f>
        <v>0</v>
      </c>
      <c r="AQ20" s="97" t="n">
        <f aca="false">AQ19-AP20+AO20</f>
        <v>0</v>
      </c>
      <c r="AR20" s="95" t="n">
        <f aca="false">[1]НАДІЙШЛО2!Q12</f>
        <v>0</v>
      </c>
      <c r="AS20" s="96" t="n">
        <f aca="false">[1]ВИБУЛО2!Q12</f>
        <v>0</v>
      </c>
      <c r="AT20" s="97" t="n">
        <f aca="false">AT19-AS20+AR20</f>
        <v>0</v>
      </c>
      <c r="AU20" s="95" t="n">
        <f aca="false">[1]НАДІЙШЛО2!R12</f>
        <v>0</v>
      </c>
      <c r="AV20" s="96" t="n">
        <f aca="false">[1]ВИБУЛО2!R12</f>
        <v>0</v>
      </c>
      <c r="AW20" s="97" t="n">
        <f aca="false">AW19-AV20+AU20</f>
        <v>0</v>
      </c>
      <c r="AX20" s="95" t="n">
        <f aca="false">[1]НАДІЙШЛО2!S12</f>
        <v>0</v>
      </c>
      <c r="AY20" s="96" t="n">
        <f aca="false">[1]ВИБУЛО2!S12</f>
        <v>0</v>
      </c>
      <c r="AZ20" s="97" t="n">
        <f aca="false">AZ19-AY20+AX20</f>
        <v>0</v>
      </c>
      <c r="BA20" s="95" t="n">
        <f aca="false">[1]НАДІЙШЛО2!T12</f>
        <v>0</v>
      </c>
      <c r="BB20" s="96" t="n">
        <f aca="false">[1]ВИБУЛО2!T12</f>
        <v>0</v>
      </c>
      <c r="BC20" s="97" t="n">
        <f aca="false">BC19-BB20+BA20</f>
        <v>0</v>
      </c>
      <c r="BD20" s="95" t="n">
        <f aca="false">[1]НАДІЙШЛО2!U12</f>
        <v>0</v>
      </c>
      <c r="BE20" s="96" t="n">
        <f aca="false">[1]ВИБУЛО2!U12</f>
        <v>0</v>
      </c>
      <c r="BF20" s="97" t="n">
        <f aca="false">BF19-BE20+BD20</f>
        <v>0</v>
      </c>
      <c r="BG20" s="95" t="n">
        <f aca="false">[1]НАДІЙШЛО2!V12</f>
        <v>0</v>
      </c>
      <c r="BH20" s="96" t="n">
        <f aca="false">[1]ВИБУЛО2!V12</f>
        <v>0</v>
      </c>
      <c r="BI20" s="97" t="n">
        <f aca="false">BI19-BH20+BG20</f>
        <v>0</v>
      </c>
      <c r="BJ20" s="95" t="n">
        <f aca="false">[1]НАДІЙШЛО2!W12</f>
        <v>0</v>
      </c>
      <c r="BK20" s="96" t="n">
        <f aca="false">[1]ВИБУЛО2!W12</f>
        <v>0</v>
      </c>
      <c r="BL20" s="97" t="n">
        <f aca="false">BL19-BK20+BJ20</f>
        <v>0</v>
      </c>
      <c r="BM20" s="95" t="n">
        <f aca="false">[1]НАДІЙШЛО2!X12</f>
        <v>0</v>
      </c>
      <c r="BN20" s="96" t="n">
        <f aca="false">[1]ВИБУЛО2!X12</f>
        <v>0</v>
      </c>
      <c r="BO20" s="97" t="n">
        <f aca="false">BO19-BN20+BM20</f>
        <v>0</v>
      </c>
      <c r="BP20" s="95" t="n">
        <f aca="false">[1]НАДІЙШЛО2!Y12</f>
        <v>0</v>
      </c>
      <c r="BQ20" s="96" t="n">
        <f aca="false">[1]ВИБУЛО2!Y12</f>
        <v>0</v>
      </c>
      <c r="BR20" s="97" t="n">
        <f aca="false">BR19-BQ20+BP20</f>
        <v>0</v>
      </c>
      <c r="BS20" s="95" t="n">
        <f aca="false">[1]НАДІЙШЛО2!Z12</f>
        <v>0</v>
      </c>
      <c r="BT20" s="96" t="n">
        <f aca="false">[1]ВИБУЛО2!Z12</f>
        <v>0</v>
      </c>
      <c r="BU20" s="97" t="n">
        <f aca="false">BU19-BT20+BS20</f>
        <v>0</v>
      </c>
      <c r="BV20" s="95" t="n">
        <f aca="false">[1]НАДІЙШЛО2!AA12</f>
        <v>0</v>
      </c>
      <c r="BW20" s="96" t="n">
        <f aca="false">[1]ВИБУЛО2!AA12</f>
        <v>0</v>
      </c>
      <c r="BX20" s="97" t="n">
        <f aca="false">BX19-BW20+BV20</f>
        <v>0</v>
      </c>
      <c r="BY20" s="95" t="n">
        <f aca="false">[1]НАДІЙШЛО2!AB12</f>
        <v>0</v>
      </c>
      <c r="BZ20" s="96" t="n">
        <f aca="false">[1]ВИБУЛО2!AB12</f>
        <v>0</v>
      </c>
      <c r="CA20" s="97" t="n">
        <f aca="false">CA19-BZ20+BY20</f>
        <v>0</v>
      </c>
      <c r="CB20" s="95" t="n">
        <f aca="false">[1]НАДІЙШЛО2!AC12</f>
        <v>0</v>
      </c>
      <c r="CC20" s="96" t="n">
        <f aca="false">[1]ВИБУЛО2!AC12</f>
        <v>0</v>
      </c>
      <c r="CD20" s="97" t="n">
        <f aca="false">CD19-CC20+CB20</f>
        <v>0</v>
      </c>
      <c r="CE20" s="95" t="n">
        <f aca="false">[1]НАДІЙШЛО2!AD12</f>
        <v>0</v>
      </c>
      <c r="CF20" s="96" t="n">
        <f aca="false">[1]ВИБУЛО2!AD12</f>
        <v>0</v>
      </c>
      <c r="CG20" s="97" t="n">
        <f aca="false">CG19-CF20+CE20</f>
        <v>0</v>
      </c>
      <c r="CH20" s="95" t="n">
        <f aca="false">[1]НАДІЙШЛО2!AE12</f>
        <v>0</v>
      </c>
      <c r="CI20" s="96" t="n">
        <f aca="false">[1]ВИБУЛО2!AE12</f>
        <v>0</v>
      </c>
      <c r="CJ20" s="97" t="n">
        <f aca="false">CJ19-CI20+CH20</f>
        <v>0</v>
      </c>
      <c r="CK20" s="95" t="n">
        <f aca="false">[1]НАДІЙШЛО2!AF12</f>
        <v>0</v>
      </c>
      <c r="CL20" s="96" t="n">
        <f aca="false">[1]ВИБУЛО2!AF12</f>
        <v>0</v>
      </c>
      <c r="CM20" s="97" t="n">
        <f aca="false">CM19-CL20+CK20</f>
        <v>0</v>
      </c>
      <c r="CN20" s="95" t="n">
        <f aca="false">[1]НАДІЙШЛО2!AG12</f>
        <v>0</v>
      </c>
      <c r="CO20" s="96" t="n">
        <f aca="false">[1]ВИБУЛО2!AG12</f>
        <v>0</v>
      </c>
      <c r="CP20" s="97" t="n">
        <f aca="false">CP19-CO20+CN20</f>
        <v>0</v>
      </c>
      <c r="CQ20" s="95" t="n">
        <f aca="false">[1]НАДІЙШЛО2!AH12</f>
        <v>0</v>
      </c>
      <c r="CR20" s="96" t="n">
        <f aca="false">[1]ВИБУЛО2!AH12</f>
        <v>0</v>
      </c>
      <c r="CS20" s="97" t="n">
        <f aca="false">CS19-CR20+CQ20</f>
        <v>0</v>
      </c>
      <c r="CT20" s="95" t="n">
        <f aca="false">[1]НАДІЙШЛО2!AI12</f>
        <v>0</v>
      </c>
      <c r="CU20" s="96" t="n">
        <f aca="false">[1]ВИБУЛО2!AI12</f>
        <v>0</v>
      </c>
      <c r="CV20" s="97" t="n">
        <f aca="false">CV19-CU20+CT20</f>
        <v>0</v>
      </c>
      <c r="CW20" s="95" t="n">
        <f aca="false">[1]НАДІЙШЛО2!AJ12</f>
        <v>0</v>
      </c>
      <c r="CX20" s="96" t="n">
        <f aca="false">[1]ВИБУЛО2!AJ12</f>
        <v>0</v>
      </c>
      <c r="CY20" s="97" t="n">
        <f aca="false">CY19-CX20+CW20</f>
        <v>0</v>
      </c>
      <c r="CZ20" s="95" t="n">
        <f aca="false">[1]НАДІЙШЛО2!AK12</f>
        <v>0</v>
      </c>
      <c r="DA20" s="96" t="n">
        <f aca="false">[1]ВИБУЛО2!AK12</f>
        <v>0</v>
      </c>
      <c r="DB20" s="97" t="n">
        <f aca="false">DB19-DA20+CZ20</f>
        <v>0</v>
      </c>
      <c r="DC20" s="95" t="n">
        <f aca="false">[1]НАДІЙШЛО2!AL12</f>
        <v>0</v>
      </c>
      <c r="DD20" s="96" t="n">
        <f aca="false">[1]ВИБУЛО2!AL12</f>
        <v>0</v>
      </c>
      <c r="DE20" s="97" t="n">
        <f aca="false">DE19-DD20+DC20</f>
        <v>0</v>
      </c>
      <c r="DF20" s="95" t="n">
        <f aca="false">[1]НАДІЙШЛО2!AM12</f>
        <v>0</v>
      </c>
      <c r="DG20" s="96" t="n">
        <f aca="false">[1]ВИБУЛО2!AM12</f>
        <v>0</v>
      </c>
      <c r="DH20" s="97" t="n">
        <f aca="false">DH19-DG20+DF20</f>
        <v>0</v>
      </c>
      <c r="DI20" s="95" t="n">
        <f aca="false">[1]НАДІЙШЛО2!AN12</f>
        <v>0</v>
      </c>
      <c r="DJ20" s="96" t="n">
        <f aca="false">[1]ВИБУЛО2!AN12</f>
        <v>0</v>
      </c>
      <c r="DK20" s="97" t="n">
        <f aca="false">DK19-DJ20+DI20</f>
        <v>0</v>
      </c>
      <c r="DL20" s="95" t="n">
        <f aca="false">[1]НАДІЙШЛО2!AO12</f>
        <v>0</v>
      </c>
      <c r="DM20" s="96" t="n">
        <f aca="false">[1]ВИБУЛО2!AO12</f>
        <v>0</v>
      </c>
      <c r="DN20" s="97" t="n">
        <f aca="false">DN19-DM20+DL20</f>
        <v>0</v>
      </c>
      <c r="DO20" s="95" t="n">
        <f aca="false">[1]НАДІЙШЛО2!AP12</f>
        <v>0</v>
      </c>
      <c r="DP20" s="96" t="n">
        <f aca="false">[1]ВИБУЛО2!AP12</f>
        <v>0</v>
      </c>
      <c r="DQ20" s="97" t="n">
        <f aca="false">DQ19-DP20+DO20</f>
        <v>0</v>
      </c>
      <c r="DR20" s="95" t="n">
        <f aca="false">[1]НАДІЙШЛО2!AQ12</f>
        <v>0</v>
      </c>
      <c r="DS20" s="96" t="n">
        <f aca="false">[1]ВИБУЛО2!AQ12</f>
        <v>0</v>
      </c>
      <c r="DT20" s="97" t="n">
        <f aca="false">DT19-DS20+DR20</f>
        <v>0</v>
      </c>
      <c r="DU20" s="95" t="n">
        <f aca="false">[1]НАДІЙШЛО2!AR12</f>
        <v>0</v>
      </c>
      <c r="DV20" s="96" t="n">
        <f aca="false">[1]ВИБУЛО2!AR12</f>
        <v>0</v>
      </c>
      <c r="DW20" s="97" t="n">
        <f aca="false">DW19-DV20+DU20</f>
        <v>0</v>
      </c>
      <c r="DX20" s="95" t="n">
        <f aca="false">[1]НАДІЙШЛО2!AS12</f>
        <v>0</v>
      </c>
      <c r="DY20" s="96" t="n">
        <f aca="false">[1]ВИБУЛО2!AS12</f>
        <v>0</v>
      </c>
      <c r="DZ20" s="97" t="n">
        <f aca="false">DZ19-DY20+DX20</f>
        <v>0</v>
      </c>
      <c r="EA20" s="95" t="n">
        <f aca="false">[1]НАДІЙШЛО2!AT12</f>
        <v>0</v>
      </c>
      <c r="EB20" s="96" t="n">
        <f aca="false">[1]ВИБУЛО2!AT12</f>
        <v>0</v>
      </c>
      <c r="EC20" s="97" t="n">
        <f aca="false">EC19-EB20+EA20</f>
        <v>0</v>
      </c>
      <c r="ED20" s="95" t="n">
        <f aca="false">[1]НАДІЙШЛО2!AU12</f>
        <v>0</v>
      </c>
      <c r="EE20" s="96" t="n">
        <f aca="false">[1]ВИБУЛО2!AU12</f>
        <v>0</v>
      </c>
      <c r="EF20" s="97" t="n">
        <f aca="false">EF19-EE20+ED20</f>
        <v>0</v>
      </c>
      <c r="EG20" s="95" t="n">
        <f aca="false">[1]НАДІЙШЛО2!AV12</f>
        <v>0</v>
      </c>
      <c r="EH20" s="96" t="n">
        <f aca="false">[1]ВИБУЛО2!AV12</f>
        <v>0</v>
      </c>
      <c r="EI20" s="97" t="n">
        <f aca="false">EI19-EH20+EG20</f>
        <v>0</v>
      </c>
      <c r="EJ20" s="95" t="n">
        <f aca="false">[1]НАДІЙШЛО2!AW12</f>
        <v>0</v>
      </c>
      <c r="EK20" s="96" t="n">
        <f aca="false">[1]ВИБУЛО2!AW12</f>
        <v>0</v>
      </c>
      <c r="EL20" s="97" t="n">
        <f aca="false">EL19-EK20+EJ20</f>
        <v>0</v>
      </c>
      <c r="EM20" s="95" t="n">
        <f aca="false">[1]НАДІЙШЛО2!AX12</f>
        <v>0</v>
      </c>
      <c r="EN20" s="96" t="n">
        <f aca="false">[1]ВИБУЛО2!AX12</f>
        <v>0</v>
      </c>
      <c r="EO20" s="97" t="n">
        <f aca="false">EO19-EN20+EM20</f>
        <v>0</v>
      </c>
      <c r="EP20" s="95" t="n">
        <f aca="false">[1]НАДІЙШЛО2!AY12</f>
        <v>0</v>
      </c>
      <c r="EQ20" s="96" t="n">
        <f aca="false">[1]ВИБУЛО2!AY12</f>
        <v>0</v>
      </c>
      <c r="ER20" s="97" t="n">
        <f aca="false">ER19-EQ20+EP20</f>
        <v>0</v>
      </c>
      <c r="ES20" s="95" t="n">
        <f aca="false">[1]НАДІЙШЛО2!AZ12</f>
        <v>0</v>
      </c>
      <c r="ET20" s="96" t="n">
        <f aca="false">[1]ВИБУЛО2!AZ12</f>
        <v>0</v>
      </c>
      <c r="EU20" s="97" t="n">
        <f aca="false">EU19-ET20+ES20</f>
        <v>0</v>
      </c>
      <c r="EV20" s="95" t="n">
        <f aca="false">[1]НАДІЙШЛО2!BA12</f>
        <v>0</v>
      </c>
      <c r="EW20" s="96" t="n">
        <f aca="false">[1]ВИБУЛО2!BA12</f>
        <v>0</v>
      </c>
      <c r="EX20" s="97" t="n">
        <f aca="false">EX19-EW20+EV20</f>
        <v>0</v>
      </c>
      <c r="EY20" s="95" t="n">
        <f aca="false">[1]НАДІЙШЛО2!BB12</f>
        <v>0</v>
      </c>
      <c r="EZ20" s="96" t="n">
        <f aca="false">[1]ВИБУЛО2!BB12</f>
        <v>0</v>
      </c>
      <c r="FA20" s="97" t="n">
        <f aca="false">FA19-EZ20+EY20</f>
        <v>0</v>
      </c>
      <c r="FB20" s="95" t="n">
        <f aca="false">[1]НАДІЙШЛО2!BC12</f>
        <v>0</v>
      </c>
      <c r="FC20" s="96" t="n">
        <f aca="false">[1]ВИБУЛО2!BC12</f>
        <v>0</v>
      </c>
      <c r="FD20" s="97" t="n">
        <f aca="false">FD19-FC20+FB20</f>
        <v>0</v>
      </c>
      <c r="FE20" s="95" t="n">
        <f aca="false">[1]НАДІЙШЛО2!BD12</f>
        <v>0</v>
      </c>
      <c r="FF20" s="96" t="n">
        <f aca="false">[1]ВИБУЛО2!BD12</f>
        <v>0</v>
      </c>
      <c r="FG20" s="97" t="n">
        <f aca="false">FG19-FF20+FE20</f>
        <v>0</v>
      </c>
      <c r="FH20" s="95" t="n">
        <f aca="false">[1]НАДІЙШЛО2!BE12</f>
        <v>0</v>
      </c>
      <c r="FI20" s="96" t="n">
        <f aca="false">[1]ВИБУЛО2!BE12</f>
        <v>0</v>
      </c>
      <c r="FJ20" s="97" t="n">
        <f aca="false">FJ19-FI20+FH20</f>
        <v>0</v>
      </c>
      <c r="FK20" s="95" t="n">
        <f aca="false">[1]НАДІЙШЛО2!BF12</f>
        <v>0</v>
      </c>
      <c r="FL20" s="96" t="n">
        <f aca="false">[1]ВИБУЛО2!BF12</f>
        <v>0</v>
      </c>
      <c r="FM20" s="97" t="n">
        <f aca="false">FM19-FL20+FK20</f>
        <v>0</v>
      </c>
      <c r="FN20" s="95" t="n">
        <f aca="false">[1]НАДІЙШЛО2!BG12</f>
        <v>0</v>
      </c>
      <c r="FO20" s="96" t="n">
        <f aca="false">[1]ВИБУЛО2!BG12</f>
        <v>0</v>
      </c>
      <c r="FP20" s="97" t="n">
        <f aca="false">FP19-FO20+FN20</f>
        <v>0</v>
      </c>
      <c r="FQ20" s="95" t="n">
        <f aca="false">[1]НАДІЙШЛО2!BH12</f>
        <v>0</v>
      </c>
      <c r="FR20" s="96" t="n">
        <f aca="false">[1]ВИБУЛО2!BH12</f>
        <v>0</v>
      </c>
      <c r="FS20" s="97" t="n">
        <f aca="false">FS19-FR20+FQ20</f>
        <v>0</v>
      </c>
      <c r="FT20" s="95" t="n">
        <f aca="false">[1]НАДІЙШЛО2!BI12</f>
        <v>0</v>
      </c>
      <c r="FU20" s="96" t="n">
        <f aca="false">[1]ВИБУЛО2!BI12</f>
        <v>0</v>
      </c>
      <c r="FV20" s="97" t="n">
        <f aca="false">FV19-FU20+FT20</f>
        <v>0</v>
      </c>
      <c r="FW20" s="95" t="n">
        <f aca="false">[1]НАДІЙШЛО2!BJ12</f>
        <v>0</v>
      </c>
      <c r="FX20" s="96" t="n">
        <f aca="false">[1]ВИБУЛО2!BJ12</f>
        <v>0</v>
      </c>
      <c r="FY20" s="97" t="n">
        <f aca="false">FY19-FX20+FW20</f>
        <v>0</v>
      </c>
      <c r="FZ20" s="95" t="n">
        <f aca="false">[1]НАДІЙШЛО2!BK12</f>
        <v>0</v>
      </c>
      <c r="GA20" s="96" t="n">
        <f aca="false">[1]ВИБУЛО2!BK12</f>
        <v>0</v>
      </c>
      <c r="GB20" s="97" t="n">
        <f aca="false">GB19-GA20+FZ20</f>
        <v>0</v>
      </c>
      <c r="GC20" s="95" t="n">
        <f aca="false">[1]НАДІЙШЛО2!BL12</f>
        <v>0</v>
      </c>
      <c r="GD20" s="96" t="n">
        <f aca="false">[1]ВИБУЛО2!BL12</f>
        <v>0</v>
      </c>
      <c r="GE20" s="97" t="n">
        <f aca="false">GE19-GD20+GC20</f>
        <v>0</v>
      </c>
      <c r="GF20" s="95" t="n">
        <f aca="false">[1]НАДІЙШЛО2!BM12</f>
        <v>0</v>
      </c>
      <c r="GG20" s="96" t="n">
        <f aca="false">[1]ВИБУЛО2!BM12</f>
        <v>0</v>
      </c>
      <c r="GH20" s="97" t="n">
        <f aca="false">GH19-GG20+GF20</f>
        <v>0</v>
      </c>
      <c r="GI20" s="95" t="n">
        <f aca="false">[1]НАДІЙШЛО2!BN12</f>
        <v>0</v>
      </c>
      <c r="GJ20" s="96" t="n">
        <f aca="false">[1]ВИБУЛО2!BN12</f>
        <v>0</v>
      </c>
      <c r="GK20" s="97" t="n">
        <f aca="false">GK19-GJ20+GI20</f>
        <v>0</v>
      </c>
      <c r="GL20" s="95" t="n">
        <f aca="false">[1]НАДІЙШЛО2!BO12</f>
        <v>0</v>
      </c>
      <c r="GM20" s="96" t="n">
        <f aca="false">[1]ВИБУЛО2!BO12</f>
        <v>0</v>
      </c>
      <c r="GN20" s="97" t="n">
        <f aca="false">GN19-GM20+GL20</f>
        <v>0</v>
      </c>
      <c r="GO20" s="95" t="n">
        <f aca="false">[1]НАДІЙШЛО2!BP12</f>
        <v>0</v>
      </c>
      <c r="GP20" s="96" t="n">
        <f aca="false">[1]ВИБУЛО2!BP12</f>
        <v>0</v>
      </c>
      <c r="GQ20" s="97" t="n">
        <f aca="false">GQ19-GP20+GO20</f>
        <v>0</v>
      </c>
      <c r="GR20" s="95" t="n">
        <f aca="false">[1]НАДІЙШЛО2!BQ12</f>
        <v>0</v>
      </c>
      <c r="GS20" s="96" t="n">
        <f aca="false">[1]ВИБУЛО2!BQ12</f>
        <v>0</v>
      </c>
      <c r="GT20" s="97" t="n">
        <f aca="false">GT19-GS20+GR20</f>
        <v>0</v>
      </c>
      <c r="GU20" s="95" t="n">
        <f aca="false">[1]НАДІЙШЛО2!BR12</f>
        <v>0</v>
      </c>
      <c r="GV20" s="96" t="n">
        <f aca="false">[1]ВИБУЛО2!BR12</f>
        <v>0</v>
      </c>
      <c r="GW20" s="97" t="n">
        <f aca="false">GW19-GV20+GU20</f>
        <v>0</v>
      </c>
      <c r="GX20" s="95" t="n">
        <f aca="false">[1]НАДІЙШЛО2!BS12</f>
        <v>0</v>
      </c>
      <c r="GY20" s="96" t="n">
        <f aca="false">[1]ВИБУЛО2!BS12</f>
        <v>0</v>
      </c>
      <c r="GZ20" s="97" t="n">
        <f aca="false">GZ19-GY20+GX20</f>
        <v>0</v>
      </c>
      <c r="HA20" s="95" t="n">
        <f aca="false">[1]НАДІЙШЛО2!BT12</f>
        <v>0</v>
      </c>
      <c r="HB20" s="96" t="n">
        <f aca="false">[1]ВИБУЛО2!BT12</f>
        <v>0</v>
      </c>
      <c r="HC20" s="97" t="n">
        <f aca="false">HC19-HB20+HA20</f>
        <v>0</v>
      </c>
      <c r="HD20" s="95" t="n">
        <f aca="false">[1]НАДІЙШЛО2!BU12</f>
        <v>0</v>
      </c>
      <c r="HE20" s="96" t="n">
        <f aca="false">[1]ВИБУЛО2!BU12</f>
        <v>0</v>
      </c>
      <c r="HF20" s="97" t="n">
        <f aca="false">HF19-HE20+HD20</f>
        <v>0</v>
      </c>
      <c r="HG20" s="95" t="n">
        <f aca="false">[1]НАДІЙШЛО2!BV12</f>
        <v>0</v>
      </c>
      <c r="HH20" s="96" t="n">
        <f aca="false">[1]ВИБУЛО2!BV12</f>
        <v>0</v>
      </c>
      <c r="HI20" s="97" t="n">
        <f aca="false">HI19-HH20+HG20</f>
        <v>0</v>
      </c>
      <c r="HJ20" s="95" t="n">
        <f aca="false">[1]НАДІЙШЛО2!BW12</f>
        <v>0</v>
      </c>
      <c r="HK20" s="96" t="n">
        <f aca="false">[1]ВИБУЛО2!BW12</f>
        <v>0</v>
      </c>
      <c r="HL20" s="97" t="n">
        <f aca="false">HL19-HK20+HJ20</f>
        <v>0</v>
      </c>
      <c r="HM20" s="95" t="n">
        <f aca="false">[1]НАДІЙШЛО2!BX12</f>
        <v>0</v>
      </c>
      <c r="HN20" s="96" t="n">
        <f aca="false">[1]ВИБУЛО2!BX12</f>
        <v>0</v>
      </c>
      <c r="HO20" s="97" t="n">
        <f aca="false">HO19-HN20+HM20</f>
        <v>0</v>
      </c>
      <c r="HP20" s="95" t="n">
        <f aca="false">[1]НАДІЙШЛО2!BY12</f>
        <v>0</v>
      </c>
      <c r="HQ20" s="96" t="n">
        <f aca="false">[1]ВИБУЛО2!BY12</f>
        <v>0</v>
      </c>
      <c r="HR20" s="97" t="n">
        <f aca="false">HR19-HQ20+HP20</f>
        <v>0</v>
      </c>
      <c r="HS20" s="95" t="n">
        <f aca="false">[1]НАДІЙШЛО2!BZ12</f>
        <v>0</v>
      </c>
      <c r="HT20" s="96" t="n">
        <f aca="false">[1]ВИБУЛО2!BZ12</f>
        <v>0</v>
      </c>
      <c r="HU20" s="97" t="n">
        <f aca="false">HU19-HT20+HS20</f>
        <v>0</v>
      </c>
      <c r="HV20" s="95" t="n">
        <f aca="false">[1]НАДІЙШЛО2!CA12</f>
        <v>0</v>
      </c>
      <c r="HW20" s="96" t="n">
        <f aca="false">[1]ВИБУЛО2!CA12</f>
        <v>0</v>
      </c>
      <c r="HX20" s="97" t="n">
        <f aca="false">HX19-HW20+HV20</f>
        <v>0</v>
      </c>
      <c r="HY20" s="95" t="n">
        <f aca="false">[1]НАДІЙШЛО2!CB12</f>
        <v>0</v>
      </c>
      <c r="HZ20" s="96" t="n">
        <f aca="false">[1]ВИБУЛО2!CB12</f>
        <v>0</v>
      </c>
      <c r="IA20" s="97" t="n">
        <f aca="false">IA19-HZ20+HY20</f>
        <v>0</v>
      </c>
      <c r="IB20" s="95" t="n">
        <f aca="false">[1]НАДІЙШЛО2!CC12</f>
        <v>0</v>
      </c>
      <c r="IC20" s="96" t="n">
        <f aca="false">[1]ВИБУЛО2!CC12</f>
        <v>0</v>
      </c>
      <c r="ID20" s="97" t="n">
        <f aca="false">ID19-IC20+IB20</f>
        <v>0</v>
      </c>
      <c r="IE20" s="95" t="n">
        <f aca="false">[1]НАДІЙШЛО2!CD12</f>
        <v>0</v>
      </c>
      <c r="IF20" s="96" t="n">
        <f aca="false">[1]ВИБУЛО2!CD12</f>
        <v>0</v>
      </c>
      <c r="IG20" s="97" t="n">
        <f aca="false">IG19-IF20+IE20</f>
        <v>0</v>
      </c>
      <c r="IH20" s="95" t="n">
        <f aca="false">[1]НАДІЙШЛО2!CE12</f>
        <v>0</v>
      </c>
      <c r="II20" s="96" t="n">
        <f aca="false">[1]ВИБУЛО2!CE12</f>
        <v>0</v>
      </c>
      <c r="IJ20" s="97" t="n">
        <f aca="false">IJ19-II20+IH20</f>
        <v>0</v>
      </c>
      <c r="IK20" s="95" t="n">
        <f aca="false">[1]НАДІЙШЛО2!CF12</f>
        <v>0</v>
      </c>
      <c r="IL20" s="96" t="n">
        <f aca="false">[1]ВИБУЛО2!CF12</f>
        <v>0</v>
      </c>
      <c r="IM20" s="97" t="n">
        <f aca="false">IM19-IL20+IK20</f>
        <v>0</v>
      </c>
      <c r="IN20" s="95" t="n">
        <f aca="false">[1]НАДІЙШЛО2!CG12</f>
        <v>0</v>
      </c>
      <c r="IO20" s="96" t="n">
        <f aca="false">[1]ВИБУЛО2!CG12</f>
        <v>0</v>
      </c>
      <c r="IP20" s="97" t="n">
        <f aca="false">IP19-IO20+IN20</f>
        <v>0</v>
      </c>
      <c r="IQ20" s="95" t="n">
        <f aca="false">[1]НАДІЙШЛО2!CH12</f>
        <v>0</v>
      </c>
      <c r="IR20" s="96" t="n">
        <f aca="false">[1]ВИБУЛО2!CH12</f>
        <v>0</v>
      </c>
      <c r="IS20" s="97" t="n">
        <f aca="false">IS19-IR20+IQ20</f>
        <v>0</v>
      </c>
      <c r="IT20" s="95" t="n">
        <f aca="false">[1]НАДІЙШЛО2!CI12</f>
        <v>0</v>
      </c>
      <c r="IU20" s="96" t="n">
        <f aca="false">[1]ВИБУЛО2!CI12</f>
        <v>0</v>
      </c>
      <c r="IV20" s="97" t="n">
        <f aca="false">IV19-IU20+IT20</f>
        <v>0</v>
      </c>
      <c r="IW20" s="95" t="n">
        <f aca="false">[1]НАДІЙШЛО2!CJ12</f>
        <v>0</v>
      </c>
      <c r="IX20" s="96" t="n">
        <f aca="false">[1]ВИБУЛО2!CJ12</f>
        <v>0</v>
      </c>
      <c r="IY20" s="97" t="n">
        <f aca="false">IY19-IX20+IW20</f>
        <v>0</v>
      </c>
      <c r="IZ20" s="95" t="n">
        <f aca="false">[1]НАДІЙШЛО2!CK12</f>
        <v>0</v>
      </c>
      <c r="JA20" s="96" t="n">
        <f aca="false">[1]ВИБУЛО2!CK12</f>
        <v>0</v>
      </c>
      <c r="JB20" s="97" t="n">
        <f aca="false">JB19-JA20+IZ20</f>
        <v>0</v>
      </c>
      <c r="JC20" s="95" t="n">
        <f aca="false">[1]НАДІЙШЛО2!CL12</f>
        <v>0</v>
      </c>
      <c r="JD20" s="96" t="n">
        <f aca="false">[1]ВИБУЛО2!CL12</f>
        <v>0</v>
      </c>
      <c r="JE20" s="97" t="n">
        <f aca="false">JE19-JD20+JC20</f>
        <v>0</v>
      </c>
      <c r="JF20" s="95" t="n">
        <f aca="false">[1]НАДІЙШЛО2!CM12</f>
        <v>0</v>
      </c>
      <c r="JG20" s="96" t="n">
        <f aca="false">[1]ВИБУЛО2!CM12</f>
        <v>0</v>
      </c>
      <c r="JH20" s="97" t="n">
        <f aca="false">JH19-JG20+JF20</f>
        <v>0</v>
      </c>
      <c r="JI20" s="95" t="n">
        <f aca="false">[1]НАДІЙШЛО2!CN12</f>
        <v>0</v>
      </c>
      <c r="JJ20" s="96" t="n">
        <f aca="false">[1]ВИБУЛО2!CN12</f>
        <v>0</v>
      </c>
      <c r="JK20" s="97" t="n">
        <f aca="false">JK19-JJ20+JI20</f>
        <v>0</v>
      </c>
      <c r="JL20" s="95" t="n">
        <f aca="false">[1]НАДІЙШЛО2!CO12</f>
        <v>0</v>
      </c>
      <c r="JM20" s="96" t="n">
        <f aca="false">[1]ВИБУЛО2!CO12</f>
        <v>0</v>
      </c>
      <c r="JN20" s="97" t="n">
        <f aca="false">JN19-JM20+JL20</f>
        <v>0</v>
      </c>
      <c r="JO20" s="95" t="n">
        <f aca="false">[1]НАДІЙШЛО2!CP12</f>
        <v>0</v>
      </c>
      <c r="JP20" s="96" t="n">
        <f aca="false">[1]ВИБУЛО2!CP12</f>
        <v>0</v>
      </c>
      <c r="JQ20" s="97" t="n">
        <f aca="false">JQ19-JP20+JO20</f>
        <v>0</v>
      </c>
      <c r="JR20" s="95" t="n">
        <f aca="false">[1]НАДІЙШЛО2!CQ12</f>
        <v>0</v>
      </c>
      <c r="JS20" s="96" t="n">
        <f aca="false">[1]ВИБУЛО2!CQ12</f>
        <v>0</v>
      </c>
      <c r="JT20" s="97" t="n">
        <f aca="false">JT19-JS20+JR20</f>
        <v>0</v>
      </c>
      <c r="JU20" s="95" t="n">
        <f aca="false">[1]НАДІЙШЛО2!CR12</f>
        <v>0</v>
      </c>
      <c r="JV20" s="96" t="n">
        <f aca="false">[1]ВИБУЛО2!CR12</f>
        <v>0</v>
      </c>
      <c r="JW20" s="97" t="n">
        <f aca="false">JW19-JV20+JU20</f>
        <v>0</v>
      </c>
      <c r="JX20" s="95" t="n">
        <f aca="false">[1]НАДІЙШЛО2!CS12</f>
        <v>0</v>
      </c>
      <c r="JY20" s="96" t="n">
        <f aca="false">[1]ВИБУЛО2!CS12</f>
        <v>0</v>
      </c>
      <c r="JZ20" s="97" t="n">
        <f aca="false">JZ19-JY20+JX20</f>
        <v>0</v>
      </c>
      <c r="KA20" s="95" t="n">
        <f aca="false">[1]НАДІЙШЛО2!CT12</f>
        <v>0</v>
      </c>
      <c r="KB20" s="96" t="n">
        <f aca="false">[1]ВИБУЛО2!CT12</f>
        <v>0</v>
      </c>
      <c r="KC20" s="97" t="n">
        <f aca="false">KC19-KB20+KA20</f>
        <v>0</v>
      </c>
      <c r="KD20" s="95" t="n">
        <f aca="false">[1]НАДІЙШЛО2!CU12</f>
        <v>0</v>
      </c>
      <c r="KE20" s="96" t="n">
        <f aca="false">[1]ВИБУЛО2!CU12</f>
        <v>0</v>
      </c>
      <c r="KF20" s="97" t="n">
        <f aca="false">KF19-KE20+KD20</f>
        <v>0</v>
      </c>
      <c r="KG20" s="95" t="n">
        <f aca="false">[1]НАДІЙШЛО2!CV12</f>
        <v>0</v>
      </c>
      <c r="KH20" s="96" t="n">
        <f aca="false">[1]ВИБУЛО2!CV12</f>
        <v>0</v>
      </c>
      <c r="KI20" s="97" t="n">
        <f aca="false">KI19-KH20+KG20</f>
        <v>0</v>
      </c>
      <c r="KJ20" s="95" t="n">
        <f aca="false">[1]НАДІЙШЛО2!CW12</f>
        <v>0</v>
      </c>
      <c r="KK20" s="96" t="n">
        <f aca="false">[1]ВИБУЛО2!CW12</f>
        <v>0</v>
      </c>
      <c r="KL20" s="97" t="n">
        <f aca="false">KL19-KK20+KJ20</f>
        <v>0</v>
      </c>
      <c r="KM20" s="95" t="n">
        <f aca="false">[1]НАДІЙШЛО2!CX12</f>
        <v>0</v>
      </c>
      <c r="KN20" s="96" t="n">
        <f aca="false">[1]ВИБУЛО2!CX12</f>
        <v>0</v>
      </c>
      <c r="KO20" s="97" t="n">
        <f aca="false">KO19-KN20+KM20</f>
        <v>0</v>
      </c>
      <c r="KP20" s="95" t="n">
        <f aca="false">[1]НАДІЙШЛО2!CY12</f>
        <v>0</v>
      </c>
      <c r="KQ20" s="96" t="n">
        <f aca="false">[1]ВИБУЛО2!CY12</f>
        <v>0</v>
      </c>
      <c r="KR20" s="97" t="n">
        <f aca="false">KR19-KQ20+KP20</f>
        <v>0</v>
      </c>
      <c r="KS20" s="95" t="n">
        <f aca="false">[1]НАДІЙШЛО2!CZ12</f>
        <v>0</v>
      </c>
      <c r="KT20" s="96" t="n">
        <f aca="false">[1]ВИБУЛО2!CZ12</f>
        <v>0</v>
      </c>
      <c r="KU20" s="97" t="n">
        <f aca="false">KU19-KT20+KS20</f>
        <v>0</v>
      </c>
      <c r="KV20" s="95" t="n">
        <f aca="false">[1]НАДІЙШЛО2!DA12</f>
        <v>0</v>
      </c>
      <c r="KW20" s="96" t="n">
        <f aca="false">[1]ВИБУЛО2!DA12</f>
        <v>0</v>
      </c>
      <c r="KX20" s="97" t="n">
        <f aca="false">KX19-KW20+KV20</f>
        <v>0</v>
      </c>
      <c r="KY20" s="95" t="n">
        <f aca="false">[1]НАДІЙШЛО2!DB12</f>
        <v>0</v>
      </c>
      <c r="KZ20" s="96" t="n">
        <f aca="false">[1]ВИБУЛО2!DB12</f>
        <v>0</v>
      </c>
      <c r="LA20" s="97" t="n">
        <f aca="false">LA19-KZ20+KY20</f>
        <v>0</v>
      </c>
      <c r="LB20" s="95" t="n">
        <f aca="false">[1]НАДІЙШЛО2!DC12</f>
        <v>0</v>
      </c>
      <c r="LC20" s="96" t="n">
        <f aca="false">[1]ВИБУЛО2!DC12</f>
        <v>0</v>
      </c>
      <c r="LD20" s="97" t="n">
        <f aca="false">LD19-LC20+LB20</f>
        <v>0</v>
      </c>
      <c r="LE20" s="95" t="n">
        <f aca="false">[1]НАДІЙШЛО2!DD12</f>
        <v>0</v>
      </c>
      <c r="LF20" s="96" t="n">
        <f aca="false">[1]ВИБУЛО2!DD12</f>
        <v>0</v>
      </c>
      <c r="LG20" s="97" t="n">
        <f aca="false">LG19-LF20+LE20</f>
        <v>0</v>
      </c>
      <c r="LH20" s="95" t="n">
        <f aca="false">[1]НАДІЙШЛО2!DE12</f>
        <v>0</v>
      </c>
      <c r="LI20" s="96" t="n">
        <f aca="false">[1]ВИБУЛО2!DE12</f>
        <v>0</v>
      </c>
      <c r="LJ20" s="97" t="n">
        <f aca="false">LJ19-LI20+LH20</f>
        <v>0</v>
      </c>
      <c r="LK20" s="95" t="n">
        <f aca="false">[1]НАДІЙШЛО2!DF12</f>
        <v>0</v>
      </c>
      <c r="LL20" s="96" t="n">
        <f aca="false">[1]ВИБУЛО2!DF12</f>
        <v>0</v>
      </c>
      <c r="LM20" s="97" t="n">
        <f aca="false">LM19-LL20+LK20</f>
        <v>0</v>
      </c>
      <c r="LN20" s="95" t="n">
        <f aca="false">[1]НАДІЙШЛО2!DG12</f>
        <v>0</v>
      </c>
      <c r="LO20" s="96" t="n">
        <f aca="false">[1]ВИБУЛО2!DG12</f>
        <v>0</v>
      </c>
      <c r="LP20" s="97" t="n">
        <f aca="false">LP19-LO20+LN20</f>
        <v>0</v>
      </c>
      <c r="LQ20" s="95" t="n">
        <f aca="false">[1]НАДІЙШЛО2!DH12</f>
        <v>0</v>
      </c>
      <c r="LR20" s="96" t="n">
        <f aca="false">[1]ВИБУЛО2!DH12</f>
        <v>0</v>
      </c>
      <c r="LS20" s="97" t="n">
        <f aca="false">LS19-LR20+LQ20</f>
        <v>0</v>
      </c>
      <c r="LT20" s="95" t="n">
        <f aca="false">[1]НАДІЙШЛО2!DI12</f>
        <v>0</v>
      </c>
      <c r="LU20" s="96" t="n">
        <f aca="false">[1]ВИБУЛО2!DI12</f>
        <v>0</v>
      </c>
      <c r="LV20" s="97" t="n">
        <f aca="false">LV19-LU20+LT20</f>
        <v>0</v>
      </c>
      <c r="LW20" s="95" t="n">
        <f aca="false">[1]НАДІЙШЛО2!DJ12</f>
        <v>0</v>
      </c>
      <c r="LX20" s="96" t="n">
        <f aca="false">[1]ВИБУЛО2!DJ12</f>
        <v>0</v>
      </c>
      <c r="LY20" s="97" t="n">
        <f aca="false">LY19-LX20+LW20</f>
        <v>0</v>
      </c>
      <c r="LZ20" s="95" t="n">
        <f aca="false">[1]НАДІЙШЛО2!DK12</f>
        <v>0</v>
      </c>
      <c r="MA20" s="96" t="n">
        <f aca="false">[1]ВИБУЛО2!DK12</f>
        <v>0</v>
      </c>
      <c r="MB20" s="97" t="n">
        <f aca="false">MB19-MA20+LZ20</f>
        <v>0</v>
      </c>
      <c r="MC20" s="95" t="n">
        <f aca="false">[1]НАДІЙШЛО2!DL12</f>
        <v>0</v>
      </c>
      <c r="MD20" s="96" t="n">
        <f aca="false">[1]ВИБУЛО2!DL12</f>
        <v>0</v>
      </c>
      <c r="ME20" s="97" t="n">
        <f aca="false">ME19-MD20+MC20</f>
        <v>0</v>
      </c>
      <c r="MF20" s="95" t="n">
        <f aca="false">[1]НАДІЙШЛО2!DM12</f>
        <v>0</v>
      </c>
      <c r="MG20" s="96" t="n">
        <f aca="false">[1]ВИБУЛО2!DM12</f>
        <v>0</v>
      </c>
      <c r="MH20" s="97" t="n">
        <f aca="false">MH19-MG20+MF20</f>
        <v>0</v>
      </c>
      <c r="MI20" s="95" t="n">
        <f aca="false">[1]НАДІЙШЛО2!DN12</f>
        <v>0</v>
      </c>
      <c r="MJ20" s="96" t="n">
        <f aca="false">[1]ВИБУЛО2!DN12</f>
        <v>0</v>
      </c>
      <c r="MK20" s="97" t="n">
        <f aca="false">MK19-MJ20+MI20</f>
        <v>0</v>
      </c>
      <c r="ML20" s="95" t="n">
        <f aca="false">[1]НАДІЙШЛО2!DO12</f>
        <v>0</v>
      </c>
      <c r="MM20" s="96" t="n">
        <f aca="false">[1]ВИБУЛО2!DO12</f>
        <v>0</v>
      </c>
      <c r="MN20" s="97" t="n">
        <f aca="false">MN19-MM20+ML20</f>
        <v>0</v>
      </c>
      <c r="MO20" s="95" t="n">
        <f aca="false">[1]НАДІЙШЛО2!DP12</f>
        <v>0</v>
      </c>
      <c r="MP20" s="96" t="n">
        <f aca="false">[1]ВИБУЛО2!DP12</f>
        <v>0</v>
      </c>
      <c r="MQ20" s="97" t="n">
        <f aca="false">MQ19-MP20+MO20</f>
        <v>0</v>
      </c>
      <c r="MR20" s="95" t="n">
        <f aca="false">[1]НАДІЙШЛО2!DQ12</f>
        <v>0</v>
      </c>
      <c r="MS20" s="96" t="n">
        <f aca="false">[1]ВИБУЛО2!DQ12</f>
        <v>0</v>
      </c>
      <c r="MT20" s="97" t="n">
        <f aca="false">MT19-MS20+MR20</f>
        <v>0</v>
      </c>
      <c r="MU20" s="95" t="n">
        <f aca="false">[1]НАДІЙШЛО2!DR12</f>
        <v>0</v>
      </c>
      <c r="MV20" s="96" t="n">
        <f aca="false">[1]ВИБУЛО2!DR12</f>
        <v>0</v>
      </c>
      <c r="MW20" s="97" t="n">
        <f aca="false">MW19-MV20+MU20</f>
        <v>0</v>
      </c>
      <c r="MX20" s="95" t="n">
        <f aca="false">[1]НАДІЙШЛО2!DS12</f>
        <v>0</v>
      </c>
      <c r="MY20" s="96" t="n">
        <f aca="false">[1]ВИБУЛО2!DS12</f>
        <v>0</v>
      </c>
      <c r="MZ20" s="97" t="n">
        <f aca="false">MZ19-MY20+MX20</f>
        <v>0</v>
      </c>
      <c r="NA20" s="95" t="n">
        <f aca="false">[1]НАДІЙШЛО2!DT12</f>
        <v>0</v>
      </c>
      <c r="NB20" s="96" t="n">
        <f aca="false">[1]ВИБУЛО2!DT12</f>
        <v>0</v>
      </c>
      <c r="NC20" s="97" t="n">
        <f aca="false">NC19-NB20+NA20</f>
        <v>0</v>
      </c>
      <c r="ND20" s="95" t="n">
        <f aca="false">[1]НАДІЙШЛО2!DU12</f>
        <v>0</v>
      </c>
      <c r="NE20" s="96" t="n">
        <f aca="false">[1]ВИБУЛО2!DU12</f>
        <v>0</v>
      </c>
      <c r="NF20" s="97" t="n">
        <f aca="false">NF19-NE20+ND20</f>
        <v>0</v>
      </c>
      <c r="NG20" s="95" t="n">
        <f aca="false">[1]НАДІЙШЛО2!DV12</f>
        <v>0</v>
      </c>
      <c r="NH20" s="96" t="n">
        <f aca="false">[1]ВИБУЛО2!DV12</f>
        <v>0</v>
      </c>
      <c r="NI20" s="97" t="n">
        <f aca="false">NI19-NH20+NG20</f>
        <v>0</v>
      </c>
      <c r="NJ20" s="95" t="n">
        <f aca="false">[1]НАДІЙШЛО2!DW12</f>
        <v>0</v>
      </c>
      <c r="NK20" s="96" t="n">
        <f aca="false">[1]ВИБУЛО2!DW12</f>
        <v>0</v>
      </c>
      <c r="NL20" s="97" t="n">
        <f aca="false">NL19-NK20+NJ20</f>
        <v>0</v>
      </c>
      <c r="NM20" s="95" t="n">
        <f aca="false">[1]НАДІЙШЛО2!DX12</f>
        <v>0</v>
      </c>
      <c r="NN20" s="96" t="n">
        <f aca="false">[1]ВИБУЛО2!DX12</f>
        <v>0</v>
      </c>
      <c r="NO20" s="97" t="n">
        <f aca="false">NO19-NN20+NM20</f>
        <v>0</v>
      </c>
      <c r="NP20" s="95" t="n">
        <f aca="false">[1]НАДІЙШЛО2!DY12</f>
        <v>0</v>
      </c>
      <c r="NQ20" s="96" t="n">
        <f aca="false">[1]ВИБУЛО2!DY12</f>
        <v>0</v>
      </c>
      <c r="NR20" s="97" t="n">
        <f aca="false">NR19-NQ20+NP20</f>
        <v>0</v>
      </c>
      <c r="NS20" s="95" t="n">
        <f aca="false">[1]НАДІЙШЛО2!DZ12</f>
        <v>0</v>
      </c>
      <c r="NT20" s="96" t="n">
        <f aca="false">[1]ВИБУЛО2!DZ12</f>
        <v>0</v>
      </c>
      <c r="NU20" s="97" t="n">
        <f aca="false">NU19-NT20+NS20</f>
        <v>0</v>
      </c>
      <c r="NV20" s="95" t="n">
        <f aca="false">[1]НАДІЙШЛО2!EA12</f>
        <v>0</v>
      </c>
      <c r="NW20" s="96" t="n">
        <f aca="false">[1]ВИБУЛО2!EA12</f>
        <v>0</v>
      </c>
      <c r="NX20" s="97" t="n">
        <f aca="false">NX19-NW20+NV20</f>
        <v>0</v>
      </c>
      <c r="NY20" s="95" t="n">
        <f aca="false">[1]НАДІЙШЛО2!EB12</f>
        <v>0</v>
      </c>
      <c r="NZ20" s="96" t="n">
        <f aca="false">[1]ВИБУЛО2!EB12</f>
        <v>0</v>
      </c>
      <c r="OA20" s="97" t="n">
        <f aca="false">OA19-NZ20+NY20</f>
        <v>0</v>
      </c>
      <c r="OB20" s="95" t="n">
        <f aca="false">[1]НАДІЙШЛО2!EC12</f>
        <v>0</v>
      </c>
      <c r="OC20" s="96" t="n">
        <f aca="false">[1]ВИБУЛО2!EC12</f>
        <v>0</v>
      </c>
      <c r="OD20" s="97" t="n">
        <f aca="false">OD19-OC20+OB20</f>
        <v>0</v>
      </c>
      <c r="OE20" s="95" t="n">
        <f aca="false">[1]НАДІЙШЛО2!ED12</f>
        <v>0</v>
      </c>
      <c r="OF20" s="96" t="n">
        <f aca="false">[1]ВИБУЛО2!ED12</f>
        <v>0</v>
      </c>
      <c r="OG20" s="97" t="n">
        <f aca="false">OG19-OF20+OE20</f>
        <v>0</v>
      </c>
      <c r="OH20" s="95" t="n">
        <f aca="false">[1]НАДІЙШЛО2!EE12</f>
        <v>0</v>
      </c>
      <c r="OI20" s="96" t="n">
        <f aca="false">[1]ВИБУЛО2!EE12</f>
        <v>0</v>
      </c>
      <c r="OJ20" s="97" t="n">
        <f aca="false">OJ19-OI20+OH20</f>
        <v>0</v>
      </c>
      <c r="OK20" s="95" t="n">
        <f aca="false">[1]НАДІЙШЛО2!EF12</f>
        <v>0</v>
      </c>
      <c r="OL20" s="96" t="n">
        <f aca="false">[1]ВИБУЛО2!EF12</f>
        <v>0</v>
      </c>
      <c r="OM20" s="97" t="n">
        <f aca="false">OM19-OL20+OK20</f>
        <v>0</v>
      </c>
      <c r="ON20" s="95" t="n">
        <f aca="false">[1]НАДІЙШЛО2!EG12</f>
        <v>0</v>
      </c>
      <c r="OO20" s="96" t="n">
        <f aca="false">[1]ВИБУЛО2!EG12</f>
        <v>0</v>
      </c>
      <c r="OP20" s="97" t="n">
        <f aca="false">OP19-OO20+ON20</f>
        <v>0</v>
      </c>
      <c r="OQ20" s="95" t="n">
        <f aca="false">[1]НАДІЙШЛО2!EH12</f>
        <v>0</v>
      </c>
      <c r="OR20" s="96" t="n">
        <f aca="false">[1]ВИБУЛО2!EH12</f>
        <v>0</v>
      </c>
      <c r="OS20" s="97" t="n">
        <f aca="false">OS19-OR20+OQ20</f>
        <v>0</v>
      </c>
      <c r="OT20" s="95" t="n">
        <f aca="false">[1]НАДІЙШЛО2!EI12</f>
        <v>0</v>
      </c>
      <c r="OU20" s="96" t="n">
        <f aca="false">[1]ВИБУЛО2!EI12</f>
        <v>0</v>
      </c>
      <c r="OV20" s="97" t="n">
        <f aca="false">OV19-OU20+OT20</f>
        <v>0</v>
      </c>
      <c r="OW20" s="95" t="n">
        <f aca="false">[1]НАДІЙШЛО2!EJ12</f>
        <v>0</v>
      </c>
      <c r="OX20" s="96" t="n">
        <f aca="false">[1]ВИБУЛО2!EJ12</f>
        <v>0</v>
      </c>
      <c r="OY20" s="97" t="n">
        <f aca="false">OY19-OX20+OW20</f>
        <v>0</v>
      </c>
      <c r="OZ20" s="95" t="n">
        <f aca="false">[1]НАДІЙШЛО2!EK12</f>
        <v>0</v>
      </c>
      <c r="PA20" s="96" t="n">
        <f aca="false">[1]ВИБУЛО2!EK12</f>
        <v>0</v>
      </c>
      <c r="PB20" s="97" t="n">
        <f aca="false">PB19-PA20+OZ20</f>
        <v>0</v>
      </c>
      <c r="PC20" s="95" t="n">
        <f aca="false">[1]НАДІЙШЛО2!EL12</f>
        <v>0</v>
      </c>
      <c r="PD20" s="96" t="n">
        <f aca="false">[1]ВИБУЛО2!EL12</f>
        <v>0</v>
      </c>
      <c r="PE20" s="97" t="n">
        <f aca="false">PE19-PD20+PC20</f>
        <v>0</v>
      </c>
      <c r="PF20" s="95" t="n">
        <f aca="false">[1]НАДІЙШЛО2!EM12</f>
        <v>0</v>
      </c>
      <c r="PG20" s="96" t="n">
        <f aca="false">[1]ВИБУЛО2!EM12</f>
        <v>0</v>
      </c>
      <c r="PH20" s="97" t="n">
        <f aca="false">PH19-PG20+PF20</f>
        <v>0</v>
      </c>
      <c r="PI20" s="95" t="n">
        <f aca="false">[1]НАДІЙШЛО2!EN12</f>
        <v>0</v>
      </c>
      <c r="PJ20" s="96" t="n">
        <f aca="false">[1]ВИБУЛО2!EN12</f>
        <v>0</v>
      </c>
      <c r="PK20" s="97" t="n">
        <f aca="false">PK19-PJ20+PI20</f>
        <v>0</v>
      </c>
      <c r="PL20" s="95" t="n">
        <f aca="false">[1]НАДІЙШЛО2!EO12</f>
        <v>0</v>
      </c>
      <c r="PM20" s="96" t="n">
        <f aca="false">[1]ВИБУЛО2!EO12</f>
        <v>0</v>
      </c>
      <c r="PN20" s="97" t="n">
        <f aca="false">PN19-PM20+PL20</f>
        <v>0</v>
      </c>
      <c r="PO20" s="95" t="n">
        <f aca="false">[1]НАДІЙШЛО2!EP12</f>
        <v>0</v>
      </c>
      <c r="PP20" s="96" t="n">
        <f aca="false">[1]ВИБУЛО2!EP12</f>
        <v>0</v>
      </c>
      <c r="PQ20" s="97" t="n">
        <f aca="false">PQ19-PP20+PO20</f>
        <v>0</v>
      </c>
      <c r="PR20" s="95" t="n">
        <f aca="false">[1]НАДІЙШЛО2!EQ12</f>
        <v>0</v>
      </c>
      <c r="PS20" s="96" t="n">
        <f aca="false">[1]ВИБУЛО2!EQ12</f>
        <v>0</v>
      </c>
      <c r="PT20" s="97" t="n">
        <f aca="false">PT19-PS20+PR20</f>
        <v>0</v>
      </c>
      <c r="PU20" s="95" t="n">
        <f aca="false">[1]НАДІЙШЛО2!ER12</f>
        <v>0</v>
      </c>
      <c r="PV20" s="96" t="n">
        <f aca="false">[1]ВИБУЛО2!ER12</f>
        <v>0</v>
      </c>
      <c r="PW20" s="97" t="n">
        <f aca="false">PW19-PV20+PU20</f>
        <v>0</v>
      </c>
      <c r="PX20" s="95" t="n">
        <f aca="false">[1]НАДІЙШЛО2!ES12</f>
        <v>0</v>
      </c>
      <c r="PY20" s="96" t="n">
        <f aca="false">[1]ВИБУЛО2!ES12</f>
        <v>0</v>
      </c>
      <c r="PZ20" s="97" t="n">
        <f aca="false">PZ19-PY20+PX20</f>
        <v>0</v>
      </c>
      <c r="QA20" s="95" t="n">
        <f aca="false">[1]НАДІЙШЛО2!ET12</f>
        <v>0</v>
      </c>
      <c r="QB20" s="96" t="n">
        <f aca="false">[1]ВИБУЛО2!ET12</f>
        <v>0</v>
      </c>
      <c r="QC20" s="97" t="n">
        <f aca="false">QC19-QB20+QA20</f>
        <v>0</v>
      </c>
      <c r="QD20" s="95" t="n">
        <f aca="false">[1]НАДІЙШЛО2!EU12</f>
        <v>0</v>
      </c>
      <c r="QE20" s="96" t="n">
        <f aca="false">[1]ВИБУЛО2!EU12</f>
        <v>0</v>
      </c>
      <c r="QF20" s="97" t="n">
        <f aca="false">QF19-QE20+QD20</f>
        <v>0</v>
      </c>
      <c r="QG20" s="95" t="n">
        <f aca="false">[1]НАДІЙШЛО2!EV12</f>
        <v>0</v>
      </c>
      <c r="QH20" s="96" t="n">
        <f aca="false">[1]ВИБУЛО2!EV12</f>
        <v>0</v>
      </c>
      <c r="QI20" s="97" t="n">
        <f aca="false">QI19-QH20+QG20</f>
        <v>0</v>
      </c>
      <c r="QJ20" s="95" t="n">
        <f aca="false">[1]НАДІЙШЛО2!EW12</f>
        <v>0</v>
      </c>
      <c r="QK20" s="96" t="n">
        <f aca="false">[1]ВИБУЛО2!EW12</f>
        <v>0</v>
      </c>
      <c r="QL20" s="97" t="n">
        <f aca="false">QL19-QK20+QJ20</f>
        <v>0</v>
      </c>
      <c r="QM20" s="95" t="n">
        <f aca="false">[1]НАДІЙШЛО2!EX12</f>
        <v>0</v>
      </c>
      <c r="QN20" s="96" t="n">
        <f aca="false">[1]ВИБУЛО2!EX12</f>
        <v>0</v>
      </c>
      <c r="QO20" s="97" t="n">
        <f aca="false">QO19-QN20+QM20</f>
        <v>0</v>
      </c>
      <c r="QP20" s="95" t="n">
        <f aca="false">[1]НАДІЙШЛО2!EY12</f>
        <v>0</v>
      </c>
      <c r="QQ20" s="96" t="n">
        <f aca="false">[1]ВИБУЛО2!EY12</f>
        <v>0</v>
      </c>
      <c r="QR20" s="97" t="n">
        <f aca="false">QR19-QQ20+QP20</f>
        <v>0</v>
      </c>
      <c r="QS20" s="95" t="n">
        <f aca="false">[1]НАДІЙШЛО2!EZ12</f>
        <v>0</v>
      </c>
      <c r="QT20" s="96" t="n">
        <f aca="false">[1]ВИБУЛО2!EZ12</f>
        <v>0</v>
      </c>
      <c r="QU20" s="97" t="n">
        <f aca="false">QU19-QT20+QS20</f>
        <v>0</v>
      </c>
      <c r="QV20" s="95" t="n">
        <f aca="false">[1]НАДІЙШЛО2!FA12</f>
        <v>0</v>
      </c>
      <c r="QW20" s="96" t="n">
        <f aca="false">[1]ВИБУЛО2!FA12</f>
        <v>0</v>
      </c>
      <c r="QX20" s="97" t="n">
        <f aca="false">QX19-QW20+QV20</f>
        <v>0</v>
      </c>
      <c r="QY20" s="95" t="n">
        <f aca="false">[1]НАДІЙШЛО2!FB12</f>
        <v>0</v>
      </c>
      <c r="QZ20" s="96" t="n">
        <f aca="false">[1]ВИБУЛО2!FB12</f>
        <v>0</v>
      </c>
      <c r="RA20" s="97" t="n">
        <f aca="false">RA19-QZ20+QY20</f>
        <v>0</v>
      </c>
      <c r="RB20" s="95" t="n">
        <f aca="false">[1]НАДІЙШЛО2!FC12</f>
        <v>0</v>
      </c>
      <c r="RC20" s="96" t="n">
        <f aca="false">[1]ВИБУЛО2!FC12</f>
        <v>0</v>
      </c>
      <c r="RD20" s="97" t="n">
        <f aca="false">RD19-RC20+RB20</f>
        <v>0</v>
      </c>
      <c r="RE20" s="95" t="n">
        <f aca="false">[1]НАДІЙШЛО2!FD12</f>
        <v>0</v>
      </c>
      <c r="RF20" s="96" t="n">
        <f aca="false">[1]ВИБУЛО2!FD12</f>
        <v>0</v>
      </c>
      <c r="RG20" s="97" t="n">
        <f aca="false">RG19-RF20+RE20</f>
        <v>0</v>
      </c>
      <c r="RH20" s="95" t="n">
        <f aca="false">[1]НАДІЙШЛО2!FE12</f>
        <v>0</v>
      </c>
      <c r="RI20" s="96" t="n">
        <f aca="false">[1]ВИБУЛО2!FE12</f>
        <v>0</v>
      </c>
      <c r="RJ20" s="97" t="n">
        <f aca="false">RJ19-RI20+RH20</f>
        <v>0</v>
      </c>
      <c r="RK20" s="95" t="n">
        <f aca="false">[1]НАДІЙШЛО2!FF12</f>
        <v>0</v>
      </c>
      <c r="RL20" s="96" t="n">
        <f aca="false">[1]ВИБУЛО2!FF12</f>
        <v>0</v>
      </c>
      <c r="RM20" s="97" t="n">
        <f aca="false">RM19-RL20+RK20</f>
        <v>0</v>
      </c>
      <c r="RN20" s="95" t="n">
        <f aca="false">[1]НАДІЙШЛО2!FG12</f>
        <v>0</v>
      </c>
      <c r="RO20" s="96" t="n">
        <f aca="false">[1]ВИБУЛО2!FG12</f>
        <v>0</v>
      </c>
      <c r="RP20" s="97" t="n">
        <f aca="false">RP19-RO20+RN20</f>
        <v>0</v>
      </c>
      <c r="RQ20" s="95" t="n">
        <f aca="false">[1]НАДІЙШЛО2!FH12</f>
        <v>0</v>
      </c>
      <c r="RR20" s="96" t="n">
        <f aca="false">[1]ВИБУЛО2!FH12</f>
        <v>0</v>
      </c>
      <c r="RS20" s="97" t="n">
        <f aca="false">RS19-RR20+RQ20</f>
        <v>0</v>
      </c>
      <c r="RT20" s="95" t="n">
        <f aca="false">[1]НАДІЙШЛО2!FI12</f>
        <v>0</v>
      </c>
      <c r="RU20" s="96" t="n">
        <f aca="false">[1]ВИБУЛО2!FI12</f>
        <v>0</v>
      </c>
      <c r="RV20" s="97" t="n">
        <f aca="false">RV19-RU20+RT20</f>
        <v>0</v>
      </c>
      <c r="RW20" s="95" t="n">
        <f aca="false">[1]НАДІЙШЛО2!FJ12</f>
        <v>0</v>
      </c>
      <c r="RX20" s="96" t="n">
        <f aca="false">[1]ВИБУЛО2!FJ12</f>
        <v>0</v>
      </c>
      <c r="RY20" s="97" t="n">
        <f aca="false">RY19-RX20+RW20</f>
        <v>0</v>
      </c>
      <c r="RZ20" s="95" t="n">
        <f aca="false">[1]НАДІЙШЛО2!FK12</f>
        <v>0</v>
      </c>
      <c r="SA20" s="96" t="n">
        <f aca="false">[1]ВИБУЛО2!FK12</f>
        <v>0</v>
      </c>
      <c r="SB20" s="97" t="n">
        <f aca="false">SB19-SA20+RZ20</f>
        <v>0</v>
      </c>
      <c r="SC20" s="95" t="n">
        <f aca="false">[1]НАДІЙШЛО2!FL12</f>
        <v>0</v>
      </c>
      <c r="SD20" s="96" t="n">
        <f aca="false">[1]ВИБУЛО2!FL12</f>
        <v>0</v>
      </c>
      <c r="SE20" s="97" t="n">
        <f aca="false">SE19-SD20+SC20</f>
        <v>0</v>
      </c>
      <c r="SF20" s="95" t="n">
        <f aca="false">[1]НАДІЙШЛО2!FM12</f>
        <v>0</v>
      </c>
      <c r="SG20" s="96" t="n">
        <f aca="false">[1]ВИБУЛО2!FM12</f>
        <v>0</v>
      </c>
      <c r="SH20" s="97" t="n">
        <f aca="false">SH19-SG20+SF20</f>
        <v>0</v>
      </c>
      <c r="SI20" s="95" t="n">
        <f aca="false">[1]НАДІЙШЛО2!FN12</f>
        <v>0</v>
      </c>
      <c r="SJ20" s="96" t="n">
        <f aca="false">[1]ВИБУЛО2!FN12</f>
        <v>0</v>
      </c>
      <c r="SK20" s="97" t="n">
        <f aca="false">SK19-SJ20+SI20</f>
        <v>0</v>
      </c>
      <c r="SL20" s="95" t="n">
        <f aca="false">[1]НАДІЙШЛО2!FO12</f>
        <v>0</v>
      </c>
      <c r="SM20" s="96" t="n">
        <f aca="false">[1]ВИБУЛО2!FO12</f>
        <v>0</v>
      </c>
      <c r="SN20" s="97" t="n">
        <f aca="false">SN19-SM20+SL20</f>
        <v>0</v>
      </c>
      <c r="SO20" s="95" t="n">
        <f aca="false">[1]НАДІЙШЛО2!FP12</f>
        <v>0</v>
      </c>
      <c r="SP20" s="96" t="n">
        <f aca="false">[1]ВИБУЛО2!FP12</f>
        <v>0</v>
      </c>
      <c r="SQ20" s="97" t="n">
        <f aca="false">SQ19-SP20+SO20</f>
        <v>0</v>
      </c>
      <c r="SR20" s="95" t="n">
        <f aca="false">[1]НАДІЙШЛО2!FQ12</f>
        <v>0</v>
      </c>
      <c r="SS20" s="96" t="n">
        <f aca="false">[1]ВИБУЛО2!FQ12</f>
        <v>0</v>
      </c>
      <c r="ST20" s="97" t="n">
        <f aca="false">ST19-SS20+SR20</f>
        <v>0</v>
      </c>
      <c r="SU20" s="95" t="n">
        <f aca="false">[1]НАДІЙШЛО2!FR12</f>
        <v>0</v>
      </c>
      <c r="SV20" s="96" t="n">
        <f aca="false">[1]ВИБУЛО2!FR12</f>
        <v>0</v>
      </c>
      <c r="SW20" s="97" t="n">
        <f aca="false">SW19-SV20+SU20</f>
        <v>0</v>
      </c>
      <c r="SX20" s="95" t="n">
        <f aca="false">[1]НАДІЙШЛО2!FS12</f>
        <v>0</v>
      </c>
      <c r="SY20" s="96" t="n">
        <f aca="false">[1]ВИБУЛО2!FS12</f>
        <v>0</v>
      </c>
      <c r="SZ20" s="97" t="n">
        <f aca="false">SZ19-SY20+SX20</f>
        <v>0</v>
      </c>
      <c r="TA20" s="95" t="n">
        <f aca="false">[1]НАДІЙШЛО2!FT12</f>
        <v>0</v>
      </c>
      <c r="TB20" s="96" t="n">
        <f aca="false">[1]ВИБУЛО2!FT12</f>
        <v>0</v>
      </c>
      <c r="TC20" s="97" t="n">
        <f aca="false">TC19-TB20+TA20</f>
        <v>0</v>
      </c>
      <c r="TD20" s="95" t="n">
        <f aca="false">[1]НАДІЙШЛО2!FU12</f>
        <v>0</v>
      </c>
      <c r="TE20" s="96" t="n">
        <f aca="false">[1]ВИБУЛО2!FU12</f>
        <v>0</v>
      </c>
      <c r="TF20" s="97" t="n">
        <f aca="false">TF19-TE20+TD20</f>
        <v>0</v>
      </c>
      <c r="TG20" s="95" t="n">
        <f aca="false">[1]НАДІЙШЛО2!FV12</f>
        <v>0</v>
      </c>
      <c r="TH20" s="96" t="n">
        <f aca="false">[1]ВИБУЛО2!FV12</f>
        <v>0</v>
      </c>
      <c r="TI20" s="97" t="n">
        <f aca="false">TI19-TH20+TG20</f>
        <v>0</v>
      </c>
      <c r="TJ20" s="95" t="n">
        <f aca="false">[1]НАДІЙШЛО2!FW12</f>
        <v>0</v>
      </c>
      <c r="TK20" s="96" t="n">
        <f aca="false">[1]ВИБУЛО2!FW12</f>
        <v>0</v>
      </c>
      <c r="TL20" s="97" t="n">
        <f aca="false">TL19-TK20+TJ20</f>
        <v>0</v>
      </c>
      <c r="TM20" s="95" t="n">
        <f aca="false">[1]НАДІЙШЛО2!FX12</f>
        <v>0</v>
      </c>
      <c r="TN20" s="96" t="n">
        <f aca="false">[1]ВИБУЛО2!FX12</f>
        <v>0</v>
      </c>
      <c r="TO20" s="97" t="n">
        <f aca="false">TO19-TN20+TM20</f>
        <v>0</v>
      </c>
      <c r="TP20" s="95" t="n">
        <f aca="false">[1]НАДІЙШЛО2!FY12</f>
        <v>0</v>
      </c>
      <c r="TQ20" s="96" t="n">
        <f aca="false">[1]ВИБУЛО2!FY12</f>
        <v>0</v>
      </c>
      <c r="TR20" s="97" t="n">
        <f aca="false">TR19-TQ20+TP20</f>
        <v>0</v>
      </c>
      <c r="TS20" s="95" t="n">
        <f aca="false">[1]НАДІЙШЛО2!FZ12</f>
        <v>0</v>
      </c>
      <c r="TT20" s="96" t="n">
        <f aca="false">[1]ВИБУЛО2!FZ12</f>
        <v>0</v>
      </c>
      <c r="TU20" s="97" t="n">
        <f aca="false">TU19-TT20+TS20</f>
        <v>0</v>
      </c>
      <c r="TV20" s="95" t="n">
        <f aca="false">[1]НАДІЙШЛО2!GA12</f>
        <v>0</v>
      </c>
      <c r="TW20" s="96" t="n">
        <f aca="false">[1]ВИБУЛО2!GA12</f>
        <v>0</v>
      </c>
      <c r="TX20" s="97" t="n">
        <f aca="false">TX19-TW20+TV20</f>
        <v>0</v>
      </c>
      <c r="TY20" s="95" t="n">
        <f aca="false">[1]НАДІЙШЛО2!GB12</f>
        <v>0</v>
      </c>
      <c r="TZ20" s="96" t="n">
        <f aca="false">[1]ВИБУЛО2!GB12</f>
        <v>0</v>
      </c>
      <c r="UA20" s="97" t="n">
        <f aca="false">UA19-TZ20+TY20</f>
        <v>0</v>
      </c>
      <c r="UB20" s="95" t="n">
        <f aca="false">[1]НАДІЙШЛО2!GC12</f>
        <v>0</v>
      </c>
      <c r="UC20" s="96" t="n">
        <f aca="false">[1]ВИБУЛО2!GC12</f>
        <v>0</v>
      </c>
      <c r="UD20" s="97" t="n">
        <f aca="false">UD19-UC20+UB20</f>
        <v>0</v>
      </c>
      <c r="UE20" s="95" t="n">
        <f aca="false">[1]НАДІЙШЛО2!GD12</f>
        <v>0</v>
      </c>
      <c r="UF20" s="96" t="n">
        <f aca="false">[1]ВИБУЛО2!GD12</f>
        <v>0</v>
      </c>
      <c r="UG20" s="97" t="n">
        <f aca="false">UG19-UF20+UE20</f>
        <v>0</v>
      </c>
      <c r="UH20" s="95" t="n">
        <f aca="false">[1]НАДІЙШЛО2!GE12</f>
        <v>0</v>
      </c>
      <c r="UI20" s="96" t="n">
        <f aca="false">[1]ВИБУЛО2!GE12</f>
        <v>0</v>
      </c>
      <c r="UJ20" s="97" t="n">
        <f aca="false">UJ19-UI20+UH20</f>
        <v>0</v>
      </c>
      <c r="UK20" s="95" t="n">
        <f aca="false">[1]НАДІЙШЛО2!GF12</f>
        <v>0</v>
      </c>
      <c r="UL20" s="96" t="n">
        <f aca="false">[1]ВИБУЛО2!GF12</f>
        <v>0</v>
      </c>
      <c r="UM20" s="97" t="n">
        <f aca="false">UM19-UL20+UK20</f>
        <v>0</v>
      </c>
      <c r="UN20" s="95" t="n">
        <f aca="false">[1]НАДІЙШЛО2!GG12</f>
        <v>0</v>
      </c>
      <c r="UO20" s="96" t="n">
        <f aca="false">[1]ВИБУЛО2!GG12</f>
        <v>0</v>
      </c>
      <c r="UP20" s="97" t="n">
        <f aca="false">UP19-UO20+UN20</f>
        <v>0</v>
      </c>
      <c r="UQ20" s="95" t="n">
        <f aca="false">[1]НАДІЙШЛО2!GH12</f>
        <v>0</v>
      </c>
      <c r="UR20" s="96" t="n">
        <f aca="false">[1]ВИБУЛО2!GH12</f>
        <v>0</v>
      </c>
      <c r="US20" s="97" t="n">
        <f aca="false">US19-UR20+UQ20</f>
        <v>0</v>
      </c>
      <c r="UT20" s="95" t="n">
        <f aca="false">[1]НАДІЙШЛО2!GI12</f>
        <v>0</v>
      </c>
      <c r="UU20" s="96" t="n">
        <f aca="false">[1]ВИБУЛО2!GI12</f>
        <v>0</v>
      </c>
      <c r="UV20" s="97" t="n">
        <f aca="false">UV19-UU20+UT20</f>
        <v>0</v>
      </c>
      <c r="UW20" s="95" t="n">
        <f aca="false">[1]НАДІЙШЛО2!GJ12</f>
        <v>0</v>
      </c>
      <c r="UX20" s="96" t="n">
        <f aca="false">[1]ВИБУЛО2!GJ12</f>
        <v>0</v>
      </c>
      <c r="UY20" s="97" t="n">
        <f aca="false">UY19-UX20+UW20</f>
        <v>0</v>
      </c>
      <c r="UZ20" s="95" t="n">
        <f aca="false">[1]НАДІЙШЛО2!GK12</f>
        <v>0</v>
      </c>
      <c r="VA20" s="96" t="n">
        <f aca="false">[1]ВИБУЛО2!GK12</f>
        <v>0</v>
      </c>
      <c r="VB20" s="97" t="n">
        <f aca="false">VB19-VA20+UZ20</f>
        <v>0</v>
      </c>
      <c r="VC20" s="95" t="n">
        <f aca="false">[1]НАДІЙШЛО2!GL12</f>
        <v>0</v>
      </c>
      <c r="VD20" s="96" t="n">
        <f aca="false">[1]ВИБУЛО2!GL12</f>
        <v>0</v>
      </c>
      <c r="VE20" s="97" t="n">
        <f aca="false">VE19-VD20+VC20</f>
        <v>0</v>
      </c>
      <c r="VF20" s="95" t="n">
        <f aca="false">[1]НАДІЙШЛО2!GM12</f>
        <v>0</v>
      </c>
      <c r="VG20" s="96" t="n">
        <f aca="false">[1]ВИБУЛО2!GM12</f>
        <v>0</v>
      </c>
      <c r="VH20" s="97" t="n">
        <f aca="false">VH19-VG20+VF20</f>
        <v>0</v>
      </c>
      <c r="VI20" s="95" t="n">
        <f aca="false">[1]НАДІЙШЛО2!GN12</f>
        <v>0</v>
      </c>
      <c r="VJ20" s="96" t="n">
        <f aca="false">[1]ВИБУЛО2!GN12</f>
        <v>0</v>
      </c>
      <c r="VK20" s="97" t="n">
        <f aca="false">VK19-VJ20+VI20</f>
        <v>0</v>
      </c>
      <c r="VL20" s="95" t="n">
        <f aca="false">[1]НАДІЙШЛО2!GO12</f>
        <v>0</v>
      </c>
      <c r="VM20" s="96" t="n">
        <f aca="false">[1]ВИБУЛО2!GO12</f>
        <v>0</v>
      </c>
      <c r="VN20" s="97" t="n">
        <f aca="false">VN19-VM20+VL20</f>
        <v>0</v>
      </c>
      <c r="VO20" s="95" t="n">
        <f aca="false">[1]НАДІЙШЛО2!GP12</f>
        <v>0</v>
      </c>
      <c r="VP20" s="96" t="n">
        <f aca="false">[1]ВИБУЛО2!GP12</f>
        <v>0</v>
      </c>
      <c r="VQ20" s="97" t="n">
        <f aca="false">VQ19-VP20+VO20</f>
        <v>0</v>
      </c>
      <c r="VR20" s="95" t="n">
        <f aca="false">[1]НАДІЙШЛО2!GQ12</f>
        <v>0</v>
      </c>
      <c r="VS20" s="96" t="n">
        <f aca="false">[1]ВИБУЛО2!GQ12</f>
        <v>0</v>
      </c>
      <c r="VT20" s="97" t="n">
        <f aca="false">VT19-VS20+VR20</f>
        <v>0</v>
      </c>
      <c r="VU20" s="95" t="n">
        <f aca="false">[1]НАДІЙШЛО2!GR12</f>
        <v>0</v>
      </c>
      <c r="VV20" s="96" t="n">
        <f aca="false">[1]ВИБУЛО2!GR12</f>
        <v>0</v>
      </c>
      <c r="VW20" s="97" t="n">
        <f aca="false">VW19-VV20+VU20</f>
        <v>0</v>
      </c>
      <c r="VX20" s="95" t="n">
        <f aca="false">[1]НАДІЙШЛО2!GS12</f>
        <v>0</v>
      </c>
      <c r="VY20" s="96" t="n">
        <f aca="false">[1]ВИБУЛО2!GS12</f>
        <v>0</v>
      </c>
      <c r="VZ20" s="97" t="n">
        <f aca="false">VZ19-VY20+VX20</f>
        <v>0</v>
      </c>
      <c r="WA20" s="95" t="n">
        <f aca="false">[1]НАДІЙШЛО2!GT12</f>
        <v>0</v>
      </c>
      <c r="WB20" s="96" t="n">
        <f aca="false">[1]ВИБУЛО2!GT12</f>
        <v>0</v>
      </c>
      <c r="WC20" s="97" t="n">
        <f aca="false">WC19-WB20+WA20</f>
        <v>0</v>
      </c>
      <c r="WD20" s="95" t="n">
        <f aca="false">[1]НАДІЙШЛО2!GU12</f>
        <v>0</v>
      </c>
      <c r="WE20" s="96" t="n">
        <f aca="false">[1]ВИБУЛО2!GU12</f>
        <v>0</v>
      </c>
      <c r="WF20" s="97" t="n">
        <f aca="false">WF19-WE20+WD20</f>
        <v>0</v>
      </c>
      <c r="WG20" s="95" t="n">
        <f aca="false">[1]НАДІЙШЛО2!GV12</f>
        <v>0</v>
      </c>
      <c r="WH20" s="96" t="n">
        <f aca="false">[1]ВИБУЛО2!GV12</f>
        <v>0</v>
      </c>
      <c r="WI20" s="97" t="n">
        <f aca="false">WI19-WH20+WG20</f>
        <v>0</v>
      </c>
      <c r="WJ20" s="95" t="n">
        <f aca="false">[1]НАДІЙШЛО2!GW12</f>
        <v>0</v>
      </c>
      <c r="WK20" s="96" t="n">
        <f aca="false">[1]ВИБУЛО2!GW12</f>
        <v>0</v>
      </c>
      <c r="WL20" s="97" t="n">
        <f aca="false">WL19-WK20+WJ20</f>
        <v>0</v>
      </c>
      <c r="WM20" s="95" t="n">
        <f aca="false">[1]НАДІЙШЛО2!GX12</f>
        <v>0</v>
      </c>
      <c r="WN20" s="96" t="n">
        <f aca="false">[1]ВИБУЛО2!GX12</f>
        <v>0</v>
      </c>
      <c r="WO20" s="97" t="n">
        <f aca="false">WO19-WN20+WM20</f>
        <v>0</v>
      </c>
      <c r="WP20" s="95" t="n">
        <f aca="false">[1]НАДІЙШЛО2!GY12</f>
        <v>0</v>
      </c>
      <c r="WQ20" s="96" t="n">
        <f aca="false">[1]ВИБУЛО2!GY12</f>
        <v>0</v>
      </c>
      <c r="WR20" s="97" t="n">
        <f aca="false">WR19-WQ20+WP20</f>
        <v>0</v>
      </c>
      <c r="WS20" s="95" t="n">
        <f aca="false">[1]НАДІЙШЛО2!GZ12</f>
        <v>0</v>
      </c>
      <c r="WT20" s="96" t="n">
        <f aca="false">[1]ВИБУЛО2!GZ12</f>
        <v>0</v>
      </c>
      <c r="WU20" s="97" t="n">
        <f aca="false">WU19-WT20+WS20</f>
        <v>0</v>
      </c>
      <c r="WV20" s="95" t="n">
        <f aca="false">[1]НАДІЙШЛО2!HA12</f>
        <v>0</v>
      </c>
      <c r="WW20" s="96" t="n">
        <f aca="false">[1]ВИБУЛО2!HA12</f>
        <v>0</v>
      </c>
      <c r="WX20" s="97" t="n">
        <f aca="false">WX19-WW20+WV20</f>
        <v>0</v>
      </c>
      <c r="WY20" s="95" t="n">
        <f aca="false">[1]НАДІЙШЛО2!HB12</f>
        <v>0</v>
      </c>
      <c r="WZ20" s="96" t="n">
        <f aca="false">[1]ВИБУЛО2!HB12</f>
        <v>0</v>
      </c>
      <c r="XA20" s="97" t="n">
        <f aca="false">XA19-WZ20+WY20</f>
        <v>0</v>
      </c>
      <c r="XB20" s="95" t="n">
        <f aca="false">[1]НАДІЙШЛО2!HC12</f>
        <v>0</v>
      </c>
      <c r="XC20" s="96" t="n">
        <f aca="false">[1]ВИБУЛО2!HC12</f>
        <v>0</v>
      </c>
      <c r="XD20" s="97" t="n">
        <f aca="false">XD19-XC20+XB20</f>
        <v>0</v>
      </c>
      <c r="XE20" s="95" t="n">
        <f aca="false">[1]НАДІЙШЛО2!HD12</f>
        <v>0</v>
      </c>
      <c r="XF20" s="96" t="n">
        <f aca="false">[1]ВИБУЛО2!HD12</f>
        <v>0</v>
      </c>
      <c r="XG20" s="97" t="n">
        <f aca="false">XG19-XF20+XE20</f>
        <v>0</v>
      </c>
      <c r="XH20" s="95" t="n">
        <f aca="false">[1]НАДІЙШЛО2!HE12</f>
        <v>0</v>
      </c>
      <c r="XI20" s="96" t="n">
        <f aca="false">[1]ВИБУЛО2!HE12</f>
        <v>0</v>
      </c>
      <c r="XJ20" s="97" t="n">
        <f aca="false">XJ19-XI20+XH20</f>
        <v>0</v>
      </c>
      <c r="XK20" s="95" t="n">
        <f aca="false">[1]НАДІЙШЛО2!HF12</f>
        <v>0</v>
      </c>
      <c r="XL20" s="96" t="n">
        <f aca="false">[1]ВИБУЛО2!HF12</f>
        <v>0</v>
      </c>
      <c r="XM20" s="97" t="n">
        <f aca="false">XM19-XL20+XK20</f>
        <v>0</v>
      </c>
      <c r="XN20" s="95" t="n">
        <f aca="false">[1]НАДІЙШЛО2!HG12</f>
        <v>0</v>
      </c>
      <c r="XO20" s="96" t="n">
        <f aca="false">[1]ВИБУЛО2!HG12</f>
        <v>0</v>
      </c>
      <c r="XP20" s="97" t="n">
        <f aca="false">XP19-XO20+XN20</f>
        <v>0</v>
      </c>
      <c r="XQ20" s="95" t="n">
        <f aca="false">[1]НАДІЙШЛО2!HH12</f>
        <v>0</v>
      </c>
      <c r="XR20" s="96" t="n">
        <f aca="false">[1]ВИБУЛО2!HH12</f>
        <v>0</v>
      </c>
      <c r="XS20" s="97" t="n">
        <f aca="false">XS19-XR20+XQ20</f>
        <v>0</v>
      </c>
      <c r="XT20" s="95" t="n">
        <f aca="false">[1]НАДІЙШЛО2!HI12</f>
        <v>0</v>
      </c>
      <c r="XU20" s="96" t="n">
        <f aca="false">[1]ВИБУЛО2!HI12</f>
        <v>0</v>
      </c>
      <c r="XV20" s="97" t="n">
        <f aca="false">XV19-XU20+XT20</f>
        <v>0</v>
      </c>
      <c r="XW20" s="95" t="n">
        <f aca="false">[1]НАДІЙШЛО2!HJ12</f>
        <v>0</v>
      </c>
      <c r="XX20" s="96" t="n">
        <f aca="false">[1]ВИБУЛО2!HJ12</f>
        <v>0</v>
      </c>
      <c r="XY20" s="97" t="n">
        <f aca="false">XY19-XX20+XW20</f>
        <v>0</v>
      </c>
      <c r="XZ20" s="95" t="n">
        <f aca="false">[1]НАДІЙШЛО2!HK12</f>
        <v>0</v>
      </c>
      <c r="YA20" s="96" t="n">
        <f aca="false">[1]ВИБУЛО2!HK12</f>
        <v>0</v>
      </c>
      <c r="YB20" s="97" t="n">
        <f aca="false">YB19-YA20+XZ20</f>
        <v>0</v>
      </c>
      <c r="YC20" s="95" t="n">
        <f aca="false">[1]НАДІЙШЛО2!HL12</f>
        <v>0</v>
      </c>
      <c r="YD20" s="96" t="n">
        <f aca="false">[1]ВИБУЛО2!HL12</f>
        <v>0</v>
      </c>
      <c r="YE20" s="97" t="n">
        <f aca="false">YE19-YD20+YC20</f>
        <v>0</v>
      </c>
      <c r="YF20" s="95" t="n">
        <f aca="false">[1]НАДІЙШЛО2!HM12</f>
        <v>0</v>
      </c>
      <c r="YG20" s="96" t="n">
        <f aca="false">[1]ВИБУЛО2!HM12</f>
        <v>0</v>
      </c>
      <c r="YH20" s="97" t="n">
        <f aca="false">YH19-YG20+YF20</f>
        <v>0</v>
      </c>
      <c r="YI20" s="95" t="n">
        <f aca="false">[1]НАДІЙШЛО2!HN12</f>
        <v>0</v>
      </c>
      <c r="YJ20" s="96" t="n">
        <f aca="false">[1]ВИБУЛО2!HN12</f>
        <v>0</v>
      </c>
      <c r="YK20" s="97" t="n">
        <f aca="false">YK19-YJ20+YI20</f>
        <v>0</v>
      </c>
      <c r="YL20" s="95" t="n">
        <f aca="false">[1]НАДІЙШЛО2!HO12</f>
        <v>0</v>
      </c>
      <c r="YM20" s="96" t="n">
        <f aca="false">[1]ВИБУЛО2!HO12</f>
        <v>0</v>
      </c>
      <c r="YN20" s="97" t="n">
        <f aca="false">YN19-YM20+YL20</f>
        <v>0</v>
      </c>
      <c r="YO20" s="95" t="n">
        <f aca="false">[1]НАДІЙШЛО2!HP12</f>
        <v>0</v>
      </c>
      <c r="YP20" s="96" t="n">
        <f aca="false">[1]ВИБУЛО2!HP12</f>
        <v>0</v>
      </c>
      <c r="YQ20" s="97" t="n">
        <f aca="false">YQ19-YP20+YO20</f>
        <v>0</v>
      </c>
      <c r="YR20" s="95" t="n">
        <f aca="false">[1]НАДІЙШЛО2!HQ12</f>
        <v>0</v>
      </c>
      <c r="YS20" s="96" t="n">
        <f aca="false">[1]ВИБУЛО2!HQ12</f>
        <v>0</v>
      </c>
      <c r="YT20" s="97" t="n">
        <f aca="false">YT19-YS20+YR20</f>
        <v>0</v>
      </c>
      <c r="YU20" s="95" t="n">
        <f aca="false">[1]НАДІЙШЛО2!HR12</f>
        <v>0</v>
      </c>
      <c r="YV20" s="96" t="n">
        <f aca="false">[1]ВИБУЛО2!HR12</f>
        <v>0</v>
      </c>
      <c r="YW20" s="97" t="n">
        <f aca="false">YW19-YV20+YU20</f>
        <v>0</v>
      </c>
      <c r="YX20" s="95" t="n">
        <f aca="false">[1]НАДІЙШЛО2!HS12</f>
        <v>0</v>
      </c>
      <c r="YY20" s="96" t="n">
        <f aca="false">[1]ВИБУЛО2!HS12</f>
        <v>0</v>
      </c>
      <c r="YZ20" s="97" t="n">
        <f aca="false">YZ19-YY20+YX20</f>
        <v>0</v>
      </c>
      <c r="ZA20" s="95" t="n">
        <f aca="false">[1]НАДІЙШЛО2!HT12</f>
        <v>0</v>
      </c>
      <c r="ZB20" s="96" t="n">
        <f aca="false">[1]ВИБУЛО2!HT12</f>
        <v>0</v>
      </c>
      <c r="ZC20" s="97" t="n">
        <f aca="false">ZC19-ZB20+ZA20</f>
        <v>0</v>
      </c>
      <c r="ZD20" s="95" t="n">
        <f aca="false">[1]НАДІЙШЛО2!HU12</f>
        <v>0</v>
      </c>
      <c r="ZE20" s="96" t="n">
        <f aca="false">[1]ВИБУЛО2!HU12</f>
        <v>0</v>
      </c>
      <c r="ZF20" s="97" t="n">
        <f aca="false">ZF19-ZE20+ZD20</f>
        <v>0</v>
      </c>
      <c r="ZG20" s="95" t="n">
        <f aca="false">[1]НАДІЙШЛО2!HV12</f>
        <v>0</v>
      </c>
      <c r="ZH20" s="96" t="n">
        <f aca="false">[1]ВИБУЛО2!HV12</f>
        <v>0</v>
      </c>
      <c r="ZI20" s="97" t="n">
        <f aca="false">ZI19-ZH20+ZG20</f>
        <v>0</v>
      </c>
      <c r="ZJ20" s="95" t="n">
        <f aca="false">[1]НАДІЙШЛО2!HW12</f>
        <v>0</v>
      </c>
      <c r="ZK20" s="96" t="n">
        <f aca="false">[1]ВИБУЛО2!HW12</f>
        <v>0</v>
      </c>
      <c r="ZL20" s="97" t="n">
        <f aca="false">ZL19-ZK20+ZJ20</f>
        <v>0</v>
      </c>
      <c r="ZM20" s="95" t="n">
        <f aca="false">[1]НАДІЙШЛО2!HX12</f>
        <v>0</v>
      </c>
      <c r="ZN20" s="96" t="n">
        <f aca="false">[1]ВИБУЛО2!HX12</f>
        <v>0</v>
      </c>
      <c r="ZO20" s="97" t="n">
        <f aca="false">ZO19-ZN20+ZM20</f>
        <v>0</v>
      </c>
      <c r="ZP20" s="95" t="n">
        <f aca="false">[1]НАДІЙШЛО2!HY12</f>
        <v>0</v>
      </c>
      <c r="ZQ20" s="96" t="n">
        <f aca="false">[1]ВИБУЛО2!HY12</f>
        <v>0</v>
      </c>
      <c r="ZR20" s="97" t="n">
        <f aca="false">ZR19-ZQ20+ZP20</f>
        <v>0</v>
      </c>
      <c r="ZS20" s="95" t="n">
        <f aca="false">[1]НАДІЙШЛО2!HZ12</f>
        <v>0</v>
      </c>
      <c r="ZT20" s="96" t="n">
        <f aca="false">[1]ВИБУЛО2!HZ12</f>
        <v>0</v>
      </c>
      <c r="ZU20" s="97" t="n">
        <f aca="false">ZU19-ZT20+ZS20</f>
        <v>0</v>
      </c>
      <c r="ZV20" s="95" t="n">
        <f aca="false">[1]НАДІЙШЛО2!IA12</f>
        <v>0</v>
      </c>
      <c r="ZW20" s="96" t="n">
        <f aca="false">[1]ВИБУЛО2!IA12</f>
        <v>0</v>
      </c>
      <c r="ZX20" s="97" t="n">
        <f aca="false">ZX19-ZW20+ZV20</f>
        <v>0</v>
      </c>
      <c r="ZY20" s="95" t="n">
        <f aca="false">[1]НАДІЙШЛО2!IB12</f>
        <v>0</v>
      </c>
      <c r="ZZ20" s="96" t="n">
        <f aca="false">[1]ВИБУЛО2!IB12</f>
        <v>0</v>
      </c>
      <c r="AAA20" s="97" t="n">
        <f aca="false">AAA19-ZZ20+ZY20</f>
        <v>0</v>
      </c>
      <c r="AAB20" s="95" t="n">
        <f aca="false">[1]НАДІЙШЛО2!IC12</f>
        <v>0</v>
      </c>
      <c r="AAC20" s="96" t="n">
        <f aca="false">[1]ВИБУЛО2!IC12</f>
        <v>0</v>
      </c>
      <c r="AAD20" s="97" t="n">
        <f aca="false">AAD19-AAC20+AAB20</f>
        <v>0</v>
      </c>
      <c r="AAE20" s="95" t="n">
        <f aca="false">[1]НАДІЙШЛО2!ID12</f>
        <v>0</v>
      </c>
      <c r="AAF20" s="96" t="n">
        <f aca="false">[1]ВИБУЛО2!ID12</f>
        <v>0</v>
      </c>
      <c r="AAG20" s="97" t="n">
        <f aca="false">AAG19-AAF20+AAE20</f>
        <v>0</v>
      </c>
      <c r="AAH20" s="95" t="n">
        <f aca="false">[1]НАДІЙШЛО2!IE12</f>
        <v>0</v>
      </c>
      <c r="AAI20" s="96" t="n">
        <f aca="false">[1]ВИБУЛО2!IE12</f>
        <v>0</v>
      </c>
      <c r="AAJ20" s="97" t="n">
        <f aca="false">AAJ19-AAI20+AAH20</f>
        <v>0</v>
      </c>
      <c r="AAK20" s="95" t="n">
        <f aca="false">[1]НАДІЙШЛО2!IF12</f>
        <v>0</v>
      </c>
      <c r="AAL20" s="96" t="n">
        <f aca="false">[1]ВИБУЛО2!IF12</f>
        <v>0</v>
      </c>
      <c r="AAM20" s="97" t="n">
        <f aca="false">AAM19-AAL20+AAK20</f>
        <v>0</v>
      </c>
      <c r="AAN20" s="95" t="n">
        <f aca="false">[1]НАДІЙШЛО2!IG12</f>
        <v>0</v>
      </c>
      <c r="AAO20" s="96" t="n">
        <f aca="false">[1]ВИБУЛО2!IG12</f>
        <v>0</v>
      </c>
      <c r="AAP20" s="97" t="n">
        <f aca="false">AAP19-AAO20+AAN20</f>
        <v>0</v>
      </c>
      <c r="AAQ20" s="95" t="n">
        <f aca="false">[1]НАДІЙШЛО2!IH12</f>
        <v>0</v>
      </c>
      <c r="AAR20" s="96" t="n">
        <f aca="false">[1]ВИБУЛО2!IH12</f>
        <v>0</v>
      </c>
      <c r="AAS20" s="97" t="n">
        <f aca="false">AAS19-AAR20+AAQ20</f>
        <v>0</v>
      </c>
      <c r="AAT20" s="95" t="n">
        <f aca="false">[1]НАДІЙШЛО2!II12</f>
        <v>0</v>
      </c>
      <c r="AAU20" s="96" t="n">
        <f aca="false">[1]ВИБУЛО2!II12</f>
        <v>0</v>
      </c>
      <c r="AAV20" s="97" t="n">
        <f aca="false">AAV19-AAU20+AAT20</f>
        <v>0</v>
      </c>
      <c r="AAW20" s="95" t="n">
        <f aca="false">[1]НАДІЙШЛО2!IJ12</f>
        <v>0</v>
      </c>
      <c r="AAX20" s="96" t="n">
        <f aca="false">[1]ВИБУЛО2!IJ12</f>
        <v>0</v>
      </c>
      <c r="AAY20" s="97" t="n">
        <f aca="false">AAY19-AAX20+AAW20</f>
        <v>0</v>
      </c>
      <c r="AAZ20" s="95" t="n">
        <f aca="false">[1]НАДІЙШЛО2!IK12</f>
        <v>0</v>
      </c>
      <c r="ABA20" s="96" t="n">
        <f aca="false">[1]ВИБУЛО2!IK12</f>
        <v>0</v>
      </c>
      <c r="ABB20" s="97" t="n">
        <f aca="false">ABB19-ABA20+AAZ20</f>
        <v>0</v>
      </c>
      <c r="ABC20" s="95" t="n">
        <f aca="false">[1]НАДІЙШЛО2!IL12</f>
        <v>0</v>
      </c>
      <c r="ABD20" s="96" t="n">
        <f aca="false">[1]ВИБУЛО2!IL12</f>
        <v>0</v>
      </c>
      <c r="ABE20" s="97" t="n">
        <f aca="false">ABE19-ABD20+ABC20</f>
        <v>0</v>
      </c>
      <c r="ABF20" s="95" t="n">
        <f aca="false">[1]НАДІЙШЛО2!IM12</f>
        <v>0</v>
      </c>
      <c r="ABG20" s="96" t="n">
        <f aca="false">[1]ВИБУЛО2!IM12</f>
        <v>0</v>
      </c>
      <c r="ABH20" s="97" t="n">
        <f aca="false">ABH19-ABG20+ABF20</f>
        <v>0</v>
      </c>
      <c r="ABI20" s="95" t="n">
        <f aca="false">[1]НАДІЙШЛО2!IN12</f>
        <v>0</v>
      </c>
      <c r="ABJ20" s="96" t="n">
        <f aca="false">[1]ВИБУЛО2!IN12</f>
        <v>0</v>
      </c>
      <c r="ABK20" s="97" t="n">
        <f aca="false">ABK19-ABJ20+ABI20</f>
        <v>0</v>
      </c>
      <c r="ABL20" s="95" t="n">
        <f aca="false">[1]НАДІЙШЛО2!IO12</f>
        <v>0</v>
      </c>
      <c r="ABM20" s="96" t="n">
        <f aca="false">[1]ВИБУЛО2!IO12</f>
        <v>0</v>
      </c>
      <c r="ABN20" s="97" t="n">
        <f aca="false">ABN19-ABM20+ABL20</f>
        <v>0</v>
      </c>
      <c r="ABO20" s="95" t="n">
        <f aca="false">[1]НАДІЙШЛО2!IP12</f>
        <v>0</v>
      </c>
      <c r="ABP20" s="96" t="n">
        <f aca="false">[1]ВИБУЛО2!IP12</f>
        <v>0</v>
      </c>
      <c r="ABQ20" s="97" t="n">
        <f aca="false">ABQ19-ABP20+ABO20</f>
        <v>0</v>
      </c>
      <c r="ABR20" s="95" t="n">
        <f aca="false">[1]НАДІЙШЛО2!IQ12</f>
        <v>0</v>
      </c>
      <c r="ABS20" s="96" t="n">
        <f aca="false">[1]ВИБУЛО2!IQ12</f>
        <v>0</v>
      </c>
      <c r="ABT20" s="97" t="n">
        <f aca="false">ABT19-ABS20+ABR20</f>
        <v>0</v>
      </c>
      <c r="ABU20" s="95" t="n">
        <f aca="false">[1]НАДІЙШЛО2!IR12</f>
        <v>0</v>
      </c>
      <c r="ABV20" s="96" t="n">
        <f aca="false">[1]ВИБУЛО2!IR12</f>
        <v>0</v>
      </c>
      <c r="ABW20" s="97" t="n">
        <f aca="false">ABW19-ABV20+ABU20</f>
        <v>0</v>
      </c>
      <c r="ABX20" s="95" t="n">
        <f aca="false">[1]НАДІЙШЛО2!IS12</f>
        <v>0</v>
      </c>
      <c r="ABY20" s="96" t="n">
        <f aca="false">[1]ВИБУЛО2!IS12</f>
        <v>0</v>
      </c>
      <c r="ABZ20" s="97" t="n">
        <f aca="false">ABZ19-ABY20+ABX20</f>
        <v>0</v>
      </c>
      <c r="ACA20" s="95" t="n">
        <f aca="false">[1]НАДІЙШЛО2!IT12</f>
        <v>0</v>
      </c>
      <c r="ACB20" s="96" t="n">
        <f aca="false">[1]ВИБУЛО2!IT12</f>
        <v>0</v>
      </c>
      <c r="ACC20" s="97" t="n">
        <f aca="false">ACC19-ACB20+ACA20</f>
        <v>0</v>
      </c>
      <c r="ACD20" s="95" t="n">
        <f aca="false">[1]НАДІЙШЛО2!IU12</f>
        <v>0</v>
      </c>
      <c r="ACE20" s="96" t="n">
        <f aca="false">[1]ВИБУЛО2!IU12</f>
        <v>0</v>
      </c>
      <c r="ACF20" s="97" t="n">
        <f aca="false">ACF19-ACE20+ACD20</f>
        <v>0</v>
      </c>
      <c r="ACG20" s="95" t="n">
        <f aca="false">[1]НАДІЙШЛО2!IV12</f>
        <v>0</v>
      </c>
      <c r="ACH20" s="96" t="n">
        <f aca="false">[1]ВИБУЛО2!IV12</f>
        <v>0</v>
      </c>
      <c r="ACI20" s="97" t="n">
        <f aca="false">ACI19-ACH20+ACG20</f>
        <v>0</v>
      </c>
      <c r="ACJ20" s="95" t="n">
        <f aca="false">[1]НАДІЙШЛО2!IW12</f>
        <v>0</v>
      </c>
      <c r="ACK20" s="96" t="n">
        <f aca="false">[1]ВИБУЛО2!IW12</f>
        <v>0</v>
      </c>
      <c r="ACL20" s="97" t="n">
        <f aca="false">ACL19-ACK20+ACJ20</f>
        <v>0</v>
      </c>
      <c r="ACM20" s="95" t="n">
        <f aca="false">[1]НАДІЙШЛО2!IX12</f>
        <v>0</v>
      </c>
      <c r="ACN20" s="96" t="n">
        <f aca="false">[1]ВИБУЛО2!IX12</f>
        <v>0</v>
      </c>
      <c r="ACO20" s="97" t="n">
        <f aca="false">ACO19-ACN20+ACM20</f>
        <v>0</v>
      </c>
      <c r="ACP20" s="95" t="n">
        <f aca="false">[1]НАДІЙШЛО2!IY12</f>
        <v>0</v>
      </c>
      <c r="ACQ20" s="96" t="n">
        <f aca="false">[1]ВИБУЛО2!IY12</f>
        <v>0</v>
      </c>
      <c r="ACR20" s="97" t="n">
        <f aca="false">ACR19-ACQ20+ACP20</f>
        <v>0</v>
      </c>
      <c r="ACS20" s="95" t="n">
        <f aca="false">[1]НАДІЙШЛО2!IZ12</f>
        <v>0</v>
      </c>
      <c r="ACT20" s="96" t="n">
        <f aca="false">[1]ВИБУЛО2!IZ12</f>
        <v>0</v>
      </c>
      <c r="ACU20" s="97" t="n">
        <f aca="false">ACU19-ACT20+ACS20</f>
        <v>0</v>
      </c>
      <c r="ACV20" s="95" t="n">
        <f aca="false">[1]НАДІЙШЛО2!JA12</f>
        <v>0</v>
      </c>
      <c r="ACW20" s="96" t="n">
        <f aca="false">[1]ВИБУЛО2!JA12</f>
        <v>0</v>
      </c>
      <c r="ACX20" s="97" t="n">
        <f aca="false">ACX19-ACW20+ACV20</f>
        <v>0</v>
      </c>
      <c r="ACY20" s="95" t="n">
        <f aca="false">[1]НАДІЙШЛО2!JB12</f>
        <v>0</v>
      </c>
      <c r="ACZ20" s="96" t="n">
        <f aca="false">[1]ВИБУЛО2!JB12</f>
        <v>0</v>
      </c>
      <c r="ADA20" s="97" t="n">
        <f aca="false">ADA19-ACZ20+ACY20</f>
        <v>0</v>
      </c>
      <c r="ADB20" s="95" t="n">
        <f aca="false">[1]НАДІЙШЛО2!JC12</f>
        <v>0</v>
      </c>
      <c r="ADC20" s="96" t="n">
        <f aca="false">[1]ВИБУЛО2!JC12</f>
        <v>0</v>
      </c>
      <c r="ADD20" s="97" t="n">
        <f aca="false">ADD19-ADC20+ADB20</f>
        <v>0</v>
      </c>
      <c r="ADE20" s="95" t="n">
        <f aca="false">[1]НАДІЙШЛО2!JD12</f>
        <v>0</v>
      </c>
      <c r="ADF20" s="96" t="n">
        <f aca="false">[1]ВИБУЛО2!JD12</f>
        <v>0</v>
      </c>
      <c r="ADG20" s="97" t="n">
        <f aca="false">ADG19-ADF20+ADE20</f>
        <v>0</v>
      </c>
      <c r="ADH20" s="95" t="n">
        <f aca="false">[1]НАДІЙШЛО2!JE12</f>
        <v>0</v>
      </c>
      <c r="ADI20" s="96" t="n">
        <f aca="false">[1]ВИБУЛО2!JE12</f>
        <v>0</v>
      </c>
      <c r="ADJ20" s="97" t="n">
        <f aca="false">ADJ19-ADI20+ADH20</f>
        <v>0</v>
      </c>
      <c r="ADK20" s="95" t="n">
        <f aca="false">[1]НАДІЙШЛО2!JF12</f>
        <v>0</v>
      </c>
      <c r="ADL20" s="96" t="n">
        <f aca="false">[1]ВИБУЛО2!JF12</f>
        <v>0</v>
      </c>
      <c r="ADM20" s="97" t="n">
        <f aca="false">ADM19-ADL20+ADK20</f>
        <v>0</v>
      </c>
      <c r="ADN20" s="95" t="n">
        <f aca="false">[1]НАДІЙШЛО2!JG12</f>
        <v>0</v>
      </c>
      <c r="ADO20" s="96" t="n">
        <f aca="false">[1]ВИБУЛО2!JG12</f>
        <v>0</v>
      </c>
      <c r="ADP20" s="97" t="n">
        <f aca="false">ADP19-ADO20+ADN20</f>
        <v>0</v>
      </c>
      <c r="ADQ20" s="95" t="n">
        <f aca="false">[1]НАДІЙШЛО2!JH12</f>
        <v>0</v>
      </c>
      <c r="ADR20" s="96" t="n">
        <f aca="false">[1]ВИБУЛО2!JH12</f>
        <v>0</v>
      </c>
      <c r="ADS20" s="97" t="n">
        <f aca="false">ADS19-ADR20+ADQ20</f>
        <v>0</v>
      </c>
      <c r="ADT20" s="95" t="n">
        <f aca="false">[1]НАДІЙШЛО2!JI12</f>
        <v>0</v>
      </c>
      <c r="ADU20" s="96" t="n">
        <f aca="false">[1]ВИБУЛО2!JI12</f>
        <v>0</v>
      </c>
      <c r="ADV20" s="97" t="n">
        <f aca="false">ADV19-ADU20+ADT20</f>
        <v>0</v>
      </c>
      <c r="ADW20" s="95" t="n">
        <f aca="false">[1]НАДІЙШЛО2!JJ12</f>
        <v>0</v>
      </c>
      <c r="ADX20" s="96" t="n">
        <f aca="false">[1]ВИБУЛО2!JJ12</f>
        <v>0</v>
      </c>
      <c r="ADY20" s="97" t="n">
        <f aca="false">ADY19-ADX20+ADW20</f>
        <v>0</v>
      </c>
      <c r="ADZ20" s="95" t="n">
        <f aca="false">[1]НАДІЙШЛО2!JK12</f>
        <v>0</v>
      </c>
      <c r="AEA20" s="96" t="n">
        <f aca="false">[1]ВИБУЛО2!JK12</f>
        <v>0</v>
      </c>
      <c r="AEB20" s="97" t="n">
        <f aca="false">AEB19-AEA20+ADZ20</f>
        <v>0</v>
      </c>
      <c r="AEC20" s="95" t="n">
        <f aca="false">[1]НАДІЙШЛО2!JL12</f>
        <v>0</v>
      </c>
      <c r="AED20" s="96" t="n">
        <f aca="false">[1]ВИБУЛО2!JL12</f>
        <v>0</v>
      </c>
      <c r="AEE20" s="97" t="n">
        <f aca="false">AEE19-AED20+AEC20</f>
        <v>0</v>
      </c>
      <c r="AEF20" s="95" t="n">
        <f aca="false">[1]НАДІЙШЛО2!JM12</f>
        <v>0</v>
      </c>
      <c r="AEG20" s="96" t="n">
        <f aca="false">[1]ВИБУЛО2!JM12</f>
        <v>0</v>
      </c>
      <c r="AEH20" s="97" t="n">
        <f aca="false">AEH19-AEG20+AEF20</f>
        <v>0</v>
      </c>
      <c r="AEI20" s="95" t="n">
        <f aca="false">[1]НАДІЙШЛО2!JN12</f>
        <v>0</v>
      </c>
      <c r="AEJ20" s="96" t="n">
        <f aca="false">[1]ВИБУЛО2!JN12</f>
        <v>0</v>
      </c>
      <c r="AEK20" s="97" t="n">
        <f aca="false">AEK19-AEJ20+AEI20</f>
        <v>0</v>
      </c>
      <c r="AEL20" s="95" t="n">
        <f aca="false">[1]НАДІЙШЛО2!JO12</f>
        <v>0</v>
      </c>
      <c r="AEM20" s="96" t="n">
        <f aca="false">[1]ВИБУЛО2!JO12</f>
        <v>0</v>
      </c>
      <c r="AEN20" s="97" t="n">
        <f aca="false">AEN19-AEM20+AEL20</f>
        <v>0</v>
      </c>
      <c r="AEO20" s="95" t="n">
        <f aca="false">[1]НАДІЙШЛО2!JP12</f>
        <v>0</v>
      </c>
      <c r="AEP20" s="96" t="n">
        <f aca="false">[1]ВИБУЛО2!JP12</f>
        <v>0</v>
      </c>
      <c r="AEQ20" s="97" t="n">
        <f aca="false">AEQ19-AEP20+AEO20</f>
        <v>0</v>
      </c>
      <c r="AER20" s="95" t="n">
        <f aca="false">[1]НАДІЙШЛО2!JQ12</f>
        <v>0</v>
      </c>
      <c r="AES20" s="96" t="n">
        <f aca="false">[1]ВИБУЛО2!JQ12</f>
        <v>0</v>
      </c>
      <c r="AET20" s="97" t="n">
        <f aca="false">AET19-AES20+AER20</f>
        <v>0</v>
      </c>
      <c r="AEU20" s="95" t="n">
        <f aca="false">[1]НАДІЙШЛО2!JR12</f>
        <v>0</v>
      </c>
      <c r="AEV20" s="96" t="n">
        <f aca="false">[1]ВИБУЛО2!JR12</f>
        <v>0</v>
      </c>
      <c r="AEW20" s="97" t="n">
        <f aca="false">AEW19-AEV20+AEU20</f>
        <v>0</v>
      </c>
      <c r="AEX20" s="95" t="n">
        <f aca="false">[1]НАДІЙШЛО2!JS12</f>
        <v>0</v>
      </c>
      <c r="AEY20" s="96" t="n">
        <f aca="false">[1]ВИБУЛО2!JS12</f>
        <v>0</v>
      </c>
      <c r="AEZ20" s="97" t="n">
        <f aca="false">AEZ19-AEY20+AEX20</f>
        <v>0</v>
      </c>
      <c r="AFA20" s="95" t="n">
        <f aca="false">[1]НАДІЙШЛО2!JT12</f>
        <v>0</v>
      </c>
      <c r="AFB20" s="96" t="n">
        <f aca="false">[1]ВИБУЛО2!JT12</f>
        <v>0</v>
      </c>
      <c r="AFC20" s="97" t="n">
        <f aca="false">AFC19-AFB20+AFA20</f>
        <v>0</v>
      </c>
      <c r="AFD20" s="95" t="n">
        <f aca="false">[1]НАДІЙШЛО2!JU12</f>
        <v>0</v>
      </c>
      <c r="AFE20" s="96" t="n">
        <f aca="false">[1]ВИБУЛО2!JU12</f>
        <v>0</v>
      </c>
      <c r="AFF20" s="97" t="n">
        <f aca="false">AFF19-AFE20+AFD20</f>
        <v>0</v>
      </c>
      <c r="AFG20" s="95" t="n">
        <f aca="false">[1]НАДІЙШЛО2!JV12</f>
        <v>0</v>
      </c>
      <c r="AFH20" s="96" t="n">
        <f aca="false">[1]ВИБУЛО2!JV12</f>
        <v>0</v>
      </c>
      <c r="AFI20" s="97" t="n">
        <f aca="false">AFI19-AFH20+AFG20</f>
        <v>0</v>
      </c>
      <c r="AFJ20" s="95" t="n">
        <f aca="false">[1]НАДІЙШЛО2!JW12</f>
        <v>0</v>
      </c>
      <c r="AFK20" s="96" t="n">
        <f aca="false">[1]ВИБУЛО2!JW12</f>
        <v>0</v>
      </c>
      <c r="AFL20" s="97" t="n">
        <f aca="false">AFL19-AFK20+AFJ20</f>
        <v>0</v>
      </c>
      <c r="AFM20" s="95" t="n">
        <f aca="false">[1]НАДІЙШЛО2!JX12</f>
        <v>0</v>
      </c>
      <c r="AFN20" s="96" t="n">
        <f aca="false">[1]ВИБУЛО2!JX12</f>
        <v>0</v>
      </c>
      <c r="AFO20" s="97" t="n">
        <f aca="false">AFO19-AFN20+AFM20</f>
        <v>0</v>
      </c>
      <c r="AFP20" s="95" t="n">
        <f aca="false">[1]НАДІЙШЛО2!JY12</f>
        <v>0</v>
      </c>
      <c r="AFQ20" s="96" t="n">
        <f aca="false">[1]ВИБУЛО2!JY12</f>
        <v>0</v>
      </c>
      <c r="AFR20" s="97" t="n">
        <f aca="false">AFR19-AFQ20+AFP20</f>
        <v>0</v>
      </c>
      <c r="AFS20" s="95" t="n">
        <f aca="false">[1]НАДІЙШЛО2!JZ12</f>
        <v>0</v>
      </c>
      <c r="AFT20" s="96" t="n">
        <f aca="false">[1]ВИБУЛО2!JZ12</f>
        <v>0</v>
      </c>
      <c r="AFU20" s="97" t="n">
        <f aca="false">AFU19-AFT20+AFS20</f>
        <v>0</v>
      </c>
      <c r="AFV20" s="95" t="n">
        <f aca="false">[1]НАДІЙШЛО2!KA12</f>
        <v>0</v>
      </c>
      <c r="AFW20" s="96" t="n">
        <f aca="false">[1]ВИБУЛО2!KA12</f>
        <v>0</v>
      </c>
      <c r="AFX20" s="97" t="n">
        <f aca="false">AFX19-AFW20+AFV20</f>
        <v>0</v>
      </c>
      <c r="AFY20" s="95" t="n">
        <f aca="false">[1]НАДІЙШЛО2!KB12</f>
        <v>0</v>
      </c>
      <c r="AFZ20" s="96" t="n">
        <f aca="false">[1]ВИБУЛО2!KB12</f>
        <v>0</v>
      </c>
      <c r="AGA20" s="97" t="n">
        <f aca="false">AGA19-AFZ20+AFY20</f>
        <v>0</v>
      </c>
      <c r="AGB20" s="95" t="n">
        <f aca="false">[1]НАДІЙШЛО2!KC12</f>
        <v>0</v>
      </c>
      <c r="AGC20" s="96" t="n">
        <f aca="false">[1]ВИБУЛО2!KC12</f>
        <v>0</v>
      </c>
      <c r="AGD20" s="97" t="n">
        <f aca="false">AGD19-AGC20+AGB20</f>
        <v>0</v>
      </c>
      <c r="AGE20" s="95" t="n">
        <f aca="false">[1]НАДІЙШЛО2!KD12</f>
        <v>0</v>
      </c>
      <c r="AGF20" s="96" t="n">
        <f aca="false">[1]ВИБУЛО2!KD12</f>
        <v>0</v>
      </c>
      <c r="AGG20" s="97" t="n">
        <f aca="false">AGG19-AGF20+AGE20</f>
        <v>0</v>
      </c>
      <c r="AGH20" s="95" t="n">
        <f aca="false">[1]НАДІЙШЛО2!KE12</f>
        <v>0</v>
      </c>
      <c r="AGI20" s="96" t="n">
        <f aca="false">[1]ВИБУЛО2!KE12</f>
        <v>0</v>
      </c>
      <c r="AGJ20" s="97" t="n">
        <f aca="false">AGJ19-AGI20+AGH20</f>
        <v>0</v>
      </c>
      <c r="AGK20" s="95" t="n">
        <f aca="false">[1]НАДІЙШЛО2!KF12</f>
        <v>0</v>
      </c>
      <c r="AGL20" s="96" t="n">
        <f aca="false">[1]ВИБУЛО2!KF12</f>
        <v>0</v>
      </c>
      <c r="AGM20" s="97" t="n">
        <f aca="false">AGM19-AGL20+AGK20</f>
        <v>0</v>
      </c>
      <c r="AGN20" s="95" t="n">
        <f aca="false">[1]НАДІЙШЛО2!KG12</f>
        <v>0</v>
      </c>
      <c r="AGO20" s="96" t="n">
        <f aca="false">[1]ВИБУЛО2!KG12</f>
        <v>0</v>
      </c>
      <c r="AGP20" s="97" t="n">
        <f aca="false">AGP19-AGO20+AGN20</f>
        <v>0</v>
      </c>
      <c r="AGQ20" s="95" t="n">
        <f aca="false">[1]НАДІЙШЛО2!KH12</f>
        <v>0</v>
      </c>
      <c r="AGR20" s="96" t="n">
        <f aca="false">[1]ВИБУЛО2!KH12</f>
        <v>0</v>
      </c>
      <c r="AGS20" s="97" t="n">
        <f aca="false">AGS19-AGR20+AGQ20</f>
        <v>0</v>
      </c>
      <c r="AGT20" s="95" t="n">
        <f aca="false">[1]НАДІЙШЛО2!KI12</f>
        <v>0</v>
      </c>
      <c r="AGU20" s="96" t="n">
        <f aca="false">[1]ВИБУЛО2!KI12</f>
        <v>0</v>
      </c>
      <c r="AGV20" s="97" t="n">
        <f aca="false">AGV19-AGU20+AGT20</f>
        <v>0</v>
      </c>
      <c r="AGW20" s="95" t="n">
        <f aca="false">[1]НАДІЙШЛО2!KJ12</f>
        <v>0</v>
      </c>
      <c r="AGX20" s="96" t="n">
        <f aca="false">[1]ВИБУЛО2!KJ12</f>
        <v>0</v>
      </c>
      <c r="AGY20" s="97" t="n">
        <f aca="false">AGY19-AGX20+AGW20</f>
        <v>0</v>
      </c>
      <c r="AGZ20" s="95" t="n">
        <f aca="false">[1]НАДІЙШЛО2!KK12</f>
        <v>0</v>
      </c>
      <c r="AHA20" s="96" t="n">
        <f aca="false">[1]ВИБУЛО2!KK12</f>
        <v>0</v>
      </c>
      <c r="AHB20" s="97" t="n">
        <f aca="false">AHB19-AHA20+AGZ20</f>
        <v>0</v>
      </c>
      <c r="AHC20" s="95" t="n">
        <f aca="false">[1]НАДІЙШЛО2!KL12</f>
        <v>0</v>
      </c>
      <c r="AHD20" s="96" t="n">
        <f aca="false">[1]ВИБУЛО2!KL12</f>
        <v>0</v>
      </c>
      <c r="AHE20" s="97" t="n">
        <f aca="false">AHE19-AHD20+AHC20</f>
        <v>0</v>
      </c>
      <c r="AHF20" s="95" t="n">
        <f aca="false">[1]НАДІЙШЛО2!KM12</f>
        <v>0</v>
      </c>
      <c r="AHG20" s="96" t="n">
        <f aca="false">[1]ВИБУЛО2!KM12</f>
        <v>0</v>
      </c>
      <c r="AHH20" s="97" t="n">
        <f aca="false">AHH19-AHG20+AHF20</f>
        <v>0</v>
      </c>
      <c r="AHI20" s="95" t="n">
        <f aca="false">[1]НАДІЙШЛО2!KN12</f>
        <v>0</v>
      </c>
      <c r="AHJ20" s="96" t="n">
        <f aca="false">[1]ВИБУЛО2!KN12</f>
        <v>0</v>
      </c>
      <c r="AHK20" s="97" t="n">
        <f aca="false">AHK19-AHJ20+AHI20</f>
        <v>0</v>
      </c>
      <c r="AHL20" s="95" t="n">
        <f aca="false">[1]НАДІЙШЛО2!KO12</f>
        <v>0</v>
      </c>
      <c r="AHM20" s="96" t="n">
        <f aca="false">[1]ВИБУЛО2!KO12</f>
        <v>0</v>
      </c>
      <c r="AHN20" s="97" t="n">
        <f aca="false">AHN19-AHM20+AHL20</f>
        <v>0</v>
      </c>
      <c r="AHO20" s="95" t="n">
        <f aca="false">[1]НАДІЙШЛО2!KP12</f>
        <v>0</v>
      </c>
      <c r="AHP20" s="96" t="n">
        <f aca="false">[1]ВИБУЛО2!KP12</f>
        <v>0</v>
      </c>
      <c r="AHQ20" s="97" t="n">
        <f aca="false">AHQ19-AHP20+AHO20</f>
        <v>0</v>
      </c>
      <c r="AHR20" s="95" t="n">
        <f aca="false">[1]НАДІЙШЛО2!KQ12</f>
        <v>0</v>
      </c>
      <c r="AHS20" s="96" t="n">
        <f aca="false">[1]ВИБУЛО2!KQ12</f>
        <v>0</v>
      </c>
      <c r="AHT20" s="97" t="n">
        <f aca="false">AHT19-AHS20+AHR20</f>
        <v>0</v>
      </c>
      <c r="AHU20" s="95" t="n">
        <f aca="false">[1]НАДІЙШЛО2!KR12</f>
        <v>0</v>
      </c>
      <c r="AHV20" s="96" t="n">
        <f aca="false">[1]ВИБУЛО2!KR12</f>
        <v>0</v>
      </c>
      <c r="AHW20" s="97" t="n">
        <f aca="false">AHW19-AHV20+AHU20</f>
        <v>0</v>
      </c>
      <c r="AHX20" s="95" t="n">
        <f aca="false">[1]НАДІЙШЛО2!KS12</f>
        <v>0</v>
      </c>
      <c r="AHY20" s="96" t="n">
        <f aca="false">[1]ВИБУЛО2!KS12</f>
        <v>0</v>
      </c>
      <c r="AHZ20" s="97" t="n">
        <f aca="false">AHZ19-AHY20+AHX20</f>
        <v>0</v>
      </c>
      <c r="AIA20" s="95" t="n">
        <f aca="false">[1]НАДІЙШЛО2!KT12</f>
        <v>0</v>
      </c>
      <c r="AIB20" s="96" t="n">
        <f aca="false">[1]ВИБУЛО2!KT12</f>
        <v>0</v>
      </c>
      <c r="AIC20" s="97" t="n">
        <f aca="false">AIC19-AIB20+AIA20</f>
        <v>0</v>
      </c>
      <c r="AID20" s="95" t="n">
        <f aca="false">[1]НАДІЙШЛО2!KU12</f>
        <v>0</v>
      </c>
      <c r="AIE20" s="96" t="n">
        <f aca="false">[1]ВИБУЛО2!KU12</f>
        <v>0</v>
      </c>
      <c r="AIF20" s="97" t="n">
        <f aca="false">AIF19-AIE20+AID20</f>
        <v>0</v>
      </c>
      <c r="AIG20" s="95" t="n">
        <f aca="false">[1]НАДІЙШЛО2!KV12</f>
        <v>0</v>
      </c>
      <c r="AIH20" s="96" t="n">
        <f aca="false">[1]ВИБУЛО2!KV12</f>
        <v>0</v>
      </c>
      <c r="AII20" s="97" t="n">
        <f aca="false">AII19-AIH20+AIG20</f>
        <v>0</v>
      </c>
      <c r="AIJ20" s="95" t="n">
        <f aca="false">[1]НАДІЙШЛО2!KW12</f>
        <v>0</v>
      </c>
      <c r="AIK20" s="96" t="n">
        <f aca="false">[1]ВИБУЛО2!KW12</f>
        <v>0</v>
      </c>
      <c r="AIL20" s="97" t="n">
        <f aca="false">AIL19-AIK20+AIJ20</f>
        <v>0</v>
      </c>
      <c r="AIM20" s="95" t="n">
        <f aca="false">[1]НАДІЙШЛО2!KX12</f>
        <v>0</v>
      </c>
      <c r="AIN20" s="96" t="n">
        <f aca="false">[1]ВИБУЛО2!KX12</f>
        <v>0</v>
      </c>
      <c r="AIO20" s="97" t="n">
        <f aca="false">AIO19-AIN20+AIM20</f>
        <v>0</v>
      </c>
      <c r="AIP20" s="95" t="n">
        <f aca="false">[1]НАДІЙШЛО2!KY12</f>
        <v>0</v>
      </c>
      <c r="AIQ20" s="96" t="n">
        <f aca="false">[1]ВИБУЛО2!KY12</f>
        <v>0</v>
      </c>
      <c r="AIR20" s="97" t="n">
        <f aca="false">AIR19-AIQ20+AIP20</f>
        <v>0</v>
      </c>
      <c r="AIS20" s="95" t="n">
        <f aca="false">[1]НАДІЙШЛО2!KZ12</f>
        <v>0</v>
      </c>
      <c r="AIT20" s="96" t="n">
        <f aca="false">[1]ВИБУЛО2!KZ12</f>
        <v>0</v>
      </c>
      <c r="AIU20" s="97" t="n">
        <f aca="false">AIU19-AIT20+AIS20</f>
        <v>0</v>
      </c>
      <c r="AIV20" s="95" t="n">
        <f aca="false">[1]НАДІЙШЛО2!LA12</f>
        <v>0</v>
      </c>
      <c r="AIW20" s="96" t="n">
        <f aca="false">[1]ВИБУЛО2!LA12</f>
        <v>0</v>
      </c>
      <c r="AIX20" s="97" t="n">
        <f aca="false">AIX19-AIW20+AIV20</f>
        <v>0</v>
      </c>
      <c r="AIY20" s="95" t="n">
        <f aca="false">[1]НАДІЙШЛО2!LB12</f>
        <v>0</v>
      </c>
      <c r="AIZ20" s="96" t="n">
        <f aca="false">[1]ВИБУЛО2!LB12</f>
        <v>0</v>
      </c>
      <c r="AJA20" s="97" t="n">
        <f aca="false">AJA19-AIZ20+AIY20</f>
        <v>0</v>
      </c>
      <c r="AJB20" s="95" t="n">
        <f aca="false">[1]НАДІЙШЛО2!LC12</f>
        <v>0</v>
      </c>
      <c r="AJC20" s="96" t="n">
        <f aca="false">[1]ВИБУЛО2!LC12</f>
        <v>0</v>
      </c>
      <c r="AJD20" s="97" t="n">
        <f aca="false">AJD19-AJC20+AJB20</f>
        <v>0</v>
      </c>
      <c r="AJE20" s="95" t="n">
        <f aca="false">[1]НАДІЙШЛО2!LD12</f>
        <v>0</v>
      </c>
      <c r="AJF20" s="96" t="n">
        <f aca="false">[1]ВИБУЛО2!LD12</f>
        <v>0</v>
      </c>
      <c r="AJG20" s="97" t="n">
        <f aca="false">AJG19-AJF20+AJE20</f>
        <v>0</v>
      </c>
      <c r="AJH20" s="95" t="n">
        <f aca="false">[1]НАДІЙШЛО2!LE12</f>
        <v>0</v>
      </c>
      <c r="AJI20" s="96" t="n">
        <f aca="false">[1]ВИБУЛО2!LE12</f>
        <v>0</v>
      </c>
      <c r="AJJ20" s="97" t="n">
        <f aca="false">AJJ19-AJI20+AJH20</f>
        <v>0</v>
      </c>
      <c r="AJK20" s="95" t="n">
        <f aca="false">[1]НАДІЙШЛО2!LF12</f>
        <v>0</v>
      </c>
      <c r="AJL20" s="96" t="n">
        <f aca="false">[1]ВИБУЛО2!LF12</f>
        <v>0</v>
      </c>
      <c r="AJM20" s="97" t="n">
        <f aca="false">AJM19-AJL20+AJK20</f>
        <v>0</v>
      </c>
      <c r="AJN20" s="95" t="n">
        <f aca="false">[1]НАДІЙШЛО2!LG12</f>
        <v>0</v>
      </c>
      <c r="AJO20" s="96" t="n">
        <f aca="false">[1]ВИБУЛО2!LG12</f>
        <v>0</v>
      </c>
      <c r="AJP20" s="97" t="n">
        <f aca="false">AJP19-AJO20+AJN20</f>
        <v>0</v>
      </c>
      <c r="AJQ20" s="95" t="n">
        <f aca="false">[1]НАДІЙШЛО2!LH12</f>
        <v>0</v>
      </c>
      <c r="AJR20" s="96" t="n">
        <f aca="false">[1]ВИБУЛО2!LH12</f>
        <v>0</v>
      </c>
      <c r="AJS20" s="97" t="n">
        <f aca="false">AJS19-AJR20+AJQ20</f>
        <v>0</v>
      </c>
      <c r="AJT20" s="95" t="n">
        <f aca="false">[1]НАДІЙШЛО2!LI12</f>
        <v>0</v>
      </c>
      <c r="AJU20" s="96" t="n">
        <f aca="false">[1]ВИБУЛО2!LI12</f>
        <v>0</v>
      </c>
      <c r="AJV20" s="97" t="n">
        <f aca="false">AJV19-AJU20+AJT20</f>
        <v>0</v>
      </c>
      <c r="AJW20" s="95" t="n">
        <f aca="false">[1]НАДІЙШЛО2!LJ12</f>
        <v>0</v>
      </c>
      <c r="AJX20" s="96" t="n">
        <f aca="false">[1]ВИБУЛО2!LJ12</f>
        <v>0</v>
      </c>
      <c r="AJY20" s="97" t="n">
        <f aca="false">AJY19-AJX20+AJW20</f>
        <v>0</v>
      </c>
      <c r="AJZ20" s="95" t="n">
        <f aca="false">[1]НАДІЙШЛО2!LK12</f>
        <v>0</v>
      </c>
      <c r="AKA20" s="96" t="n">
        <f aca="false">[1]ВИБУЛО2!LK12</f>
        <v>0</v>
      </c>
      <c r="AKB20" s="97" t="n">
        <f aca="false">AKB19-AKA20+AJZ20</f>
        <v>0</v>
      </c>
      <c r="AKC20" s="95" t="n">
        <f aca="false">[1]НАДІЙШЛО2!LL12</f>
        <v>0</v>
      </c>
      <c r="AKD20" s="96" t="n">
        <f aca="false">[1]ВИБУЛО2!LL12</f>
        <v>0</v>
      </c>
      <c r="AKE20" s="97" t="n">
        <f aca="false">AKE19-AKD20+AKC20</f>
        <v>0</v>
      </c>
      <c r="AKF20" s="95" t="n">
        <f aca="false">[1]НАДІЙШЛО2!LM12</f>
        <v>0</v>
      </c>
      <c r="AKG20" s="96" t="n">
        <f aca="false">[1]ВИБУЛО2!LM12</f>
        <v>0</v>
      </c>
      <c r="AKH20" s="97" t="n">
        <f aca="false">AKH19-AKG20+AKF20</f>
        <v>0</v>
      </c>
      <c r="AKI20" s="95" t="n">
        <f aca="false">[1]НАДІЙШЛО2!LN12</f>
        <v>0</v>
      </c>
      <c r="AKJ20" s="96" t="n">
        <f aca="false">[1]ВИБУЛО2!LN12</f>
        <v>0</v>
      </c>
      <c r="AKK20" s="97" t="n">
        <f aca="false">AKK19-AKJ20+AKI20</f>
        <v>0</v>
      </c>
      <c r="AKL20" s="95" t="n">
        <f aca="false">[1]НАДІЙШЛО2!LO12</f>
        <v>0</v>
      </c>
      <c r="AKM20" s="96" t="n">
        <f aca="false">[1]ВИБУЛО2!LO12</f>
        <v>0</v>
      </c>
      <c r="AKN20" s="97" t="n">
        <f aca="false">AKN19-AKM20+AKL20</f>
        <v>0</v>
      </c>
      <c r="AKO20" s="95" t="n">
        <f aca="false">[1]НАДІЙШЛО2!LP12</f>
        <v>0</v>
      </c>
      <c r="AKP20" s="96" t="n">
        <f aca="false">[1]ВИБУЛО2!LP12</f>
        <v>0</v>
      </c>
      <c r="AKQ20" s="97" t="n">
        <f aca="false">AKQ19-AKP20+AKO20</f>
        <v>0</v>
      </c>
      <c r="AKR20" s="95" t="n">
        <f aca="false">[1]НАДІЙШЛО2!LQ12</f>
        <v>0</v>
      </c>
      <c r="AKS20" s="96" t="n">
        <f aca="false">[1]ВИБУЛО2!LQ12</f>
        <v>0</v>
      </c>
      <c r="AKT20" s="97" t="n">
        <f aca="false">AKT19-AKS20+AKR20</f>
        <v>0</v>
      </c>
      <c r="AKU20" s="95" t="n">
        <f aca="false">[1]НАДІЙШЛО2!LR12</f>
        <v>0</v>
      </c>
      <c r="AKV20" s="96" t="n">
        <f aca="false">[1]ВИБУЛО2!LR12</f>
        <v>0</v>
      </c>
      <c r="AKW20" s="97" t="n">
        <f aca="false">AKW19-AKV20+AKU20</f>
        <v>0</v>
      </c>
      <c r="AKX20" s="95" t="n">
        <f aca="false">[1]НАДІЙШЛО2!LS12</f>
        <v>0</v>
      </c>
      <c r="AKY20" s="96" t="n">
        <f aca="false">[1]ВИБУЛО2!LS12</f>
        <v>0</v>
      </c>
      <c r="AKZ20" s="97" t="n">
        <f aca="false">AKZ19-AKY20+AKX20</f>
        <v>0</v>
      </c>
      <c r="ALA20" s="95" t="n">
        <f aca="false">[1]НАДІЙШЛО2!LT12</f>
        <v>0</v>
      </c>
      <c r="ALB20" s="96" t="n">
        <f aca="false">[1]ВИБУЛО2!LT12</f>
        <v>0</v>
      </c>
      <c r="ALC20" s="97" t="n">
        <f aca="false">ALC19-ALB20+ALA20</f>
        <v>0</v>
      </c>
      <c r="ALD20" s="95" t="n">
        <f aca="false">[1]НАДІЙШЛО2!LU12</f>
        <v>0</v>
      </c>
      <c r="ALE20" s="96" t="n">
        <f aca="false">[1]ВИБУЛО2!LU12</f>
        <v>0</v>
      </c>
      <c r="ALF20" s="97" t="n">
        <f aca="false">ALF19-ALE20+ALD20</f>
        <v>0</v>
      </c>
      <c r="ALG20" s="95" t="n">
        <f aca="false">[1]НАДІЙШЛО2!LV12</f>
        <v>0</v>
      </c>
      <c r="ALH20" s="96" t="n">
        <f aca="false">[1]ВИБУЛО2!LV12</f>
        <v>0</v>
      </c>
      <c r="ALI20" s="97" t="n">
        <f aca="false">ALI19-ALH20+ALG20</f>
        <v>0</v>
      </c>
      <c r="ALJ20" s="95" t="n">
        <f aca="false">[1]НАДІЙШЛО2!LW12</f>
        <v>0</v>
      </c>
      <c r="ALK20" s="96" t="n">
        <f aca="false">[1]ВИБУЛО2!LW12</f>
        <v>0</v>
      </c>
      <c r="ALL20" s="97" t="n">
        <f aca="false">ALL19-ALK20+ALJ20</f>
        <v>0</v>
      </c>
      <c r="ALM20" s="95" t="n">
        <f aca="false">[1]НАДІЙШЛО2!LX12</f>
        <v>0</v>
      </c>
      <c r="ALN20" s="96" t="n">
        <f aca="false">[1]ВИБУЛО2!LX12</f>
        <v>0</v>
      </c>
      <c r="ALO20" s="97" t="n">
        <f aca="false">ALO19-ALN20+ALM20</f>
        <v>0</v>
      </c>
      <c r="ALP20" s="95" t="n">
        <f aca="false">[1]НАДІЙШЛО2!LY12</f>
        <v>0</v>
      </c>
      <c r="ALQ20" s="96" t="n">
        <f aca="false">[1]ВИБУЛО2!LY12</f>
        <v>0</v>
      </c>
      <c r="ALR20" s="97" t="n">
        <f aca="false">ALR19-ALQ20+ALP20</f>
        <v>0</v>
      </c>
      <c r="ALS20" s="95" t="n">
        <f aca="false">[1]НАДІЙШЛО2!LZ12</f>
        <v>0</v>
      </c>
      <c r="ALT20" s="96" t="n">
        <f aca="false">[1]ВИБУЛО2!LZ12</f>
        <v>0</v>
      </c>
      <c r="ALU20" s="97" t="n">
        <f aca="false">ALU19-ALT20+ALS20</f>
        <v>0</v>
      </c>
      <c r="ALV20" s="95" t="n">
        <f aca="false">[1]НАДІЙШЛО2!MA12</f>
        <v>0</v>
      </c>
      <c r="ALW20" s="96" t="n">
        <f aca="false">[1]ВИБУЛО2!MA12</f>
        <v>0</v>
      </c>
      <c r="ALX20" s="97" t="n">
        <f aca="false">ALX19-ALW20+ALV20</f>
        <v>0</v>
      </c>
      <c r="ALY20" s="95" t="n">
        <f aca="false">[1]НАДІЙШЛО2!MB12</f>
        <v>0</v>
      </c>
      <c r="ALZ20" s="96" t="n">
        <f aca="false">[1]ВИБУЛО2!MB12</f>
        <v>0</v>
      </c>
      <c r="AMA20" s="97" t="n">
        <f aca="false">AMA19-ALZ20+ALY20</f>
        <v>0</v>
      </c>
      <c r="AMB20" s="95" t="n">
        <f aca="false">[1]НАДІЙШЛО2!MC12</f>
        <v>0</v>
      </c>
      <c r="AMC20" s="96" t="n">
        <f aca="false">[1]ВИБУЛО2!MC12</f>
        <v>0</v>
      </c>
      <c r="AMD20" s="97" t="n">
        <f aca="false">AMD19-AMC20+AMB20</f>
        <v>0</v>
      </c>
      <c r="AME20" s="95" t="n">
        <f aca="false">[1]НАДІЙШЛО2!MD12</f>
        <v>0</v>
      </c>
      <c r="AMF20" s="96" t="n">
        <f aca="false">[1]ВИБУЛО2!MD12</f>
        <v>0</v>
      </c>
      <c r="AMG20" s="97" t="n">
        <f aca="false">AMG19-AMF20+AME20</f>
        <v>0</v>
      </c>
      <c r="AMH20" s="95" t="n">
        <f aca="false">[1]НАДІЙШЛО2!ME12</f>
        <v>0</v>
      </c>
      <c r="AMI20" s="96" t="n">
        <f aca="false">[1]ВИБУЛО2!ME12</f>
        <v>0</v>
      </c>
      <c r="AMJ20" s="97" t="n">
        <f aca="false">AMJ19-AMI20+AMH20</f>
        <v>0</v>
      </c>
    </row>
    <row r="21" s="99" customFormat="true" ht="16.5" hidden="false" customHeight="false" outlineLevel="0" collapsed="false">
      <c r="A21" s="98"/>
      <c r="D21" s="103"/>
      <c r="E21" s="95" t="n">
        <f aca="false">[1]НАДІЙШЛО2!D13</f>
        <v>0</v>
      </c>
      <c r="F21" s="96" t="n">
        <f aca="false">[1]ВИБУЛО2!D13</f>
        <v>0</v>
      </c>
      <c r="G21" s="97" t="n">
        <f aca="false">G20-F21+E21</f>
        <v>0</v>
      </c>
      <c r="H21" s="95" t="n">
        <f aca="false">[1]НАДІЙШЛО2!E13</f>
        <v>0</v>
      </c>
      <c r="I21" s="96" t="n">
        <f aca="false">[1]ВИБУЛО2!E13</f>
        <v>0</v>
      </c>
      <c r="J21" s="97" t="n">
        <f aca="false">J20-I21+H21</f>
        <v>0</v>
      </c>
      <c r="K21" s="95" t="n">
        <f aca="false">[1]НАДІЙШЛО2!F13</f>
        <v>0</v>
      </c>
      <c r="L21" s="96" t="n">
        <f aca="false">[1]ВИБУЛО2!F13</f>
        <v>0</v>
      </c>
      <c r="M21" s="97" t="n">
        <f aca="false">M20-L21+K21</f>
        <v>2.06</v>
      </c>
      <c r="N21" s="95" t="n">
        <f aca="false">[1]НАДІЙШЛО2!G13</f>
        <v>0</v>
      </c>
      <c r="O21" s="96" t="n">
        <f aca="false">[1]ВИБУЛО2!G13</f>
        <v>0</v>
      </c>
      <c r="P21" s="97" t="n">
        <f aca="false">P20-O21+N21</f>
        <v>0</v>
      </c>
      <c r="Q21" s="95" t="n">
        <f aca="false">[1]НАДІЙШЛО2!H13</f>
        <v>0</v>
      </c>
      <c r="R21" s="96" t="n">
        <f aca="false">[1]ВИБУЛО2!H13</f>
        <v>0</v>
      </c>
      <c r="S21" s="97" t="n">
        <f aca="false">S20-R21+Q21</f>
        <v>0</v>
      </c>
      <c r="T21" s="95" t="n">
        <f aca="false">[1]НАДІЙШЛО2!I13</f>
        <v>0</v>
      </c>
      <c r="U21" s="96" t="n">
        <f aca="false">[1]ВИБУЛО2!I13</f>
        <v>0</v>
      </c>
      <c r="V21" s="97" t="n">
        <f aca="false">V20-U21+T21</f>
        <v>0</v>
      </c>
      <c r="W21" s="95" t="n">
        <f aca="false">[1]НАДІЙШЛО2!J13</f>
        <v>0</v>
      </c>
      <c r="X21" s="96" t="n">
        <f aca="false">[1]ВИБУЛО2!J13</f>
        <v>0</v>
      </c>
      <c r="Y21" s="97" t="n">
        <f aca="false">Y20-X21+W21</f>
        <v>0</v>
      </c>
      <c r="Z21" s="95" t="n">
        <f aca="false">[1]НАДІЙШЛО2!K13</f>
        <v>0</v>
      </c>
      <c r="AA21" s="96" t="n">
        <f aca="false">[1]ВИБУЛО2!K13</f>
        <v>0</v>
      </c>
      <c r="AB21" s="97" t="n">
        <f aca="false">AB20-AA21+Z21</f>
        <v>0</v>
      </c>
      <c r="AC21" s="95" t="n">
        <f aca="false">[1]НАДІЙШЛО2!L13</f>
        <v>0</v>
      </c>
      <c r="AD21" s="96" t="n">
        <f aca="false">[1]ВИБУЛО2!L13</f>
        <v>0</v>
      </c>
      <c r="AE21" s="97" t="n">
        <f aca="false">AE20-AD21+AC21</f>
        <v>0</v>
      </c>
      <c r="AF21" s="95" t="n">
        <f aca="false">[1]НАДІЙШЛО2!M13</f>
        <v>0</v>
      </c>
      <c r="AG21" s="96" t="n">
        <f aca="false">[1]ВИБУЛО2!M13</f>
        <v>0</v>
      </c>
      <c r="AH21" s="97" t="n">
        <f aca="false">AH20-AG21+AF21</f>
        <v>0</v>
      </c>
      <c r="AI21" s="95" t="n">
        <f aca="false">[1]НАДІЙШЛО2!N13</f>
        <v>0</v>
      </c>
      <c r="AJ21" s="96" t="n">
        <f aca="false">[1]ВИБУЛО2!N13</f>
        <v>0</v>
      </c>
      <c r="AK21" s="97" t="n">
        <f aca="false">AK20-AJ21+AI21</f>
        <v>0</v>
      </c>
      <c r="AL21" s="95" t="n">
        <f aca="false">[1]НАДІЙШЛО2!O13</f>
        <v>0</v>
      </c>
      <c r="AM21" s="96" t="n">
        <f aca="false">[1]ВИБУЛО2!O13</f>
        <v>0</v>
      </c>
      <c r="AN21" s="97" t="n">
        <f aca="false">AN20-AM21+AL21</f>
        <v>0</v>
      </c>
      <c r="AO21" s="95" t="n">
        <f aca="false">[1]НАДІЙШЛО2!P13</f>
        <v>0</v>
      </c>
      <c r="AP21" s="96" t="n">
        <f aca="false">[1]ВИБУЛО2!P13</f>
        <v>0</v>
      </c>
      <c r="AQ21" s="97" t="n">
        <f aca="false">AQ20-AP21+AO21</f>
        <v>0</v>
      </c>
      <c r="AR21" s="95" t="n">
        <f aca="false">[1]НАДІЙШЛО2!Q13</f>
        <v>0</v>
      </c>
      <c r="AS21" s="96" t="n">
        <f aca="false">[1]ВИБУЛО2!Q13</f>
        <v>0</v>
      </c>
      <c r="AT21" s="97" t="n">
        <f aca="false">AT20-AS21+AR21</f>
        <v>0</v>
      </c>
      <c r="AU21" s="95" t="n">
        <f aca="false">[1]НАДІЙШЛО2!R13</f>
        <v>0</v>
      </c>
      <c r="AV21" s="96" t="n">
        <f aca="false">[1]ВИБУЛО2!R13</f>
        <v>0</v>
      </c>
      <c r="AW21" s="97" t="n">
        <f aca="false">AW20-AV21+AU21</f>
        <v>0</v>
      </c>
      <c r="AX21" s="95" t="n">
        <f aca="false">[1]НАДІЙШЛО2!S13</f>
        <v>0</v>
      </c>
      <c r="AY21" s="96" t="n">
        <f aca="false">[1]ВИБУЛО2!S13</f>
        <v>0</v>
      </c>
      <c r="AZ21" s="97" t="n">
        <f aca="false">AZ20-AY21+AX21</f>
        <v>0</v>
      </c>
      <c r="BA21" s="95" t="n">
        <f aca="false">[1]НАДІЙШЛО2!T13</f>
        <v>0</v>
      </c>
      <c r="BB21" s="96" t="n">
        <f aca="false">[1]ВИБУЛО2!T13</f>
        <v>0</v>
      </c>
      <c r="BC21" s="97" t="n">
        <f aca="false">BC20-BB21+BA21</f>
        <v>0</v>
      </c>
      <c r="BD21" s="95" t="n">
        <f aca="false">[1]НАДІЙШЛО2!U13</f>
        <v>0</v>
      </c>
      <c r="BE21" s="96" t="n">
        <f aca="false">[1]ВИБУЛО2!U13</f>
        <v>0</v>
      </c>
      <c r="BF21" s="97" t="n">
        <f aca="false">BF20-BE21+BD21</f>
        <v>0</v>
      </c>
      <c r="BG21" s="95" t="n">
        <f aca="false">[1]НАДІЙШЛО2!V13</f>
        <v>0</v>
      </c>
      <c r="BH21" s="96" t="n">
        <f aca="false">[1]ВИБУЛО2!V13</f>
        <v>0</v>
      </c>
      <c r="BI21" s="97" t="n">
        <f aca="false">BI20-BH21+BG21</f>
        <v>0</v>
      </c>
      <c r="BJ21" s="95" t="n">
        <f aca="false">[1]НАДІЙШЛО2!W13</f>
        <v>0</v>
      </c>
      <c r="BK21" s="96" t="n">
        <f aca="false">[1]ВИБУЛО2!W13</f>
        <v>0</v>
      </c>
      <c r="BL21" s="97" t="n">
        <f aca="false">BL20-BK21+BJ21</f>
        <v>0</v>
      </c>
      <c r="BM21" s="95" t="n">
        <f aca="false">[1]НАДІЙШЛО2!X13</f>
        <v>0</v>
      </c>
      <c r="BN21" s="96" t="n">
        <f aca="false">[1]ВИБУЛО2!X13</f>
        <v>0</v>
      </c>
      <c r="BO21" s="97" t="n">
        <f aca="false">BO20-BN21+BM21</f>
        <v>0</v>
      </c>
      <c r="BP21" s="95" t="n">
        <f aca="false">[1]НАДІЙШЛО2!Y13</f>
        <v>0</v>
      </c>
      <c r="BQ21" s="96" t="n">
        <f aca="false">[1]ВИБУЛО2!Y13</f>
        <v>0</v>
      </c>
      <c r="BR21" s="97" t="n">
        <f aca="false">BR20-BQ21+BP21</f>
        <v>0</v>
      </c>
      <c r="BS21" s="95" t="n">
        <f aca="false">[1]НАДІЙШЛО2!Z13</f>
        <v>0</v>
      </c>
      <c r="BT21" s="96" t="n">
        <f aca="false">[1]ВИБУЛО2!Z13</f>
        <v>0</v>
      </c>
      <c r="BU21" s="97" t="n">
        <f aca="false">BU20-BT21+BS21</f>
        <v>0</v>
      </c>
      <c r="BV21" s="95" t="n">
        <f aca="false">[1]НАДІЙШЛО2!AA13</f>
        <v>0</v>
      </c>
      <c r="BW21" s="96" t="n">
        <f aca="false">[1]ВИБУЛО2!AA13</f>
        <v>0</v>
      </c>
      <c r="BX21" s="97" t="n">
        <f aca="false">BX20-BW21+BV21</f>
        <v>0</v>
      </c>
      <c r="BY21" s="95" t="n">
        <f aca="false">[1]НАДІЙШЛО2!AB13</f>
        <v>0</v>
      </c>
      <c r="BZ21" s="96" t="n">
        <f aca="false">[1]ВИБУЛО2!AB13</f>
        <v>0</v>
      </c>
      <c r="CA21" s="97" t="n">
        <f aca="false">CA20-BZ21+BY21</f>
        <v>0</v>
      </c>
      <c r="CB21" s="95" t="n">
        <f aca="false">[1]НАДІЙШЛО2!AC13</f>
        <v>0</v>
      </c>
      <c r="CC21" s="96" t="n">
        <f aca="false">[1]ВИБУЛО2!AC13</f>
        <v>0</v>
      </c>
      <c r="CD21" s="97" t="n">
        <f aca="false">CD20-CC21+CB21</f>
        <v>0</v>
      </c>
      <c r="CE21" s="95" t="n">
        <f aca="false">[1]НАДІЙШЛО2!AD13</f>
        <v>0</v>
      </c>
      <c r="CF21" s="96" t="n">
        <f aca="false">[1]ВИБУЛО2!AD13</f>
        <v>0</v>
      </c>
      <c r="CG21" s="97" t="n">
        <f aca="false">CG20-CF21+CE21</f>
        <v>0</v>
      </c>
      <c r="CH21" s="95" t="n">
        <f aca="false">[1]НАДІЙШЛО2!AE13</f>
        <v>0</v>
      </c>
      <c r="CI21" s="96" t="n">
        <f aca="false">[1]ВИБУЛО2!AE13</f>
        <v>0</v>
      </c>
      <c r="CJ21" s="97" t="n">
        <f aca="false">CJ20-CI21+CH21</f>
        <v>0</v>
      </c>
      <c r="CK21" s="95" t="n">
        <f aca="false">[1]НАДІЙШЛО2!AF13</f>
        <v>0</v>
      </c>
      <c r="CL21" s="96" t="n">
        <f aca="false">[1]ВИБУЛО2!AF13</f>
        <v>0</v>
      </c>
      <c r="CM21" s="97" t="n">
        <f aca="false">CM20-CL21+CK21</f>
        <v>0</v>
      </c>
      <c r="CN21" s="95" t="n">
        <f aca="false">[1]НАДІЙШЛО2!AG13</f>
        <v>0</v>
      </c>
      <c r="CO21" s="96" t="n">
        <f aca="false">[1]ВИБУЛО2!AG13</f>
        <v>0</v>
      </c>
      <c r="CP21" s="97" t="n">
        <f aca="false">CP20-CO21+CN21</f>
        <v>0</v>
      </c>
      <c r="CQ21" s="95" t="n">
        <f aca="false">[1]НАДІЙШЛО2!AH13</f>
        <v>0</v>
      </c>
      <c r="CR21" s="96" t="n">
        <f aca="false">[1]ВИБУЛО2!AH13</f>
        <v>0</v>
      </c>
      <c r="CS21" s="97" t="n">
        <f aca="false">CS20-CR21+CQ21</f>
        <v>0</v>
      </c>
      <c r="CT21" s="95" t="n">
        <f aca="false">[1]НАДІЙШЛО2!AI13</f>
        <v>0</v>
      </c>
      <c r="CU21" s="96" t="n">
        <f aca="false">[1]ВИБУЛО2!AI13</f>
        <v>0</v>
      </c>
      <c r="CV21" s="97" t="n">
        <f aca="false">CV20-CU21+CT21</f>
        <v>0</v>
      </c>
      <c r="CW21" s="95" t="n">
        <f aca="false">[1]НАДІЙШЛО2!AJ13</f>
        <v>0</v>
      </c>
      <c r="CX21" s="96" t="n">
        <f aca="false">[1]ВИБУЛО2!AJ13</f>
        <v>0</v>
      </c>
      <c r="CY21" s="97" t="n">
        <f aca="false">CY20-CX21+CW21</f>
        <v>0</v>
      </c>
      <c r="CZ21" s="95" t="n">
        <f aca="false">[1]НАДІЙШЛО2!AK13</f>
        <v>0</v>
      </c>
      <c r="DA21" s="96" t="n">
        <f aca="false">[1]ВИБУЛО2!AK13</f>
        <v>0</v>
      </c>
      <c r="DB21" s="97" t="n">
        <f aca="false">DB20-DA21+CZ21</f>
        <v>0</v>
      </c>
      <c r="DC21" s="95" t="n">
        <f aca="false">[1]НАДІЙШЛО2!AL13</f>
        <v>0</v>
      </c>
      <c r="DD21" s="96" t="n">
        <f aca="false">[1]ВИБУЛО2!AL13</f>
        <v>0</v>
      </c>
      <c r="DE21" s="97" t="n">
        <f aca="false">DE20-DD21+DC21</f>
        <v>0</v>
      </c>
      <c r="DF21" s="95" t="n">
        <f aca="false">[1]НАДІЙШЛО2!AM13</f>
        <v>0</v>
      </c>
      <c r="DG21" s="96" t="n">
        <f aca="false">[1]ВИБУЛО2!AM13</f>
        <v>0</v>
      </c>
      <c r="DH21" s="97" t="n">
        <f aca="false">DH20-DG21+DF21</f>
        <v>0</v>
      </c>
      <c r="DI21" s="95" t="n">
        <f aca="false">[1]НАДІЙШЛО2!AN13</f>
        <v>0</v>
      </c>
      <c r="DJ21" s="96" t="n">
        <f aca="false">[1]ВИБУЛО2!AN13</f>
        <v>0</v>
      </c>
      <c r="DK21" s="97" t="n">
        <f aca="false">DK20-DJ21+DI21</f>
        <v>0</v>
      </c>
      <c r="DL21" s="95" t="n">
        <f aca="false">[1]НАДІЙШЛО2!AO13</f>
        <v>0</v>
      </c>
      <c r="DM21" s="96" t="n">
        <f aca="false">[1]ВИБУЛО2!AO13</f>
        <v>0</v>
      </c>
      <c r="DN21" s="97" t="n">
        <f aca="false">DN20-DM21+DL21</f>
        <v>0</v>
      </c>
      <c r="DO21" s="95" t="n">
        <f aca="false">[1]НАДІЙШЛО2!AP13</f>
        <v>0</v>
      </c>
      <c r="DP21" s="96" t="n">
        <f aca="false">[1]ВИБУЛО2!AP13</f>
        <v>0</v>
      </c>
      <c r="DQ21" s="97" t="n">
        <f aca="false">DQ20-DP21+DO21</f>
        <v>0</v>
      </c>
      <c r="DR21" s="95" t="n">
        <f aca="false">[1]НАДІЙШЛО2!AQ13</f>
        <v>0</v>
      </c>
      <c r="DS21" s="96" t="n">
        <f aca="false">[1]ВИБУЛО2!AQ13</f>
        <v>0</v>
      </c>
      <c r="DT21" s="97" t="n">
        <f aca="false">DT20-DS21+DR21</f>
        <v>0</v>
      </c>
      <c r="DU21" s="95" t="n">
        <f aca="false">[1]НАДІЙШЛО2!AR13</f>
        <v>0</v>
      </c>
      <c r="DV21" s="96" t="n">
        <f aca="false">[1]ВИБУЛО2!AR13</f>
        <v>0</v>
      </c>
      <c r="DW21" s="97" t="n">
        <f aca="false">DW20-DV21+DU21</f>
        <v>0</v>
      </c>
      <c r="DX21" s="95" t="n">
        <f aca="false">[1]НАДІЙШЛО2!AS13</f>
        <v>0</v>
      </c>
      <c r="DY21" s="96" t="n">
        <f aca="false">[1]ВИБУЛО2!AS13</f>
        <v>0</v>
      </c>
      <c r="DZ21" s="97" t="n">
        <f aca="false">DZ20-DY21+DX21</f>
        <v>0</v>
      </c>
      <c r="EA21" s="95" t="n">
        <f aca="false">[1]НАДІЙШЛО2!AT13</f>
        <v>0</v>
      </c>
      <c r="EB21" s="96" t="n">
        <f aca="false">[1]ВИБУЛО2!AT13</f>
        <v>0</v>
      </c>
      <c r="EC21" s="97" t="n">
        <f aca="false">EC20-EB21+EA21</f>
        <v>0</v>
      </c>
      <c r="ED21" s="95" t="n">
        <f aca="false">[1]НАДІЙШЛО2!AU13</f>
        <v>0</v>
      </c>
      <c r="EE21" s="96" t="n">
        <f aca="false">[1]ВИБУЛО2!AU13</f>
        <v>0</v>
      </c>
      <c r="EF21" s="97" t="n">
        <f aca="false">EF20-EE21+ED21</f>
        <v>0</v>
      </c>
      <c r="EG21" s="95" t="n">
        <f aca="false">[1]НАДІЙШЛО2!AV13</f>
        <v>0</v>
      </c>
      <c r="EH21" s="96" t="n">
        <f aca="false">[1]ВИБУЛО2!AV13</f>
        <v>0</v>
      </c>
      <c r="EI21" s="97" t="n">
        <f aca="false">EI20-EH21+EG21</f>
        <v>0</v>
      </c>
      <c r="EJ21" s="95" t="n">
        <f aca="false">[1]НАДІЙШЛО2!AW13</f>
        <v>0</v>
      </c>
      <c r="EK21" s="96" t="n">
        <f aca="false">[1]ВИБУЛО2!AW13</f>
        <v>0</v>
      </c>
      <c r="EL21" s="97" t="n">
        <f aca="false">EL20-EK21+EJ21</f>
        <v>0</v>
      </c>
      <c r="EM21" s="95" t="n">
        <f aca="false">[1]НАДІЙШЛО2!AX13</f>
        <v>0</v>
      </c>
      <c r="EN21" s="96" t="n">
        <f aca="false">[1]ВИБУЛО2!AX13</f>
        <v>0</v>
      </c>
      <c r="EO21" s="97" t="n">
        <f aca="false">EO20-EN21+EM21</f>
        <v>0</v>
      </c>
      <c r="EP21" s="95" t="n">
        <f aca="false">[1]НАДІЙШЛО2!AY13</f>
        <v>0</v>
      </c>
      <c r="EQ21" s="96" t="n">
        <f aca="false">[1]ВИБУЛО2!AY13</f>
        <v>0</v>
      </c>
      <c r="ER21" s="97" t="n">
        <f aca="false">ER20-EQ21+EP21</f>
        <v>0</v>
      </c>
      <c r="ES21" s="95" t="n">
        <f aca="false">[1]НАДІЙШЛО2!AZ13</f>
        <v>0</v>
      </c>
      <c r="ET21" s="96" t="n">
        <f aca="false">[1]ВИБУЛО2!AZ13</f>
        <v>0</v>
      </c>
      <c r="EU21" s="97" t="n">
        <f aca="false">EU20-ET21+ES21</f>
        <v>0</v>
      </c>
      <c r="EV21" s="95" t="n">
        <f aca="false">[1]НАДІЙШЛО2!BA13</f>
        <v>0</v>
      </c>
      <c r="EW21" s="96" t="n">
        <f aca="false">[1]ВИБУЛО2!BA13</f>
        <v>0</v>
      </c>
      <c r="EX21" s="97" t="n">
        <f aca="false">EX20-EW21+EV21</f>
        <v>0</v>
      </c>
      <c r="EY21" s="95" t="n">
        <f aca="false">[1]НАДІЙШЛО2!BB13</f>
        <v>0</v>
      </c>
      <c r="EZ21" s="96" t="n">
        <f aca="false">[1]ВИБУЛО2!BB13</f>
        <v>0</v>
      </c>
      <c r="FA21" s="97" t="n">
        <f aca="false">FA20-EZ21+EY21</f>
        <v>0</v>
      </c>
      <c r="FB21" s="95" t="n">
        <f aca="false">[1]НАДІЙШЛО2!BC13</f>
        <v>0</v>
      </c>
      <c r="FC21" s="96" t="n">
        <f aca="false">[1]ВИБУЛО2!BC13</f>
        <v>0</v>
      </c>
      <c r="FD21" s="97" t="n">
        <f aca="false">FD20-FC21+FB21</f>
        <v>0</v>
      </c>
      <c r="FE21" s="95" t="n">
        <f aca="false">[1]НАДІЙШЛО2!BD13</f>
        <v>0</v>
      </c>
      <c r="FF21" s="96" t="n">
        <f aca="false">[1]ВИБУЛО2!BD13</f>
        <v>0</v>
      </c>
      <c r="FG21" s="97" t="n">
        <f aca="false">FG20-FF21+FE21</f>
        <v>0</v>
      </c>
      <c r="FH21" s="95" t="n">
        <f aca="false">[1]НАДІЙШЛО2!BE13</f>
        <v>0</v>
      </c>
      <c r="FI21" s="96" t="n">
        <f aca="false">[1]ВИБУЛО2!BE13</f>
        <v>0</v>
      </c>
      <c r="FJ21" s="97" t="n">
        <f aca="false">FJ20-FI21+FH21</f>
        <v>0</v>
      </c>
      <c r="FK21" s="95" t="n">
        <f aca="false">[1]НАДІЙШЛО2!BF13</f>
        <v>0</v>
      </c>
      <c r="FL21" s="96" t="n">
        <f aca="false">[1]ВИБУЛО2!BF13</f>
        <v>0</v>
      </c>
      <c r="FM21" s="97" t="n">
        <f aca="false">FM20-FL21+FK21</f>
        <v>0</v>
      </c>
      <c r="FN21" s="95" t="n">
        <f aca="false">[1]НАДІЙШЛО2!BG13</f>
        <v>0</v>
      </c>
      <c r="FO21" s="96" t="n">
        <f aca="false">[1]ВИБУЛО2!BG13</f>
        <v>0</v>
      </c>
      <c r="FP21" s="97" t="n">
        <f aca="false">FP20-FO21+FN21</f>
        <v>0</v>
      </c>
      <c r="FQ21" s="95" t="n">
        <f aca="false">[1]НАДІЙШЛО2!BH13</f>
        <v>0</v>
      </c>
      <c r="FR21" s="96" t="n">
        <f aca="false">[1]ВИБУЛО2!BH13</f>
        <v>0</v>
      </c>
      <c r="FS21" s="97" t="n">
        <f aca="false">FS20-FR21+FQ21</f>
        <v>0</v>
      </c>
      <c r="FT21" s="95" t="n">
        <f aca="false">[1]НАДІЙШЛО2!BI13</f>
        <v>0</v>
      </c>
      <c r="FU21" s="96" t="n">
        <f aca="false">[1]ВИБУЛО2!BI13</f>
        <v>0</v>
      </c>
      <c r="FV21" s="97" t="n">
        <f aca="false">FV20-FU21+FT21</f>
        <v>0</v>
      </c>
      <c r="FW21" s="95" t="n">
        <f aca="false">[1]НАДІЙШЛО2!BJ13</f>
        <v>0</v>
      </c>
      <c r="FX21" s="96" t="n">
        <f aca="false">[1]ВИБУЛО2!BJ13</f>
        <v>0</v>
      </c>
      <c r="FY21" s="97" t="n">
        <f aca="false">FY20-FX21+FW21</f>
        <v>0</v>
      </c>
      <c r="FZ21" s="95" t="n">
        <f aca="false">[1]НАДІЙШЛО2!BK13</f>
        <v>0</v>
      </c>
      <c r="GA21" s="96" t="n">
        <f aca="false">[1]ВИБУЛО2!BK13</f>
        <v>0</v>
      </c>
      <c r="GB21" s="97" t="n">
        <f aca="false">GB20-GA21+FZ21</f>
        <v>0</v>
      </c>
      <c r="GC21" s="95" t="n">
        <f aca="false">[1]НАДІЙШЛО2!BL13</f>
        <v>0</v>
      </c>
      <c r="GD21" s="96" t="n">
        <f aca="false">[1]ВИБУЛО2!BL13</f>
        <v>0</v>
      </c>
      <c r="GE21" s="97" t="n">
        <f aca="false">GE20-GD21+GC21</f>
        <v>0</v>
      </c>
      <c r="GF21" s="95" t="n">
        <f aca="false">[1]НАДІЙШЛО2!BM13</f>
        <v>0</v>
      </c>
      <c r="GG21" s="96" t="n">
        <f aca="false">[1]ВИБУЛО2!BM13</f>
        <v>0</v>
      </c>
      <c r="GH21" s="97" t="n">
        <f aca="false">GH20-GG21+GF21</f>
        <v>0</v>
      </c>
      <c r="GI21" s="95" t="n">
        <f aca="false">[1]НАДІЙШЛО2!BN13</f>
        <v>0</v>
      </c>
      <c r="GJ21" s="96" t="n">
        <f aca="false">[1]ВИБУЛО2!BN13</f>
        <v>0</v>
      </c>
      <c r="GK21" s="97" t="n">
        <f aca="false">GK20-GJ21+GI21</f>
        <v>0</v>
      </c>
      <c r="GL21" s="95" t="n">
        <f aca="false">[1]НАДІЙШЛО2!BO13</f>
        <v>0</v>
      </c>
      <c r="GM21" s="96" t="n">
        <f aca="false">[1]ВИБУЛО2!BO13</f>
        <v>0</v>
      </c>
      <c r="GN21" s="97" t="n">
        <f aca="false">GN20-GM21+GL21</f>
        <v>0</v>
      </c>
      <c r="GO21" s="95" t="n">
        <f aca="false">[1]НАДІЙШЛО2!BP13</f>
        <v>0</v>
      </c>
      <c r="GP21" s="96" t="n">
        <f aca="false">[1]ВИБУЛО2!BP13</f>
        <v>0</v>
      </c>
      <c r="GQ21" s="97" t="n">
        <f aca="false">GQ20-GP21+GO21</f>
        <v>0</v>
      </c>
      <c r="GR21" s="95" t="n">
        <f aca="false">[1]НАДІЙШЛО2!BQ13</f>
        <v>0</v>
      </c>
      <c r="GS21" s="96" t="n">
        <f aca="false">[1]ВИБУЛО2!BQ13</f>
        <v>0</v>
      </c>
      <c r="GT21" s="97" t="n">
        <f aca="false">GT20-GS21+GR21</f>
        <v>0</v>
      </c>
      <c r="GU21" s="95" t="n">
        <f aca="false">[1]НАДІЙШЛО2!BR13</f>
        <v>0</v>
      </c>
      <c r="GV21" s="96" t="n">
        <f aca="false">[1]ВИБУЛО2!BR13</f>
        <v>0</v>
      </c>
      <c r="GW21" s="97" t="n">
        <f aca="false">GW20-GV21+GU21</f>
        <v>0</v>
      </c>
      <c r="GX21" s="95" t="n">
        <f aca="false">[1]НАДІЙШЛО2!BS13</f>
        <v>0</v>
      </c>
      <c r="GY21" s="96" t="n">
        <f aca="false">[1]ВИБУЛО2!BS13</f>
        <v>0</v>
      </c>
      <c r="GZ21" s="97" t="n">
        <f aca="false">GZ20-GY21+GX21</f>
        <v>0</v>
      </c>
      <c r="HA21" s="95" t="n">
        <f aca="false">[1]НАДІЙШЛО2!BT13</f>
        <v>0</v>
      </c>
      <c r="HB21" s="96" t="n">
        <f aca="false">[1]ВИБУЛО2!BT13</f>
        <v>0</v>
      </c>
      <c r="HC21" s="97" t="n">
        <f aca="false">HC20-HB21+HA21</f>
        <v>0</v>
      </c>
      <c r="HD21" s="95" t="n">
        <f aca="false">[1]НАДІЙШЛО2!BU13</f>
        <v>0</v>
      </c>
      <c r="HE21" s="96" t="n">
        <f aca="false">[1]ВИБУЛО2!BU13</f>
        <v>0</v>
      </c>
      <c r="HF21" s="97" t="n">
        <f aca="false">HF20-HE21+HD21</f>
        <v>0</v>
      </c>
      <c r="HG21" s="95" t="n">
        <f aca="false">[1]НАДІЙШЛО2!BV13</f>
        <v>0</v>
      </c>
      <c r="HH21" s="96" t="n">
        <f aca="false">[1]ВИБУЛО2!BV13</f>
        <v>0</v>
      </c>
      <c r="HI21" s="97" t="n">
        <f aca="false">HI20-HH21+HG21</f>
        <v>0</v>
      </c>
      <c r="HJ21" s="95" t="n">
        <f aca="false">[1]НАДІЙШЛО2!BW13</f>
        <v>0</v>
      </c>
      <c r="HK21" s="96" t="n">
        <f aca="false">[1]ВИБУЛО2!BW13</f>
        <v>0</v>
      </c>
      <c r="HL21" s="97" t="n">
        <f aca="false">HL20-HK21+HJ21</f>
        <v>0</v>
      </c>
      <c r="HM21" s="95" t="n">
        <f aca="false">[1]НАДІЙШЛО2!BX13</f>
        <v>0</v>
      </c>
      <c r="HN21" s="96" t="n">
        <f aca="false">[1]ВИБУЛО2!BX13</f>
        <v>0</v>
      </c>
      <c r="HO21" s="97" t="n">
        <f aca="false">HO20-HN21+HM21</f>
        <v>0</v>
      </c>
      <c r="HP21" s="95" t="n">
        <f aca="false">[1]НАДІЙШЛО2!BY13</f>
        <v>0</v>
      </c>
      <c r="HQ21" s="96" t="n">
        <f aca="false">[1]ВИБУЛО2!BY13</f>
        <v>0</v>
      </c>
      <c r="HR21" s="97" t="n">
        <f aca="false">HR20-HQ21+HP21</f>
        <v>0</v>
      </c>
      <c r="HS21" s="95" t="n">
        <f aca="false">[1]НАДІЙШЛО2!BZ13</f>
        <v>0</v>
      </c>
      <c r="HT21" s="96" t="n">
        <f aca="false">[1]ВИБУЛО2!BZ13</f>
        <v>0</v>
      </c>
      <c r="HU21" s="97" t="n">
        <f aca="false">HU20-HT21+HS21</f>
        <v>0</v>
      </c>
      <c r="HV21" s="95" t="n">
        <f aca="false">[1]НАДІЙШЛО2!CA13</f>
        <v>0</v>
      </c>
      <c r="HW21" s="96" t="n">
        <f aca="false">[1]ВИБУЛО2!CA13</f>
        <v>0</v>
      </c>
      <c r="HX21" s="97" t="n">
        <f aca="false">HX20-HW21+HV21</f>
        <v>0</v>
      </c>
      <c r="HY21" s="95" t="n">
        <f aca="false">[1]НАДІЙШЛО2!CB13</f>
        <v>0</v>
      </c>
      <c r="HZ21" s="96" t="n">
        <f aca="false">[1]ВИБУЛО2!CB13</f>
        <v>0</v>
      </c>
      <c r="IA21" s="97" t="n">
        <f aca="false">IA20-HZ21+HY21</f>
        <v>0</v>
      </c>
      <c r="IB21" s="95" t="n">
        <f aca="false">[1]НАДІЙШЛО2!CC13</f>
        <v>0</v>
      </c>
      <c r="IC21" s="96" t="n">
        <f aca="false">[1]ВИБУЛО2!CC13</f>
        <v>0</v>
      </c>
      <c r="ID21" s="97" t="n">
        <f aca="false">ID20-IC21+IB21</f>
        <v>0</v>
      </c>
      <c r="IE21" s="95" t="n">
        <f aca="false">[1]НАДІЙШЛО2!CD13</f>
        <v>0</v>
      </c>
      <c r="IF21" s="96" t="n">
        <f aca="false">[1]ВИБУЛО2!CD13</f>
        <v>0</v>
      </c>
      <c r="IG21" s="97" t="n">
        <f aca="false">IG20-IF21+IE21</f>
        <v>0</v>
      </c>
      <c r="IH21" s="95" t="n">
        <f aca="false">[1]НАДІЙШЛО2!CE13</f>
        <v>0</v>
      </c>
      <c r="II21" s="96" t="n">
        <f aca="false">[1]ВИБУЛО2!CE13</f>
        <v>0</v>
      </c>
      <c r="IJ21" s="97" t="n">
        <f aca="false">IJ20-II21+IH21</f>
        <v>0</v>
      </c>
      <c r="IK21" s="95" t="n">
        <f aca="false">[1]НАДІЙШЛО2!CF13</f>
        <v>0</v>
      </c>
      <c r="IL21" s="96" t="n">
        <f aca="false">[1]ВИБУЛО2!CF13</f>
        <v>0</v>
      </c>
      <c r="IM21" s="97" t="n">
        <f aca="false">IM20-IL21+IK21</f>
        <v>0</v>
      </c>
      <c r="IN21" s="95" t="n">
        <f aca="false">[1]НАДІЙШЛО2!CG13</f>
        <v>0</v>
      </c>
      <c r="IO21" s="96" t="n">
        <f aca="false">[1]ВИБУЛО2!CG13</f>
        <v>0</v>
      </c>
      <c r="IP21" s="97" t="n">
        <f aca="false">IP20-IO21+IN21</f>
        <v>0</v>
      </c>
      <c r="IQ21" s="95" t="n">
        <f aca="false">[1]НАДІЙШЛО2!CH13</f>
        <v>0</v>
      </c>
      <c r="IR21" s="96" t="n">
        <f aca="false">[1]ВИБУЛО2!CH13</f>
        <v>0</v>
      </c>
      <c r="IS21" s="97" t="n">
        <f aca="false">IS20-IR21+IQ21</f>
        <v>0</v>
      </c>
      <c r="IT21" s="95" t="n">
        <f aca="false">[1]НАДІЙШЛО2!CI13</f>
        <v>0</v>
      </c>
      <c r="IU21" s="96" t="n">
        <f aca="false">[1]ВИБУЛО2!CI13</f>
        <v>0</v>
      </c>
      <c r="IV21" s="97" t="n">
        <f aca="false">IV20-IU21+IT21</f>
        <v>0</v>
      </c>
      <c r="IW21" s="95" t="n">
        <f aca="false">[1]НАДІЙШЛО2!CJ13</f>
        <v>0</v>
      </c>
      <c r="IX21" s="96" t="n">
        <f aca="false">[1]ВИБУЛО2!CJ13</f>
        <v>0</v>
      </c>
      <c r="IY21" s="97" t="n">
        <f aca="false">IY20-IX21+IW21</f>
        <v>0</v>
      </c>
      <c r="IZ21" s="95" t="n">
        <f aca="false">[1]НАДІЙШЛО2!CK13</f>
        <v>0</v>
      </c>
      <c r="JA21" s="96" t="n">
        <f aca="false">[1]ВИБУЛО2!CK13</f>
        <v>0</v>
      </c>
      <c r="JB21" s="97" t="n">
        <f aca="false">JB20-JA21+IZ21</f>
        <v>0</v>
      </c>
      <c r="JC21" s="95" t="n">
        <f aca="false">[1]НАДІЙШЛО2!CL13</f>
        <v>0</v>
      </c>
      <c r="JD21" s="96" t="n">
        <f aca="false">[1]ВИБУЛО2!CL13</f>
        <v>0</v>
      </c>
      <c r="JE21" s="97" t="n">
        <f aca="false">JE20-JD21+JC21</f>
        <v>0</v>
      </c>
      <c r="JF21" s="95" t="n">
        <f aca="false">[1]НАДІЙШЛО2!CM13</f>
        <v>0</v>
      </c>
      <c r="JG21" s="96" t="n">
        <f aca="false">[1]ВИБУЛО2!CM13</f>
        <v>0</v>
      </c>
      <c r="JH21" s="97" t="n">
        <f aca="false">JH20-JG21+JF21</f>
        <v>0</v>
      </c>
      <c r="JI21" s="95" t="n">
        <f aca="false">[1]НАДІЙШЛО2!CN13</f>
        <v>0</v>
      </c>
      <c r="JJ21" s="96" t="n">
        <f aca="false">[1]ВИБУЛО2!CN13</f>
        <v>0</v>
      </c>
      <c r="JK21" s="97" t="n">
        <f aca="false">JK20-JJ21+JI21</f>
        <v>0</v>
      </c>
      <c r="JL21" s="95" t="n">
        <f aca="false">[1]НАДІЙШЛО2!CO13</f>
        <v>0</v>
      </c>
      <c r="JM21" s="96" t="n">
        <f aca="false">[1]ВИБУЛО2!CO13</f>
        <v>0</v>
      </c>
      <c r="JN21" s="97" t="n">
        <f aca="false">JN20-JM21+JL21</f>
        <v>0</v>
      </c>
      <c r="JO21" s="95" t="n">
        <f aca="false">[1]НАДІЙШЛО2!CP13</f>
        <v>0</v>
      </c>
      <c r="JP21" s="96" t="n">
        <f aca="false">[1]ВИБУЛО2!CP13</f>
        <v>0</v>
      </c>
      <c r="JQ21" s="97" t="n">
        <f aca="false">JQ20-JP21+JO21</f>
        <v>0</v>
      </c>
      <c r="JR21" s="95" t="n">
        <f aca="false">[1]НАДІЙШЛО2!CQ13</f>
        <v>0</v>
      </c>
      <c r="JS21" s="96" t="n">
        <f aca="false">[1]ВИБУЛО2!CQ13</f>
        <v>0</v>
      </c>
      <c r="JT21" s="97" t="n">
        <f aca="false">JT20-JS21+JR21</f>
        <v>0</v>
      </c>
      <c r="JU21" s="95" t="n">
        <f aca="false">[1]НАДІЙШЛО2!CR13</f>
        <v>0</v>
      </c>
      <c r="JV21" s="96" t="n">
        <f aca="false">[1]ВИБУЛО2!CR13</f>
        <v>0</v>
      </c>
      <c r="JW21" s="97" t="n">
        <f aca="false">JW20-JV21+JU21</f>
        <v>0</v>
      </c>
      <c r="JX21" s="95" t="n">
        <f aca="false">[1]НАДІЙШЛО2!CS13</f>
        <v>0</v>
      </c>
      <c r="JY21" s="96" t="n">
        <f aca="false">[1]ВИБУЛО2!CS13</f>
        <v>0</v>
      </c>
      <c r="JZ21" s="97" t="n">
        <f aca="false">JZ20-JY21+JX21</f>
        <v>0</v>
      </c>
      <c r="KA21" s="95" t="n">
        <f aca="false">[1]НАДІЙШЛО2!CT13</f>
        <v>0</v>
      </c>
      <c r="KB21" s="96" t="n">
        <f aca="false">[1]ВИБУЛО2!CT13</f>
        <v>0</v>
      </c>
      <c r="KC21" s="97" t="n">
        <f aca="false">KC20-KB21+KA21</f>
        <v>0</v>
      </c>
      <c r="KD21" s="95" t="n">
        <f aca="false">[1]НАДІЙШЛО2!CU13</f>
        <v>0</v>
      </c>
      <c r="KE21" s="96" t="n">
        <f aca="false">[1]ВИБУЛО2!CU13</f>
        <v>0</v>
      </c>
      <c r="KF21" s="97" t="n">
        <f aca="false">KF20-KE21+KD21</f>
        <v>0</v>
      </c>
      <c r="KG21" s="95" t="n">
        <f aca="false">[1]НАДІЙШЛО2!CV13</f>
        <v>0</v>
      </c>
      <c r="KH21" s="96" t="n">
        <f aca="false">[1]ВИБУЛО2!CV13</f>
        <v>0</v>
      </c>
      <c r="KI21" s="97" t="n">
        <f aca="false">KI20-KH21+KG21</f>
        <v>0</v>
      </c>
      <c r="KJ21" s="95" t="n">
        <f aca="false">[1]НАДІЙШЛО2!CW13</f>
        <v>0</v>
      </c>
      <c r="KK21" s="96" t="n">
        <f aca="false">[1]ВИБУЛО2!CW13</f>
        <v>0</v>
      </c>
      <c r="KL21" s="97" t="n">
        <f aca="false">KL20-KK21+KJ21</f>
        <v>0</v>
      </c>
      <c r="KM21" s="95" t="n">
        <f aca="false">[1]НАДІЙШЛО2!CX13</f>
        <v>0</v>
      </c>
      <c r="KN21" s="96" t="n">
        <f aca="false">[1]ВИБУЛО2!CX13</f>
        <v>0</v>
      </c>
      <c r="KO21" s="97" t="n">
        <f aca="false">KO20-KN21+KM21</f>
        <v>0</v>
      </c>
      <c r="KP21" s="95" t="n">
        <f aca="false">[1]НАДІЙШЛО2!CY13</f>
        <v>0</v>
      </c>
      <c r="KQ21" s="96" t="n">
        <f aca="false">[1]ВИБУЛО2!CY13</f>
        <v>0</v>
      </c>
      <c r="KR21" s="97" t="n">
        <f aca="false">KR20-KQ21+KP21</f>
        <v>0</v>
      </c>
      <c r="KS21" s="95" t="n">
        <f aca="false">[1]НАДІЙШЛО2!CZ13</f>
        <v>0</v>
      </c>
      <c r="KT21" s="96" t="n">
        <f aca="false">[1]ВИБУЛО2!CZ13</f>
        <v>0</v>
      </c>
      <c r="KU21" s="97" t="n">
        <f aca="false">KU20-KT21+KS21</f>
        <v>0</v>
      </c>
      <c r="KV21" s="95" t="n">
        <f aca="false">[1]НАДІЙШЛО2!DA13</f>
        <v>0</v>
      </c>
      <c r="KW21" s="96" t="n">
        <f aca="false">[1]ВИБУЛО2!DA13</f>
        <v>0</v>
      </c>
      <c r="KX21" s="97" t="n">
        <f aca="false">KX20-KW21+KV21</f>
        <v>0</v>
      </c>
      <c r="KY21" s="95" t="n">
        <f aca="false">[1]НАДІЙШЛО2!DB13</f>
        <v>0</v>
      </c>
      <c r="KZ21" s="96" t="n">
        <f aca="false">[1]ВИБУЛО2!DB13</f>
        <v>0</v>
      </c>
      <c r="LA21" s="97" t="n">
        <f aca="false">LA20-KZ21+KY21</f>
        <v>0</v>
      </c>
      <c r="LB21" s="95" t="n">
        <f aca="false">[1]НАДІЙШЛО2!DC13</f>
        <v>0</v>
      </c>
      <c r="LC21" s="96" t="n">
        <f aca="false">[1]ВИБУЛО2!DC13</f>
        <v>0</v>
      </c>
      <c r="LD21" s="97" t="n">
        <f aca="false">LD20-LC21+LB21</f>
        <v>0</v>
      </c>
      <c r="LE21" s="95" t="n">
        <f aca="false">[1]НАДІЙШЛО2!DD13</f>
        <v>0</v>
      </c>
      <c r="LF21" s="96" t="n">
        <f aca="false">[1]ВИБУЛО2!DD13</f>
        <v>0</v>
      </c>
      <c r="LG21" s="97" t="n">
        <f aca="false">LG20-LF21+LE21</f>
        <v>0</v>
      </c>
      <c r="LH21" s="95" t="n">
        <f aca="false">[1]НАДІЙШЛО2!DE13</f>
        <v>0</v>
      </c>
      <c r="LI21" s="96" t="n">
        <f aca="false">[1]ВИБУЛО2!DE13</f>
        <v>0</v>
      </c>
      <c r="LJ21" s="97" t="n">
        <f aca="false">LJ20-LI21+LH21</f>
        <v>0</v>
      </c>
      <c r="LK21" s="95" t="n">
        <f aca="false">[1]НАДІЙШЛО2!DF13</f>
        <v>0</v>
      </c>
      <c r="LL21" s="96" t="n">
        <f aca="false">[1]ВИБУЛО2!DF13</f>
        <v>0</v>
      </c>
      <c r="LM21" s="97" t="n">
        <f aca="false">LM20-LL21+LK21</f>
        <v>0</v>
      </c>
      <c r="LN21" s="95" t="n">
        <f aca="false">[1]НАДІЙШЛО2!DG13</f>
        <v>0</v>
      </c>
      <c r="LO21" s="96" t="n">
        <f aca="false">[1]ВИБУЛО2!DG13</f>
        <v>0</v>
      </c>
      <c r="LP21" s="97" t="n">
        <f aca="false">LP20-LO21+LN21</f>
        <v>0</v>
      </c>
      <c r="LQ21" s="95" t="n">
        <f aca="false">[1]НАДІЙШЛО2!DH13</f>
        <v>0</v>
      </c>
      <c r="LR21" s="96" t="n">
        <f aca="false">[1]ВИБУЛО2!DH13</f>
        <v>0</v>
      </c>
      <c r="LS21" s="97" t="n">
        <f aca="false">LS20-LR21+LQ21</f>
        <v>0</v>
      </c>
      <c r="LT21" s="95" t="n">
        <f aca="false">[1]НАДІЙШЛО2!DI13</f>
        <v>0</v>
      </c>
      <c r="LU21" s="96" t="n">
        <f aca="false">[1]ВИБУЛО2!DI13</f>
        <v>0</v>
      </c>
      <c r="LV21" s="97" t="n">
        <f aca="false">LV20-LU21+LT21</f>
        <v>0</v>
      </c>
      <c r="LW21" s="95" t="n">
        <f aca="false">[1]НАДІЙШЛО2!DJ13</f>
        <v>0</v>
      </c>
      <c r="LX21" s="96" t="n">
        <f aca="false">[1]ВИБУЛО2!DJ13</f>
        <v>0</v>
      </c>
      <c r="LY21" s="97" t="n">
        <f aca="false">LY20-LX21+LW21</f>
        <v>0</v>
      </c>
      <c r="LZ21" s="95" t="n">
        <f aca="false">[1]НАДІЙШЛО2!DK13</f>
        <v>0</v>
      </c>
      <c r="MA21" s="96" t="n">
        <f aca="false">[1]ВИБУЛО2!DK13</f>
        <v>0</v>
      </c>
      <c r="MB21" s="97" t="n">
        <f aca="false">MB20-MA21+LZ21</f>
        <v>0</v>
      </c>
      <c r="MC21" s="95" t="n">
        <f aca="false">[1]НАДІЙШЛО2!DL13</f>
        <v>0</v>
      </c>
      <c r="MD21" s="96" t="n">
        <f aca="false">[1]ВИБУЛО2!DL13</f>
        <v>0</v>
      </c>
      <c r="ME21" s="97" t="n">
        <f aca="false">ME20-MD21+MC21</f>
        <v>0</v>
      </c>
      <c r="MF21" s="95" t="n">
        <f aca="false">[1]НАДІЙШЛО2!DM13</f>
        <v>0</v>
      </c>
      <c r="MG21" s="96" t="n">
        <f aca="false">[1]ВИБУЛО2!DM13</f>
        <v>0</v>
      </c>
      <c r="MH21" s="97" t="n">
        <f aca="false">MH20-MG21+MF21</f>
        <v>0</v>
      </c>
      <c r="MI21" s="95" t="n">
        <f aca="false">[1]НАДІЙШЛО2!DN13</f>
        <v>0</v>
      </c>
      <c r="MJ21" s="96" t="n">
        <f aca="false">[1]ВИБУЛО2!DN13</f>
        <v>0</v>
      </c>
      <c r="MK21" s="97" t="n">
        <f aca="false">MK20-MJ21+MI21</f>
        <v>0</v>
      </c>
      <c r="ML21" s="95" t="n">
        <f aca="false">[1]НАДІЙШЛО2!DO13</f>
        <v>0</v>
      </c>
      <c r="MM21" s="96" t="n">
        <f aca="false">[1]ВИБУЛО2!DO13</f>
        <v>0</v>
      </c>
      <c r="MN21" s="97" t="n">
        <f aca="false">MN20-MM21+ML21</f>
        <v>0</v>
      </c>
      <c r="MO21" s="95" t="n">
        <f aca="false">[1]НАДІЙШЛО2!DP13</f>
        <v>0</v>
      </c>
      <c r="MP21" s="96" t="n">
        <f aca="false">[1]ВИБУЛО2!DP13</f>
        <v>0</v>
      </c>
      <c r="MQ21" s="97" t="n">
        <f aca="false">MQ20-MP21+MO21</f>
        <v>0</v>
      </c>
      <c r="MR21" s="95" t="n">
        <f aca="false">[1]НАДІЙШЛО2!DQ13</f>
        <v>0</v>
      </c>
      <c r="MS21" s="96" t="n">
        <f aca="false">[1]ВИБУЛО2!DQ13</f>
        <v>0</v>
      </c>
      <c r="MT21" s="97" t="n">
        <f aca="false">MT20-MS21+MR21</f>
        <v>0</v>
      </c>
      <c r="MU21" s="95" t="n">
        <f aca="false">[1]НАДІЙШЛО2!DR13</f>
        <v>0</v>
      </c>
      <c r="MV21" s="96" t="n">
        <f aca="false">[1]ВИБУЛО2!DR13</f>
        <v>0</v>
      </c>
      <c r="MW21" s="97" t="n">
        <f aca="false">MW20-MV21+MU21</f>
        <v>0</v>
      </c>
      <c r="MX21" s="95" t="n">
        <f aca="false">[1]НАДІЙШЛО2!DS13</f>
        <v>0</v>
      </c>
      <c r="MY21" s="96" t="n">
        <f aca="false">[1]ВИБУЛО2!DS13</f>
        <v>0</v>
      </c>
      <c r="MZ21" s="97" t="n">
        <f aca="false">MZ20-MY21+MX21</f>
        <v>0</v>
      </c>
      <c r="NA21" s="95" t="n">
        <f aca="false">[1]НАДІЙШЛО2!DT13</f>
        <v>0</v>
      </c>
      <c r="NB21" s="96" t="n">
        <f aca="false">[1]ВИБУЛО2!DT13</f>
        <v>0</v>
      </c>
      <c r="NC21" s="97" t="n">
        <f aca="false">NC20-NB21+NA21</f>
        <v>0</v>
      </c>
      <c r="ND21" s="95" t="n">
        <f aca="false">[1]НАДІЙШЛО2!DU13</f>
        <v>0</v>
      </c>
      <c r="NE21" s="96" t="n">
        <f aca="false">[1]ВИБУЛО2!DU13</f>
        <v>0</v>
      </c>
      <c r="NF21" s="97" t="n">
        <f aca="false">NF20-NE21+ND21</f>
        <v>0</v>
      </c>
      <c r="NG21" s="95" t="n">
        <f aca="false">[1]НАДІЙШЛО2!DV13</f>
        <v>0</v>
      </c>
      <c r="NH21" s="96" t="n">
        <f aca="false">[1]ВИБУЛО2!DV13</f>
        <v>0</v>
      </c>
      <c r="NI21" s="97" t="n">
        <f aca="false">NI20-NH21+NG21</f>
        <v>0</v>
      </c>
      <c r="NJ21" s="95" t="n">
        <f aca="false">[1]НАДІЙШЛО2!DW13</f>
        <v>0</v>
      </c>
      <c r="NK21" s="96" t="n">
        <f aca="false">[1]ВИБУЛО2!DW13</f>
        <v>0</v>
      </c>
      <c r="NL21" s="97" t="n">
        <f aca="false">NL20-NK21+NJ21</f>
        <v>0</v>
      </c>
      <c r="NM21" s="95" t="n">
        <f aca="false">[1]НАДІЙШЛО2!DX13</f>
        <v>0</v>
      </c>
      <c r="NN21" s="96" t="n">
        <f aca="false">[1]ВИБУЛО2!DX13</f>
        <v>0</v>
      </c>
      <c r="NO21" s="97" t="n">
        <f aca="false">NO20-NN21+NM21</f>
        <v>0</v>
      </c>
      <c r="NP21" s="95" t="n">
        <f aca="false">[1]НАДІЙШЛО2!DY13</f>
        <v>0</v>
      </c>
      <c r="NQ21" s="96" t="n">
        <f aca="false">[1]ВИБУЛО2!DY13</f>
        <v>0</v>
      </c>
      <c r="NR21" s="97" t="n">
        <f aca="false">NR20-NQ21+NP21</f>
        <v>0</v>
      </c>
      <c r="NS21" s="95" t="n">
        <f aca="false">[1]НАДІЙШЛО2!DZ13</f>
        <v>0</v>
      </c>
      <c r="NT21" s="96" t="n">
        <f aca="false">[1]ВИБУЛО2!DZ13</f>
        <v>0</v>
      </c>
      <c r="NU21" s="97" t="n">
        <f aca="false">NU20-NT21+NS21</f>
        <v>0</v>
      </c>
      <c r="NV21" s="95" t="n">
        <f aca="false">[1]НАДІЙШЛО2!EA13</f>
        <v>0</v>
      </c>
      <c r="NW21" s="96" t="n">
        <f aca="false">[1]ВИБУЛО2!EA13</f>
        <v>0</v>
      </c>
      <c r="NX21" s="97" t="n">
        <f aca="false">NX20-NW21+NV21</f>
        <v>0</v>
      </c>
      <c r="NY21" s="95" t="n">
        <f aca="false">[1]НАДІЙШЛО2!EB13</f>
        <v>0</v>
      </c>
      <c r="NZ21" s="96" t="n">
        <f aca="false">[1]ВИБУЛО2!EB13</f>
        <v>0</v>
      </c>
      <c r="OA21" s="97" t="n">
        <f aca="false">OA20-NZ21+NY21</f>
        <v>0</v>
      </c>
      <c r="OB21" s="95" t="n">
        <f aca="false">[1]НАДІЙШЛО2!EC13</f>
        <v>0</v>
      </c>
      <c r="OC21" s="96" t="n">
        <f aca="false">[1]ВИБУЛО2!EC13</f>
        <v>0</v>
      </c>
      <c r="OD21" s="97" t="n">
        <f aca="false">OD20-OC21+OB21</f>
        <v>0</v>
      </c>
      <c r="OE21" s="95" t="n">
        <f aca="false">[1]НАДІЙШЛО2!ED13</f>
        <v>0</v>
      </c>
      <c r="OF21" s="96" t="n">
        <f aca="false">[1]ВИБУЛО2!ED13</f>
        <v>0</v>
      </c>
      <c r="OG21" s="97" t="n">
        <f aca="false">OG20-OF21+OE21</f>
        <v>0</v>
      </c>
      <c r="OH21" s="95" t="n">
        <f aca="false">[1]НАДІЙШЛО2!EE13</f>
        <v>0</v>
      </c>
      <c r="OI21" s="96" t="n">
        <f aca="false">[1]ВИБУЛО2!EE13</f>
        <v>0</v>
      </c>
      <c r="OJ21" s="97" t="n">
        <f aca="false">OJ20-OI21+OH21</f>
        <v>0</v>
      </c>
      <c r="OK21" s="95" t="n">
        <f aca="false">[1]НАДІЙШЛО2!EF13</f>
        <v>0</v>
      </c>
      <c r="OL21" s="96" t="n">
        <f aca="false">[1]ВИБУЛО2!EF13</f>
        <v>0</v>
      </c>
      <c r="OM21" s="97" t="n">
        <f aca="false">OM20-OL21+OK21</f>
        <v>0</v>
      </c>
      <c r="ON21" s="95" t="n">
        <f aca="false">[1]НАДІЙШЛО2!EG13</f>
        <v>0</v>
      </c>
      <c r="OO21" s="96" t="n">
        <f aca="false">[1]ВИБУЛО2!EG13</f>
        <v>0</v>
      </c>
      <c r="OP21" s="97" t="n">
        <f aca="false">OP20-OO21+ON21</f>
        <v>0</v>
      </c>
      <c r="OQ21" s="95" t="n">
        <f aca="false">[1]НАДІЙШЛО2!EH13</f>
        <v>0</v>
      </c>
      <c r="OR21" s="96" t="n">
        <f aca="false">[1]ВИБУЛО2!EH13</f>
        <v>0</v>
      </c>
      <c r="OS21" s="97" t="n">
        <f aca="false">OS20-OR21+OQ21</f>
        <v>0</v>
      </c>
      <c r="OT21" s="95" t="n">
        <f aca="false">[1]НАДІЙШЛО2!EI13</f>
        <v>0</v>
      </c>
      <c r="OU21" s="96" t="n">
        <f aca="false">[1]ВИБУЛО2!EI13</f>
        <v>0</v>
      </c>
      <c r="OV21" s="97" t="n">
        <f aca="false">OV20-OU21+OT21</f>
        <v>0</v>
      </c>
      <c r="OW21" s="95" t="n">
        <f aca="false">[1]НАДІЙШЛО2!EJ13</f>
        <v>0</v>
      </c>
      <c r="OX21" s="96" t="n">
        <f aca="false">[1]ВИБУЛО2!EJ13</f>
        <v>0</v>
      </c>
      <c r="OY21" s="97" t="n">
        <f aca="false">OY20-OX21+OW21</f>
        <v>0</v>
      </c>
      <c r="OZ21" s="95" t="n">
        <f aca="false">[1]НАДІЙШЛО2!EK13</f>
        <v>0</v>
      </c>
      <c r="PA21" s="96" t="n">
        <f aca="false">[1]ВИБУЛО2!EK13</f>
        <v>0</v>
      </c>
      <c r="PB21" s="97" t="n">
        <f aca="false">PB20-PA21+OZ21</f>
        <v>0</v>
      </c>
      <c r="PC21" s="95" t="n">
        <f aca="false">[1]НАДІЙШЛО2!EL13</f>
        <v>0</v>
      </c>
      <c r="PD21" s="96" t="n">
        <f aca="false">[1]ВИБУЛО2!EL13</f>
        <v>0</v>
      </c>
      <c r="PE21" s="97" t="n">
        <f aca="false">PE20-PD21+PC21</f>
        <v>0</v>
      </c>
      <c r="PF21" s="95" t="n">
        <f aca="false">[1]НАДІЙШЛО2!EM13</f>
        <v>0</v>
      </c>
      <c r="PG21" s="96" t="n">
        <f aca="false">[1]ВИБУЛО2!EM13</f>
        <v>0</v>
      </c>
      <c r="PH21" s="97" t="n">
        <f aca="false">PH20-PG21+PF21</f>
        <v>0</v>
      </c>
      <c r="PI21" s="95" t="n">
        <f aca="false">[1]НАДІЙШЛО2!EN13</f>
        <v>0</v>
      </c>
      <c r="PJ21" s="96" t="n">
        <f aca="false">[1]ВИБУЛО2!EN13</f>
        <v>0</v>
      </c>
      <c r="PK21" s="97" t="n">
        <f aca="false">PK20-PJ21+PI21</f>
        <v>0</v>
      </c>
      <c r="PL21" s="95" t="n">
        <f aca="false">[1]НАДІЙШЛО2!EO13</f>
        <v>0</v>
      </c>
      <c r="PM21" s="96" t="n">
        <f aca="false">[1]ВИБУЛО2!EO13</f>
        <v>0</v>
      </c>
      <c r="PN21" s="97" t="n">
        <f aca="false">PN20-PM21+PL21</f>
        <v>0</v>
      </c>
      <c r="PO21" s="95" t="n">
        <f aca="false">[1]НАДІЙШЛО2!EP13</f>
        <v>0</v>
      </c>
      <c r="PP21" s="96" t="n">
        <f aca="false">[1]ВИБУЛО2!EP13</f>
        <v>0</v>
      </c>
      <c r="PQ21" s="97" t="n">
        <f aca="false">PQ20-PP21+PO21</f>
        <v>0</v>
      </c>
      <c r="PR21" s="95" t="n">
        <f aca="false">[1]НАДІЙШЛО2!EQ13</f>
        <v>0</v>
      </c>
      <c r="PS21" s="96" t="n">
        <f aca="false">[1]ВИБУЛО2!EQ13</f>
        <v>0</v>
      </c>
      <c r="PT21" s="97" t="n">
        <f aca="false">PT20-PS21+PR21</f>
        <v>0</v>
      </c>
      <c r="PU21" s="95" t="n">
        <f aca="false">[1]НАДІЙШЛО2!ER13</f>
        <v>0</v>
      </c>
      <c r="PV21" s="96" t="n">
        <f aca="false">[1]ВИБУЛО2!ER13</f>
        <v>0</v>
      </c>
      <c r="PW21" s="97" t="n">
        <f aca="false">PW20-PV21+PU21</f>
        <v>0</v>
      </c>
      <c r="PX21" s="95" t="n">
        <f aca="false">[1]НАДІЙШЛО2!ES13</f>
        <v>0</v>
      </c>
      <c r="PY21" s="96" t="n">
        <f aca="false">[1]ВИБУЛО2!ES13</f>
        <v>0</v>
      </c>
      <c r="PZ21" s="97" t="n">
        <f aca="false">PZ20-PY21+PX21</f>
        <v>0</v>
      </c>
      <c r="QA21" s="95" t="n">
        <f aca="false">[1]НАДІЙШЛО2!ET13</f>
        <v>0</v>
      </c>
      <c r="QB21" s="96" t="n">
        <f aca="false">[1]ВИБУЛО2!ET13</f>
        <v>0</v>
      </c>
      <c r="QC21" s="97" t="n">
        <f aca="false">QC20-QB21+QA21</f>
        <v>0</v>
      </c>
      <c r="QD21" s="95" t="n">
        <f aca="false">[1]НАДІЙШЛО2!EU13</f>
        <v>0</v>
      </c>
      <c r="QE21" s="96" t="n">
        <f aca="false">[1]ВИБУЛО2!EU13</f>
        <v>0</v>
      </c>
      <c r="QF21" s="97" t="n">
        <f aca="false">QF20-QE21+QD21</f>
        <v>0</v>
      </c>
      <c r="QG21" s="95" t="n">
        <f aca="false">[1]НАДІЙШЛО2!EV13</f>
        <v>0</v>
      </c>
      <c r="QH21" s="96" t="n">
        <f aca="false">[1]ВИБУЛО2!EV13</f>
        <v>0</v>
      </c>
      <c r="QI21" s="97" t="n">
        <f aca="false">QI20-QH21+QG21</f>
        <v>0</v>
      </c>
      <c r="QJ21" s="95" t="n">
        <f aca="false">[1]НАДІЙШЛО2!EW13</f>
        <v>0</v>
      </c>
      <c r="QK21" s="96" t="n">
        <f aca="false">[1]ВИБУЛО2!EW13</f>
        <v>0</v>
      </c>
      <c r="QL21" s="97" t="n">
        <f aca="false">QL20-QK21+QJ21</f>
        <v>0</v>
      </c>
      <c r="QM21" s="95" t="n">
        <f aca="false">[1]НАДІЙШЛО2!EX13</f>
        <v>0</v>
      </c>
      <c r="QN21" s="96" t="n">
        <f aca="false">[1]ВИБУЛО2!EX13</f>
        <v>0</v>
      </c>
      <c r="QO21" s="97" t="n">
        <f aca="false">QO20-QN21+QM21</f>
        <v>0</v>
      </c>
      <c r="QP21" s="95" t="n">
        <f aca="false">[1]НАДІЙШЛО2!EY13</f>
        <v>0</v>
      </c>
      <c r="QQ21" s="96" t="n">
        <f aca="false">[1]ВИБУЛО2!EY13</f>
        <v>0</v>
      </c>
      <c r="QR21" s="97" t="n">
        <f aca="false">QR20-QQ21+QP21</f>
        <v>0</v>
      </c>
      <c r="QS21" s="95" t="n">
        <f aca="false">[1]НАДІЙШЛО2!EZ13</f>
        <v>0</v>
      </c>
      <c r="QT21" s="96" t="n">
        <f aca="false">[1]ВИБУЛО2!EZ13</f>
        <v>0</v>
      </c>
      <c r="QU21" s="97" t="n">
        <f aca="false">QU20-QT21+QS21</f>
        <v>0</v>
      </c>
      <c r="QV21" s="95" t="n">
        <f aca="false">[1]НАДІЙШЛО2!FA13</f>
        <v>0</v>
      </c>
      <c r="QW21" s="96" t="n">
        <f aca="false">[1]ВИБУЛО2!FA13</f>
        <v>0</v>
      </c>
      <c r="QX21" s="97" t="n">
        <f aca="false">QX20-QW21+QV21</f>
        <v>0</v>
      </c>
      <c r="QY21" s="95" t="n">
        <f aca="false">[1]НАДІЙШЛО2!FB13</f>
        <v>0</v>
      </c>
      <c r="QZ21" s="96" t="n">
        <f aca="false">[1]ВИБУЛО2!FB13</f>
        <v>0</v>
      </c>
      <c r="RA21" s="97" t="n">
        <f aca="false">RA20-QZ21+QY21</f>
        <v>0</v>
      </c>
      <c r="RB21" s="95" t="n">
        <f aca="false">[1]НАДІЙШЛО2!FC13</f>
        <v>0</v>
      </c>
      <c r="RC21" s="96" t="n">
        <f aca="false">[1]ВИБУЛО2!FC13</f>
        <v>0</v>
      </c>
      <c r="RD21" s="97" t="n">
        <f aca="false">RD20-RC21+RB21</f>
        <v>0</v>
      </c>
      <c r="RE21" s="95" t="n">
        <f aca="false">[1]НАДІЙШЛО2!FD13</f>
        <v>0</v>
      </c>
      <c r="RF21" s="96" t="n">
        <f aca="false">[1]ВИБУЛО2!FD13</f>
        <v>0</v>
      </c>
      <c r="RG21" s="97" t="n">
        <f aca="false">RG20-RF21+RE21</f>
        <v>0</v>
      </c>
      <c r="RH21" s="95" t="n">
        <f aca="false">[1]НАДІЙШЛО2!FE13</f>
        <v>0</v>
      </c>
      <c r="RI21" s="96" t="n">
        <f aca="false">[1]ВИБУЛО2!FE13</f>
        <v>0</v>
      </c>
      <c r="RJ21" s="97" t="n">
        <f aca="false">RJ20-RI21+RH21</f>
        <v>0</v>
      </c>
      <c r="RK21" s="95" t="n">
        <f aca="false">[1]НАДІЙШЛО2!FF13</f>
        <v>0</v>
      </c>
      <c r="RL21" s="96" t="n">
        <f aca="false">[1]ВИБУЛО2!FF13</f>
        <v>0</v>
      </c>
      <c r="RM21" s="97" t="n">
        <f aca="false">RM20-RL21+RK21</f>
        <v>0</v>
      </c>
      <c r="RN21" s="95" t="n">
        <f aca="false">[1]НАДІЙШЛО2!FG13</f>
        <v>0</v>
      </c>
      <c r="RO21" s="96" t="n">
        <f aca="false">[1]ВИБУЛО2!FG13</f>
        <v>0</v>
      </c>
      <c r="RP21" s="97" t="n">
        <f aca="false">RP20-RO21+RN21</f>
        <v>0</v>
      </c>
      <c r="RQ21" s="95" t="n">
        <f aca="false">[1]НАДІЙШЛО2!FH13</f>
        <v>0</v>
      </c>
      <c r="RR21" s="96" t="n">
        <f aca="false">[1]ВИБУЛО2!FH13</f>
        <v>0</v>
      </c>
      <c r="RS21" s="97" t="n">
        <f aca="false">RS20-RR21+RQ21</f>
        <v>0</v>
      </c>
      <c r="RT21" s="95" t="n">
        <f aca="false">[1]НАДІЙШЛО2!FI13</f>
        <v>0</v>
      </c>
      <c r="RU21" s="96" t="n">
        <f aca="false">[1]ВИБУЛО2!FI13</f>
        <v>0</v>
      </c>
      <c r="RV21" s="97" t="n">
        <f aca="false">RV20-RU21+RT21</f>
        <v>0</v>
      </c>
      <c r="RW21" s="95" t="n">
        <f aca="false">[1]НАДІЙШЛО2!FJ13</f>
        <v>0</v>
      </c>
      <c r="RX21" s="96" t="n">
        <f aca="false">[1]ВИБУЛО2!FJ13</f>
        <v>0</v>
      </c>
      <c r="RY21" s="97" t="n">
        <f aca="false">RY20-RX21+RW21</f>
        <v>0</v>
      </c>
      <c r="RZ21" s="95" t="n">
        <f aca="false">[1]НАДІЙШЛО2!FK13</f>
        <v>0</v>
      </c>
      <c r="SA21" s="96" t="n">
        <f aca="false">[1]ВИБУЛО2!FK13</f>
        <v>0</v>
      </c>
      <c r="SB21" s="97" t="n">
        <f aca="false">SB20-SA21+RZ21</f>
        <v>0</v>
      </c>
      <c r="SC21" s="95" t="n">
        <f aca="false">[1]НАДІЙШЛО2!FL13</f>
        <v>0</v>
      </c>
      <c r="SD21" s="96" t="n">
        <f aca="false">[1]ВИБУЛО2!FL13</f>
        <v>0</v>
      </c>
      <c r="SE21" s="97" t="n">
        <f aca="false">SE20-SD21+SC21</f>
        <v>0</v>
      </c>
      <c r="SF21" s="95" t="n">
        <f aca="false">[1]НАДІЙШЛО2!FM13</f>
        <v>0</v>
      </c>
      <c r="SG21" s="96" t="n">
        <f aca="false">[1]ВИБУЛО2!FM13</f>
        <v>0</v>
      </c>
      <c r="SH21" s="97" t="n">
        <f aca="false">SH20-SG21+SF21</f>
        <v>0</v>
      </c>
      <c r="SI21" s="95" t="n">
        <f aca="false">[1]НАДІЙШЛО2!FN13</f>
        <v>0</v>
      </c>
      <c r="SJ21" s="96" t="n">
        <f aca="false">[1]ВИБУЛО2!FN13</f>
        <v>0</v>
      </c>
      <c r="SK21" s="97" t="n">
        <f aca="false">SK20-SJ21+SI21</f>
        <v>0</v>
      </c>
      <c r="SL21" s="95" t="n">
        <f aca="false">[1]НАДІЙШЛО2!FO13</f>
        <v>0</v>
      </c>
      <c r="SM21" s="96" t="n">
        <f aca="false">[1]ВИБУЛО2!FO13</f>
        <v>0</v>
      </c>
      <c r="SN21" s="97" t="n">
        <f aca="false">SN20-SM21+SL21</f>
        <v>0</v>
      </c>
      <c r="SO21" s="95" t="n">
        <f aca="false">[1]НАДІЙШЛО2!FP13</f>
        <v>0</v>
      </c>
      <c r="SP21" s="96" t="n">
        <f aca="false">[1]ВИБУЛО2!FP13</f>
        <v>0</v>
      </c>
      <c r="SQ21" s="97" t="n">
        <f aca="false">SQ20-SP21+SO21</f>
        <v>0</v>
      </c>
      <c r="SR21" s="95" t="n">
        <f aca="false">[1]НАДІЙШЛО2!FQ13</f>
        <v>0</v>
      </c>
      <c r="SS21" s="96" t="n">
        <f aca="false">[1]ВИБУЛО2!FQ13</f>
        <v>0</v>
      </c>
      <c r="ST21" s="97" t="n">
        <f aca="false">ST20-SS21+SR21</f>
        <v>0</v>
      </c>
      <c r="SU21" s="95" t="n">
        <f aca="false">[1]НАДІЙШЛО2!FR13</f>
        <v>0</v>
      </c>
      <c r="SV21" s="96" t="n">
        <f aca="false">[1]ВИБУЛО2!FR13</f>
        <v>0</v>
      </c>
      <c r="SW21" s="97" t="n">
        <f aca="false">SW20-SV21+SU21</f>
        <v>0</v>
      </c>
      <c r="SX21" s="95" t="n">
        <f aca="false">[1]НАДІЙШЛО2!FS13</f>
        <v>0</v>
      </c>
      <c r="SY21" s="96" t="n">
        <f aca="false">[1]ВИБУЛО2!FS13</f>
        <v>0</v>
      </c>
      <c r="SZ21" s="97" t="n">
        <f aca="false">SZ20-SY21+SX21</f>
        <v>0</v>
      </c>
      <c r="TA21" s="95" t="n">
        <f aca="false">[1]НАДІЙШЛО2!FT13</f>
        <v>0</v>
      </c>
      <c r="TB21" s="96" t="n">
        <f aca="false">[1]ВИБУЛО2!FT13</f>
        <v>0</v>
      </c>
      <c r="TC21" s="97" t="n">
        <f aca="false">TC20-TB21+TA21</f>
        <v>0</v>
      </c>
      <c r="TD21" s="95" t="n">
        <f aca="false">[1]НАДІЙШЛО2!FU13</f>
        <v>0</v>
      </c>
      <c r="TE21" s="96" t="n">
        <f aca="false">[1]ВИБУЛО2!FU13</f>
        <v>0</v>
      </c>
      <c r="TF21" s="97" t="n">
        <f aca="false">TF20-TE21+TD21</f>
        <v>0</v>
      </c>
      <c r="TG21" s="95" t="n">
        <f aca="false">[1]НАДІЙШЛО2!FV13</f>
        <v>0</v>
      </c>
      <c r="TH21" s="96" t="n">
        <f aca="false">[1]ВИБУЛО2!FV13</f>
        <v>0</v>
      </c>
      <c r="TI21" s="97" t="n">
        <f aca="false">TI20-TH21+TG21</f>
        <v>0</v>
      </c>
      <c r="TJ21" s="95" t="n">
        <f aca="false">[1]НАДІЙШЛО2!FW13</f>
        <v>0</v>
      </c>
      <c r="TK21" s="96" t="n">
        <f aca="false">[1]ВИБУЛО2!FW13</f>
        <v>0</v>
      </c>
      <c r="TL21" s="97" t="n">
        <f aca="false">TL20-TK21+TJ21</f>
        <v>0</v>
      </c>
      <c r="TM21" s="95" t="n">
        <f aca="false">[1]НАДІЙШЛО2!FX13</f>
        <v>0</v>
      </c>
      <c r="TN21" s="96" t="n">
        <f aca="false">[1]ВИБУЛО2!FX13</f>
        <v>0</v>
      </c>
      <c r="TO21" s="97" t="n">
        <f aca="false">TO20-TN21+TM21</f>
        <v>0</v>
      </c>
      <c r="TP21" s="95" t="n">
        <f aca="false">[1]НАДІЙШЛО2!FY13</f>
        <v>0</v>
      </c>
      <c r="TQ21" s="96" t="n">
        <f aca="false">[1]ВИБУЛО2!FY13</f>
        <v>0</v>
      </c>
      <c r="TR21" s="97" t="n">
        <f aca="false">TR20-TQ21+TP21</f>
        <v>0</v>
      </c>
      <c r="TS21" s="95" t="n">
        <f aca="false">[1]НАДІЙШЛО2!FZ13</f>
        <v>0</v>
      </c>
      <c r="TT21" s="96" t="n">
        <f aca="false">[1]ВИБУЛО2!FZ13</f>
        <v>0</v>
      </c>
      <c r="TU21" s="97" t="n">
        <f aca="false">TU20-TT21+TS21</f>
        <v>0</v>
      </c>
      <c r="TV21" s="95" t="n">
        <f aca="false">[1]НАДІЙШЛО2!GA13</f>
        <v>0</v>
      </c>
      <c r="TW21" s="96" t="n">
        <f aca="false">[1]ВИБУЛО2!GA13</f>
        <v>0</v>
      </c>
      <c r="TX21" s="97" t="n">
        <f aca="false">TX20-TW21+TV21</f>
        <v>0</v>
      </c>
      <c r="TY21" s="95" t="n">
        <f aca="false">[1]НАДІЙШЛО2!GB13</f>
        <v>0</v>
      </c>
      <c r="TZ21" s="96" t="n">
        <f aca="false">[1]ВИБУЛО2!GB13</f>
        <v>0</v>
      </c>
      <c r="UA21" s="97" t="n">
        <f aca="false">UA20-TZ21+TY21</f>
        <v>0</v>
      </c>
      <c r="UB21" s="95" t="n">
        <f aca="false">[1]НАДІЙШЛО2!GC13</f>
        <v>0</v>
      </c>
      <c r="UC21" s="96" t="n">
        <f aca="false">[1]ВИБУЛО2!GC13</f>
        <v>0</v>
      </c>
      <c r="UD21" s="97" t="n">
        <f aca="false">UD20-UC21+UB21</f>
        <v>0</v>
      </c>
      <c r="UE21" s="95" t="n">
        <f aca="false">[1]НАДІЙШЛО2!GD13</f>
        <v>0</v>
      </c>
      <c r="UF21" s="96" t="n">
        <f aca="false">[1]ВИБУЛО2!GD13</f>
        <v>0</v>
      </c>
      <c r="UG21" s="97" t="n">
        <f aca="false">UG20-UF21+UE21</f>
        <v>0</v>
      </c>
      <c r="UH21" s="95" t="n">
        <f aca="false">[1]НАДІЙШЛО2!GE13</f>
        <v>0</v>
      </c>
      <c r="UI21" s="96" t="n">
        <f aca="false">[1]ВИБУЛО2!GE13</f>
        <v>0</v>
      </c>
      <c r="UJ21" s="97" t="n">
        <f aca="false">UJ20-UI21+UH21</f>
        <v>0</v>
      </c>
      <c r="UK21" s="95" t="n">
        <f aca="false">[1]НАДІЙШЛО2!GF13</f>
        <v>0</v>
      </c>
      <c r="UL21" s="96" t="n">
        <f aca="false">[1]ВИБУЛО2!GF13</f>
        <v>0</v>
      </c>
      <c r="UM21" s="97" t="n">
        <f aca="false">UM20-UL21+UK21</f>
        <v>0</v>
      </c>
      <c r="UN21" s="95" t="n">
        <f aca="false">[1]НАДІЙШЛО2!GG13</f>
        <v>0</v>
      </c>
      <c r="UO21" s="96" t="n">
        <f aca="false">[1]ВИБУЛО2!GG13</f>
        <v>0</v>
      </c>
      <c r="UP21" s="97" t="n">
        <f aca="false">UP20-UO21+UN21</f>
        <v>0</v>
      </c>
      <c r="UQ21" s="95" t="n">
        <f aca="false">[1]НАДІЙШЛО2!GH13</f>
        <v>0</v>
      </c>
      <c r="UR21" s="96" t="n">
        <f aca="false">[1]ВИБУЛО2!GH13</f>
        <v>0</v>
      </c>
      <c r="US21" s="97" t="n">
        <f aca="false">US20-UR21+UQ21</f>
        <v>0</v>
      </c>
      <c r="UT21" s="95" t="n">
        <f aca="false">[1]НАДІЙШЛО2!GI13</f>
        <v>0</v>
      </c>
      <c r="UU21" s="96" t="n">
        <f aca="false">[1]ВИБУЛО2!GI13</f>
        <v>0</v>
      </c>
      <c r="UV21" s="97" t="n">
        <f aca="false">UV20-UU21+UT21</f>
        <v>0</v>
      </c>
      <c r="UW21" s="95" t="n">
        <f aca="false">[1]НАДІЙШЛО2!GJ13</f>
        <v>0</v>
      </c>
      <c r="UX21" s="96" t="n">
        <f aca="false">[1]ВИБУЛО2!GJ13</f>
        <v>0</v>
      </c>
      <c r="UY21" s="97" t="n">
        <f aca="false">UY20-UX21+UW21</f>
        <v>0</v>
      </c>
      <c r="UZ21" s="95" t="n">
        <f aca="false">[1]НАДІЙШЛО2!GK13</f>
        <v>0</v>
      </c>
      <c r="VA21" s="96" t="n">
        <f aca="false">[1]ВИБУЛО2!GK13</f>
        <v>0</v>
      </c>
      <c r="VB21" s="97" t="n">
        <f aca="false">VB20-VA21+UZ21</f>
        <v>0</v>
      </c>
      <c r="VC21" s="95" t="n">
        <f aca="false">[1]НАДІЙШЛО2!GL13</f>
        <v>0</v>
      </c>
      <c r="VD21" s="96" t="n">
        <f aca="false">[1]ВИБУЛО2!GL13</f>
        <v>0</v>
      </c>
      <c r="VE21" s="97" t="n">
        <f aca="false">VE20-VD21+VC21</f>
        <v>0</v>
      </c>
      <c r="VF21" s="95" t="n">
        <f aca="false">[1]НАДІЙШЛО2!GM13</f>
        <v>0</v>
      </c>
      <c r="VG21" s="96" t="n">
        <f aca="false">[1]ВИБУЛО2!GM13</f>
        <v>0</v>
      </c>
      <c r="VH21" s="97" t="n">
        <f aca="false">VH20-VG21+VF21</f>
        <v>0</v>
      </c>
      <c r="VI21" s="95" t="n">
        <f aca="false">[1]НАДІЙШЛО2!GN13</f>
        <v>0</v>
      </c>
      <c r="VJ21" s="96" t="n">
        <f aca="false">[1]ВИБУЛО2!GN13</f>
        <v>0</v>
      </c>
      <c r="VK21" s="97" t="n">
        <f aca="false">VK20-VJ21+VI21</f>
        <v>0</v>
      </c>
      <c r="VL21" s="95" t="n">
        <f aca="false">[1]НАДІЙШЛО2!GO13</f>
        <v>0</v>
      </c>
      <c r="VM21" s="96" t="n">
        <f aca="false">[1]ВИБУЛО2!GO13</f>
        <v>0</v>
      </c>
      <c r="VN21" s="97" t="n">
        <f aca="false">VN20-VM21+VL21</f>
        <v>0</v>
      </c>
      <c r="VO21" s="95" t="n">
        <f aca="false">[1]НАДІЙШЛО2!GP13</f>
        <v>0</v>
      </c>
      <c r="VP21" s="96" t="n">
        <f aca="false">[1]ВИБУЛО2!GP13</f>
        <v>0</v>
      </c>
      <c r="VQ21" s="97" t="n">
        <f aca="false">VQ20-VP21+VO21</f>
        <v>0</v>
      </c>
      <c r="VR21" s="95" t="n">
        <f aca="false">[1]НАДІЙШЛО2!GQ13</f>
        <v>0</v>
      </c>
      <c r="VS21" s="96" t="n">
        <f aca="false">[1]ВИБУЛО2!GQ13</f>
        <v>0</v>
      </c>
      <c r="VT21" s="97" t="n">
        <f aca="false">VT20-VS21+VR21</f>
        <v>0</v>
      </c>
      <c r="VU21" s="95" t="n">
        <f aca="false">[1]НАДІЙШЛО2!GR13</f>
        <v>0</v>
      </c>
      <c r="VV21" s="96" t="n">
        <f aca="false">[1]ВИБУЛО2!GR13</f>
        <v>0</v>
      </c>
      <c r="VW21" s="97" t="n">
        <f aca="false">VW20-VV21+VU21</f>
        <v>0</v>
      </c>
      <c r="VX21" s="95" t="n">
        <f aca="false">[1]НАДІЙШЛО2!GS13</f>
        <v>0</v>
      </c>
      <c r="VY21" s="96" t="n">
        <f aca="false">[1]ВИБУЛО2!GS13</f>
        <v>0</v>
      </c>
      <c r="VZ21" s="97" t="n">
        <f aca="false">VZ20-VY21+VX21</f>
        <v>0</v>
      </c>
      <c r="WA21" s="95" t="n">
        <f aca="false">[1]НАДІЙШЛО2!GT13</f>
        <v>0</v>
      </c>
      <c r="WB21" s="96" t="n">
        <f aca="false">[1]ВИБУЛО2!GT13</f>
        <v>0</v>
      </c>
      <c r="WC21" s="97" t="n">
        <f aca="false">WC20-WB21+WA21</f>
        <v>0</v>
      </c>
      <c r="WD21" s="95" t="n">
        <f aca="false">[1]НАДІЙШЛО2!GU13</f>
        <v>0</v>
      </c>
      <c r="WE21" s="96" t="n">
        <f aca="false">[1]ВИБУЛО2!GU13</f>
        <v>0</v>
      </c>
      <c r="WF21" s="97" t="n">
        <f aca="false">WF20-WE21+WD21</f>
        <v>0</v>
      </c>
      <c r="WG21" s="95" t="n">
        <f aca="false">[1]НАДІЙШЛО2!GV13</f>
        <v>0</v>
      </c>
      <c r="WH21" s="96" t="n">
        <f aca="false">[1]ВИБУЛО2!GV13</f>
        <v>0</v>
      </c>
      <c r="WI21" s="97" t="n">
        <f aca="false">WI20-WH21+WG21</f>
        <v>0</v>
      </c>
      <c r="WJ21" s="95" t="n">
        <f aca="false">[1]НАДІЙШЛО2!GW13</f>
        <v>0</v>
      </c>
      <c r="WK21" s="96" t="n">
        <f aca="false">[1]ВИБУЛО2!GW13</f>
        <v>0</v>
      </c>
      <c r="WL21" s="97" t="n">
        <f aca="false">WL20-WK21+WJ21</f>
        <v>0</v>
      </c>
      <c r="WM21" s="95" t="n">
        <f aca="false">[1]НАДІЙШЛО2!GX13</f>
        <v>0</v>
      </c>
      <c r="WN21" s="96" t="n">
        <f aca="false">[1]ВИБУЛО2!GX13</f>
        <v>0</v>
      </c>
      <c r="WO21" s="97" t="n">
        <f aca="false">WO20-WN21+WM21</f>
        <v>0</v>
      </c>
      <c r="WP21" s="95" t="n">
        <f aca="false">[1]НАДІЙШЛО2!GY13</f>
        <v>0</v>
      </c>
      <c r="WQ21" s="96" t="n">
        <f aca="false">[1]ВИБУЛО2!GY13</f>
        <v>0</v>
      </c>
      <c r="WR21" s="97" t="n">
        <f aca="false">WR20-WQ21+WP21</f>
        <v>0</v>
      </c>
      <c r="WS21" s="95" t="n">
        <f aca="false">[1]НАДІЙШЛО2!GZ13</f>
        <v>0</v>
      </c>
      <c r="WT21" s="96" t="n">
        <f aca="false">[1]ВИБУЛО2!GZ13</f>
        <v>0</v>
      </c>
      <c r="WU21" s="97" t="n">
        <f aca="false">WU20-WT21+WS21</f>
        <v>0</v>
      </c>
      <c r="WV21" s="95" t="n">
        <f aca="false">[1]НАДІЙШЛО2!HA13</f>
        <v>0</v>
      </c>
      <c r="WW21" s="96" t="n">
        <f aca="false">[1]ВИБУЛО2!HA13</f>
        <v>0</v>
      </c>
      <c r="WX21" s="97" t="n">
        <f aca="false">WX20-WW21+WV21</f>
        <v>0</v>
      </c>
      <c r="WY21" s="95" t="n">
        <f aca="false">[1]НАДІЙШЛО2!HB13</f>
        <v>0</v>
      </c>
      <c r="WZ21" s="96" t="n">
        <f aca="false">[1]ВИБУЛО2!HB13</f>
        <v>0</v>
      </c>
      <c r="XA21" s="97" t="n">
        <f aca="false">XA20-WZ21+WY21</f>
        <v>0</v>
      </c>
      <c r="XB21" s="95" t="n">
        <f aca="false">[1]НАДІЙШЛО2!HC13</f>
        <v>0</v>
      </c>
      <c r="XC21" s="96" t="n">
        <f aca="false">[1]ВИБУЛО2!HC13</f>
        <v>0</v>
      </c>
      <c r="XD21" s="97" t="n">
        <f aca="false">XD20-XC21+XB21</f>
        <v>0</v>
      </c>
      <c r="XE21" s="95" t="n">
        <f aca="false">[1]НАДІЙШЛО2!HD13</f>
        <v>0</v>
      </c>
      <c r="XF21" s="96" t="n">
        <f aca="false">[1]ВИБУЛО2!HD13</f>
        <v>0</v>
      </c>
      <c r="XG21" s="97" t="n">
        <f aca="false">XG20-XF21+XE21</f>
        <v>0</v>
      </c>
      <c r="XH21" s="95" t="n">
        <f aca="false">[1]НАДІЙШЛО2!HE13</f>
        <v>0</v>
      </c>
      <c r="XI21" s="96" t="n">
        <f aca="false">[1]ВИБУЛО2!HE13</f>
        <v>0</v>
      </c>
      <c r="XJ21" s="97" t="n">
        <f aca="false">XJ20-XI21+XH21</f>
        <v>0</v>
      </c>
      <c r="XK21" s="95" t="n">
        <f aca="false">[1]НАДІЙШЛО2!HF13</f>
        <v>0</v>
      </c>
      <c r="XL21" s="96" t="n">
        <f aca="false">[1]ВИБУЛО2!HF13</f>
        <v>0</v>
      </c>
      <c r="XM21" s="97" t="n">
        <f aca="false">XM20-XL21+XK21</f>
        <v>0</v>
      </c>
      <c r="XN21" s="95" t="n">
        <f aca="false">[1]НАДІЙШЛО2!HG13</f>
        <v>0</v>
      </c>
      <c r="XO21" s="96" t="n">
        <f aca="false">[1]ВИБУЛО2!HG13</f>
        <v>0</v>
      </c>
      <c r="XP21" s="97" t="n">
        <f aca="false">XP20-XO21+XN21</f>
        <v>0</v>
      </c>
      <c r="XQ21" s="95" t="n">
        <f aca="false">[1]НАДІЙШЛО2!HH13</f>
        <v>0</v>
      </c>
      <c r="XR21" s="96" t="n">
        <f aca="false">[1]ВИБУЛО2!HH13</f>
        <v>0</v>
      </c>
      <c r="XS21" s="97" t="n">
        <f aca="false">XS20-XR21+XQ21</f>
        <v>0</v>
      </c>
      <c r="XT21" s="95" t="n">
        <f aca="false">[1]НАДІЙШЛО2!HI13</f>
        <v>0</v>
      </c>
      <c r="XU21" s="96" t="n">
        <f aca="false">[1]ВИБУЛО2!HI13</f>
        <v>0</v>
      </c>
      <c r="XV21" s="97" t="n">
        <f aca="false">XV20-XU21+XT21</f>
        <v>0</v>
      </c>
      <c r="XW21" s="95" t="n">
        <f aca="false">[1]НАДІЙШЛО2!HJ13</f>
        <v>0</v>
      </c>
      <c r="XX21" s="96" t="n">
        <f aca="false">[1]ВИБУЛО2!HJ13</f>
        <v>0</v>
      </c>
      <c r="XY21" s="97" t="n">
        <f aca="false">XY20-XX21+XW21</f>
        <v>0</v>
      </c>
      <c r="XZ21" s="95" t="n">
        <f aca="false">[1]НАДІЙШЛО2!HK13</f>
        <v>0</v>
      </c>
      <c r="YA21" s="96" t="n">
        <f aca="false">[1]ВИБУЛО2!HK13</f>
        <v>0</v>
      </c>
      <c r="YB21" s="97" t="n">
        <f aca="false">YB20-YA21+XZ21</f>
        <v>0</v>
      </c>
      <c r="YC21" s="95" t="n">
        <f aca="false">[1]НАДІЙШЛО2!HL13</f>
        <v>0</v>
      </c>
      <c r="YD21" s="96" t="n">
        <f aca="false">[1]ВИБУЛО2!HL13</f>
        <v>0</v>
      </c>
      <c r="YE21" s="97" t="n">
        <f aca="false">YE20-YD21+YC21</f>
        <v>0</v>
      </c>
      <c r="YF21" s="95" t="n">
        <f aca="false">[1]НАДІЙШЛО2!HM13</f>
        <v>0</v>
      </c>
      <c r="YG21" s="96" t="n">
        <f aca="false">[1]ВИБУЛО2!HM13</f>
        <v>0</v>
      </c>
      <c r="YH21" s="97" t="n">
        <f aca="false">YH20-YG21+YF21</f>
        <v>0</v>
      </c>
      <c r="YI21" s="95" t="n">
        <f aca="false">[1]НАДІЙШЛО2!HN13</f>
        <v>0</v>
      </c>
      <c r="YJ21" s="96" t="n">
        <f aca="false">[1]ВИБУЛО2!HN13</f>
        <v>0</v>
      </c>
      <c r="YK21" s="97" t="n">
        <f aca="false">YK20-YJ21+YI21</f>
        <v>0</v>
      </c>
      <c r="YL21" s="95" t="n">
        <f aca="false">[1]НАДІЙШЛО2!HO13</f>
        <v>0</v>
      </c>
      <c r="YM21" s="96" t="n">
        <f aca="false">[1]ВИБУЛО2!HO13</f>
        <v>0</v>
      </c>
      <c r="YN21" s="97" t="n">
        <f aca="false">YN20-YM21+YL21</f>
        <v>0</v>
      </c>
      <c r="YO21" s="95" t="n">
        <f aca="false">[1]НАДІЙШЛО2!HP13</f>
        <v>0</v>
      </c>
      <c r="YP21" s="96" t="n">
        <f aca="false">[1]ВИБУЛО2!HP13</f>
        <v>0</v>
      </c>
      <c r="YQ21" s="97" t="n">
        <f aca="false">YQ20-YP21+YO21</f>
        <v>0</v>
      </c>
      <c r="YR21" s="95" t="n">
        <f aca="false">[1]НАДІЙШЛО2!HQ13</f>
        <v>0</v>
      </c>
      <c r="YS21" s="96" t="n">
        <f aca="false">[1]ВИБУЛО2!HQ13</f>
        <v>0</v>
      </c>
      <c r="YT21" s="97" t="n">
        <f aca="false">YT20-YS21+YR21</f>
        <v>0</v>
      </c>
      <c r="YU21" s="95" t="n">
        <f aca="false">[1]НАДІЙШЛО2!HR13</f>
        <v>0</v>
      </c>
      <c r="YV21" s="96" t="n">
        <f aca="false">[1]ВИБУЛО2!HR13</f>
        <v>0</v>
      </c>
      <c r="YW21" s="97" t="n">
        <f aca="false">YW20-YV21+YU21</f>
        <v>0</v>
      </c>
      <c r="YX21" s="95" t="n">
        <f aca="false">[1]НАДІЙШЛО2!HS13</f>
        <v>0</v>
      </c>
      <c r="YY21" s="96" t="n">
        <f aca="false">[1]ВИБУЛО2!HS13</f>
        <v>0</v>
      </c>
      <c r="YZ21" s="97" t="n">
        <f aca="false">YZ20-YY21+YX21</f>
        <v>0</v>
      </c>
      <c r="ZA21" s="95" t="n">
        <f aca="false">[1]НАДІЙШЛО2!HT13</f>
        <v>0</v>
      </c>
      <c r="ZB21" s="96" t="n">
        <f aca="false">[1]ВИБУЛО2!HT13</f>
        <v>0</v>
      </c>
      <c r="ZC21" s="97" t="n">
        <f aca="false">ZC20-ZB21+ZA21</f>
        <v>0</v>
      </c>
      <c r="ZD21" s="95" t="n">
        <f aca="false">[1]НАДІЙШЛО2!HU13</f>
        <v>0</v>
      </c>
      <c r="ZE21" s="96" t="n">
        <f aca="false">[1]ВИБУЛО2!HU13</f>
        <v>0</v>
      </c>
      <c r="ZF21" s="97" t="n">
        <f aca="false">ZF20-ZE21+ZD21</f>
        <v>0</v>
      </c>
      <c r="ZG21" s="95" t="n">
        <f aca="false">[1]НАДІЙШЛО2!HV13</f>
        <v>0</v>
      </c>
      <c r="ZH21" s="96" t="n">
        <f aca="false">[1]ВИБУЛО2!HV13</f>
        <v>0</v>
      </c>
      <c r="ZI21" s="97" t="n">
        <f aca="false">ZI20-ZH21+ZG21</f>
        <v>0</v>
      </c>
      <c r="ZJ21" s="95" t="n">
        <f aca="false">[1]НАДІЙШЛО2!HW13</f>
        <v>0</v>
      </c>
      <c r="ZK21" s="96" t="n">
        <f aca="false">[1]ВИБУЛО2!HW13</f>
        <v>0</v>
      </c>
      <c r="ZL21" s="97" t="n">
        <f aca="false">ZL20-ZK21+ZJ21</f>
        <v>0</v>
      </c>
      <c r="ZM21" s="95" t="n">
        <f aca="false">[1]НАДІЙШЛО2!HX13</f>
        <v>0</v>
      </c>
      <c r="ZN21" s="96" t="n">
        <f aca="false">[1]ВИБУЛО2!HX13</f>
        <v>0</v>
      </c>
      <c r="ZO21" s="97" t="n">
        <f aca="false">ZO20-ZN21+ZM21</f>
        <v>0</v>
      </c>
      <c r="ZP21" s="95" t="n">
        <f aca="false">[1]НАДІЙШЛО2!HY13</f>
        <v>0</v>
      </c>
      <c r="ZQ21" s="96" t="n">
        <f aca="false">[1]ВИБУЛО2!HY13</f>
        <v>0</v>
      </c>
      <c r="ZR21" s="97" t="n">
        <f aca="false">ZR20-ZQ21+ZP21</f>
        <v>0</v>
      </c>
      <c r="ZS21" s="95" t="n">
        <f aca="false">[1]НАДІЙШЛО2!HZ13</f>
        <v>0</v>
      </c>
      <c r="ZT21" s="96" t="n">
        <f aca="false">[1]ВИБУЛО2!HZ13</f>
        <v>0</v>
      </c>
      <c r="ZU21" s="97" t="n">
        <f aca="false">ZU20-ZT21+ZS21</f>
        <v>0</v>
      </c>
      <c r="ZV21" s="95" t="n">
        <f aca="false">[1]НАДІЙШЛО2!IA13</f>
        <v>0</v>
      </c>
      <c r="ZW21" s="96" t="n">
        <f aca="false">[1]ВИБУЛО2!IA13</f>
        <v>0</v>
      </c>
      <c r="ZX21" s="97" t="n">
        <f aca="false">ZX20-ZW21+ZV21</f>
        <v>0</v>
      </c>
      <c r="ZY21" s="95" t="n">
        <f aca="false">[1]НАДІЙШЛО2!IB13</f>
        <v>0</v>
      </c>
      <c r="ZZ21" s="96" t="n">
        <f aca="false">[1]ВИБУЛО2!IB13</f>
        <v>0</v>
      </c>
      <c r="AAA21" s="97" t="n">
        <f aca="false">AAA20-ZZ21+ZY21</f>
        <v>0</v>
      </c>
      <c r="AAB21" s="95" t="n">
        <f aca="false">[1]НАДІЙШЛО2!IC13</f>
        <v>0</v>
      </c>
      <c r="AAC21" s="96" t="n">
        <f aca="false">[1]ВИБУЛО2!IC13</f>
        <v>0</v>
      </c>
      <c r="AAD21" s="97" t="n">
        <f aca="false">AAD20-AAC21+AAB21</f>
        <v>0</v>
      </c>
      <c r="AAE21" s="95" t="n">
        <f aca="false">[1]НАДІЙШЛО2!ID13</f>
        <v>0</v>
      </c>
      <c r="AAF21" s="96" t="n">
        <f aca="false">[1]ВИБУЛО2!ID13</f>
        <v>0</v>
      </c>
      <c r="AAG21" s="97" t="n">
        <f aca="false">AAG20-AAF21+AAE21</f>
        <v>0</v>
      </c>
      <c r="AAH21" s="95" t="n">
        <f aca="false">[1]НАДІЙШЛО2!IE13</f>
        <v>0</v>
      </c>
      <c r="AAI21" s="96" t="n">
        <f aca="false">[1]ВИБУЛО2!IE13</f>
        <v>0</v>
      </c>
      <c r="AAJ21" s="97" t="n">
        <f aca="false">AAJ20-AAI21+AAH21</f>
        <v>0</v>
      </c>
      <c r="AAK21" s="95" t="n">
        <f aca="false">[1]НАДІЙШЛО2!IF13</f>
        <v>0</v>
      </c>
      <c r="AAL21" s="96" t="n">
        <f aca="false">[1]ВИБУЛО2!IF13</f>
        <v>0</v>
      </c>
      <c r="AAM21" s="97" t="n">
        <f aca="false">AAM20-AAL21+AAK21</f>
        <v>0</v>
      </c>
      <c r="AAN21" s="95" t="n">
        <f aca="false">[1]НАДІЙШЛО2!IG13</f>
        <v>0</v>
      </c>
      <c r="AAO21" s="96" t="n">
        <f aca="false">[1]ВИБУЛО2!IG13</f>
        <v>0</v>
      </c>
      <c r="AAP21" s="97" t="n">
        <f aca="false">AAP20-AAO21+AAN21</f>
        <v>0</v>
      </c>
      <c r="AAQ21" s="95" t="n">
        <f aca="false">[1]НАДІЙШЛО2!IH13</f>
        <v>0</v>
      </c>
      <c r="AAR21" s="96" t="n">
        <f aca="false">[1]ВИБУЛО2!IH13</f>
        <v>0</v>
      </c>
      <c r="AAS21" s="97" t="n">
        <f aca="false">AAS20-AAR21+AAQ21</f>
        <v>0</v>
      </c>
      <c r="AAT21" s="95" t="n">
        <f aca="false">[1]НАДІЙШЛО2!II13</f>
        <v>0</v>
      </c>
      <c r="AAU21" s="96" t="n">
        <f aca="false">[1]ВИБУЛО2!II13</f>
        <v>0</v>
      </c>
      <c r="AAV21" s="97" t="n">
        <f aca="false">AAV20-AAU21+AAT21</f>
        <v>0</v>
      </c>
      <c r="AAW21" s="95" t="n">
        <f aca="false">[1]НАДІЙШЛО2!IJ13</f>
        <v>0</v>
      </c>
      <c r="AAX21" s="96" t="n">
        <f aca="false">[1]ВИБУЛО2!IJ13</f>
        <v>0</v>
      </c>
      <c r="AAY21" s="97" t="n">
        <f aca="false">AAY20-AAX21+AAW21</f>
        <v>0</v>
      </c>
      <c r="AAZ21" s="95" t="n">
        <f aca="false">[1]НАДІЙШЛО2!IK13</f>
        <v>0</v>
      </c>
      <c r="ABA21" s="96" t="n">
        <f aca="false">[1]ВИБУЛО2!IK13</f>
        <v>0</v>
      </c>
      <c r="ABB21" s="97" t="n">
        <f aca="false">ABB20-ABA21+AAZ21</f>
        <v>0</v>
      </c>
      <c r="ABC21" s="95" t="n">
        <f aca="false">[1]НАДІЙШЛО2!IL13</f>
        <v>0</v>
      </c>
      <c r="ABD21" s="96" t="n">
        <f aca="false">[1]ВИБУЛО2!IL13</f>
        <v>0</v>
      </c>
      <c r="ABE21" s="97" t="n">
        <f aca="false">ABE20-ABD21+ABC21</f>
        <v>0</v>
      </c>
      <c r="ABF21" s="95" t="n">
        <f aca="false">[1]НАДІЙШЛО2!IM13</f>
        <v>0</v>
      </c>
      <c r="ABG21" s="96" t="n">
        <f aca="false">[1]ВИБУЛО2!IM13</f>
        <v>0</v>
      </c>
      <c r="ABH21" s="97" t="n">
        <f aca="false">ABH20-ABG21+ABF21</f>
        <v>0</v>
      </c>
      <c r="ABI21" s="95" t="n">
        <f aca="false">[1]НАДІЙШЛО2!IN13</f>
        <v>0</v>
      </c>
      <c r="ABJ21" s="96" t="n">
        <f aca="false">[1]ВИБУЛО2!IN13</f>
        <v>0</v>
      </c>
      <c r="ABK21" s="97" t="n">
        <f aca="false">ABK20-ABJ21+ABI21</f>
        <v>0</v>
      </c>
      <c r="ABL21" s="95" t="n">
        <f aca="false">[1]НАДІЙШЛО2!IO13</f>
        <v>0</v>
      </c>
      <c r="ABM21" s="96" t="n">
        <f aca="false">[1]ВИБУЛО2!IO13</f>
        <v>0</v>
      </c>
      <c r="ABN21" s="97" t="n">
        <f aca="false">ABN20-ABM21+ABL21</f>
        <v>0</v>
      </c>
      <c r="ABO21" s="95" t="n">
        <f aca="false">[1]НАДІЙШЛО2!IP13</f>
        <v>0</v>
      </c>
      <c r="ABP21" s="96" t="n">
        <f aca="false">[1]ВИБУЛО2!IP13</f>
        <v>0</v>
      </c>
      <c r="ABQ21" s="97" t="n">
        <f aca="false">ABQ20-ABP21+ABO21</f>
        <v>0</v>
      </c>
      <c r="ABR21" s="95" t="n">
        <f aca="false">[1]НАДІЙШЛО2!IQ13</f>
        <v>0</v>
      </c>
      <c r="ABS21" s="96" t="n">
        <f aca="false">[1]ВИБУЛО2!IQ13</f>
        <v>0</v>
      </c>
      <c r="ABT21" s="97" t="n">
        <f aca="false">ABT20-ABS21+ABR21</f>
        <v>0</v>
      </c>
      <c r="ABU21" s="95" t="n">
        <f aca="false">[1]НАДІЙШЛО2!IR13</f>
        <v>0</v>
      </c>
      <c r="ABV21" s="96" t="n">
        <f aca="false">[1]ВИБУЛО2!IR13</f>
        <v>0</v>
      </c>
      <c r="ABW21" s="97" t="n">
        <f aca="false">ABW20-ABV21+ABU21</f>
        <v>0</v>
      </c>
      <c r="ABX21" s="95" t="n">
        <f aca="false">[1]НАДІЙШЛО2!IS13</f>
        <v>0</v>
      </c>
      <c r="ABY21" s="96" t="n">
        <f aca="false">[1]ВИБУЛО2!IS13</f>
        <v>0</v>
      </c>
      <c r="ABZ21" s="97" t="n">
        <f aca="false">ABZ20-ABY21+ABX21</f>
        <v>0</v>
      </c>
      <c r="ACA21" s="95" t="n">
        <f aca="false">[1]НАДІЙШЛО2!IT13</f>
        <v>0</v>
      </c>
      <c r="ACB21" s="96" t="n">
        <f aca="false">[1]ВИБУЛО2!IT13</f>
        <v>0</v>
      </c>
      <c r="ACC21" s="97" t="n">
        <f aca="false">ACC20-ACB21+ACA21</f>
        <v>0</v>
      </c>
      <c r="ACD21" s="95" t="n">
        <f aca="false">[1]НАДІЙШЛО2!IU13</f>
        <v>0</v>
      </c>
      <c r="ACE21" s="96" t="n">
        <f aca="false">[1]ВИБУЛО2!IU13</f>
        <v>0</v>
      </c>
      <c r="ACF21" s="97" t="n">
        <f aca="false">ACF20-ACE21+ACD21</f>
        <v>0</v>
      </c>
      <c r="ACG21" s="95" t="n">
        <f aca="false">[1]НАДІЙШЛО2!IV13</f>
        <v>0</v>
      </c>
      <c r="ACH21" s="96" t="n">
        <f aca="false">[1]ВИБУЛО2!IV13</f>
        <v>0</v>
      </c>
      <c r="ACI21" s="97" t="n">
        <f aca="false">ACI20-ACH21+ACG21</f>
        <v>0</v>
      </c>
      <c r="ACJ21" s="95" t="n">
        <f aca="false">[1]НАДІЙШЛО2!IW13</f>
        <v>0</v>
      </c>
      <c r="ACK21" s="96" t="n">
        <f aca="false">[1]ВИБУЛО2!IW13</f>
        <v>0</v>
      </c>
      <c r="ACL21" s="97" t="n">
        <f aca="false">ACL20-ACK21+ACJ21</f>
        <v>0</v>
      </c>
      <c r="ACM21" s="95" t="n">
        <f aca="false">[1]НАДІЙШЛО2!IX13</f>
        <v>0</v>
      </c>
      <c r="ACN21" s="96" t="n">
        <f aca="false">[1]ВИБУЛО2!IX13</f>
        <v>0</v>
      </c>
      <c r="ACO21" s="97" t="n">
        <f aca="false">ACO20-ACN21+ACM21</f>
        <v>0</v>
      </c>
      <c r="ACP21" s="95" t="n">
        <f aca="false">[1]НАДІЙШЛО2!IY13</f>
        <v>0</v>
      </c>
      <c r="ACQ21" s="96" t="n">
        <f aca="false">[1]ВИБУЛО2!IY13</f>
        <v>0</v>
      </c>
      <c r="ACR21" s="97" t="n">
        <f aca="false">ACR20-ACQ21+ACP21</f>
        <v>0</v>
      </c>
      <c r="ACS21" s="95" t="n">
        <f aca="false">[1]НАДІЙШЛО2!IZ13</f>
        <v>0</v>
      </c>
      <c r="ACT21" s="96" t="n">
        <f aca="false">[1]ВИБУЛО2!IZ13</f>
        <v>0</v>
      </c>
      <c r="ACU21" s="97" t="n">
        <f aca="false">ACU20-ACT21+ACS21</f>
        <v>0</v>
      </c>
      <c r="ACV21" s="95" t="n">
        <f aca="false">[1]НАДІЙШЛО2!JA13</f>
        <v>0</v>
      </c>
      <c r="ACW21" s="96" t="n">
        <f aca="false">[1]ВИБУЛО2!JA13</f>
        <v>0</v>
      </c>
      <c r="ACX21" s="97" t="n">
        <f aca="false">ACX20-ACW21+ACV21</f>
        <v>0</v>
      </c>
      <c r="ACY21" s="95" t="n">
        <f aca="false">[1]НАДІЙШЛО2!JB13</f>
        <v>0</v>
      </c>
      <c r="ACZ21" s="96" t="n">
        <f aca="false">[1]ВИБУЛО2!JB13</f>
        <v>0</v>
      </c>
      <c r="ADA21" s="97" t="n">
        <f aca="false">ADA20-ACZ21+ACY21</f>
        <v>0</v>
      </c>
      <c r="ADB21" s="95" t="n">
        <f aca="false">[1]НАДІЙШЛО2!JC13</f>
        <v>0</v>
      </c>
      <c r="ADC21" s="96" t="n">
        <f aca="false">[1]ВИБУЛО2!JC13</f>
        <v>0</v>
      </c>
      <c r="ADD21" s="97" t="n">
        <f aca="false">ADD20-ADC21+ADB21</f>
        <v>0</v>
      </c>
      <c r="ADE21" s="95" t="n">
        <f aca="false">[1]НАДІЙШЛО2!JD13</f>
        <v>0</v>
      </c>
      <c r="ADF21" s="96" t="n">
        <f aca="false">[1]ВИБУЛО2!JD13</f>
        <v>0</v>
      </c>
      <c r="ADG21" s="97" t="n">
        <f aca="false">ADG20-ADF21+ADE21</f>
        <v>0</v>
      </c>
      <c r="ADH21" s="95" t="n">
        <f aca="false">[1]НАДІЙШЛО2!JE13</f>
        <v>0</v>
      </c>
      <c r="ADI21" s="96" t="n">
        <f aca="false">[1]ВИБУЛО2!JE13</f>
        <v>0</v>
      </c>
      <c r="ADJ21" s="97" t="n">
        <f aca="false">ADJ20-ADI21+ADH21</f>
        <v>0</v>
      </c>
      <c r="ADK21" s="95" t="n">
        <f aca="false">[1]НАДІЙШЛО2!JF13</f>
        <v>0</v>
      </c>
      <c r="ADL21" s="96" t="n">
        <f aca="false">[1]ВИБУЛО2!JF13</f>
        <v>0</v>
      </c>
      <c r="ADM21" s="97" t="n">
        <f aca="false">ADM20-ADL21+ADK21</f>
        <v>0</v>
      </c>
      <c r="ADN21" s="95" t="n">
        <f aca="false">[1]НАДІЙШЛО2!JG13</f>
        <v>0</v>
      </c>
      <c r="ADO21" s="96" t="n">
        <f aca="false">[1]ВИБУЛО2!JG13</f>
        <v>0</v>
      </c>
      <c r="ADP21" s="97" t="n">
        <f aca="false">ADP20-ADO21+ADN21</f>
        <v>0</v>
      </c>
      <c r="ADQ21" s="95" t="n">
        <f aca="false">[1]НАДІЙШЛО2!JH13</f>
        <v>0</v>
      </c>
      <c r="ADR21" s="96" t="n">
        <f aca="false">[1]ВИБУЛО2!JH13</f>
        <v>0</v>
      </c>
      <c r="ADS21" s="97" t="n">
        <f aca="false">ADS20-ADR21+ADQ21</f>
        <v>0</v>
      </c>
      <c r="ADT21" s="95" t="n">
        <f aca="false">[1]НАДІЙШЛО2!JI13</f>
        <v>0</v>
      </c>
      <c r="ADU21" s="96" t="n">
        <f aca="false">[1]ВИБУЛО2!JI13</f>
        <v>0</v>
      </c>
      <c r="ADV21" s="97" t="n">
        <f aca="false">ADV20-ADU21+ADT21</f>
        <v>0</v>
      </c>
      <c r="ADW21" s="95" t="n">
        <f aca="false">[1]НАДІЙШЛО2!JJ13</f>
        <v>0</v>
      </c>
      <c r="ADX21" s="96" t="n">
        <f aca="false">[1]ВИБУЛО2!JJ13</f>
        <v>0</v>
      </c>
      <c r="ADY21" s="97" t="n">
        <f aca="false">ADY20-ADX21+ADW21</f>
        <v>0</v>
      </c>
      <c r="ADZ21" s="95" t="n">
        <f aca="false">[1]НАДІЙШЛО2!JK13</f>
        <v>0</v>
      </c>
      <c r="AEA21" s="96" t="n">
        <f aca="false">[1]ВИБУЛО2!JK13</f>
        <v>0</v>
      </c>
      <c r="AEB21" s="97" t="n">
        <f aca="false">AEB20-AEA21+ADZ21</f>
        <v>0</v>
      </c>
      <c r="AEC21" s="95" t="n">
        <f aca="false">[1]НАДІЙШЛО2!JL13</f>
        <v>0</v>
      </c>
      <c r="AED21" s="96" t="n">
        <f aca="false">[1]ВИБУЛО2!JL13</f>
        <v>0</v>
      </c>
      <c r="AEE21" s="97" t="n">
        <f aca="false">AEE20-AED21+AEC21</f>
        <v>0</v>
      </c>
      <c r="AEF21" s="95" t="n">
        <f aca="false">[1]НАДІЙШЛО2!JM13</f>
        <v>0</v>
      </c>
      <c r="AEG21" s="96" t="n">
        <f aca="false">[1]ВИБУЛО2!JM13</f>
        <v>0</v>
      </c>
      <c r="AEH21" s="97" t="n">
        <f aca="false">AEH20-AEG21+AEF21</f>
        <v>0</v>
      </c>
      <c r="AEI21" s="95" t="n">
        <f aca="false">[1]НАДІЙШЛО2!JN13</f>
        <v>0</v>
      </c>
      <c r="AEJ21" s="96" t="n">
        <f aca="false">[1]ВИБУЛО2!JN13</f>
        <v>0</v>
      </c>
      <c r="AEK21" s="97" t="n">
        <f aca="false">AEK20-AEJ21+AEI21</f>
        <v>0</v>
      </c>
      <c r="AEL21" s="95" t="n">
        <f aca="false">[1]НАДІЙШЛО2!JO13</f>
        <v>0</v>
      </c>
      <c r="AEM21" s="96" t="n">
        <f aca="false">[1]ВИБУЛО2!JO13</f>
        <v>0</v>
      </c>
      <c r="AEN21" s="97" t="n">
        <f aca="false">AEN20-AEM21+AEL21</f>
        <v>0</v>
      </c>
      <c r="AEO21" s="95" t="n">
        <f aca="false">[1]НАДІЙШЛО2!JP13</f>
        <v>0</v>
      </c>
      <c r="AEP21" s="96" t="n">
        <f aca="false">[1]ВИБУЛО2!JP13</f>
        <v>0</v>
      </c>
      <c r="AEQ21" s="97" t="n">
        <f aca="false">AEQ20-AEP21+AEO21</f>
        <v>0</v>
      </c>
      <c r="AER21" s="95" t="n">
        <f aca="false">[1]НАДІЙШЛО2!JQ13</f>
        <v>0</v>
      </c>
      <c r="AES21" s="96" t="n">
        <f aca="false">[1]ВИБУЛО2!JQ13</f>
        <v>0</v>
      </c>
      <c r="AET21" s="97" t="n">
        <f aca="false">AET20-AES21+AER21</f>
        <v>0</v>
      </c>
      <c r="AEU21" s="95" t="n">
        <f aca="false">[1]НАДІЙШЛО2!JR13</f>
        <v>0</v>
      </c>
      <c r="AEV21" s="96" t="n">
        <f aca="false">[1]ВИБУЛО2!JR13</f>
        <v>0</v>
      </c>
      <c r="AEW21" s="97" t="n">
        <f aca="false">AEW20-AEV21+AEU21</f>
        <v>0</v>
      </c>
      <c r="AEX21" s="95" t="n">
        <f aca="false">[1]НАДІЙШЛО2!JS13</f>
        <v>0</v>
      </c>
      <c r="AEY21" s="96" t="n">
        <f aca="false">[1]ВИБУЛО2!JS13</f>
        <v>0</v>
      </c>
      <c r="AEZ21" s="97" t="n">
        <f aca="false">AEZ20-AEY21+AEX21</f>
        <v>0</v>
      </c>
      <c r="AFA21" s="95" t="n">
        <f aca="false">[1]НАДІЙШЛО2!JT13</f>
        <v>0</v>
      </c>
      <c r="AFB21" s="96" t="n">
        <f aca="false">[1]ВИБУЛО2!JT13</f>
        <v>0</v>
      </c>
      <c r="AFC21" s="97" t="n">
        <f aca="false">AFC20-AFB21+AFA21</f>
        <v>0</v>
      </c>
      <c r="AFD21" s="95" t="n">
        <f aca="false">[1]НАДІЙШЛО2!JU13</f>
        <v>0</v>
      </c>
      <c r="AFE21" s="96" t="n">
        <f aca="false">[1]ВИБУЛО2!JU13</f>
        <v>0</v>
      </c>
      <c r="AFF21" s="97" t="n">
        <f aca="false">AFF20-AFE21+AFD21</f>
        <v>0</v>
      </c>
      <c r="AFG21" s="95" t="n">
        <f aca="false">[1]НАДІЙШЛО2!JV13</f>
        <v>0</v>
      </c>
      <c r="AFH21" s="96" t="n">
        <f aca="false">[1]ВИБУЛО2!JV13</f>
        <v>0</v>
      </c>
      <c r="AFI21" s="97" t="n">
        <f aca="false">AFI20-AFH21+AFG21</f>
        <v>0</v>
      </c>
      <c r="AFJ21" s="95" t="n">
        <f aca="false">[1]НАДІЙШЛО2!JW13</f>
        <v>0</v>
      </c>
      <c r="AFK21" s="96" t="n">
        <f aca="false">[1]ВИБУЛО2!JW13</f>
        <v>0</v>
      </c>
      <c r="AFL21" s="97" t="n">
        <f aca="false">AFL20-AFK21+AFJ21</f>
        <v>0</v>
      </c>
      <c r="AFM21" s="95" t="n">
        <f aca="false">[1]НАДІЙШЛО2!JX13</f>
        <v>0</v>
      </c>
      <c r="AFN21" s="96" t="n">
        <f aca="false">[1]ВИБУЛО2!JX13</f>
        <v>0</v>
      </c>
      <c r="AFO21" s="97" t="n">
        <f aca="false">AFO20-AFN21+AFM21</f>
        <v>0</v>
      </c>
      <c r="AFP21" s="95" t="n">
        <f aca="false">[1]НАДІЙШЛО2!JY13</f>
        <v>0</v>
      </c>
      <c r="AFQ21" s="96" t="n">
        <f aca="false">[1]ВИБУЛО2!JY13</f>
        <v>0</v>
      </c>
      <c r="AFR21" s="97" t="n">
        <f aca="false">AFR20-AFQ21+AFP21</f>
        <v>0</v>
      </c>
      <c r="AFS21" s="95" t="n">
        <f aca="false">[1]НАДІЙШЛО2!JZ13</f>
        <v>0</v>
      </c>
      <c r="AFT21" s="96" t="n">
        <f aca="false">[1]ВИБУЛО2!JZ13</f>
        <v>0</v>
      </c>
      <c r="AFU21" s="97" t="n">
        <f aca="false">AFU20-AFT21+AFS21</f>
        <v>0</v>
      </c>
      <c r="AFV21" s="95" t="n">
        <f aca="false">[1]НАДІЙШЛО2!KA13</f>
        <v>0</v>
      </c>
      <c r="AFW21" s="96" t="n">
        <f aca="false">[1]ВИБУЛО2!KA13</f>
        <v>0</v>
      </c>
      <c r="AFX21" s="97" t="n">
        <f aca="false">AFX20-AFW21+AFV21</f>
        <v>0</v>
      </c>
      <c r="AFY21" s="95" t="n">
        <f aca="false">[1]НАДІЙШЛО2!KB13</f>
        <v>0</v>
      </c>
      <c r="AFZ21" s="96" t="n">
        <f aca="false">[1]ВИБУЛО2!KB13</f>
        <v>0</v>
      </c>
      <c r="AGA21" s="97" t="n">
        <f aca="false">AGA20-AFZ21+AFY21</f>
        <v>0</v>
      </c>
      <c r="AGB21" s="95" t="n">
        <f aca="false">[1]НАДІЙШЛО2!KC13</f>
        <v>0</v>
      </c>
      <c r="AGC21" s="96" t="n">
        <f aca="false">[1]ВИБУЛО2!KC13</f>
        <v>0</v>
      </c>
      <c r="AGD21" s="97" t="n">
        <f aca="false">AGD20-AGC21+AGB21</f>
        <v>0</v>
      </c>
      <c r="AGE21" s="95" t="n">
        <f aca="false">[1]НАДІЙШЛО2!KD13</f>
        <v>0</v>
      </c>
      <c r="AGF21" s="96" t="n">
        <f aca="false">[1]ВИБУЛО2!KD13</f>
        <v>0</v>
      </c>
      <c r="AGG21" s="97" t="n">
        <f aca="false">AGG20-AGF21+AGE21</f>
        <v>0</v>
      </c>
      <c r="AGH21" s="95" t="n">
        <f aca="false">[1]НАДІЙШЛО2!KE13</f>
        <v>0</v>
      </c>
      <c r="AGI21" s="96" t="n">
        <f aca="false">[1]ВИБУЛО2!KE13</f>
        <v>0</v>
      </c>
      <c r="AGJ21" s="97" t="n">
        <f aca="false">AGJ20-AGI21+AGH21</f>
        <v>0</v>
      </c>
      <c r="AGK21" s="95" t="n">
        <f aca="false">[1]НАДІЙШЛО2!KF13</f>
        <v>0</v>
      </c>
      <c r="AGL21" s="96" t="n">
        <f aca="false">[1]ВИБУЛО2!KF13</f>
        <v>0</v>
      </c>
      <c r="AGM21" s="97" t="n">
        <f aca="false">AGM20-AGL21+AGK21</f>
        <v>0</v>
      </c>
      <c r="AGN21" s="95" t="n">
        <f aca="false">[1]НАДІЙШЛО2!KG13</f>
        <v>0</v>
      </c>
      <c r="AGO21" s="96" t="n">
        <f aca="false">[1]ВИБУЛО2!KG13</f>
        <v>0</v>
      </c>
      <c r="AGP21" s="97" t="n">
        <f aca="false">AGP20-AGO21+AGN21</f>
        <v>0</v>
      </c>
      <c r="AGQ21" s="95" t="n">
        <f aca="false">[1]НАДІЙШЛО2!KH13</f>
        <v>0</v>
      </c>
      <c r="AGR21" s="96" t="n">
        <f aca="false">[1]ВИБУЛО2!KH13</f>
        <v>0</v>
      </c>
      <c r="AGS21" s="97" t="n">
        <f aca="false">AGS20-AGR21+AGQ21</f>
        <v>0</v>
      </c>
      <c r="AGT21" s="95" t="n">
        <f aca="false">[1]НАДІЙШЛО2!KI13</f>
        <v>0</v>
      </c>
      <c r="AGU21" s="96" t="n">
        <f aca="false">[1]ВИБУЛО2!KI13</f>
        <v>0</v>
      </c>
      <c r="AGV21" s="97" t="n">
        <f aca="false">AGV20-AGU21+AGT21</f>
        <v>0</v>
      </c>
      <c r="AGW21" s="95" t="n">
        <f aca="false">[1]НАДІЙШЛО2!KJ13</f>
        <v>0</v>
      </c>
      <c r="AGX21" s="96" t="n">
        <f aca="false">[1]ВИБУЛО2!KJ13</f>
        <v>0</v>
      </c>
      <c r="AGY21" s="97" t="n">
        <f aca="false">AGY20-AGX21+AGW21</f>
        <v>0</v>
      </c>
      <c r="AGZ21" s="95" t="n">
        <f aca="false">[1]НАДІЙШЛО2!KK13</f>
        <v>0</v>
      </c>
      <c r="AHA21" s="96" t="n">
        <f aca="false">[1]ВИБУЛО2!KK13</f>
        <v>0</v>
      </c>
      <c r="AHB21" s="97" t="n">
        <f aca="false">AHB20-AHA21+AGZ21</f>
        <v>0</v>
      </c>
      <c r="AHC21" s="95" t="n">
        <f aca="false">[1]НАДІЙШЛО2!KL13</f>
        <v>0</v>
      </c>
      <c r="AHD21" s="96" t="n">
        <f aca="false">[1]ВИБУЛО2!KL13</f>
        <v>0</v>
      </c>
      <c r="AHE21" s="97" t="n">
        <f aca="false">AHE20-AHD21+AHC21</f>
        <v>0</v>
      </c>
      <c r="AHF21" s="95" t="n">
        <f aca="false">[1]НАДІЙШЛО2!KM13</f>
        <v>0</v>
      </c>
      <c r="AHG21" s="96" t="n">
        <f aca="false">[1]ВИБУЛО2!KM13</f>
        <v>0</v>
      </c>
      <c r="AHH21" s="97" t="n">
        <f aca="false">AHH20-AHG21+AHF21</f>
        <v>0</v>
      </c>
      <c r="AHI21" s="95" t="n">
        <f aca="false">[1]НАДІЙШЛО2!KN13</f>
        <v>0</v>
      </c>
      <c r="AHJ21" s="96" t="n">
        <f aca="false">[1]ВИБУЛО2!KN13</f>
        <v>0</v>
      </c>
      <c r="AHK21" s="97" t="n">
        <f aca="false">AHK20-AHJ21+AHI21</f>
        <v>0</v>
      </c>
      <c r="AHL21" s="95" t="n">
        <f aca="false">[1]НАДІЙШЛО2!KO13</f>
        <v>0</v>
      </c>
      <c r="AHM21" s="96" t="n">
        <f aca="false">[1]ВИБУЛО2!KO13</f>
        <v>0</v>
      </c>
      <c r="AHN21" s="97" t="n">
        <f aca="false">AHN20-AHM21+AHL21</f>
        <v>0</v>
      </c>
      <c r="AHO21" s="95" t="n">
        <f aca="false">[1]НАДІЙШЛО2!KP13</f>
        <v>0</v>
      </c>
      <c r="AHP21" s="96" t="n">
        <f aca="false">[1]ВИБУЛО2!KP13</f>
        <v>0</v>
      </c>
      <c r="AHQ21" s="97" t="n">
        <f aca="false">AHQ20-AHP21+AHO21</f>
        <v>0</v>
      </c>
      <c r="AHR21" s="95" t="n">
        <f aca="false">[1]НАДІЙШЛО2!KQ13</f>
        <v>0</v>
      </c>
      <c r="AHS21" s="96" t="n">
        <f aca="false">[1]ВИБУЛО2!KQ13</f>
        <v>0</v>
      </c>
      <c r="AHT21" s="97" t="n">
        <f aca="false">AHT20-AHS21+AHR21</f>
        <v>0</v>
      </c>
      <c r="AHU21" s="95" t="n">
        <f aca="false">[1]НАДІЙШЛО2!KR13</f>
        <v>0</v>
      </c>
      <c r="AHV21" s="96" t="n">
        <f aca="false">[1]ВИБУЛО2!KR13</f>
        <v>0</v>
      </c>
      <c r="AHW21" s="97" t="n">
        <f aca="false">AHW20-AHV21+AHU21</f>
        <v>0</v>
      </c>
      <c r="AHX21" s="95" t="n">
        <f aca="false">[1]НАДІЙШЛО2!KS13</f>
        <v>0</v>
      </c>
      <c r="AHY21" s="96" t="n">
        <f aca="false">[1]ВИБУЛО2!KS13</f>
        <v>0</v>
      </c>
      <c r="AHZ21" s="97" t="n">
        <f aca="false">AHZ20-AHY21+AHX21</f>
        <v>0</v>
      </c>
      <c r="AIA21" s="95" t="n">
        <f aca="false">[1]НАДІЙШЛО2!KT13</f>
        <v>0</v>
      </c>
      <c r="AIB21" s="96" t="n">
        <f aca="false">[1]ВИБУЛО2!KT13</f>
        <v>0</v>
      </c>
      <c r="AIC21" s="97" t="n">
        <f aca="false">AIC20-AIB21+AIA21</f>
        <v>0</v>
      </c>
      <c r="AID21" s="95" t="n">
        <f aca="false">[1]НАДІЙШЛО2!KU13</f>
        <v>0</v>
      </c>
      <c r="AIE21" s="96" t="n">
        <f aca="false">[1]ВИБУЛО2!KU13</f>
        <v>0</v>
      </c>
      <c r="AIF21" s="97" t="n">
        <f aca="false">AIF20-AIE21+AID21</f>
        <v>0</v>
      </c>
      <c r="AIG21" s="95" t="n">
        <f aca="false">[1]НАДІЙШЛО2!KV13</f>
        <v>0</v>
      </c>
      <c r="AIH21" s="96" t="n">
        <f aca="false">[1]ВИБУЛО2!KV13</f>
        <v>0</v>
      </c>
      <c r="AII21" s="97" t="n">
        <f aca="false">AII20-AIH21+AIG21</f>
        <v>0</v>
      </c>
      <c r="AIJ21" s="95" t="n">
        <f aca="false">[1]НАДІЙШЛО2!KW13</f>
        <v>0</v>
      </c>
      <c r="AIK21" s="96" t="n">
        <f aca="false">[1]ВИБУЛО2!KW13</f>
        <v>0</v>
      </c>
      <c r="AIL21" s="97" t="n">
        <f aca="false">AIL20-AIK21+AIJ21</f>
        <v>0</v>
      </c>
      <c r="AIM21" s="95" t="n">
        <f aca="false">[1]НАДІЙШЛО2!KX13</f>
        <v>0</v>
      </c>
      <c r="AIN21" s="96" t="n">
        <f aca="false">[1]ВИБУЛО2!KX13</f>
        <v>0</v>
      </c>
      <c r="AIO21" s="97" t="n">
        <f aca="false">AIO20-AIN21+AIM21</f>
        <v>0</v>
      </c>
      <c r="AIP21" s="95" t="n">
        <f aca="false">[1]НАДІЙШЛО2!KY13</f>
        <v>0</v>
      </c>
      <c r="AIQ21" s="96" t="n">
        <f aca="false">[1]ВИБУЛО2!KY13</f>
        <v>0</v>
      </c>
      <c r="AIR21" s="97" t="n">
        <f aca="false">AIR20-AIQ21+AIP21</f>
        <v>0</v>
      </c>
      <c r="AIS21" s="95" t="n">
        <f aca="false">[1]НАДІЙШЛО2!KZ13</f>
        <v>0</v>
      </c>
      <c r="AIT21" s="96" t="n">
        <f aca="false">[1]ВИБУЛО2!KZ13</f>
        <v>0</v>
      </c>
      <c r="AIU21" s="97" t="n">
        <f aca="false">AIU20-AIT21+AIS21</f>
        <v>0</v>
      </c>
      <c r="AIV21" s="95" t="n">
        <f aca="false">[1]НАДІЙШЛО2!LA13</f>
        <v>0</v>
      </c>
      <c r="AIW21" s="96" t="n">
        <f aca="false">[1]ВИБУЛО2!LA13</f>
        <v>0</v>
      </c>
      <c r="AIX21" s="97" t="n">
        <f aca="false">AIX20-AIW21+AIV21</f>
        <v>0</v>
      </c>
      <c r="AIY21" s="95" t="n">
        <f aca="false">[1]НАДІЙШЛО2!LB13</f>
        <v>0</v>
      </c>
      <c r="AIZ21" s="96" t="n">
        <f aca="false">[1]ВИБУЛО2!LB13</f>
        <v>0</v>
      </c>
      <c r="AJA21" s="97" t="n">
        <f aca="false">AJA20-AIZ21+AIY21</f>
        <v>0</v>
      </c>
      <c r="AJB21" s="95" t="n">
        <f aca="false">[1]НАДІЙШЛО2!LC13</f>
        <v>0</v>
      </c>
      <c r="AJC21" s="96" t="n">
        <f aca="false">[1]ВИБУЛО2!LC13</f>
        <v>0</v>
      </c>
      <c r="AJD21" s="97" t="n">
        <f aca="false">AJD20-AJC21+AJB21</f>
        <v>0</v>
      </c>
      <c r="AJE21" s="95" t="n">
        <f aca="false">[1]НАДІЙШЛО2!LD13</f>
        <v>0</v>
      </c>
      <c r="AJF21" s="96" t="n">
        <f aca="false">[1]ВИБУЛО2!LD13</f>
        <v>0</v>
      </c>
      <c r="AJG21" s="97" t="n">
        <f aca="false">AJG20-AJF21+AJE21</f>
        <v>0</v>
      </c>
      <c r="AJH21" s="95" t="n">
        <f aca="false">[1]НАДІЙШЛО2!LE13</f>
        <v>0</v>
      </c>
      <c r="AJI21" s="96" t="n">
        <f aca="false">[1]ВИБУЛО2!LE13</f>
        <v>0</v>
      </c>
      <c r="AJJ21" s="97" t="n">
        <f aca="false">AJJ20-AJI21+AJH21</f>
        <v>0</v>
      </c>
      <c r="AJK21" s="95" t="n">
        <f aca="false">[1]НАДІЙШЛО2!LF13</f>
        <v>0</v>
      </c>
      <c r="AJL21" s="96" t="n">
        <f aca="false">[1]ВИБУЛО2!LF13</f>
        <v>0</v>
      </c>
      <c r="AJM21" s="97" t="n">
        <f aca="false">AJM20-AJL21+AJK21</f>
        <v>0</v>
      </c>
      <c r="AJN21" s="95" t="n">
        <f aca="false">[1]НАДІЙШЛО2!LG13</f>
        <v>0</v>
      </c>
      <c r="AJO21" s="96" t="n">
        <f aca="false">[1]ВИБУЛО2!LG13</f>
        <v>0</v>
      </c>
      <c r="AJP21" s="97" t="n">
        <f aca="false">AJP20-AJO21+AJN21</f>
        <v>0</v>
      </c>
      <c r="AJQ21" s="95" t="n">
        <f aca="false">[1]НАДІЙШЛО2!LH13</f>
        <v>0</v>
      </c>
      <c r="AJR21" s="96" t="n">
        <f aca="false">[1]ВИБУЛО2!LH13</f>
        <v>0</v>
      </c>
      <c r="AJS21" s="97" t="n">
        <f aca="false">AJS20-AJR21+AJQ21</f>
        <v>0</v>
      </c>
      <c r="AJT21" s="95" t="n">
        <f aca="false">[1]НАДІЙШЛО2!LI13</f>
        <v>0</v>
      </c>
      <c r="AJU21" s="96" t="n">
        <f aca="false">[1]ВИБУЛО2!LI13</f>
        <v>0</v>
      </c>
      <c r="AJV21" s="97" t="n">
        <f aca="false">AJV20-AJU21+AJT21</f>
        <v>0</v>
      </c>
      <c r="AJW21" s="95" t="n">
        <f aca="false">[1]НАДІЙШЛО2!LJ13</f>
        <v>0</v>
      </c>
      <c r="AJX21" s="96" t="n">
        <f aca="false">[1]ВИБУЛО2!LJ13</f>
        <v>0</v>
      </c>
      <c r="AJY21" s="97" t="n">
        <f aca="false">AJY20-AJX21+AJW21</f>
        <v>0</v>
      </c>
      <c r="AJZ21" s="95" t="n">
        <f aca="false">[1]НАДІЙШЛО2!LK13</f>
        <v>0</v>
      </c>
      <c r="AKA21" s="96" t="n">
        <f aca="false">[1]ВИБУЛО2!LK13</f>
        <v>0</v>
      </c>
      <c r="AKB21" s="97" t="n">
        <f aca="false">AKB20-AKA21+AJZ21</f>
        <v>0</v>
      </c>
      <c r="AKC21" s="95" t="n">
        <f aca="false">[1]НАДІЙШЛО2!LL13</f>
        <v>0</v>
      </c>
      <c r="AKD21" s="96" t="n">
        <f aca="false">[1]ВИБУЛО2!LL13</f>
        <v>0</v>
      </c>
      <c r="AKE21" s="97" t="n">
        <f aca="false">AKE20-AKD21+AKC21</f>
        <v>0</v>
      </c>
      <c r="AKF21" s="95" t="n">
        <f aca="false">[1]НАДІЙШЛО2!LM13</f>
        <v>0</v>
      </c>
      <c r="AKG21" s="96" t="n">
        <f aca="false">[1]ВИБУЛО2!LM13</f>
        <v>0</v>
      </c>
      <c r="AKH21" s="97" t="n">
        <f aca="false">AKH20-AKG21+AKF21</f>
        <v>0</v>
      </c>
      <c r="AKI21" s="95" t="n">
        <f aca="false">[1]НАДІЙШЛО2!LN13</f>
        <v>0</v>
      </c>
      <c r="AKJ21" s="96" t="n">
        <f aca="false">[1]ВИБУЛО2!LN13</f>
        <v>0</v>
      </c>
      <c r="AKK21" s="97" t="n">
        <f aca="false">AKK20-AKJ21+AKI21</f>
        <v>0</v>
      </c>
      <c r="AKL21" s="95" t="n">
        <f aca="false">[1]НАДІЙШЛО2!LO13</f>
        <v>0</v>
      </c>
      <c r="AKM21" s="96" t="n">
        <f aca="false">[1]ВИБУЛО2!LO13</f>
        <v>0</v>
      </c>
      <c r="AKN21" s="97" t="n">
        <f aca="false">AKN20-AKM21+AKL21</f>
        <v>0</v>
      </c>
      <c r="AKO21" s="95" t="n">
        <f aca="false">[1]НАДІЙШЛО2!LP13</f>
        <v>0</v>
      </c>
      <c r="AKP21" s="96" t="n">
        <f aca="false">[1]ВИБУЛО2!LP13</f>
        <v>0</v>
      </c>
      <c r="AKQ21" s="97" t="n">
        <f aca="false">AKQ20-AKP21+AKO21</f>
        <v>0</v>
      </c>
      <c r="AKR21" s="95" t="n">
        <f aca="false">[1]НАДІЙШЛО2!LQ13</f>
        <v>0</v>
      </c>
      <c r="AKS21" s="96" t="n">
        <f aca="false">[1]ВИБУЛО2!LQ13</f>
        <v>0</v>
      </c>
      <c r="AKT21" s="97" t="n">
        <f aca="false">AKT20-AKS21+AKR21</f>
        <v>0</v>
      </c>
      <c r="AKU21" s="95" t="n">
        <f aca="false">[1]НАДІЙШЛО2!LR13</f>
        <v>0</v>
      </c>
      <c r="AKV21" s="96" t="n">
        <f aca="false">[1]ВИБУЛО2!LR13</f>
        <v>0</v>
      </c>
      <c r="AKW21" s="97" t="n">
        <f aca="false">AKW20-AKV21+AKU21</f>
        <v>0</v>
      </c>
      <c r="AKX21" s="95" t="n">
        <f aca="false">[1]НАДІЙШЛО2!LS13</f>
        <v>0</v>
      </c>
      <c r="AKY21" s="96" t="n">
        <f aca="false">[1]ВИБУЛО2!LS13</f>
        <v>0</v>
      </c>
      <c r="AKZ21" s="97" t="n">
        <f aca="false">AKZ20-AKY21+AKX21</f>
        <v>0</v>
      </c>
      <c r="ALA21" s="95" t="n">
        <f aca="false">[1]НАДІЙШЛО2!LT13</f>
        <v>0</v>
      </c>
      <c r="ALB21" s="96" t="n">
        <f aca="false">[1]ВИБУЛО2!LT13</f>
        <v>0</v>
      </c>
      <c r="ALC21" s="97" t="n">
        <f aca="false">ALC20-ALB21+ALA21</f>
        <v>0</v>
      </c>
      <c r="ALD21" s="95" t="n">
        <f aca="false">[1]НАДІЙШЛО2!LU13</f>
        <v>0</v>
      </c>
      <c r="ALE21" s="96" t="n">
        <f aca="false">[1]ВИБУЛО2!LU13</f>
        <v>0</v>
      </c>
      <c r="ALF21" s="97" t="n">
        <f aca="false">ALF20-ALE21+ALD21</f>
        <v>0</v>
      </c>
      <c r="ALG21" s="95" t="n">
        <f aca="false">[1]НАДІЙШЛО2!LV13</f>
        <v>0</v>
      </c>
      <c r="ALH21" s="96" t="n">
        <f aca="false">[1]ВИБУЛО2!LV13</f>
        <v>0</v>
      </c>
      <c r="ALI21" s="97" t="n">
        <f aca="false">ALI20-ALH21+ALG21</f>
        <v>0</v>
      </c>
      <c r="ALJ21" s="95" t="n">
        <f aca="false">[1]НАДІЙШЛО2!LW13</f>
        <v>0</v>
      </c>
      <c r="ALK21" s="96" t="n">
        <f aca="false">[1]ВИБУЛО2!LW13</f>
        <v>0</v>
      </c>
      <c r="ALL21" s="97" t="n">
        <f aca="false">ALL20-ALK21+ALJ21</f>
        <v>0</v>
      </c>
      <c r="ALM21" s="95" t="n">
        <f aca="false">[1]НАДІЙШЛО2!LX13</f>
        <v>0</v>
      </c>
      <c r="ALN21" s="96" t="n">
        <f aca="false">[1]ВИБУЛО2!LX13</f>
        <v>0</v>
      </c>
      <c r="ALO21" s="97" t="n">
        <f aca="false">ALO20-ALN21+ALM21</f>
        <v>0</v>
      </c>
      <c r="ALP21" s="95" t="n">
        <f aca="false">[1]НАДІЙШЛО2!LY13</f>
        <v>0</v>
      </c>
      <c r="ALQ21" s="96" t="n">
        <f aca="false">[1]ВИБУЛО2!LY13</f>
        <v>0</v>
      </c>
      <c r="ALR21" s="97" t="n">
        <f aca="false">ALR20-ALQ21+ALP21</f>
        <v>0</v>
      </c>
      <c r="ALS21" s="95" t="n">
        <f aca="false">[1]НАДІЙШЛО2!LZ13</f>
        <v>0</v>
      </c>
      <c r="ALT21" s="96" t="n">
        <f aca="false">[1]ВИБУЛО2!LZ13</f>
        <v>0</v>
      </c>
      <c r="ALU21" s="97" t="n">
        <f aca="false">ALU20-ALT21+ALS21</f>
        <v>0</v>
      </c>
      <c r="ALV21" s="95" t="n">
        <f aca="false">[1]НАДІЙШЛО2!MA13</f>
        <v>0</v>
      </c>
      <c r="ALW21" s="96" t="n">
        <f aca="false">[1]ВИБУЛО2!MA13</f>
        <v>0</v>
      </c>
      <c r="ALX21" s="97" t="n">
        <f aca="false">ALX20-ALW21+ALV21</f>
        <v>0</v>
      </c>
      <c r="ALY21" s="95" t="n">
        <f aca="false">[1]НАДІЙШЛО2!MB13</f>
        <v>0</v>
      </c>
      <c r="ALZ21" s="96" t="n">
        <f aca="false">[1]ВИБУЛО2!MB13</f>
        <v>0</v>
      </c>
      <c r="AMA21" s="97" t="n">
        <f aca="false">AMA20-ALZ21+ALY21</f>
        <v>0</v>
      </c>
      <c r="AMB21" s="95" t="n">
        <f aca="false">[1]НАДІЙШЛО2!MC13</f>
        <v>0</v>
      </c>
      <c r="AMC21" s="96" t="n">
        <f aca="false">[1]ВИБУЛО2!MC13</f>
        <v>0</v>
      </c>
      <c r="AMD21" s="97" t="n">
        <f aca="false">AMD20-AMC21+AMB21</f>
        <v>0</v>
      </c>
      <c r="AME21" s="95" t="n">
        <f aca="false">[1]НАДІЙШЛО2!MD13</f>
        <v>0</v>
      </c>
      <c r="AMF21" s="96" t="n">
        <f aca="false">[1]ВИБУЛО2!MD13</f>
        <v>0</v>
      </c>
      <c r="AMG21" s="97" t="n">
        <f aca="false">AMG20-AMF21+AME21</f>
        <v>0</v>
      </c>
      <c r="AMH21" s="95" t="n">
        <f aca="false">[1]НАДІЙШЛО2!ME13</f>
        <v>0</v>
      </c>
      <c r="AMI21" s="96" t="n">
        <f aca="false">[1]ВИБУЛО2!ME13</f>
        <v>0</v>
      </c>
      <c r="AMJ21" s="97" t="n">
        <f aca="false">AMJ20-AMI21+AMH21</f>
        <v>0</v>
      </c>
    </row>
    <row r="22" s="99" customFormat="true" ht="16.5" hidden="false" customHeight="false" outlineLevel="0" collapsed="false">
      <c r="A22" s="98"/>
      <c r="D22" s="103"/>
      <c r="E22" s="95" t="n">
        <f aca="false">[1]НАДІЙШЛО2!D14</f>
        <v>0</v>
      </c>
      <c r="F22" s="96" t="n">
        <f aca="false">[1]ВИБУЛО2!D14</f>
        <v>0</v>
      </c>
      <c r="G22" s="97" t="n">
        <f aca="false">G21-F22+E22</f>
        <v>0</v>
      </c>
      <c r="H22" s="95" t="n">
        <f aca="false">[1]НАДІЙШЛО2!E14</f>
        <v>0</v>
      </c>
      <c r="I22" s="96" t="n">
        <f aca="false">[1]ВИБУЛО2!E14</f>
        <v>0</v>
      </c>
      <c r="J22" s="97" t="n">
        <f aca="false">J21-I22+H22</f>
        <v>0</v>
      </c>
      <c r="K22" s="95" t="n">
        <f aca="false">[1]НАДІЙШЛО2!F14</f>
        <v>0</v>
      </c>
      <c r="L22" s="96" t="n">
        <f aca="false">[1]ВИБУЛО2!F14</f>
        <v>0</v>
      </c>
      <c r="M22" s="97" t="n">
        <f aca="false">M21-L22+K22</f>
        <v>2.06</v>
      </c>
      <c r="N22" s="95" t="n">
        <f aca="false">[1]НАДІЙШЛО2!G14</f>
        <v>0</v>
      </c>
      <c r="O22" s="96" t="n">
        <f aca="false">[1]ВИБУЛО2!G14</f>
        <v>0</v>
      </c>
      <c r="P22" s="97" t="n">
        <f aca="false">P21-O22+N22</f>
        <v>0</v>
      </c>
      <c r="Q22" s="95" t="n">
        <f aca="false">[1]НАДІЙШЛО2!H14</f>
        <v>0</v>
      </c>
      <c r="R22" s="96" t="n">
        <f aca="false">[1]ВИБУЛО2!H14</f>
        <v>0</v>
      </c>
      <c r="S22" s="97" t="n">
        <f aca="false">S21-R22+Q22</f>
        <v>0</v>
      </c>
      <c r="T22" s="95" t="n">
        <f aca="false">[1]НАДІЙШЛО2!I14</f>
        <v>0</v>
      </c>
      <c r="U22" s="96" t="n">
        <f aca="false">[1]ВИБУЛО2!I14</f>
        <v>0</v>
      </c>
      <c r="V22" s="97" t="n">
        <f aca="false">V21-U22+T22</f>
        <v>0</v>
      </c>
      <c r="W22" s="95" t="n">
        <f aca="false">[1]НАДІЙШЛО2!J14</f>
        <v>0</v>
      </c>
      <c r="X22" s="96" t="n">
        <f aca="false">[1]ВИБУЛО2!J14</f>
        <v>0</v>
      </c>
      <c r="Y22" s="97" t="n">
        <f aca="false">Y21-X22+W22</f>
        <v>0</v>
      </c>
      <c r="Z22" s="95" t="n">
        <f aca="false">[1]НАДІЙШЛО2!K14</f>
        <v>0</v>
      </c>
      <c r="AA22" s="96" t="n">
        <f aca="false">[1]ВИБУЛО2!K14</f>
        <v>0</v>
      </c>
      <c r="AB22" s="97" t="n">
        <f aca="false">AB21-AA22+Z22</f>
        <v>0</v>
      </c>
      <c r="AC22" s="95" t="n">
        <f aca="false">[1]НАДІЙШЛО2!L14</f>
        <v>0</v>
      </c>
      <c r="AD22" s="96" t="n">
        <f aca="false">[1]ВИБУЛО2!L14</f>
        <v>0</v>
      </c>
      <c r="AE22" s="97" t="n">
        <f aca="false">AE21-AD22+AC22</f>
        <v>0</v>
      </c>
      <c r="AF22" s="95" t="n">
        <f aca="false">[1]НАДІЙШЛО2!M14</f>
        <v>0</v>
      </c>
      <c r="AG22" s="96" t="n">
        <f aca="false">[1]ВИБУЛО2!M14</f>
        <v>0</v>
      </c>
      <c r="AH22" s="97" t="n">
        <f aca="false">AH21-AG22+AF22</f>
        <v>0</v>
      </c>
      <c r="AI22" s="95" t="n">
        <f aca="false">[1]НАДІЙШЛО2!N14</f>
        <v>0</v>
      </c>
      <c r="AJ22" s="96" t="n">
        <f aca="false">[1]ВИБУЛО2!N14</f>
        <v>0</v>
      </c>
      <c r="AK22" s="97" t="n">
        <f aca="false">AK21-AJ22+AI22</f>
        <v>0</v>
      </c>
      <c r="AL22" s="95" t="n">
        <f aca="false">[1]НАДІЙШЛО2!O14</f>
        <v>0</v>
      </c>
      <c r="AM22" s="96" t="n">
        <f aca="false">[1]ВИБУЛО2!O14</f>
        <v>0</v>
      </c>
      <c r="AN22" s="97" t="n">
        <f aca="false">AN21-AM22+AL22</f>
        <v>0</v>
      </c>
      <c r="AO22" s="95" t="n">
        <f aca="false">[1]НАДІЙШЛО2!P14</f>
        <v>0</v>
      </c>
      <c r="AP22" s="96" t="n">
        <f aca="false">[1]ВИБУЛО2!P14</f>
        <v>0</v>
      </c>
      <c r="AQ22" s="97" t="n">
        <f aca="false">AQ21-AP22+AO22</f>
        <v>0</v>
      </c>
      <c r="AR22" s="95" t="n">
        <f aca="false">[1]НАДІЙШЛО2!Q14</f>
        <v>0</v>
      </c>
      <c r="AS22" s="96" t="n">
        <f aca="false">[1]ВИБУЛО2!Q14</f>
        <v>0</v>
      </c>
      <c r="AT22" s="97" t="n">
        <f aca="false">AT21-AS22+AR22</f>
        <v>0</v>
      </c>
      <c r="AU22" s="95" t="n">
        <f aca="false">[1]НАДІЙШЛО2!R14</f>
        <v>0</v>
      </c>
      <c r="AV22" s="96" t="n">
        <f aca="false">[1]ВИБУЛО2!R14</f>
        <v>0</v>
      </c>
      <c r="AW22" s="97" t="n">
        <f aca="false">AW21-AV22+AU22</f>
        <v>0</v>
      </c>
      <c r="AX22" s="95" t="n">
        <f aca="false">[1]НАДІЙШЛО2!S14</f>
        <v>0</v>
      </c>
      <c r="AY22" s="96" t="n">
        <f aca="false">[1]ВИБУЛО2!S14</f>
        <v>0</v>
      </c>
      <c r="AZ22" s="97" t="n">
        <f aca="false">AZ21-AY22+AX22</f>
        <v>0</v>
      </c>
      <c r="BA22" s="95" t="n">
        <f aca="false">[1]НАДІЙШЛО2!T14</f>
        <v>0</v>
      </c>
      <c r="BB22" s="96" t="n">
        <f aca="false">[1]ВИБУЛО2!T14</f>
        <v>0</v>
      </c>
      <c r="BC22" s="97" t="n">
        <f aca="false">BC21-BB22+BA22</f>
        <v>0</v>
      </c>
      <c r="BD22" s="95" t="n">
        <f aca="false">[1]НАДІЙШЛО2!U14</f>
        <v>0</v>
      </c>
      <c r="BE22" s="96" t="n">
        <f aca="false">[1]ВИБУЛО2!U14</f>
        <v>0</v>
      </c>
      <c r="BF22" s="97" t="n">
        <f aca="false">BF21-BE22+BD22</f>
        <v>0</v>
      </c>
      <c r="BG22" s="95" t="n">
        <f aca="false">[1]НАДІЙШЛО2!V14</f>
        <v>0</v>
      </c>
      <c r="BH22" s="96" t="n">
        <f aca="false">[1]ВИБУЛО2!V14</f>
        <v>0</v>
      </c>
      <c r="BI22" s="97" t="n">
        <f aca="false">BI21-BH22+BG22</f>
        <v>0</v>
      </c>
      <c r="BJ22" s="95" t="n">
        <f aca="false">[1]НАДІЙШЛО2!W14</f>
        <v>0</v>
      </c>
      <c r="BK22" s="96" t="n">
        <f aca="false">[1]ВИБУЛО2!W14</f>
        <v>0</v>
      </c>
      <c r="BL22" s="97" t="n">
        <f aca="false">BL21-BK22+BJ22</f>
        <v>0</v>
      </c>
      <c r="BM22" s="95" t="n">
        <f aca="false">[1]НАДІЙШЛО2!X14</f>
        <v>0</v>
      </c>
      <c r="BN22" s="96" t="n">
        <f aca="false">[1]ВИБУЛО2!X14</f>
        <v>0</v>
      </c>
      <c r="BO22" s="97" t="n">
        <f aca="false">BO21-BN22+BM22</f>
        <v>0</v>
      </c>
      <c r="BP22" s="95" t="n">
        <f aca="false">[1]НАДІЙШЛО2!Y14</f>
        <v>0</v>
      </c>
      <c r="BQ22" s="96" t="n">
        <f aca="false">[1]ВИБУЛО2!Y14</f>
        <v>0</v>
      </c>
      <c r="BR22" s="97" t="n">
        <f aca="false">BR21-BQ22+BP22</f>
        <v>0</v>
      </c>
      <c r="BS22" s="95" t="n">
        <f aca="false">[1]НАДІЙШЛО2!Z14</f>
        <v>0</v>
      </c>
      <c r="BT22" s="96" t="n">
        <f aca="false">[1]ВИБУЛО2!Z14</f>
        <v>0</v>
      </c>
      <c r="BU22" s="97" t="n">
        <f aca="false">BU21-BT22+BS22</f>
        <v>0</v>
      </c>
      <c r="BV22" s="95" t="n">
        <f aca="false">[1]НАДІЙШЛО2!AA14</f>
        <v>0</v>
      </c>
      <c r="BW22" s="96" t="n">
        <f aca="false">[1]ВИБУЛО2!AA14</f>
        <v>0</v>
      </c>
      <c r="BX22" s="97" t="n">
        <f aca="false">BX21-BW22+BV22</f>
        <v>0</v>
      </c>
      <c r="BY22" s="95" t="n">
        <f aca="false">[1]НАДІЙШЛО2!AB14</f>
        <v>0</v>
      </c>
      <c r="BZ22" s="96" t="n">
        <f aca="false">[1]ВИБУЛО2!AB14</f>
        <v>0</v>
      </c>
      <c r="CA22" s="97" t="n">
        <f aca="false">CA21-BZ22+BY22</f>
        <v>0</v>
      </c>
      <c r="CB22" s="95" t="n">
        <f aca="false">[1]НАДІЙШЛО2!AC14</f>
        <v>0</v>
      </c>
      <c r="CC22" s="96" t="n">
        <f aca="false">[1]ВИБУЛО2!AC14</f>
        <v>0</v>
      </c>
      <c r="CD22" s="97" t="n">
        <f aca="false">CD21-CC22+CB22</f>
        <v>0</v>
      </c>
      <c r="CE22" s="95" t="n">
        <f aca="false">[1]НАДІЙШЛО2!AD14</f>
        <v>0</v>
      </c>
      <c r="CF22" s="96" t="n">
        <f aca="false">[1]ВИБУЛО2!AD14</f>
        <v>0</v>
      </c>
      <c r="CG22" s="97" t="n">
        <f aca="false">CG21-CF22+CE22</f>
        <v>0</v>
      </c>
      <c r="CH22" s="95" t="n">
        <f aca="false">[1]НАДІЙШЛО2!AE14</f>
        <v>0</v>
      </c>
      <c r="CI22" s="96" t="n">
        <f aca="false">[1]ВИБУЛО2!AE14</f>
        <v>0</v>
      </c>
      <c r="CJ22" s="97" t="n">
        <f aca="false">CJ21-CI22+CH22</f>
        <v>0</v>
      </c>
      <c r="CK22" s="95" t="n">
        <f aca="false">[1]НАДІЙШЛО2!AF14</f>
        <v>0</v>
      </c>
      <c r="CL22" s="96" t="n">
        <f aca="false">[1]ВИБУЛО2!AF14</f>
        <v>0</v>
      </c>
      <c r="CM22" s="97" t="n">
        <f aca="false">CM21-CL22+CK22</f>
        <v>0</v>
      </c>
      <c r="CN22" s="95" t="n">
        <f aca="false">[1]НАДІЙШЛО2!AG14</f>
        <v>0</v>
      </c>
      <c r="CO22" s="96" t="n">
        <f aca="false">[1]ВИБУЛО2!AG14</f>
        <v>0</v>
      </c>
      <c r="CP22" s="97" t="n">
        <f aca="false">CP21-CO22+CN22</f>
        <v>0</v>
      </c>
      <c r="CQ22" s="95" t="n">
        <f aca="false">[1]НАДІЙШЛО2!AH14</f>
        <v>0</v>
      </c>
      <c r="CR22" s="96" t="n">
        <f aca="false">[1]ВИБУЛО2!AH14</f>
        <v>0</v>
      </c>
      <c r="CS22" s="97" t="n">
        <f aca="false">CS21-CR22+CQ22</f>
        <v>0</v>
      </c>
      <c r="CT22" s="95" t="n">
        <f aca="false">[1]НАДІЙШЛО2!AI14</f>
        <v>0</v>
      </c>
      <c r="CU22" s="96" t="n">
        <f aca="false">[1]ВИБУЛО2!AI14</f>
        <v>0</v>
      </c>
      <c r="CV22" s="97" t="n">
        <f aca="false">CV21-CU22+CT22</f>
        <v>0</v>
      </c>
      <c r="CW22" s="95" t="n">
        <f aca="false">[1]НАДІЙШЛО2!AJ14</f>
        <v>0</v>
      </c>
      <c r="CX22" s="96" t="n">
        <f aca="false">[1]ВИБУЛО2!AJ14</f>
        <v>0</v>
      </c>
      <c r="CY22" s="97" t="n">
        <f aca="false">CY21-CX22+CW22</f>
        <v>0</v>
      </c>
      <c r="CZ22" s="95" t="n">
        <f aca="false">[1]НАДІЙШЛО2!AK14</f>
        <v>0</v>
      </c>
      <c r="DA22" s="96" t="n">
        <f aca="false">[1]ВИБУЛО2!AK14</f>
        <v>0</v>
      </c>
      <c r="DB22" s="97" t="n">
        <f aca="false">DB21-DA22+CZ22</f>
        <v>0</v>
      </c>
      <c r="DC22" s="95" t="n">
        <f aca="false">[1]НАДІЙШЛО2!AL14</f>
        <v>0</v>
      </c>
      <c r="DD22" s="96" t="n">
        <f aca="false">[1]ВИБУЛО2!AL14</f>
        <v>0</v>
      </c>
      <c r="DE22" s="97" t="n">
        <f aca="false">DE21-DD22+DC22</f>
        <v>0</v>
      </c>
      <c r="DF22" s="95" t="n">
        <f aca="false">[1]НАДІЙШЛО2!AM14</f>
        <v>0</v>
      </c>
      <c r="DG22" s="96" t="n">
        <f aca="false">[1]ВИБУЛО2!AM14</f>
        <v>0</v>
      </c>
      <c r="DH22" s="97" t="n">
        <f aca="false">DH21-DG22+DF22</f>
        <v>0</v>
      </c>
      <c r="DI22" s="95" t="n">
        <f aca="false">[1]НАДІЙШЛО2!AN14</f>
        <v>0</v>
      </c>
      <c r="DJ22" s="96" t="n">
        <f aca="false">[1]ВИБУЛО2!AN14</f>
        <v>0</v>
      </c>
      <c r="DK22" s="97" t="n">
        <f aca="false">DK21-DJ22+DI22</f>
        <v>0</v>
      </c>
      <c r="DL22" s="95" t="n">
        <f aca="false">[1]НАДІЙШЛО2!AO14</f>
        <v>0</v>
      </c>
      <c r="DM22" s="96" t="n">
        <f aca="false">[1]ВИБУЛО2!AO14</f>
        <v>0</v>
      </c>
      <c r="DN22" s="97" t="n">
        <f aca="false">DN21-DM22+DL22</f>
        <v>0</v>
      </c>
      <c r="DO22" s="95" t="n">
        <f aca="false">[1]НАДІЙШЛО2!AP14</f>
        <v>0</v>
      </c>
      <c r="DP22" s="96" t="n">
        <f aca="false">[1]ВИБУЛО2!AP14</f>
        <v>0</v>
      </c>
      <c r="DQ22" s="97" t="n">
        <f aca="false">DQ21-DP22+DO22</f>
        <v>0</v>
      </c>
      <c r="DR22" s="95" t="n">
        <f aca="false">[1]НАДІЙШЛО2!AQ14</f>
        <v>0</v>
      </c>
      <c r="DS22" s="96" t="n">
        <f aca="false">[1]ВИБУЛО2!AQ14</f>
        <v>0</v>
      </c>
      <c r="DT22" s="97" t="n">
        <f aca="false">DT21-DS22+DR22</f>
        <v>0</v>
      </c>
      <c r="DU22" s="95" t="n">
        <f aca="false">[1]НАДІЙШЛО2!AR14</f>
        <v>0</v>
      </c>
      <c r="DV22" s="96" t="n">
        <f aca="false">[1]ВИБУЛО2!AR14</f>
        <v>0</v>
      </c>
      <c r="DW22" s="97" t="n">
        <f aca="false">DW21-DV22+DU22</f>
        <v>0</v>
      </c>
      <c r="DX22" s="95" t="n">
        <f aca="false">[1]НАДІЙШЛО2!AS14</f>
        <v>0</v>
      </c>
      <c r="DY22" s="96" t="n">
        <f aca="false">[1]ВИБУЛО2!AS14</f>
        <v>0</v>
      </c>
      <c r="DZ22" s="97" t="n">
        <f aca="false">DZ21-DY22+DX22</f>
        <v>0</v>
      </c>
      <c r="EA22" s="95" t="n">
        <f aca="false">[1]НАДІЙШЛО2!AT14</f>
        <v>0</v>
      </c>
      <c r="EB22" s="96" t="n">
        <f aca="false">[1]ВИБУЛО2!AT14</f>
        <v>0</v>
      </c>
      <c r="EC22" s="97" t="n">
        <f aca="false">EC21-EB22+EA22</f>
        <v>0</v>
      </c>
      <c r="ED22" s="95" t="n">
        <f aca="false">[1]НАДІЙШЛО2!AU14</f>
        <v>0</v>
      </c>
      <c r="EE22" s="96" t="n">
        <f aca="false">[1]ВИБУЛО2!AU14</f>
        <v>0</v>
      </c>
      <c r="EF22" s="97" t="n">
        <f aca="false">EF21-EE22+ED22</f>
        <v>0</v>
      </c>
      <c r="EG22" s="95" t="n">
        <f aca="false">[1]НАДІЙШЛО2!AV14</f>
        <v>0</v>
      </c>
      <c r="EH22" s="96" t="n">
        <f aca="false">[1]ВИБУЛО2!AV14</f>
        <v>0</v>
      </c>
      <c r="EI22" s="97" t="n">
        <f aca="false">EI21-EH22+EG22</f>
        <v>0</v>
      </c>
      <c r="EJ22" s="95" t="n">
        <f aca="false">[1]НАДІЙШЛО2!AW14</f>
        <v>0</v>
      </c>
      <c r="EK22" s="96" t="n">
        <f aca="false">[1]ВИБУЛО2!AW14</f>
        <v>0</v>
      </c>
      <c r="EL22" s="97" t="n">
        <f aca="false">EL21-EK22+EJ22</f>
        <v>0</v>
      </c>
      <c r="EM22" s="95" t="n">
        <f aca="false">[1]НАДІЙШЛО2!AX14</f>
        <v>0</v>
      </c>
      <c r="EN22" s="96" t="n">
        <f aca="false">[1]ВИБУЛО2!AX14</f>
        <v>0</v>
      </c>
      <c r="EO22" s="97" t="n">
        <f aca="false">EO21-EN22+EM22</f>
        <v>0</v>
      </c>
      <c r="EP22" s="95" t="n">
        <f aca="false">[1]НАДІЙШЛО2!AY14</f>
        <v>0</v>
      </c>
      <c r="EQ22" s="96" t="n">
        <f aca="false">[1]ВИБУЛО2!AY14</f>
        <v>0</v>
      </c>
      <c r="ER22" s="97" t="n">
        <f aca="false">ER21-EQ22+EP22</f>
        <v>0</v>
      </c>
      <c r="ES22" s="95" t="n">
        <f aca="false">[1]НАДІЙШЛО2!AZ14</f>
        <v>0</v>
      </c>
      <c r="ET22" s="96" t="n">
        <f aca="false">[1]ВИБУЛО2!AZ14</f>
        <v>0</v>
      </c>
      <c r="EU22" s="97" t="n">
        <f aca="false">EU21-ET22+ES22</f>
        <v>0</v>
      </c>
      <c r="EV22" s="95" t="n">
        <f aca="false">[1]НАДІЙШЛО2!BA14</f>
        <v>0</v>
      </c>
      <c r="EW22" s="96" t="n">
        <f aca="false">[1]ВИБУЛО2!BA14</f>
        <v>0</v>
      </c>
      <c r="EX22" s="97" t="n">
        <f aca="false">EX21-EW22+EV22</f>
        <v>0</v>
      </c>
      <c r="EY22" s="95" t="n">
        <f aca="false">[1]НАДІЙШЛО2!BB14</f>
        <v>0</v>
      </c>
      <c r="EZ22" s="96" t="n">
        <f aca="false">[1]ВИБУЛО2!BB14</f>
        <v>0</v>
      </c>
      <c r="FA22" s="97" t="n">
        <f aca="false">FA21-EZ22+EY22</f>
        <v>0</v>
      </c>
      <c r="FB22" s="95" t="n">
        <f aca="false">[1]НАДІЙШЛО2!BC14</f>
        <v>0</v>
      </c>
      <c r="FC22" s="96" t="n">
        <f aca="false">[1]ВИБУЛО2!BC14</f>
        <v>0</v>
      </c>
      <c r="FD22" s="97" t="n">
        <f aca="false">FD21-FC22+FB22</f>
        <v>0</v>
      </c>
      <c r="FE22" s="95" t="n">
        <f aca="false">[1]НАДІЙШЛО2!BD14</f>
        <v>0</v>
      </c>
      <c r="FF22" s="96" t="n">
        <f aca="false">[1]ВИБУЛО2!BD14</f>
        <v>0</v>
      </c>
      <c r="FG22" s="97" t="n">
        <f aca="false">FG21-FF22+FE22</f>
        <v>0</v>
      </c>
      <c r="FH22" s="95" t="n">
        <f aca="false">[1]НАДІЙШЛО2!BE14</f>
        <v>0</v>
      </c>
      <c r="FI22" s="96" t="n">
        <f aca="false">[1]ВИБУЛО2!BE14</f>
        <v>0</v>
      </c>
      <c r="FJ22" s="97" t="n">
        <f aca="false">FJ21-FI22+FH22</f>
        <v>0</v>
      </c>
      <c r="FK22" s="95" t="n">
        <f aca="false">[1]НАДІЙШЛО2!BF14</f>
        <v>0</v>
      </c>
      <c r="FL22" s="96" t="n">
        <f aca="false">[1]ВИБУЛО2!BF14</f>
        <v>0</v>
      </c>
      <c r="FM22" s="97" t="n">
        <f aca="false">FM21-FL22+FK22</f>
        <v>0</v>
      </c>
      <c r="FN22" s="95" t="n">
        <f aca="false">[1]НАДІЙШЛО2!BG14</f>
        <v>0</v>
      </c>
      <c r="FO22" s="96" t="n">
        <f aca="false">[1]ВИБУЛО2!BG14</f>
        <v>0</v>
      </c>
      <c r="FP22" s="97" t="n">
        <f aca="false">FP21-FO22+FN22</f>
        <v>0</v>
      </c>
      <c r="FQ22" s="95" t="n">
        <f aca="false">[1]НАДІЙШЛО2!BH14</f>
        <v>0</v>
      </c>
      <c r="FR22" s="96" t="n">
        <f aca="false">[1]ВИБУЛО2!BH14</f>
        <v>0</v>
      </c>
      <c r="FS22" s="97" t="n">
        <f aca="false">FS21-FR22+FQ22</f>
        <v>0</v>
      </c>
      <c r="FT22" s="95" t="n">
        <f aca="false">[1]НАДІЙШЛО2!BI14</f>
        <v>0</v>
      </c>
      <c r="FU22" s="96" t="n">
        <f aca="false">[1]ВИБУЛО2!BI14</f>
        <v>0</v>
      </c>
      <c r="FV22" s="97" t="n">
        <f aca="false">FV21-FU22+FT22</f>
        <v>0</v>
      </c>
      <c r="FW22" s="95" t="n">
        <f aca="false">[1]НАДІЙШЛО2!BJ14</f>
        <v>0</v>
      </c>
      <c r="FX22" s="96" t="n">
        <f aca="false">[1]ВИБУЛО2!BJ14</f>
        <v>0</v>
      </c>
      <c r="FY22" s="97" t="n">
        <f aca="false">FY21-FX22+FW22</f>
        <v>0</v>
      </c>
      <c r="FZ22" s="95" t="n">
        <f aca="false">[1]НАДІЙШЛО2!BK14</f>
        <v>0</v>
      </c>
      <c r="GA22" s="96" t="n">
        <f aca="false">[1]ВИБУЛО2!BK14</f>
        <v>0</v>
      </c>
      <c r="GB22" s="97" t="n">
        <f aca="false">GB21-GA22+FZ22</f>
        <v>0</v>
      </c>
      <c r="GC22" s="95" t="n">
        <f aca="false">[1]НАДІЙШЛО2!BL14</f>
        <v>0</v>
      </c>
      <c r="GD22" s="96" t="n">
        <f aca="false">[1]ВИБУЛО2!BL14</f>
        <v>0</v>
      </c>
      <c r="GE22" s="97" t="n">
        <f aca="false">GE21-GD22+GC22</f>
        <v>0</v>
      </c>
      <c r="GF22" s="95" t="n">
        <f aca="false">[1]НАДІЙШЛО2!BM14</f>
        <v>0</v>
      </c>
      <c r="GG22" s="96" t="n">
        <f aca="false">[1]ВИБУЛО2!BM14</f>
        <v>0</v>
      </c>
      <c r="GH22" s="97" t="n">
        <f aca="false">GH21-GG22+GF22</f>
        <v>0</v>
      </c>
      <c r="GI22" s="95" t="n">
        <f aca="false">[1]НАДІЙШЛО2!BN14</f>
        <v>0</v>
      </c>
      <c r="GJ22" s="96" t="n">
        <f aca="false">[1]ВИБУЛО2!BN14</f>
        <v>0</v>
      </c>
      <c r="GK22" s="97" t="n">
        <f aca="false">GK21-GJ22+GI22</f>
        <v>0</v>
      </c>
      <c r="GL22" s="95" t="n">
        <f aca="false">[1]НАДІЙШЛО2!BO14</f>
        <v>0</v>
      </c>
      <c r="GM22" s="96" t="n">
        <f aca="false">[1]ВИБУЛО2!BO14</f>
        <v>0</v>
      </c>
      <c r="GN22" s="97" t="n">
        <f aca="false">GN21-GM22+GL22</f>
        <v>0</v>
      </c>
      <c r="GO22" s="95" t="n">
        <f aca="false">[1]НАДІЙШЛО2!BP14</f>
        <v>0</v>
      </c>
      <c r="GP22" s="96" t="n">
        <f aca="false">[1]ВИБУЛО2!BP14</f>
        <v>0</v>
      </c>
      <c r="GQ22" s="97" t="n">
        <f aca="false">GQ21-GP22+GO22</f>
        <v>0</v>
      </c>
      <c r="GR22" s="95" t="n">
        <f aca="false">[1]НАДІЙШЛО2!BQ14</f>
        <v>0</v>
      </c>
      <c r="GS22" s="96" t="n">
        <f aca="false">[1]ВИБУЛО2!BQ14</f>
        <v>0</v>
      </c>
      <c r="GT22" s="97" t="n">
        <f aca="false">GT21-GS22+GR22</f>
        <v>0</v>
      </c>
      <c r="GU22" s="95" t="n">
        <f aca="false">[1]НАДІЙШЛО2!BR14</f>
        <v>0</v>
      </c>
      <c r="GV22" s="96" t="n">
        <f aca="false">[1]ВИБУЛО2!BR14</f>
        <v>0</v>
      </c>
      <c r="GW22" s="97" t="n">
        <f aca="false">GW21-GV22+GU22</f>
        <v>0</v>
      </c>
      <c r="GX22" s="95" t="n">
        <f aca="false">[1]НАДІЙШЛО2!BS14</f>
        <v>0</v>
      </c>
      <c r="GY22" s="96" t="n">
        <f aca="false">[1]ВИБУЛО2!BS14</f>
        <v>0</v>
      </c>
      <c r="GZ22" s="97" t="n">
        <f aca="false">GZ21-GY22+GX22</f>
        <v>0</v>
      </c>
      <c r="HA22" s="95" t="n">
        <f aca="false">[1]НАДІЙШЛО2!BT14</f>
        <v>0</v>
      </c>
      <c r="HB22" s="96" t="n">
        <f aca="false">[1]ВИБУЛО2!BT14</f>
        <v>0</v>
      </c>
      <c r="HC22" s="97" t="n">
        <f aca="false">HC21-HB22+HA22</f>
        <v>0</v>
      </c>
      <c r="HD22" s="95" t="n">
        <f aca="false">[1]НАДІЙШЛО2!BU14</f>
        <v>0</v>
      </c>
      <c r="HE22" s="96" t="n">
        <f aca="false">[1]ВИБУЛО2!BU14</f>
        <v>0</v>
      </c>
      <c r="HF22" s="97" t="n">
        <f aca="false">HF21-HE22+HD22</f>
        <v>0</v>
      </c>
      <c r="HG22" s="95" t="n">
        <f aca="false">[1]НАДІЙШЛО2!BV14</f>
        <v>0</v>
      </c>
      <c r="HH22" s="96" t="n">
        <f aca="false">[1]ВИБУЛО2!BV14</f>
        <v>0</v>
      </c>
      <c r="HI22" s="97" t="n">
        <f aca="false">HI21-HH22+HG22</f>
        <v>0</v>
      </c>
      <c r="HJ22" s="95" t="n">
        <f aca="false">[1]НАДІЙШЛО2!BW14</f>
        <v>0</v>
      </c>
      <c r="HK22" s="96" t="n">
        <f aca="false">[1]ВИБУЛО2!BW14</f>
        <v>0</v>
      </c>
      <c r="HL22" s="97" t="n">
        <f aca="false">HL21-HK22+HJ22</f>
        <v>0</v>
      </c>
      <c r="HM22" s="95" t="n">
        <f aca="false">[1]НАДІЙШЛО2!BX14</f>
        <v>0</v>
      </c>
      <c r="HN22" s="96" t="n">
        <f aca="false">[1]ВИБУЛО2!BX14</f>
        <v>0</v>
      </c>
      <c r="HO22" s="97" t="n">
        <f aca="false">HO21-HN22+HM22</f>
        <v>0</v>
      </c>
      <c r="HP22" s="95" t="n">
        <f aca="false">[1]НАДІЙШЛО2!BY14</f>
        <v>0</v>
      </c>
      <c r="HQ22" s="96" t="n">
        <f aca="false">[1]ВИБУЛО2!BY14</f>
        <v>0</v>
      </c>
      <c r="HR22" s="97" t="n">
        <f aca="false">HR21-HQ22+HP22</f>
        <v>0</v>
      </c>
      <c r="HS22" s="95" t="n">
        <f aca="false">[1]НАДІЙШЛО2!BZ14</f>
        <v>0</v>
      </c>
      <c r="HT22" s="96" t="n">
        <f aca="false">[1]ВИБУЛО2!BZ14</f>
        <v>0</v>
      </c>
      <c r="HU22" s="97" t="n">
        <f aca="false">HU21-HT22+HS22</f>
        <v>0</v>
      </c>
      <c r="HV22" s="95" t="n">
        <f aca="false">[1]НАДІЙШЛО2!CA14</f>
        <v>0</v>
      </c>
      <c r="HW22" s="96" t="n">
        <f aca="false">[1]ВИБУЛО2!CA14</f>
        <v>0</v>
      </c>
      <c r="HX22" s="97" t="n">
        <f aca="false">HX21-HW22+HV22</f>
        <v>0</v>
      </c>
      <c r="HY22" s="95" t="n">
        <f aca="false">[1]НАДІЙШЛО2!CB14</f>
        <v>0</v>
      </c>
      <c r="HZ22" s="96" t="n">
        <f aca="false">[1]ВИБУЛО2!CB14</f>
        <v>0</v>
      </c>
      <c r="IA22" s="97" t="n">
        <f aca="false">IA21-HZ22+HY22</f>
        <v>0</v>
      </c>
      <c r="IB22" s="95" t="n">
        <f aca="false">[1]НАДІЙШЛО2!CC14</f>
        <v>0</v>
      </c>
      <c r="IC22" s="96" t="n">
        <f aca="false">[1]ВИБУЛО2!CC14</f>
        <v>0</v>
      </c>
      <c r="ID22" s="97" t="n">
        <f aca="false">ID21-IC22+IB22</f>
        <v>0</v>
      </c>
      <c r="IE22" s="95" t="n">
        <f aca="false">[1]НАДІЙШЛО2!CD14</f>
        <v>0</v>
      </c>
      <c r="IF22" s="96" t="n">
        <f aca="false">[1]ВИБУЛО2!CD14</f>
        <v>0</v>
      </c>
      <c r="IG22" s="97" t="n">
        <f aca="false">IG21-IF22+IE22</f>
        <v>0</v>
      </c>
      <c r="IH22" s="95" t="n">
        <f aca="false">[1]НАДІЙШЛО2!CE14</f>
        <v>0</v>
      </c>
      <c r="II22" s="96" t="n">
        <f aca="false">[1]ВИБУЛО2!CE14</f>
        <v>0</v>
      </c>
      <c r="IJ22" s="97" t="n">
        <f aca="false">IJ21-II22+IH22</f>
        <v>0</v>
      </c>
      <c r="IK22" s="95" t="n">
        <f aca="false">[1]НАДІЙШЛО2!CF14</f>
        <v>0</v>
      </c>
      <c r="IL22" s="96" t="n">
        <f aca="false">[1]ВИБУЛО2!CF14</f>
        <v>0</v>
      </c>
      <c r="IM22" s="97" t="n">
        <f aca="false">IM21-IL22+IK22</f>
        <v>0</v>
      </c>
      <c r="IN22" s="95" t="n">
        <f aca="false">[1]НАДІЙШЛО2!CG14</f>
        <v>0</v>
      </c>
      <c r="IO22" s="96" t="n">
        <f aca="false">[1]ВИБУЛО2!CG14</f>
        <v>0</v>
      </c>
      <c r="IP22" s="97" t="n">
        <f aca="false">IP21-IO22+IN22</f>
        <v>0</v>
      </c>
      <c r="IQ22" s="95" t="n">
        <f aca="false">[1]НАДІЙШЛО2!CH14</f>
        <v>0</v>
      </c>
      <c r="IR22" s="96" t="n">
        <f aca="false">[1]ВИБУЛО2!CH14</f>
        <v>0</v>
      </c>
      <c r="IS22" s="97" t="n">
        <f aca="false">IS21-IR22+IQ22</f>
        <v>0</v>
      </c>
      <c r="IT22" s="95" t="n">
        <f aca="false">[1]НАДІЙШЛО2!CI14</f>
        <v>0</v>
      </c>
      <c r="IU22" s="96" t="n">
        <f aca="false">[1]ВИБУЛО2!CI14</f>
        <v>0</v>
      </c>
      <c r="IV22" s="97" t="n">
        <f aca="false">IV21-IU22+IT22</f>
        <v>0</v>
      </c>
      <c r="IW22" s="95" t="n">
        <f aca="false">[1]НАДІЙШЛО2!CJ14</f>
        <v>0</v>
      </c>
      <c r="IX22" s="96" t="n">
        <f aca="false">[1]ВИБУЛО2!CJ14</f>
        <v>0</v>
      </c>
      <c r="IY22" s="97" t="n">
        <f aca="false">IY21-IX22+IW22</f>
        <v>0</v>
      </c>
      <c r="IZ22" s="95" t="n">
        <f aca="false">[1]НАДІЙШЛО2!CK14</f>
        <v>0</v>
      </c>
      <c r="JA22" s="96" t="n">
        <f aca="false">[1]ВИБУЛО2!CK14</f>
        <v>0</v>
      </c>
      <c r="JB22" s="97" t="n">
        <f aca="false">JB21-JA22+IZ22</f>
        <v>0</v>
      </c>
      <c r="JC22" s="95" t="n">
        <f aca="false">[1]НАДІЙШЛО2!CL14</f>
        <v>0</v>
      </c>
      <c r="JD22" s="96" t="n">
        <f aca="false">[1]ВИБУЛО2!CL14</f>
        <v>0</v>
      </c>
      <c r="JE22" s="97" t="n">
        <f aca="false">JE21-JD22+JC22</f>
        <v>0</v>
      </c>
      <c r="JF22" s="95" t="n">
        <f aca="false">[1]НАДІЙШЛО2!CM14</f>
        <v>0</v>
      </c>
      <c r="JG22" s="96" t="n">
        <f aca="false">[1]ВИБУЛО2!CM14</f>
        <v>0</v>
      </c>
      <c r="JH22" s="97" t="n">
        <f aca="false">JH21-JG22+JF22</f>
        <v>0</v>
      </c>
      <c r="JI22" s="95" t="n">
        <f aca="false">[1]НАДІЙШЛО2!CN14</f>
        <v>0</v>
      </c>
      <c r="JJ22" s="96" t="n">
        <f aca="false">[1]ВИБУЛО2!CN14</f>
        <v>0</v>
      </c>
      <c r="JK22" s="97" t="n">
        <f aca="false">JK21-JJ22+JI22</f>
        <v>0</v>
      </c>
      <c r="JL22" s="95" t="n">
        <f aca="false">[1]НАДІЙШЛО2!CO14</f>
        <v>0</v>
      </c>
      <c r="JM22" s="96" t="n">
        <f aca="false">[1]ВИБУЛО2!CO14</f>
        <v>0</v>
      </c>
      <c r="JN22" s="97" t="n">
        <f aca="false">JN21-JM22+JL22</f>
        <v>0</v>
      </c>
      <c r="JO22" s="95" t="n">
        <f aca="false">[1]НАДІЙШЛО2!CP14</f>
        <v>0</v>
      </c>
      <c r="JP22" s="96" t="n">
        <f aca="false">[1]ВИБУЛО2!CP14</f>
        <v>0</v>
      </c>
      <c r="JQ22" s="97" t="n">
        <f aca="false">JQ21-JP22+JO22</f>
        <v>0</v>
      </c>
      <c r="JR22" s="95" t="n">
        <f aca="false">[1]НАДІЙШЛО2!CQ14</f>
        <v>0</v>
      </c>
      <c r="JS22" s="96" t="n">
        <f aca="false">[1]ВИБУЛО2!CQ14</f>
        <v>0</v>
      </c>
      <c r="JT22" s="97" t="n">
        <f aca="false">JT21-JS22+JR22</f>
        <v>0</v>
      </c>
      <c r="JU22" s="95" t="n">
        <f aca="false">[1]НАДІЙШЛО2!CR14</f>
        <v>0</v>
      </c>
      <c r="JV22" s="96" t="n">
        <f aca="false">[1]ВИБУЛО2!CR14</f>
        <v>0</v>
      </c>
      <c r="JW22" s="97" t="n">
        <f aca="false">JW21-JV22+JU22</f>
        <v>0</v>
      </c>
      <c r="JX22" s="95" t="n">
        <f aca="false">[1]НАДІЙШЛО2!CS14</f>
        <v>0</v>
      </c>
      <c r="JY22" s="96" t="n">
        <f aca="false">[1]ВИБУЛО2!CS14</f>
        <v>0</v>
      </c>
      <c r="JZ22" s="97" t="n">
        <f aca="false">JZ21-JY22+JX22</f>
        <v>0</v>
      </c>
      <c r="KA22" s="95" t="n">
        <f aca="false">[1]НАДІЙШЛО2!CT14</f>
        <v>0</v>
      </c>
      <c r="KB22" s="96" t="n">
        <f aca="false">[1]ВИБУЛО2!CT14</f>
        <v>0</v>
      </c>
      <c r="KC22" s="97" t="n">
        <f aca="false">KC21-KB22+KA22</f>
        <v>0</v>
      </c>
      <c r="KD22" s="95" t="n">
        <f aca="false">[1]НАДІЙШЛО2!CU14</f>
        <v>0</v>
      </c>
      <c r="KE22" s="96" t="n">
        <f aca="false">[1]ВИБУЛО2!CU14</f>
        <v>0</v>
      </c>
      <c r="KF22" s="97" t="n">
        <f aca="false">KF21-KE22+KD22</f>
        <v>0</v>
      </c>
      <c r="KG22" s="95" t="n">
        <f aca="false">[1]НАДІЙШЛО2!CV14</f>
        <v>0</v>
      </c>
      <c r="KH22" s="96" t="n">
        <f aca="false">[1]ВИБУЛО2!CV14</f>
        <v>0</v>
      </c>
      <c r="KI22" s="97" t="n">
        <f aca="false">KI21-KH22+KG22</f>
        <v>0</v>
      </c>
      <c r="KJ22" s="95" t="n">
        <f aca="false">[1]НАДІЙШЛО2!CW14</f>
        <v>0</v>
      </c>
      <c r="KK22" s="96" t="n">
        <f aca="false">[1]ВИБУЛО2!CW14</f>
        <v>0</v>
      </c>
      <c r="KL22" s="97" t="n">
        <f aca="false">KL21-KK22+KJ22</f>
        <v>0</v>
      </c>
      <c r="KM22" s="95" t="n">
        <f aca="false">[1]НАДІЙШЛО2!CX14</f>
        <v>0</v>
      </c>
      <c r="KN22" s="96" t="n">
        <f aca="false">[1]ВИБУЛО2!CX14</f>
        <v>0</v>
      </c>
      <c r="KO22" s="97" t="n">
        <f aca="false">KO21-KN22+KM22</f>
        <v>0</v>
      </c>
      <c r="KP22" s="95" t="n">
        <f aca="false">[1]НАДІЙШЛО2!CY14</f>
        <v>0</v>
      </c>
      <c r="KQ22" s="96" t="n">
        <f aca="false">[1]ВИБУЛО2!CY14</f>
        <v>0</v>
      </c>
      <c r="KR22" s="97" t="n">
        <f aca="false">KR21-KQ22+KP22</f>
        <v>0</v>
      </c>
      <c r="KS22" s="95" t="n">
        <f aca="false">[1]НАДІЙШЛО2!CZ14</f>
        <v>0</v>
      </c>
      <c r="KT22" s="96" t="n">
        <f aca="false">[1]ВИБУЛО2!CZ14</f>
        <v>0</v>
      </c>
      <c r="KU22" s="97" t="n">
        <f aca="false">KU21-KT22+KS22</f>
        <v>0</v>
      </c>
      <c r="KV22" s="95" t="n">
        <f aca="false">[1]НАДІЙШЛО2!DA14</f>
        <v>0</v>
      </c>
      <c r="KW22" s="96" t="n">
        <f aca="false">[1]ВИБУЛО2!DA14</f>
        <v>0</v>
      </c>
      <c r="KX22" s="97" t="n">
        <f aca="false">KX21-KW22+KV22</f>
        <v>0</v>
      </c>
      <c r="KY22" s="95" t="n">
        <f aca="false">[1]НАДІЙШЛО2!DB14</f>
        <v>0</v>
      </c>
      <c r="KZ22" s="96" t="n">
        <f aca="false">[1]ВИБУЛО2!DB14</f>
        <v>0</v>
      </c>
      <c r="LA22" s="97" t="n">
        <f aca="false">LA21-KZ22+KY22</f>
        <v>0</v>
      </c>
      <c r="LB22" s="95" t="n">
        <f aca="false">[1]НАДІЙШЛО2!DC14</f>
        <v>0</v>
      </c>
      <c r="LC22" s="96" t="n">
        <f aca="false">[1]ВИБУЛО2!DC14</f>
        <v>0</v>
      </c>
      <c r="LD22" s="97" t="n">
        <f aca="false">LD21-LC22+LB22</f>
        <v>0</v>
      </c>
      <c r="LE22" s="95" t="n">
        <f aca="false">[1]НАДІЙШЛО2!DD14</f>
        <v>0</v>
      </c>
      <c r="LF22" s="96" t="n">
        <f aca="false">[1]ВИБУЛО2!DD14</f>
        <v>0</v>
      </c>
      <c r="LG22" s="97" t="n">
        <f aca="false">LG21-LF22+LE22</f>
        <v>0</v>
      </c>
      <c r="LH22" s="95" t="n">
        <f aca="false">[1]НАДІЙШЛО2!DE14</f>
        <v>0</v>
      </c>
      <c r="LI22" s="96" t="n">
        <f aca="false">[1]ВИБУЛО2!DE14</f>
        <v>0</v>
      </c>
      <c r="LJ22" s="97" t="n">
        <f aca="false">LJ21-LI22+LH22</f>
        <v>0</v>
      </c>
      <c r="LK22" s="95" t="n">
        <f aca="false">[1]НАДІЙШЛО2!DF14</f>
        <v>0</v>
      </c>
      <c r="LL22" s="96" t="n">
        <f aca="false">[1]ВИБУЛО2!DF14</f>
        <v>0</v>
      </c>
      <c r="LM22" s="97" t="n">
        <f aca="false">LM21-LL22+LK22</f>
        <v>0</v>
      </c>
      <c r="LN22" s="95" t="n">
        <f aca="false">[1]НАДІЙШЛО2!DG14</f>
        <v>0</v>
      </c>
      <c r="LO22" s="96" t="n">
        <f aca="false">[1]ВИБУЛО2!DG14</f>
        <v>0</v>
      </c>
      <c r="LP22" s="97" t="n">
        <f aca="false">LP21-LO22+LN22</f>
        <v>0</v>
      </c>
      <c r="LQ22" s="95" t="n">
        <f aca="false">[1]НАДІЙШЛО2!DH14</f>
        <v>0</v>
      </c>
      <c r="LR22" s="96" t="n">
        <f aca="false">[1]ВИБУЛО2!DH14</f>
        <v>0</v>
      </c>
      <c r="LS22" s="97" t="n">
        <f aca="false">LS21-LR22+LQ22</f>
        <v>0</v>
      </c>
      <c r="LT22" s="95" t="n">
        <f aca="false">[1]НАДІЙШЛО2!DI14</f>
        <v>0</v>
      </c>
      <c r="LU22" s="96" t="n">
        <f aca="false">[1]ВИБУЛО2!DI14</f>
        <v>0</v>
      </c>
      <c r="LV22" s="97" t="n">
        <f aca="false">LV21-LU22+LT22</f>
        <v>0</v>
      </c>
      <c r="LW22" s="95" t="n">
        <f aca="false">[1]НАДІЙШЛО2!DJ14</f>
        <v>0</v>
      </c>
      <c r="LX22" s="96" t="n">
        <f aca="false">[1]ВИБУЛО2!DJ14</f>
        <v>0</v>
      </c>
      <c r="LY22" s="97" t="n">
        <f aca="false">LY21-LX22+LW22</f>
        <v>0</v>
      </c>
      <c r="LZ22" s="95" t="n">
        <f aca="false">[1]НАДІЙШЛО2!DK14</f>
        <v>0</v>
      </c>
      <c r="MA22" s="96" t="n">
        <f aca="false">[1]ВИБУЛО2!DK14</f>
        <v>0</v>
      </c>
      <c r="MB22" s="97" t="n">
        <f aca="false">MB21-MA22+LZ22</f>
        <v>0</v>
      </c>
      <c r="MC22" s="95" t="n">
        <f aca="false">[1]НАДІЙШЛО2!DL14</f>
        <v>0</v>
      </c>
      <c r="MD22" s="96" t="n">
        <f aca="false">[1]ВИБУЛО2!DL14</f>
        <v>0</v>
      </c>
      <c r="ME22" s="97" t="n">
        <f aca="false">ME21-MD22+MC22</f>
        <v>0</v>
      </c>
      <c r="MF22" s="95" t="n">
        <f aca="false">[1]НАДІЙШЛО2!DM14</f>
        <v>0</v>
      </c>
      <c r="MG22" s="96" t="n">
        <f aca="false">[1]ВИБУЛО2!DM14</f>
        <v>0</v>
      </c>
      <c r="MH22" s="97" t="n">
        <f aca="false">MH21-MG22+MF22</f>
        <v>0</v>
      </c>
      <c r="MI22" s="95" t="n">
        <f aca="false">[1]НАДІЙШЛО2!DN14</f>
        <v>0</v>
      </c>
      <c r="MJ22" s="96" t="n">
        <f aca="false">[1]ВИБУЛО2!DN14</f>
        <v>0</v>
      </c>
      <c r="MK22" s="97" t="n">
        <f aca="false">MK21-MJ22+MI22</f>
        <v>0</v>
      </c>
      <c r="ML22" s="95" t="n">
        <f aca="false">[1]НАДІЙШЛО2!DO14</f>
        <v>0</v>
      </c>
      <c r="MM22" s="96" t="n">
        <f aca="false">[1]ВИБУЛО2!DO14</f>
        <v>0</v>
      </c>
      <c r="MN22" s="97" t="n">
        <f aca="false">MN21-MM22+ML22</f>
        <v>0</v>
      </c>
      <c r="MO22" s="95" t="n">
        <f aca="false">[1]НАДІЙШЛО2!DP14</f>
        <v>0</v>
      </c>
      <c r="MP22" s="96" t="n">
        <f aca="false">[1]ВИБУЛО2!DP14</f>
        <v>0</v>
      </c>
      <c r="MQ22" s="97" t="n">
        <f aca="false">MQ21-MP22+MO22</f>
        <v>0</v>
      </c>
      <c r="MR22" s="95" t="n">
        <f aca="false">[1]НАДІЙШЛО2!DQ14</f>
        <v>0</v>
      </c>
      <c r="MS22" s="96" t="n">
        <f aca="false">[1]ВИБУЛО2!DQ14</f>
        <v>0</v>
      </c>
      <c r="MT22" s="97" t="n">
        <f aca="false">MT21-MS22+MR22</f>
        <v>0</v>
      </c>
      <c r="MU22" s="95" t="n">
        <f aca="false">[1]НАДІЙШЛО2!DR14</f>
        <v>0</v>
      </c>
      <c r="MV22" s="96" t="n">
        <f aca="false">[1]ВИБУЛО2!DR14</f>
        <v>0</v>
      </c>
      <c r="MW22" s="97" t="n">
        <f aca="false">MW21-MV22+MU22</f>
        <v>0</v>
      </c>
      <c r="MX22" s="95" t="n">
        <f aca="false">[1]НАДІЙШЛО2!DS14</f>
        <v>0</v>
      </c>
      <c r="MY22" s="96" t="n">
        <f aca="false">[1]ВИБУЛО2!DS14</f>
        <v>0</v>
      </c>
      <c r="MZ22" s="97" t="n">
        <f aca="false">MZ21-MY22+MX22</f>
        <v>0</v>
      </c>
      <c r="NA22" s="95" t="n">
        <f aca="false">[1]НАДІЙШЛО2!DT14</f>
        <v>0</v>
      </c>
      <c r="NB22" s="96" t="n">
        <f aca="false">[1]ВИБУЛО2!DT14</f>
        <v>0</v>
      </c>
      <c r="NC22" s="97" t="n">
        <f aca="false">NC21-NB22+NA22</f>
        <v>0</v>
      </c>
      <c r="ND22" s="95" t="n">
        <f aca="false">[1]НАДІЙШЛО2!DU14</f>
        <v>0</v>
      </c>
      <c r="NE22" s="96" t="n">
        <f aca="false">[1]ВИБУЛО2!DU14</f>
        <v>0</v>
      </c>
      <c r="NF22" s="97" t="n">
        <f aca="false">NF21-NE22+ND22</f>
        <v>0</v>
      </c>
      <c r="NG22" s="95" t="n">
        <f aca="false">[1]НАДІЙШЛО2!DV14</f>
        <v>0</v>
      </c>
      <c r="NH22" s="96" t="n">
        <f aca="false">[1]ВИБУЛО2!DV14</f>
        <v>0</v>
      </c>
      <c r="NI22" s="97" t="n">
        <f aca="false">NI21-NH22+NG22</f>
        <v>0</v>
      </c>
      <c r="NJ22" s="95" t="n">
        <f aca="false">[1]НАДІЙШЛО2!DW14</f>
        <v>0</v>
      </c>
      <c r="NK22" s="96" t="n">
        <f aca="false">[1]ВИБУЛО2!DW14</f>
        <v>0</v>
      </c>
      <c r="NL22" s="97" t="n">
        <f aca="false">NL21-NK22+NJ22</f>
        <v>0</v>
      </c>
      <c r="NM22" s="95" t="n">
        <f aca="false">[1]НАДІЙШЛО2!DX14</f>
        <v>0</v>
      </c>
      <c r="NN22" s="96" t="n">
        <f aca="false">[1]ВИБУЛО2!DX14</f>
        <v>0</v>
      </c>
      <c r="NO22" s="97" t="n">
        <f aca="false">NO21-NN22+NM22</f>
        <v>0</v>
      </c>
      <c r="NP22" s="95" t="n">
        <f aca="false">[1]НАДІЙШЛО2!DY14</f>
        <v>0</v>
      </c>
      <c r="NQ22" s="96" t="n">
        <f aca="false">[1]ВИБУЛО2!DY14</f>
        <v>0</v>
      </c>
      <c r="NR22" s="97" t="n">
        <f aca="false">NR21-NQ22+NP22</f>
        <v>0</v>
      </c>
      <c r="NS22" s="95" t="n">
        <f aca="false">[1]НАДІЙШЛО2!DZ14</f>
        <v>0</v>
      </c>
      <c r="NT22" s="96" t="n">
        <f aca="false">[1]ВИБУЛО2!DZ14</f>
        <v>0</v>
      </c>
      <c r="NU22" s="97" t="n">
        <f aca="false">NU21-NT22+NS22</f>
        <v>0</v>
      </c>
      <c r="NV22" s="95" t="n">
        <f aca="false">[1]НАДІЙШЛО2!EA14</f>
        <v>0</v>
      </c>
      <c r="NW22" s="96" t="n">
        <f aca="false">[1]ВИБУЛО2!EA14</f>
        <v>0</v>
      </c>
      <c r="NX22" s="97" t="n">
        <f aca="false">NX21-NW22+NV22</f>
        <v>0</v>
      </c>
      <c r="NY22" s="95" t="n">
        <f aca="false">[1]НАДІЙШЛО2!EB14</f>
        <v>0</v>
      </c>
      <c r="NZ22" s="96" t="n">
        <f aca="false">[1]ВИБУЛО2!EB14</f>
        <v>0</v>
      </c>
      <c r="OA22" s="97" t="n">
        <f aca="false">OA21-NZ22+NY22</f>
        <v>0</v>
      </c>
      <c r="OB22" s="95" t="n">
        <f aca="false">[1]НАДІЙШЛО2!EC14</f>
        <v>0</v>
      </c>
      <c r="OC22" s="96" t="n">
        <f aca="false">[1]ВИБУЛО2!EC14</f>
        <v>0</v>
      </c>
      <c r="OD22" s="97" t="n">
        <f aca="false">OD21-OC22+OB22</f>
        <v>0</v>
      </c>
      <c r="OE22" s="95" t="n">
        <f aca="false">[1]НАДІЙШЛО2!ED14</f>
        <v>0</v>
      </c>
      <c r="OF22" s="96" t="n">
        <f aca="false">[1]ВИБУЛО2!ED14</f>
        <v>0</v>
      </c>
      <c r="OG22" s="97" t="n">
        <f aca="false">OG21-OF22+OE22</f>
        <v>0</v>
      </c>
      <c r="OH22" s="95" t="n">
        <f aca="false">[1]НАДІЙШЛО2!EE14</f>
        <v>0</v>
      </c>
      <c r="OI22" s="96" t="n">
        <f aca="false">[1]ВИБУЛО2!EE14</f>
        <v>0</v>
      </c>
      <c r="OJ22" s="97" t="n">
        <f aca="false">OJ21-OI22+OH22</f>
        <v>0</v>
      </c>
      <c r="OK22" s="95" t="n">
        <f aca="false">[1]НАДІЙШЛО2!EF14</f>
        <v>0</v>
      </c>
      <c r="OL22" s="96" t="n">
        <f aca="false">[1]ВИБУЛО2!EF14</f>
        <v>0</v>
      </c>
      <c r="OM22" s="97" t="n">
        <f aca="false">OM21-OL22+OK22</f>
        <v>0</v>
      </c>
      <c r="ON22" s="95" t="n">
        <f aca="false">[1]НАДІЙШЛО2!EG14</f>
        <v>0</v>
      </c>
      <c r="OO22" s="96" t="n">
        <f aca="false">[1]ВИБУЛО2!EG14</f>
        <v>0</v>
      </c>
      <c r="OP22" s="97" t="n">
        <f aca="false">OP21-OO22+ON22</f>
        <v>0</v>
      </c>
      <c r="OQ22" s="95" t="n">
        <f aca="false">[1]НАДІЙШЛО2!EH14</f>
        <v>0</v>
      </c>
      <c r="OR22" s="96" t="n">
        <f aca="false">[1]ВИБУЛО2!EH14</f>
        <v>0</v>
      </c>
      <c r="OS22" s="97" t="n">
        <f aca="false">OS21-OR22+OQ22</f>
        <v>0</v>
      </c>
      <c r="OT22" s="95" t="n">
        <f aca="false">[1]НАДІЙШЛО2!EI14</f>
        <v>0</v>
      </c>
      <c r="OU22" s="96" t="n">
        <f aca="false">[1]ВИБУЛО2!EI14</f>
        <v>0</v>
      </c>
      <c r="OV22" s="97" t="n">
        <f aca="false">OV21-OU22+OT22</f>
        <v>0</v>
      </c>
      <c r="OW22" s="95" t="n">
        <f aca="false">[1]НАДІЙШЛО2!EJ14</f>
        <v>0</v>
      </c>
      <c r="OX22" s="96" t="n">
        <f aca="false">[1]ВИБУЛО2!EJ14</f>
        <v>0</v>
      </c>
      <c r="OY22" s="97" t="n">
        <f aca="false">OY21-OX22+OW22</f>
        <v>0</v>
      </c>
      <c r="OZ22" s="95" t="n">
        <f aca="false">[1]НАДІЙШЛО2!EK14</f>
        <v>0</v>
      </c>
      <c r="PA22" s="96" t="n">
        <f aca="false">[1]ВИБУЛО2!EK14</f>
        <v>0</v>
      </c>
      <c r="PB22" s="97" t="n">
        <f aca="false">PB21-PA22+OZ22</f>
        <v>0</v>
      </c>
      <c r="PC22" s="95" t="n">
        <f aca="false">[1]НАДІЙШЛО2!EL14</f>
        <v>0</v>
      </c>
      <c r="PD22" s="96" t="n">
        <f aca="false">[1]ВИБУЛО2!EL14</f>
        <v>0</v>
      </c>
      <c r="PE22" s="97" t="n">
        <f aca="false">PE21-PD22+PC22</f>
        <v>0</v>
      </c>
      <c r="PF22" s="95" t="n">
        <f aca="false">[1]НАДІЙШЛО2!EM14</f>
        <v>0</v>
      </c>
      <c r="PG22" s="96" t="n">
        <f aca="false">[1]ВИБУЛО2!EM14</f>
        <v>0</v>
      </c>
      <c r="PH22" s="97" t="n">
        <f aca="false">PH21-PG22+PF22</f>
        <v>0</v>
      </c>
      <c r="PI22" s="95" t="n">
        <f aca="false">[1]НАДІЙШЛО2!EN14</f>
        <v>0</v>
      </c>
      <c r="PJ22" s="96" t="n">
        <f aca="false">[1]ВИБУЛО2!EN14</f>
        <v>0</v>
      </c>
      <c r="PK22" s="97" t="n">
        <f aca="false">PK21-PJ22+PI22</f>
        <v>0</v>
      </c>
      <c r="PL22" s="95" t="n">
        <f aca="false">[1]НАДІЙШЛО2!EO14</f>
        <v>0</v>
      </c>
      <c r="PM22" s="96" t="n">
        <f aca="false">[1]ВИБУЛО2!EO14</f>
        <v>0</v>
      </c>
      <c r="PN22" s="97" t="n">
        <f aca="false">PN21-PM22+PL22</f>
        <v>0</v>
      </c>
      <c r="PO22" s="95" t="n">
        <f aca="false">[1]НАДІЙШЛО2!EP14</f>
        <v>0</v>
      </c>
      <c r="PP22" s="96" t="n">
        <f aca="false">[1]ВИБУЛО2!EP14</f>
        <v>0</v>
      </c>
      <c r="PQ22" s="97" t="n">
        <f aca="false">PQ21-PP22+PO22</f>
        <v>0</v>
      </c>
      <c r="PR22" s="95" t="n">
        <f aca="false">[1]НАДІЙШЛО2!EQ14</f>
        <v>0</v>
      </c>
      <c r="PS22" s="96" t="n">
        <f aca="false">[1]ВИБУЛО2!EQ14</f>
        <v>0</v>
      </c>
      <c r="PT22" s="97" t="n">
        <f aca="false">PT21-PS22+PR22</f>
        <v>0</v>
      </c>
      <c r="PU22" s="95" t="n">
        <f aca="false">[1]НАДІЙШЛО2!ER14</f>
        <v>0</v>
      </c>
      <c r="PV22" s="96" t="n">
        <f aca="false">[1]ВИБУЛО2!ER14</f>
        <v>0</v>
      </c>
      <c r="PW22" s="97" t="n">
        <f aca="false">PW21-PV22+PU22</f>
        <v>0</v>
      </c>
      <c r="PX22" s="95" t="n">
        <f aca="false">[1]НАДІЙШЛО2!ES14</f>
        <v>0</v>
      </c>
      <c r="PY22" s="96" t="n">
        <f aca="false">[1]ВИБУЛО2!ES14</f>
        <v>0</v>
      </c>
      <c r="PZ22" s="97" t="n">
        <f aca="false">PZ21-PY22+PX22</f>
        <v>0</v>
      </c>
      <c r="QA22" s="95" t="n">
        <f aca="false">[1]НАДІЙШЛО2!ET14</f>
        <v>0</v>
      </c>
      <c r="QB22" s="96" t="n">
        <f aca="false">[1]ВИБУЛО2!ET14</f>
        <v>0</v>
      </c>
      <c r="QC22" s="97" t="n">
        <f aca="false">QC21-QB22+QA22</f>
        <v>0</v>
      </c>
      <c r="QD22" s="95" t="n">
        <f aca="false">[1]НАДІЙШЛО2!EU14</f>
        <v>0</v>
      </c>
      <c r="QE22" s="96" t="n">
        <f aca="false">[1]ВИБУЛО2!EU14</f>
        <v>0</v>
      </c>
      <c r="QF22" s="97" t="n">
        <f aca="false">QF21-QE22+QD22</f>
        <v>0</v>
      </c>
      <c r="QG22" s="95" t="n">
        <f aca="false">[1]НАДІЙШЛО2!EV14</f>
        <v>0</v>
      </c>
      <c r="QH22" s="96" t="n">
        <f aca="false">[1]ВИБУЛО2!EV14</f>
        <v>0</v>
      </c>
      <c r="QI22" s="97" t="n">
        <f aca="false">QI21-QH22+QG22</f>
        <v>0</v>
      </c>
      <c r="QJ22" s="95" t="n">
        <f aca="false">[1]НАДІЙШЛО2!EW14</f>
        <v>0</v>
      </c>
      <c r="QK22" s="96" t="n">
        <f aca="false">[1]ВИБУЛО2!EW14</f>
        <v>0</v>
      </c>
      <c r="QL22" s="97" t="n">
        <f aca="false">QL21-QK22+QJ22</f>
        <v>0</v>
      </c>
      <c r="QM22" s="95" t="n">
        <f aca="false">[1]НАДІЙШЛО2!EX14</f>
        <v>0</v>
      </c>
      <c r="QN22" s="96" t="n">
        <f aca="false">[1]ВИБУЛО2!EX14</f>
        <v>0</v>
      </c>
      <c r="QO22" s="97" t="n">
        <f aca="false">QO21-QN22+QM22</f>
        <v>0</v>
      </c>
      <c r="QP22" s="95" t="n">
        <f aca="false">[1]НАДІЙШЛО2!EY14</f>
        <v>0</v>
      </c>
      <c r="QQ22" s="96" t="n">
        <f aca="false">[1]ВИБУЛО2!EY14</f>
        <v>0</v>
      </c>
      <c r="QR22" s="97" t="n">
        <f aca="false">QR21-QQ22+QP22</f>
        <v>0</v>
      </c>
      <c r="QS22" s="95" t="n">
        <f aca="false">[1]НАДІЙШЛО2!EZ14</f>
        <v>0</v>
      </c>
      <c r="QT22" s="96" t="n">
        <f aca="false">[1]ВИБУЛО2!EZ14</f>
        <v>0</v>
      </c>
      <c r="QU22" s="97" t="n">
        <f aca="false">QU21-QT22+QS22</f>
        <v>0</v>
      </c>
      <c r="QV22" s="95" t="n">
        <f aca="false">[1]НАДІЙШЛО2!FA14</f>
        <v>0</v>
      </c>
      <c r="QW22" s="96" t="n">
        <f aca="false">[1]ВИБУЛО2!FA14</f>
        <v>0</v>
      </c>
      <c r="QX22" s="97" t="n">
        <f aca="false">QX21-QW22+QV22</f>
        <v>0</v>
      </c>
      <c r="QY22" s="95" t="n">
        <f aca="false">[1]НАДІЙШЛО2!FB14</f>
        <v>0</v>
      </c>
      <c r="QZ22" s="96" t="n">
        <f aca="false">[1]ВИБУЛО2!FB14</f>
        <v>0</v>
      </c>
      <c r="RA22" s="97" t="n">
        <f aca="false">RA21-QZ22+QY22</f>
        <v>0</v>
      </c>
      <c r="RB22" s="95" t="n">
        <f aca="false">[1]НАДІЙШЛО2!FC14</f>
        <v>0</v>
      </c>
      <c r="RC22" s="96" t="n">
        <f aca="false">[1]ВИБУЛО2!FC14</f>
        <v>0</v>
      </c>
      <c r="RD22" s="97" t="n">
        <f aca="false">RD21-RC22+RB22</f>
        <v>0</v>
      </c>
      <c r="RE22" s="95" t="n">
        <f aca="false">[1]НАДІЙШЛО2!FD14</f>
        <v>0</v>
      </c>
      <c r="RF22" s="96" t="n">
        <f aca="false">[1]ВИБУЛО2!FD14</f>
        <v>0</v>
      </c>
      <c r="RG22" s="97" t="n">
        <f aca="false">RG21-RF22+RE22</f>
        <v>0</v>
      </c>
      <c r="RH22" s="95" t="n">
        <f aca="false">[1]НАДІЙШЛО2!FE14</f>
        <v>0</v>
      </c>
      <c r="RI22" s="96" t="n">
        <f aca="false">[1]ВИБУЛО2!FE14</f>
        <v>0</v>
      </c>
      <c r="RJ22" s="97" t="n">
        <f aca="false">RJ21-RI22+RH22</f>
        <v>0</v>
      </c>
      <c r="RK22" s="95" t="n">
        <f aca="false">[1]НАДІЙШЛО2!FF14</f>
        <v>0</v>
      </c>
      <c r="RL22" s="96" t="n">
        <f aca="false">[1]ВИБУЛО2!FF14</f>
        <v>0</v>
      </c>
      <c r="RM22" s="97" t="n">
        <f aca="false">RM21-RL22+RK22</f>
        <v>0</v>
      </c>
      <c r="RN22" s="95" t="n">
        <f aca="false">[1]НАДІЙШЛО2!FG14</f>
        <v>0</v>
      </c>
      <c r="RO22" s="96" t="n">
        <f aca="false">[1]ВИБУЛО2!FG14</f>
        <v>0</v>
      </c>
      <c r="RP22" s="97" t="n">
        <f aca="false">RP21-RO22+RN22</f>
        <v>0</v>
      </c>
      <c r="RQ22" s="95" t="n">
        <f aca="false">[1]НАДІЙШЛО2!FH14</f>
        <v>0</v>
      </c>
      <c r="RR22" s="96" t="n">
        <f aca="false">[1]ВИБУЛО2!FH14</f>
        <v>0</v>
      </c>
      <c r="RS22" s="97" t="n">
        <f aca="false">RS21-RR22+RQ22</f>
        <v>0</v>
      </c>
      <c r="RT22" s="95" t="n">
        <f aca="false">[1]НАДІЙШЛО2!FI14</f>
        <v>0</v>
      </c>
      <c r="RU22" s="96" t="n">
        <f aca="false">[1]ВИБУЛО2!FI14</f>
        <v>0</v>
      </c>
      <c r="RV22" s="97" t="n">
        <f aca="false">RV21-RU22+RT22</f>
        <v>0</v>
      </c>
      <c r="RW22" s="95" t="n">
        <f aca="false">[1]НАДІЙШЛО2!FJ14</f>
        <v>0</v>
      </c>
      <c r="RX22" s="96" t="n">
        <f aca="false">[1]ВИБУЛО2!FJ14</f>
        <v>0</v>
      </c>
      <c r="RY22" s="97" t="n">
        <f aca="false">RY21-RX22+RW22</f>
        <v>0</v>
      </c>
      <c r="RZ22" s="95" t="n">
        <f aca="false">[1]НАДІЙШЛО2!FK14</f>
        <v>0</v>
      </c>
      <c r="SA22" s="96" t="n">
        <f aca="false">[1]ВИБУЛО2!FK14</f>
        <v>0</v>
      </c>
      <c r="SB22" s="97" t="n">
        <f aca="false">SB21-SA22+RZ22</f>
        <v>0</v>
      </c>
      <c r="SC22" s="95" t="n">
        <f aca="false">[1]НАДІЙШЛО2!FL14</f>
        <v>0</v>
      </c>
      <c r="SD22" s="96" t="n">
        <f aca="false">[1]ВИБУЛО2!FL14</f>
        <v>0</v>
      </c>
      <c r="SE22" s="97" t="n">
        <f aca="false">SE21-SD22+SC22</f>
        <v>0</v>
      </c>
      <c r="SF22" s="95" t="n">
        <f aca="false">[1]НАДІЙШЛО2!FM14</f>
        <v>0</v>
      </c>
      <c r="SG22" s="96" t="n">
        <f aca="false">[1]ВИБУЛО2!FM14</f>
        <v>0</v>
      </c>
      <c r="SH22" s="97" t="n">
        <f aca="false">SH21-SG22+SF22</f>
        <v>0</v>
      </c>
      <c r="SI22" s="95" t="n">
        <f aca="false">[1]НАДІЙШЛО2!FN14</f>
        <v>0</v>
      </c>
      <c r="SJ22" s="96" t="n">
        <f aca="false">[1]ВИБУЛО2!FN14</f>
        <v>0</v>
      </c>
      <c r="SK22" s="97" t="n">
        <f aca="false">SK21-SJ22+SI22</f>
        <v>0</v>
      </c>
      <c r="SL22" s="95" t="n">
        <f aca="false">[1]НАДІЙШЛО2!FO14</f>
        <v>0</v>
      </c>
      <c r="SM22" s="96" t="n">
        <f aca="false">[1]ВИБУЛО2!FO14</f>
        <v>0</v>
      </c>
      <c r="SN22" s="97" t="n">
        <f aca="false">SN21-SM22+SL22</f>
        <v>0</v>
      </c>
      <c r="SO22" s="95" t="n">
        <f aca="false">[1]НАДІЙШЛО2!FP14</f>
        <v>0</v>
      </c>
      <c r="SP22" s="96" t="n">
        <f aca="false">[1]ВИБУЛО2!FP14</f>
        <v>0</v>
      </c>
      <c r="SQ22" s="97" t="n">
        <f aca="false">SQ21-SP22+SO22</f>
        <v>0</v>
      </c>
      <c r="SR22" s="95" t="n">
        <f aca="false">[1]НАДІЙШЛО2!FQ14</f>
        <v>0</v>
      </c>
      <c r="SS22" s="96" t="n">
        <f aca="false">[1]ВИБУЛО2!FQ14</f>
        <v>0</v>
      </c>
      <c r="ST22" s="97" t="n">
        <f aca="false">ST21-SS22+SR22</f>
        <v>0</v>
      </c>
      <c r="SU22" s="95" t="n">
        <f aca="false">[1]НАДІЙШЛО2!FR14</f>
        <v>0</v>
      </c>
      <c r="SV22" s="96" t="n">
        <f aca="false">[1]ВИБУЛО2!FR14</f>
        <v>0</v>
      </c>
      <c r="SW22" s="97" t="n">
        <f aca="false">SW21-SV22+SU22</f>
        <v>0</v>
      </c>
      <c r="SX22" s="95" t="n">
        <f aca="false">[1]НАДІЙШЛО2!FS14</f>
        <v>0</v>
      </c>
      <c r="SY22" s="96" t="n">
        <f aca="false">[1]ВИБУЛО2!FS14</f>
        <v>0</v>
      </c>
      <c r="SZ22" s="97" t="n">
        <f aca="false">SZ21-SY22+SX22</f>
        <v>0</v>
      </c>
      <c r="TA22" s="95" t="n">
        <f aca="false">[1]НАДІЙШЛО2!FT14</f>
        <v>0</v>
      </c>
      <c r="TB22" s="96" t="n">
        <f aca="false">[1]ВИБУЛО2!FT14</f>
        <v>0</v>
      </c>
      <c r="TC22" s="97" t="n">
        <f aca="false">TC21-TB22+TA22</f>
        <v>0</v>
      </c>
      <c r="TD22" s="95" t="n">
        <f aca="false">[1]НАДІЙШЛО2!FU14</f>
        <v>0</v>
      </c>
      <c r="TE22" s="96" t="n">
        <f aca="false">[1]ВИБУЛО2!FU14</f>
        <v>0</v>
      </c>
      <c r="TF22" s="97" t="n">
        <f aca="false">TF21-TE22+TD22</f>
        <v>0</v>
      </c>
      <c r="TG22" s="95" t="n">
        <f aca="false">[1]НАДІЙШЛО2!FV14</f>
        <v>0</v>
      </c>
      <c r="TH22" s="96" t="n">
        <f aca="false">[1]ВИБУЛО2!FV14</f>
        <v>0</v>
      </c>
      <c r="TI22" s="97" t="n">
        <f aca="false">TI21-TH22+TG22</f>
        <v>0</v>
      </c>
      <c r="TJ22" s="95" t="n">
        <f aca="false">[1]НАДІЙШЛО2!FW14</f>
        <v>0</v>
      </c>
      <c r="TK22" s="96" t="n">
        <f aca="false">[1]ВИБУЛО2!FW14</f>
        <v>0</v>
      </c>
      <c r="TL22" s="97" t="n">
        <f aca="false">TL21-TK22+TJ22</f>
        <v>0</v>
      </c>
      <c r="TM22" s="95" t="n">
        <f aca="false">[1]НАДІЙШЛО2!FX14</f>
        <v>0</v>
      </c>
      <c r="TN22" s="96" t="n">
        <f aca="false">[1]ВИБУЛО2!FX14</f>
        <v>0</v>
      </c>
      <c r="TO22" s="97" t="n">
        <f aca="false">TO21-TN22+TM22</f>
        <v>0</v>
      </c>
      <c r="TP22" s="95" t="n">
        <f aca="false">[1]НАДІЙШЛО2!FY14</f>
        <v>0</v>
      </c>
      <c r="TQ22" s="96" t="n">
        <f aca="false">[1]ВИБУЛО2!FY14</f>
        <v>0</v>
      </c>
      <c r="TR22" s="97" t="n">
        <f aca="false">TR21-TQ22+TP22</f>
        <v>0</v>
      </c>
      <c r="TS22" s="95" t="n">
        <f aca="false">[1]НАДІЙШЛО2!FZ14</f>
        <v>0</v>
      </c>
      <c r="TT22" s="96" t="n">
        <f aca="false">[1]ВИБУЛО2!FZ14</f>
        <v>0</v>
      </c>
      <c r="TU22" s="97" t="n">
        <f aca="false">TU21-TT22+TS22</f>
        <v>0</v>
      </c>
      <c r="TV22" s="95" t="n">
        <f aca="false">[1]НАДІЙШЛО2!GA14</f>
        <v>0</v>
      </c>
      <c r="TW22" s="96" t="n">
        <f aca="false">[1]ВИБУЛО2!GA14</f>
        <v>0</v>
      </c>
      <c r="TX22" s="97" t="n">
        <f aca="false">TX21-TW22+TV22</f>
        <v>0</v>
      </c>
      <c r="TY22" s="95" t="n">
        <f aca="false">[1]НАДІЙШЛО2!GB14</f>
        <v>0</v>
      </c>
      <c r="TZ22" s="96" t="n">
        <f aca="false">[1]ВИБУЛО2!GB14</f>
        <v>0</v>
      </c>
      <c r="UA22" s="97" t="n">
        <f aca="false">UA21-TZ22+TY22</f>
        <v>0</v>
      </c>
      <c r="UB22" s="95" t="n">
        <f aca="false">[1]НАДІЙШЛО2!GC14</f>
        <v>0</v>
      </c>
      <c r="UC22" s="96" t="n">
        <f aca="false">[1]ВИБУЛО2!GC14</f>
        <v>0</v>
      </c>
      <c r="UD22" s="97" t="n">
        <f aca="false">UD21-UC22+UB22</f>
        <v>0</v>
      </c>
      <c r="UE22" s="95" t="n">
        <f aca="false">[1]НАДІЙШЛО2!GD14</f>
        <v>0</v>
      </c>
      <c r="UF22" s="96" t="n">
        <f aca="false">[1]ВИБУЛО2!GD14</f>
        <v>0</v>
      </c>
      <c r="UG22" s="97" t="n">
        <f aca="false">UG21-UF22+UE22</f>
        <v>0</v>
      </c>
      <c r="UH22" s="95" t="n">
        <f aca="false">[1]НАДІЙШЛО2!GE14</f>
        <v>0</v>
      </c>
      <c r="UI22" s="96" t="n">
        <f aca="false">[1]ВИБУЛО2!GE14</f>
        <v>0</v>
      </c>
      <c r="UJ22" s="97" t="n">
        <f aca="false">UJ21-UI22+UH22</f>
        <v>0</v>
      </c>
      <c r="UK22" s="95" t="n">
        <f aca="false">[1]НАДІЙШЛО2!GF14</f>
        <v>0</v>
      </c>
      <c r="UL22" s="96" t="n">
        <f aca="false">[1]ВИБУЛО2!GF14</f>
        <v>0</v>
      </c>
      <c r="UM22" s="97" t="n">
        <f aca="false">UM21-UL22+UK22</f>
        <v>0</v>
      </c>
      <c r="UN22" s="95" t="n">
        <f aca="false">[1]НАДІЙШЛО2!GG14</f>
        <v>0</v>
      </c>
      <c r="UO22" s="96" t="n">
        <f aca="false">[1]ВИБУЛО2!GG14</f>
        <v>0</v>
      </c>
      <c r="UP22" s="97" t="n">
        <f aca="false">UP21-UO22+UN22</f>
        <v>0</v>
      </c>
      <c r="UQ22" s="95" t="n">
        <f aca="false">[1]НАДІЙШЛО2!GH14</f>
        <v>0</v>
      </c>
      <c r="UR22" s="96" t="n">
        <f aca="false">[1]ВИБУЛО2!GH14</f>
        <v>0</v>
      </c>
      <c r="US22" s="97" t="n">
        <f aca="false">US21-UR22+UQ22</f>
        <v>0</v>
      </c>
      <c r="UT22" s="95" t="n">
        <f aca="false">[1]НАДІЙШЛО2!GI14</f>
        <v>0</v>
      </c>
      <c r="UU22" s="96" t="n">
        <f aca="false">[1]ВИБУЛО2!GI14</f>
        <v>0</v>
      </c>
      <c r="UV22" s="97" t="n">
        <f aca="false">UV21-UU22+UT22</f>
        <v>0</v>
      </c>
      <c r="UW22" s="95" t="n">
        <f aca="false">[1]НАДІЙШЛО2!GJ14</f>
        <v>0</v>
      </c>
      <c r="UX22" s="96" t="n">
        <f aca="false">[1]ВИБУЛО2!GJ14</f>
        <v>0</v>
      </c>
      <c r="UY22" s="97" t="n">
        <f aca="false">UY21-UX22+UW22</f>
        <v>0</v>
      </c>
      <c r="UZ22" s="95" t="n">
        <f aca="false">[1]НАДІЙШЛО2!GK14</f>
        <v>0</v>
      </c>
      <c r="VA22" s="96" t="n">
        <f aca="false">[1]ВИБУЛО2!GK14</f>
        <v>0</v>
      </c>
      <c r="VB22" s="97" t="n">
        <f aca="false">VB21-VA22+UZ22</f>
        <v>0</v>
      </c>
      <c r="VC22" s="95" t="n">
        <f aca="false">[1]НАДІЙШЛО2!GL14</f>
        <v>0</v>
      </c>
      <c r="VD22" s="96" t="n">
        <f aca="false">[1]ВИБУЛО2!GL14</f>
        <v>0</v>
      </c>
      <c r="VE22" s="97" t="n">
        <f aca="false">VE21-VD22+VC22</f>
        <v>0</v>
      </c>
      <c r="VF22" s="95" t="n">
        <f aca="false">[1]НАДІЙШЛО2!GM14</f>
        <v>0</v>
      </c>
      <c r="VG22" s="96" t="n">
        <f aca="false">[1]ВИБУЛО2!GM14</f>
        <v>0</v>
      </c>
      <c r="VH22" s="97" t="n">
        <f aca="false">VH21-VG22+VF22</f>
        <v>0</v>
      </c>
      <c r="VI22" s="95" t="n">
        <f aca="false">[1]НАДІЙШЛО2!GN14</f>
        <v>0</v>
      </c>
      <c r="VJ22" s="96" t="n">
        <f aca="false">[1]ВИБУЛО2!GN14</f>
        <v>0</v>
      </c>
      <c r="VK22" s="97" t="n">
        <f aca="false">VK21-VJ22+VI22</f>
        <v>0</v>
      </c>
      <c r="VL22" s="95" t="n">
        <f aca="false">[1]НАДІЙШЛО2!GO14</f>
        <v>0</v>
      </c>
      <c r="VM22" s="96" t="n">
        <f aca="false">[1]ВИБУЛО2!GO14</f>
        <v>0</v>
      </c>
      <c r="VN22" s="97" t="n">
        <f aca="false">VN21-VM22+VL22</f>
        <v>0</v>
      </c>
      <c r="VO22" s="95" t="n">
        <f aca="false">[1]НАДІЙШЛО2!GP14</f>
        <v>0</v>
      </c>
      <c r="VP22" s="96" t="n">
        <f aca="false">[1]ВИБУЛО2!GP14</f>
        <v>0</v>
      </c>
      <c r="VQ22" s="97" t="n">
        <f aca="false">VQ21-VP22+VO22</f>
        <v>0</v>
      </c>
      <c r="VR22" s="95" t="n">
        <f aca="false">[1]НАДІЙШЛО2!GQ14</f>
        <v>0</v>
      </c>
      <c r="VS22" s="96" t="n">
        <f aca="false">[1]ВИБУЛО2!GQ14</f>
        <v>0</v>
      </c>
      <c r="VT22" s="97" t="n">
        <f aca="false">VT21-VS22+VR22</f>
        <v>0</v>
      </c>
      <c r="VU22" s="95" t="n">
        <f aca="false">[1]НАДІЙШЛО2!GR14</f>
        <v>0</v>
      </c>
      <c r="VV22" s="96" t="n">
        <f aca="false">[1]ВИБУЛО2!GR14</f>
        <v>0</v>
      </c>
      <c r="VW22" s="97" t="n">
        <f aca="false">VW21-VV22+VU22</f>
        <v>0</v>
      </c>
      <c r="VX22" s="95" t="n">
        <f aca="false">[1]НАДІЙШЛО2!GS14</f>
        <v>0</v>
      </c>
      <c r="VY22" s="96" t="n">
        <f aca="false">[1]ВИБУЛО2!GS14</f>
        <v>0</v>
      </c>
      <c r="VZ22" s="97" t="n">
        <f aca="false">VZ21-VY22+VX22</f>
        <v>0</v>
      </c>
      <c r="WA22" s="95" t="n">
        <f aca="false">[1]НАДІЙШЛО2!GT14</f>
        <v>0</v>
      </c>
      <c r="WB22" s="96" t="n">
        <f aca="false">[1]ВИБУЛО2!GT14</f>
        <v>0</v>
      </c>
      <c r="WC22" s="97" t="n">
        <f aca="false">WC21-WB22+WA22</f>
        <v>0</v>
      </c>
      <c r="WD22" s="95" t="n">
        <f aca="false">[1]НАДІЙШЛО2!GU14</f>
        <v>0</v>
      </c>
      <c r="WE22" s="96" t="n">
        <f aca="false">[1]ВИБУЛО2!GU14</f>
        <v>0</v>
      </c>
      <c r="WF22" s="97" t="n">
        <f aca="false">WF21-WE22+WD22</f>
        <v>0</v>
      </c>
      <c r="WG22" s="95" t="n">
        <f aca="false">[1]НАДІЙШЛО2!GV14</f>
        <v>0</v>
      </c>
      <c r="WH22" s="96" t="n">
        <f aca="false">[1]ВИБУЛО2!GV14</f>
        <v>0</v>
      </c>
      <c r="WI22" s="97" t="n">
        <f aca="false">WI21-WH22+WG22</f>
        <v>0</v>
      </c>
      <c r="WJ22" s="95" t="n">
        <f aca="false">[1]НАДІЙШЛО2!GW14</f>
        <v>0</v>
      </c>
      <c r="WK22" s="96" t="n">
        <f aca="false">[1]ВИБУЛО2!GW14</f>
        <v>0</v>
      </c>
      <c r="WL22" s="97" t="n">
        <f aca="false">WL21-WK22+WJ22</f>
        <v>0</v>
      </c>
      <c r="WM22" s="95" t="n">
        <f aca="false">[1]НАДІЙШЛО2!GX14</f>
        <v>0</v>
      </c>
      <c r="WN22" s="96" t="n">
        <f aca="false">[1]ВИБУЛО2!GX14</f>
        <v>0</v>
      </c>
      <c r="WO22" s="97" t="n">
        <f aca="false">WO21-WN22+WM22</f>
        <v>0</v>
      </c>
      <c r="WP22" s="95" t="n">
        <f aca="false">[1]НАДІЙШЛО2!GY14</f>
        <v>0</v>
      </c>
      <c r="WQ22" s="96" t="n">
        <f aca="false">[1]ВИБУЛО2!GY14</f>
        <v>0</v>
      </c>
      <c r="WR22" s="97" t="n">
        <f aca="false">WR21-WQ22+WP22</f>
        <v>0</v>
      </c>
      <c r="WS22" s="95" t="n">
        <f aca="false">[1]НАДІЙШЛО2!GZ14</f>
        <v>0</v>
      </c>
      <c r="WT22" s="96" t="n">
        <f aca="false">[1]ВИБУЛО2!GZ14</f>
        <v>0</v>
      </c>
      <c r="WU22" s="97" t="n">
        <f aca="false">WU21-WT22+WS22</f>
        <v>0</v>
      </c>
      <c r="WV22" s="95" t="n">
        <f aca="false">[1]НАДІЙШЛО2!HA14</f>
        <v>0</v>
      </c>
      <c r="WW22" s="96" t="n">
        <f aca="false">[1]ВИБУЛО2!HA14</f>
        <v>0</v>
      </c>
      <c r="WX22" s="97" t="n">
        <f aca="false">WX21-WW22+WV22</f>
        <v>0</v>
      </c>
      <c r="WY22" s="95" t="n">
        <f aca="false">[1]НАДІЙШЛО2!HB14</f>
        <v>0</v>
      </c>
      <c r="WZ22" s="96" t="n">
        <f aca="false">[1]ВИБУЛО2!HB14</f>
        <v>0</v>
      </c>
      <c r="XA22" s="97" t="n">
        <f aca="false">XA21-WZ22+WY22</f>
        <v>0</v>
      </c>
      <c r="XB22" s="95" t="n">
        <f aca="false">[1]НАДІЙШЛО2!HC14</f>
        <v>0</v>
      </c>
      <c r="XC22" s="96" t="n">
        <f aca="false">[1]ВИБУЛО2!HC14</f>
        <v>0</v>
      </c>
      <c r="XD22" s="97" t="n">
        <f aca="false">XD21-XC22+XB22</f>
        <v>0</v>
      </c>
      <c r="XE22" s="95" t="n">
        <f aca="false">[1]НАДІЙШЛО2!HD14</f>
        <v>0</v>
      </c>
      <c r="XF22" s="96" t="n">
        <f aca="false">[1]ВИБУЛО2!HD14</f>
        <v>0</v>
      </c>
      <c r="XG22" s="97" t="n">
        <f aca="false">XG21-XF22+XE22</f>
        <v>0</v>
      </c>
      <c r="XH22" s="95" t="n">
        <f aca="false">[1]НАДІЙШЛО2!HE14</f>
        <v>0</v>
      </c>
      <c r="XI22" s="96" t="n">
        <f aca="false">[1]ВИБУЛО2!HE14</f>
        <v>0</v>
      </c>
      <c r="XJ22" s="97" t="n">
        <f aca="false">XJ21-XI22+XH22</f>
        <v>0</v>
      </c>
      <c r="XK22" s="95" t="n">
        <f aca="false">[1]НАДІЙШЛО2!HF14</f>
        <v>0</v>
      </c>
      <c r="XL22" s="96" t="n">
        <f aca="false">[1]ВИБУЛО2!HF14</f>
        <v>0</v>
      </c>
      <c r="XM22" s="97" t="n">
        <f aca="false">XM21-XL22+XK22</f>
        <v>0</v>
      </c>
      <c r="XN22" s="95" t="n">
        <f aca="false">[1]НАДІЙШЛО2!HG14</f>
        <v>0</v>
      </c>
      <c r="XO22" s="96" t="n">
        <f aca="false">[1]ВИБУЛО2!HG14</f>
        <v>0</v>
      </c>
      <c r="XP22" s="97" t="n">
        <f aca="false">XP21-XO22+XN22</f>
        <v>0</v>
      </c>
      <c r="XQ22" s="95" t="n">
        <f aca="false">[1]НАДІЙШЛО2!HH14</f>
        <v>0</v>
      </c>
      <c r="XR22" s="96" t="n">
        <f aca="false">[1]ВИБУЛО2!HH14</f>
        <v>0</v>
      </c>
      <c r="XS22" s="97" t="n">
        <f aca="false">XS21-XR22+XQ22</f>
        <v>0</v>
      </c>
      <c r="XT22" s="95" t="n">
        <f aca="false">[1]НАДІЙШЛО2!HI14</f>
        <v>0</v>
      </c>
      <c r="XU22" s="96" t="n">
        <f aca="false">[1]ВИБУЛО2!HI14</f>
        <v>0</v>
      </c>
      <c r="XV22" s="97" t="n">
        <f aca="false">XV21-XU22+XT22</f>
        <v>0</v>
      </c>
      <c r="XW22" s="95" t="n">
        <f aca="false">[1]НАДІЙШЛО2!HJ14</f>
        <v>0</v>
      </c>
      <c r="XX22" s="96" t="n">
        <f aca="false">[1]ВИБУЛО2!HJ14</f>
        <v>0</v>
      </c>
      <c r="XY22" s="97" t="n">
        <f aca="false">XY21-XX22+XW22</f>
        <v>0</v>
      </c>
      <c r="XZ22" s="95" t="n">
        <f aca="false">[1]НАДІЙШЛО2!HK14</f>
        <v>0</v>
      </c>
      <c r="YA22" s="96" t="n">
        <f aca="false">[1]ВИБУЛО2!HK14</f>
        <v>0</v>
      </c>
      <c r="YB22" s="97" t="n">
        <f aca="false">YB21-YA22+XZ22</f>
        <v>0</v>
      </c>
      <c r="YC22" s="95" t="n">
        <f aca="false">[1]НАДІЙШЛО2!HL14</f>
        <v>0</v>
      </c>
      <c r="YD22" s="96" t="n">
        <f aca="false">[1]ВИБУЛО2!HL14</f>
        <v>0</v>
      </c>
      <c r="YE22" s="97" t="n">
        <f aca="false">YE21-YD22+YC22</f>
        <v>0</v>
      </c>
      <c r="YF22" s="95" t="n">
        <f aca="false">[1]НАДІЙШЛО2!HM14</f>
        <v>0</v>
      </c>
      <c r="YG22" s="96" t="n">
        <f aca="false">[1]ВИБУЛО2!HM14</f>
        <v>0</v>
      </c>
      <c r="YH22" s="97" t="n">
        <f aca="false">YH21-YG22+YF22</f>
        <v>0</v>
      </c>
      <c r="YI22" s="95" t="n">
        <f aca="false">[1]НАДІЙШЛО2!HN14</f>
        <v>0</v>
      </c>
      <c r="YJ22" s="96" t="n">
        <f aca="false">[1]ВИБУЛО2!HN14</f>
        <v>0</v>
      </c>
      <c r="YK22" s="97" t="n">
        <f aca="false">YK21-YJ22+YI22</f>
        <v>0</v>
      </c>
      <c r="YL22" s="95" t="n">
        <f aca="false">[1]НАДІЙШЛО2!HO14</f>
        <v>0</v>
      </c>
      <c r="YM22" s="96" t="n">
        <f aca="false">[1]ВИБУЛО2!HO14</f>
        <v>0</v>
      </c>
      <c r="YN22" s="97" t="n">
        <f aca="false">YN21-YM22+YL22</f>
        <v>0</v>
      </c>
      <c r="YO22" s="95" t="n">
        <f aca="false">[1]НАДІЙШЛО2!HP14</f>
        <v>0</v>
      </c>
      <c r="YP22" s="96" t="n">
        <f aca="false">[1]ВИБУЛО2!HP14</f>
        <v>0</v>
      </c>
      <c r="YQ22" s="97" t="n">
        <f aca="false">YQ21-YP22+YO22</f>
        <v>0</v>
      </c>
      <c r="YR22" s="95" t="n">
        <f aca="false">[1]НАДІЙШЛО2!HQ14</f>
        <v>0</v>
      </c>
      <c r="YS22" s="96" t="n">
        <f aca="false">[1]ВИБУЛО2!HQ14</f>
        <v>0</v>
      </c>
      <c r="YT22" s="97" t="n">
        <f aca="false">YT21-YS22+YR22</f>
        <v>0</v>
      </c>
      <c r="YU22" s="95" t="n">
        <f aca="false">[1]НАДІЙШЛО2!HR14</f>
        <v>0</v>
      </c>
      <c r="YV22" s="96" t="n">
        <f aca="false">[1]ВИБУЛО2!HR14</f>
        <v>0</v>
      </c>
      <c r="YW22" s="97" t="n">
        <f aca="false">YW21-YV22+YU22</f>
        <v>0</v>
      </c>
      <c r="YX22" s="95" t="n">
        <f aca="false">[1]НАДІЙШЛО2!HS14</f>
        <v>0</v>
      </c>
      <c r="YY22" s="96" t="n">
        <f aca="false">[1]ВИБУЛО2!HS14</f>
        <v>0</v>
      </c>
      <c r="YZ22" s="97" t="n">
        <f aca="false">YZ21-YY22+YX22</f>
        <v>0</v>
      </c>
      <c r="ZA22" s="95" t="n">
        <f aca="false">[1]НАДІЙШЛО2!HT14</f>
        <v>0</v>
      </c>
      <c r="ZB22" s="96" t="n">
        <f aca="false">[1]ВИБУЛО2!HT14</f>
        <v>0</v>
      </c>
      <c r="ZC22" s="97" t="n">
        <f aca="false">ZC21-ZB22+ZA22</f>
        <v>0</v>
      </c>
      <c r="ZD22" s="95" t="n">
        <f aca="false">[1]НАДІЙШЛО2!HU14</f>
        <v>0</v>
      </c>
      <c r="ZE22" s="96" t="n">
        <f aca="false">[1]ВИБУЛО2!HU14</f>
        <v>0</v>
      </c>
      <c r="ZF22" s="97" t="n">
        <f aca="false">ZF21-ZE22+ZD22</f>
        <v>0</v>
      </c>
      <c r="ZG22" s="95" t="n">
        <f aca="false">[1]НАДІЙШЛО2!HV14</f>
        <v>0</v>
      </c>
      <c r="ZH22" s="96" t="n">
        <f aca="false">[1]ВИБУЛО2!HV14</f>
        <v>0</v>
      </c>
      <c r="ZI22" s="97" t="n">
        <f aca="false">ZI21-ZH22+ZG22</f>
        <v>0</v>
      </c>
      <c r="ZJ22" s="95" t="n">
        <f aca="false">[1]НАДІЙШЛО2!HW14</f>
        <v>0</v>
      </c>
      <c r="ZK22" s="96" t="n">
        <f aca="false">[1]ВИБУЛО2!HW14</f>
        <v>0</v>
      </c>
      <c r="ZL22" s="97" t="n">
        <f aca="false">ZL21-ZK22+ZJ22</f>
        <v>0</v>
      </c>
      <c r="ZM22" s="95" t="n">
        <f aca="false">[1]НАДІЙШЛО2!HX14</f>
        <v>0</v>
      </c>
      <c r="ZN22" s="96" t="n">
        <f aca="false">[1]ВИБУЛО2!HX14</f>
        <v>0</v>
      </c>
      <c r="ZO22" s="97" t="n">
        <f aca="false">ZO21-ZN22+ZM22</f>
        <v>0</v>
      </c>
      <c r="ZP22" s="95" t="n">
        <f aca="false">[1]НАДІЙШЛО2!HY14</f>
        <v>0</v>
      </c>
      <c r="ZQ22" s="96" t="n">
        <f aca="false">[1]ВИБУЛО2!HY14</f>
        <v>0</v>
      </c>
      <c r="ZR22" s="97" t="n">
        <f aca="false">ZR21-ZQ22+ZP22</f>
        <v>0</v>
      </c>
      <c r="ZS22" s="95" t="n">
        <f aca="false">[1]НАДІЙШЛО2!HZ14</f>
        <v>0</v>
      </c>
      <c r="ZT22" s="96" t="n">
        <f aca="false">[1]ВИБУЛО2!HZ14</f>
        <v>0</v>
      </c>
      <c r="ZU22" s="97" t="n">
        <f aca="false">ZU21-ZT22+ZS22</f>
        <v>0</v>
      </c>
      <c r="ZV22" s="95" t="n">
        <f aca="false">[1]НАДІЙШЛО2!IA14</f>
        <v>0</v>
      </c>
      <c r="ZW22" s="96" t="n">
        <f aca="false">[1]ВИБУЛО2!IA14</f>
        <v>0</v>
      </c>
      <c r="ZX22" s="97" t="n">
        <f aca="false">ZX21-ZW22+ZV22</f>
        <v>0</v>
      </c>
      <c r="ZY22" s="95" t="n">
        <f aca="false">[1]НАДІЙШЛО2!IB14</f>
        <v>0</v>
      </c>
      <c r="ZZ22" s="96" t="n">
        <f aca="false">[1]ВИБУЛО2!IB14</f>
        <v>0</v>
      </c>
      <c r="AAA22" s="97" t="n">
        <f aca="false">AAA21-ZZ22+ZY22</f>
        <v>0</v>
      </c>
      <c r="AAB22" s="95" t="n">
        <f aca="false">[1]НАДІЙШЛО2!IC14</f>
        <v>0</v>
      </c>
      <c r="AAC22" s="96" t="n">
        <f aca="false">[1]ВИБУЛО2!IC14</f>
        <v>0</v>
      </c>
      <c r="AAD22" s="97" t="n">
        <f aca="false">AAD21-AAC22+AAB22</f>
        <v>0</v>
      </c>
      <c r="AAE22" s="95" t="n">
        <f aca="false">[1]НАДІЙШЛО2!ID14</f>
        <v>0</v>
      </c>
      <c r="AAF22" s="96" t="n">
        <f aca="false">[1]ВИБУЛО2!ID14</f>
        <v>0</v>
      </c>
      <c r="AAG22" s="97" t="n">
        <f aca="false">AAG21-AAF22+AAE22</f>
        <v>0</v>
      </c>
      <c r="AAH22" s="95" t="n">
        <f aca="false">[1]НАДІЙШЛО2!IE14</f>
        <v>0</v>
      </c>
      <c r="AAI22" s="96" t="n">
        <f aca="false">[1]ВИБУЛО2!IE14</f>
        <v>0</v>
      </c>
      <c r="AAJ22" s="97" t="n">
        <f aca="false">AAJ21-AAI22+AAH22</f>
        <v>0</v>
      </c>
      <c r="AAK22" s="95" t="n">
        <f aca="false">[1]НАДІЙШЛО2!IF14</f>
        <v>0</v>
      </c>
      <c r="AAL22" s="96" t="n">
        <f aca="false">[1]ВИБУЛО2!IF14</f>
        <v>0</v>
      </c>
      <c r="AAM22" s="97" t="n">
        <f aca="false">AAM21-AAL22+AAK22</f>
        <v>0</v>
      </c>
      <c r="AAN22" s="95" t="n">
        <f aca="false">[1]НАДІЙШЛО2!IG14</f>
        <v>0</v>
      </c>
      <c r="AAO22" s="96" t="n">
        <f aca="false">[1]ВИБУЛО2!IG14</f>
        <v>0</v>
      </c>
      <c r="AAP22" s="97" t="n">
        <f aca="false">AAP21-AAO22+AAN22</f>
        <v>0</v>
      </c>
      <c r="AAQ22" s="95" t="n">
        <f aca="false">[1]НАДІЙШЛО2!IH14</f>
        <v>0</v>
      </c>
      <c r="AAR22" s="96" t="n">
        <f aca="false">[1]ВИБУЛО2!IH14</f>
        <v>0</v>
      </c>
      <c r="AAS22" s="97" t="n">
        <f aca="false">AAS21-AAR22+AAQ22</f>
        <v>0</v>
      </c>
      <c r="AAT22" s="95" t="n">
        <f aca="false">[1]НАДІЙШЛО2!II14</f>
        <v>0</v>
      </c>
      <c r="AAU22" s="96" t="n">
        <f aca="false">[1]ВИБУЛО2!II14</f>
        <v>0</v>
      </c>
      <c r="AAV22" s="97" t="n">
        <f aca="false">AAV21-AAU22+AAT22</f>
        <v>0</v>
      </c>
      <c r="AAW22" s="95" t="n">
        <f aca="false">[1]НАДІЙШЛО2!IJ14</f>
        <v>0</v>
      </c>
      <c r="AAX22" s="96" t="n">
        <f aca="false">[1]ВИБУЛО2!IJ14</f>
        <v>0</v>
      </c>
      <c r="AAY22" s="97" t="n">
        <f aca="false">AAY21-AAX22+AAW22</f>
        <v>0</v>
      </c>
      <c r="AAZ22" s="95" t="n">
        <f aca="false">[1]НАДІЙШЛО2!IK14</f>
        <v>0</v>
      </c>
      <c r="ABA22" s="96" t="n">
        <f aca="false">[1]ВИБУЛО2!IK14</f>
        <v>0</v>
      </c>
      <c r="ABB22" s="97" t="n">
        <f aca="false">ABB21-ABA22+AAZ22</f>
        <v>0</v>
      </c>
      <c r="ABC22" s="95" t="n">
        <f aca="false">[1]НАДІЙШЛО2!IL14</f>
        <v>0</v>
      </c>
      <c r="ABD22" s="96" t="n">
        <f aca="false">[1]ВИБУЛО2!IL14</f>
        <v>0</v>
      </c>
      <c r="ABE22" s="97" t="n">
        <f aca="false">ABE21-ABD22+ABC22</f>
        <v>0</v>
      </c>
      <c r="ABF22" s="95" t="n">
        <f aca="false">[1]НАДІЙШЛО2!IM14</f>
        <v>0</v>
      </c>
      <c r="ABG22" s="96" t="n">
        <f aca="false">[1]ВИБУЛО2!IM14</f>
        <v>0</v>
      </c>
      <c r="ABH22" s="97" t="n">
        <f aca="false">ABH21-ABG22+ABF22</f>
        <v>0</v>
      </c>
      <c r="ABI22" s="95" t="n">
        <f aca="false">[1]НАДІЙШЛО2!IN14</f>
        <v>0</v>
      </c>
      <c r="ABJ22" s="96" t="n">
        <f aca="false">[1]ВИБУЛО2!IN14</f>
        <v>0</v>
      </c>
      <c r="ABK22" s="97" t="n">
        <f aca="false">ABK21-ABJ22+ABI22</f>
        <v>0</v>
      </c>
      <c r="ABL22" s="95" t="n">
        <f aca="false">[1]НАДІЙШЛО2!IO14</f>
        <v>0</v>
      </c>
      <c r="ABM22" s="96" t="n">
        <f aca="false">[1]ВИБУЛО2!IO14</f>
        <v>0</v>
      </c>
      <c r="ABN22" s="97" t="n">
        <f aca="false">ABN21-ABM22+ABL22</f>
        <v>0</v>
      </c>
      <c r="ABO22" s="95" t="n">
        <f aca="false">[1]НАДІЙШЛО2!IP14</f>
        <v>0</v>
      </c>
      <c r="ABP22" s="96" t="n">
        <f aca="false">[1]ВИБУЛО2!IP14</f>
        <v>0</v>
      </c>
      <c r="ABQ22" s="97" t="n">
        <f aca="false">ABQ21-ABP22+ABO22</f>
        <v>0</v>
      </c>
      <c r="ABR22" s="95" t="n">
        <f aca="false">[1]НАДІЙШЛО2!IQ14</f>
        <v>0</v>
      </c>
      <c r="ABS22" s="96" t="n">
        <f aca="false">[1]ВИБУЛО2!IQ14</f>
        <v>0</v>
      </c>
      <c r="ABT22" s="97" t="n">
        <f aca="false">ABT21-ABS22+ABR22</f>
        <v>0</v>
      </c>
      <c r="ABU22" s="95" t="n">
        <f aca="false">[1]НАДІЙШЛО2!IR14</f>
        <v>0</v>
      </c>
      <c r="ABV22" s="96" t="n">
        <f aca="false">[1]ВИБУЛО2!IR14</f>
        <v>0</v>
      </c>
      <c r="ABW22" s="97" t="n">
        <f aca="false">ABW21-ABV22+ABU22</f>
        <v>0</v>
      </c>
      <c r="ABX22" s="95" t="n">
        <f aca="false">[1]НАДІЙШЛО2!IS14</f>
        <v>0</v>
      </c>
      <c r="ABY22" s="96" t="n">
        <f aca="false">[1]ВИБУЛО2!IS14</f>
        <v>0</v>
      </c>
      <c r="ABZ22" s="97" t="n">
        <f aca="false">ABZ21-ABY22+ABX22</f>
        <v>0</v>
      </c>
      <c r="ACA22" s="95" t="n">
        <f aca="false">[1]НАДІЙШЛО2!IT14</f>
        <v>0</v>
      </c>
      <c r="ACB22" s="96" t="n">
        <f aca="false">[1]ВИБУЛО2!IT14</f>
        <v>0</v>
      </c>
      <c r="ACC22" s="97" t="n">
        <f aca="false">ACC21-ACB22+ACA22</f>
        <v>0</v>
      </c>
      <c r="ACD22" s="95" t="n">
        <f aca="false">[1]НАДІЙШЛО2!IU14</f>
        <v>0</v>
      </c>
      <c r="ACE22" s="96" t="n">
        <f aca="false">[1]ВИБУЛО2!IU14</f>
        <v>0</v>
      </c>
      <c r="ACF22" s="97" t="n">
        <f aca="false">ACF21-ACE22+ACD22</f>
        <v>0</v>
      </c>
      <c r="ACG22" s="95" t="n">
        <f aca="false">[1]НАДІЙШЛО2!IV14</f>
        <v>0</v>
      </c>
      <c r="ACH22" s="96" t="n">
        <f aca="false">[1]ВИБУЛО2!IV14</f>
        <v>0</v>
      </c>
      <c r="ACI22" s="97" t="n">
        <f aca="false">ACI21-ACH22+ACG22</f>
        <v>0</v>
      </c>
      <c r="ACJ22" s="95" t="n">
        <f aca="false">[1]НАДІЙШЛО2!IW14</f>
        <v>0</v>
      </c>
      <c r="ACK22" s="96" t="n">
        <f aca="false">[1]ВИБУЛО2!IW14</f>
        <v>0</v>
      </c>
      <c r="ACL22" s="97" t="n">
        <f aca="false">ACL21-ACK22+ACJ22</f>
        <v>0</v>
      </c>
      <c r="ACM22" s="95" t="n">
        <f aca="false">[1]НАДІЙШЛО2!IX14</f>
        <v>0</v>
      </c>
      <c r="ACN22" s="96" t="n">
        <f aca="false">[1]ВИБУЛО2!IX14</f>
        <v>0</v>
      </c>
      <c r="ACO22" s="97" t="n">
        <f aca="false">ACO21-ACN22+ACM22</f>
        <v>0</v>
      </c>
      <c r="ACP22" s="95" t="n">
        <f aca="false">[1]НАДІЙШЛО2!IY14</f>
        <v>0</v>
      </c>
      <c r="ACQ22" s="96" t="n">
        <f aca="false">[1]ВИБУЛО2!IY14</f>
        <v>0</v>
      </c>
      <c r="ACR22" s="97" t="n">
        <f aca="false">ACR21-ACQ22+ACP22</f>
        <v>0</v>
      </c>
      <c r="ACS22" s="95" t="n">
        <f aca="false">[1]НАДІЙШЛО2!IZ14</f>
        <v>0</v>
      </c>
      <c r="ACT22" s="96" t="n">
        <f aca="false">[1]ВИБУЛО2!IZ14</f>
        <v>0</v>
      </c>
      <c r="ACU22" s="97" t="n">
        <f aca="false">ACU21-ACT22+ACS22</f>
        <v>0</v>
      </c>
      <c r="ACV22" s="95" t="n">
        <f aca="false">[1]НАДІЙШЛО2!JA14</f>
        <v>0</v>
      </c>
      <c r="ACW22" s="96" t="n">
        <f aca="false">[1]ВИБУЛО2!JA14</f>
        <v>0</v>
      </c>
      <c r="ACX22" s="97" t="n">
        <f aca="false">ACX21-ACW22+ACV22</f>
        <v>0</v>
      </c>
      <c r="ACY22" s="95" t="n">
        <f aca="false">[1]НАДІЙШЛО2!JB14</f>
        <v>0</v>
      </c>
      <c r="ACZ22" s="96" t="n">
        <f aca="false">[1]ВИБУЛО2!JB14</f>
        <v>0</v>
      </c>
      <c r="ADA22" s="97" t="n">
        <f aca="false">ADA21-ACZ22+ACY22</f>
        <v>0</v>
      </c>
      <c r="ADB22" s="95" t="n">
        <f aca="false">[1]НАДІЙШЛО2!JC14</f>
        <v>0</v>
      </c>
      <c r="ADC22" s="96" t="n">
        <f aca="false">[1]ВИБУЛО2!JC14</f>
        <v>0</v>
      </c>
      <c r="ADD22" s="97" t="n">
        <f aca="false">ADD21-ADC22+ADB22</f>
        <v>0</v>
      </c>
      <c r="ADE22" s="95" t="n">
        <f aca="false">[1]НАДІЙШЛО2!JD14</f>
        <v>0</v>
      </c>
      <c r="ADF22" s="96" t="n">
        <f aca="false">[1]ВИБУЛО2!JD14</f>
        <v>0</v>
      </c>
      <c r="ADG22" s="97" t="n">
        <f aca="false">ADG21-ADF22+ADE22</f>
        <v>0</v>
      </c>
      <c r="ADH22" s="95" t="n">
        <f aca="false">[1]НАДІЙШЛО2!JE14</f>
        <v>0</v>
      </c>
      <c r="ADI22" s="96" t="n">
        <f aca="false">[1]ВИБУЛО2!JE14</f>
        <v>0</v>
      </c>
      <c r="ADJ22" s="97" t="n">
        <f aca="false">ADJ21-ADI22+ADH22</f>
        <v>0</v>
      </c>
      <c r="ADK22" s="95" t="n">
        <f aca="false">[1]НАДІЙШЛО2!JF14</f>
        <v>0</v>
      </c>
      <c r="ADL22" s="96" t="n">
        <f aca="false">[1]ВИБУЛО2!JF14</f>
        <v>0</v>
      </c>
      <c r="ADM22" s="97" t="n">
        <f aca="false">ADM21-ADL22+ADK22</f>
        <v>0</v>
      </c>
      <c r="ADN22" s="95" t="n">
        <f aca="false">[1]НАДІЙШЛО2!JG14</f>
        <v>0</v>
      </c>
      <c r="ADO22" s="96" t="n">
        <f aca="false">[1]ВИБУЛО2!JG14</f>
        <v>0</v>
      </c>
      <c r="ADP22" s="97" t="n">
        <f aca="false">ADP21-ADO22+ADN22</f>
        <v>0</v>
      </c>
      <c r="ADQ22" s="95" t="n">
        <f aca="false">[1]НАДІЙШЛО2!JH14</f>
        <v>0</v>
      </c>
      <c r="ADR22" s="96" t="n">
        <f aca="false">[1]ВИБУЛО2!JH14</f>
        <v>0</v>
      </c>
      <c r="ADS22" s="97" t="n">
        <f aca="false">ADS21-ADR22+ADQ22</f>
        <v>0</v>
      </c>
      <c r="ADT22" s="95" t="n">
        <f aca="false">[1]НАДІЙШЛО2!JI14</f>
        <v>0</v>
      </c>
      <c r="ADU22" s="96" t="n">
        <f aca="false">[1]ВИБУЛО2!JI14</f>
        <v>0</v>
      </c>
      <c r="ADV22" s="97" t="n">
        <f aca="false">ADV21-ADU22+ADT22</f>
        <v>0</v>
      </c>
      <c r="ADW22" s="95" t="n">
        <f aca="false">[1]НАДІЙШЛО2!JJ14</f>
        <v>0</v>
      </c>
      <c r="ADX22" s="96" t="n">
        <f aca="false">[1]ВИБУЛО2!JJ14</f>
        <v>0</v>
      </c>
      <c r="ADY22" s="97" t="n">
        <f aca="false">ADY21-ADX22+ADW22</f>
        <v>0</v>
      </c>
      <c r="ADZ22" s="95" t="n">
        <f aca="false">[1]НАДІЙШЛО2!JK14</f>
        <v>0</v>
      </c>
      <c r="AEA22" s="96" t="n">
        <f aca="false">[1]ВИБУЛО2!JK14</f>
        <v>0</v>
      </c>
      <c r="AEB22" s="97" t="n">
        <f aca="false">AEB21-AEA22+ADZ22</f>
        <v>0</v>
      </c>
      <c r="AEC22" s="95" t="n">
        <f aca="false">[1]НАДІЙШЛО2!JL14</f>
        <v>0</v>
      </c>
      <c r="AED22" s="96" t="n">
        <f aca="false">[1]ВИБУЛО2!JL14</f>
        <v>0</v>
      </c>
      <c r="AEE22" s="97" t="n">
        <f aca="false">AEE21-AED22+AEC22</f>
        <v>0</v>
      </c>
      <c r="AEF22" s="95" t="n">
        <f aca="false">[1]НАДІЙШЛО2!JM14</f>
        <v>0</v>
      </c>
      <c r="AEG22" s="96" t="n">
        <f aca="false">[1]ВИБУЛО2!JM14</f>
        <v>0</v>
      </c>
      <c r="AEH22" s="97" t="n">
        <f aca="false">AEH21-AEG22+AEF22</f>
        <v>0</v>
      </c>
      <c r="AEI22" s="95" t="n">
        <f aca="false">[1]НАДІЙШЛО2!JN14</f>
        <v>0</v>
      </c>
      <c r="AEJ22" s="96" t="n">
        <f aca="false">[1]ВИБУЛО2!JN14</f>
        <v>0</v>
      </c>
      <c r="AEK22" s="97" t="n">
        <f aca="false">AEK21-AEJ22+AEI22</f>
        <v>0</v>
      </c>
      <c r="AEL22" s="95" t="n">
        <f aca="false">[1]НАДІЙШЛО2!JO14</f>
        <v>0</v>
      </c>
      <c r="AEM22" s="96" t="n">
        <f aca="false">[1]ВИБУЛО2!JO14</f>
        <v>0</v>
      </c>
      <c r="AEN22" s="97" t="n">
        <f aca="false">AEN21-AEM22+AEL22</f>
        <v>0</v>
      </c>
      <c r="AEO22" s="95" t="n">
        <f aca="false">[1]НАДІЙШЛО2!JP14</f>
        <v>0</v>
      </c>
      <c r="AEP22" s="96" t="n">
        <f aca="false">[1]ВИБУЛО2!JP14</f>
        <v>0</v>
      </c>
      <c r="AEQ22" s="97" t="n">
        <f aca="false">AEQ21-AEP22+AEO22</f>
        <v>0</v>
      </c>
      <c r="AER22" s="95" t="n">
        <f aca="false">[1]НАДІЙШЛО2!JQ14</f>
        <v>0</v>
      </c>
      <c r="AES22" s="96" t="n">
        <f aca="false">[1]ВИБУЛО2!JQ14</f>
        <v>0</v>
      </c>
      <c r="AET22" s="97" t="n">
        <f aca="false">AET21-AES22+AER22</f>
        <v>0</v>
      </c>
      <c r="AEU22" s="95" t="n">
        <f aca="false">[1]НАДІЙШЛО2!JR14</f>
        <v>0</v>
      </c>
      <c r="AEV22" s="96" t="n">
        <f aca="false">[1]ВИБУЛО2!JR14</f>
        <v>0</v>
      </c>
      <c r="AEW22" s="97" t="n">
        <f aca="false">AEW21-AEV22+AEU22</f>
        <v>0</v>
      </c>
      <c r="AEX22" s="95" t="n">
        <f aca="false">[1]НАДІЙШЛО2!JS14</f>
        <v>0</v>
      </c>
      <c r="AEY22" s="96" t="n">
        <f aca="false">[1]ВИБУЛО2!JS14</f>
        <v>0</v>
      </c>
      <c r="AEZ22" s="97" t="n">
        <f aca="false">AEZ21-AEY22+AEX22</f>
        <v>0</v>
      </c>
      <c r="AFA22" s="95" t="n">
        <f aca="false">[1]НАДІЙШЛО2!JT14</f>
        <v>0</v>
      </c>
      <c r="AFB22" s="96" t="n">
        <f aca="false">[1]ВИБУЛО2!JT14</f>
        <v>0</v>
      </c>
      <c r="AFC22" s="97" t="n">
        <f aca="false">AFC21-AFB22+AFA22</f>
        <v>0</v>
      </c>
      <c r="AFD22" s="95" t="n">
        <f aca="false">[1]НАДІЙШЛО2!JU14</f>
        <v>0</v>
      </c>
      <c r="AFE22" s="96" t="n">
        <f aca="false">[1]ВИБУЛО2!JU14</f>
        <v>0</v>
      </c>
      <c r="AFF22" s="97" t="n">
        <f aca="false">AFF21-AFE22+AFD22</f>
        <v>0</v>
      </c>
      <c r="AFG22" s="95" t="n">
        <f aca="false">[1]НАДІЙШЛО2!JV14</f>
        <v>0</v>
      </c>
      <c r="AFH22" s="96" t="n">
        <f aca="false">[1]ВИБУЛО2!JV14</f>
        <v>0</v>
      </c>
      <c r="AFI22" s="97" t="n">
        <f aca="false">AFI21-AFH22+AFG22</f>
        <v>0</v>
      </c>
      <c r="AFJ22" s="95" t="n">
        <f aca="false">[1]НАДІЙШЛО2!JW14</f>
        <v>0</v>
      </c>
      <c r="AFK22" s="96" t="n">
        <f aca="false">[1]ВИБУЛО2!JW14</f>
        <v>0</v>
      </c>
      <c r="AFL22" s="97" t="n">
        <f aca="false">AFL21-AFK22+AFJ22</f>
        <v>0</v>
      </c>
      <c r="AFM22" s="95" t="n">
        <f aca="false">[1]НАДІЙШЛО2!JX14</f>
        <v>0</v>
      </c>
      <c r="AFN22" s="96" t="n">
        <f aca="false">[1]ВИБУЛО2!JX14</f>
        <v>0</v>
      </c>
      <c r="AFO22" s="97" t="n">
        <f aca="false">AFO21-AFN22+AFM22</f>
        <v>0</v>
      </c>
      <c r="AFP22" s="95" t="n">
        <f aca="false">[1]НАДІЙШЛО2!JY14</f>
        <v>0</v>
      </c>
      <c r="AFQ22" s="96" t="n">
        <f aca="false">[1]ВИБУЛО2!JY14</f>
        <v>0</v>
      </c>
      <c r="AFR22" s="97" t="n">
        <f aca="false">AFR21-AFQ22+AFP22</f>
        <v>0</v>
      </c>
      <c r="AFS22" s="95" t="n">
        <f aca="false">[1]НАДІЙШЛО2!JZ14</f>
        <v>0</v>
      </c>
      <c r="AFT22" s="96" t="n">
        <f aca="false">[1]ВИБУЛО2!JZ14</f>
        <v>0</v>
      </c>
      <c r="AFU22" s="97" t="n">
        <f aca="false">AFU21-AFT22+AFS22</f>
        <v>0</v>
      </c>
      <c r="AFV22" s="95" t="n">
        <f aca="false">[1]НАДІЙШЛО2!KA14</f>
        <v>0</v>
      </c>
      <c r="AFW22" s="96" t="n">
        <f aca="false">[1]ВИБУЛО2!KA14</f>
        <v>0</v>
      </c>
      <c r="AFX22" s="97" t="n">
        <f aca="false">AFX21-AFW22+AFV22</f>
        <v>0</v>
      </c>
      <c r="AFY22" s="95" t="n">
        <f aca="false">[1]НАДІЙШЛО2!KB14</f>
        <v>0</v>
      </c>
      <c r="AFZ22" s="96" t="n">
        <f aca="false">[1]ВИБУЛО2!KB14</f>
        <v>0</v>
      </c>
      <c r="AGA22" s="97" t="n">
        <f aca="false">AGA21-AFZ22+AFY22</f>
        <v>0</v>
      </c>
      <c r="AGB22" s="95" t="n">
        <f aca="false">[1]НАДІЙШЛО2!KC14</f>
        <v>0</v>
      </c>
      <c r="AGC22" s="96" t="n">
        <f aca="false">[1]ВИБУЛО2!KC14</f>
        <v>0</v>
      </c>
      <c r="AGD22" s="97" t="n">
        <f aca="false">AGD21-AGC22+AGB22</f>
        <v>0</v>
      </c>
      <c r="AGE22" s="95" t="n">
        <f aca="false">[1]НАДІЙШЛО2!KD14</f>
        <v>0</v>
      </c>
      <c r="AGF22" s="96" t="n">
        <f aca="false">[1]ВИБУЛО2!KD14</f>
        <v>0</v>
      </c>
      <c r="AGG22" s="97" t="n">
        <f aca="false">AGG21-AGF22+AGE22</f>
        <v>0</v>
      </c>
      <c r="AGH22" s="95" t="n">
        <f aca="false">[1]НАДІЙШЛО2!KE14</f>
        <v>0</v>
      </c>
      <c r="AGI22" s="96" t="n">
        <f aca="false">[1]ВИБУЛО2!KE14</f>
        <v>0</v>
      </c>
      <c r="AGJ22" s="97" t="n">
        <f aca="false">AGJ21-AGI22+AGH22</f>
        <v>0</v>
      </c>
      <c r="AGK22" s="95" t="n">
        <f aca="false">[1]НАДІЙШЛО2!KF14</f>
        <v>0</v>
      </c>
      <c r="AGL22" s="96" t="n">
        <f aca="false">[1]ВИБУЛО2!KF14</f>
        <v>0</v>
      </c>
      <c r="AGM22" s="97" t="n">
        <f aca="false">AGM21-AGL22+AGK22</f>
        <v>0</v>
      </c>
      <c r="AGN22" s="95" t="n">
        <f aca="false">[1]НАДІЙШЛО2!KG14</f>
        <v>0</v>
      </c>
      <c r="AGO22" s="96" t="n">
        <f aca="false">[1]ВИБУЛО2!KG14</f>
        <v>0</v>
      </c>
      <c r="AGP22" s="97" t="n">
        <f aca="false">AGP21-AGO22+AGN22</f>
        <v>0</v>
      </c>
      <c r="AGQ22" s="95" t="n">
        <f aca="false">[1]НАДІЙШЛО2!KH14</f>
        <v>0</v>
      </c>
      <c r="AGR22" s="96" t="n">
        <f aca="false">[1]ВИБУЛО2!KH14</f>
        <v>0</v>
      </c>
      <c r="AGS22" s="97" t="n">
        <f aca="false">AGS21-AGR22+AGQ22</f>
        <v>0</v>
      </c>
      <c r="AGT22" s="95" t="n">
        <f aca="false">[1]НАДІЙШЛО2!KI14</f>
        <v>0</v>
      </c>
      <c r="AGU22" s="96" t="n">
        <f aca="false">[1]ВИБУЛО2!KI14</f>
        <v>0</v>
      </c>
      <c r="AGV22" s="97" t="n">
        <f aca="false">AGV21-AGU22+AGT22</f>
        <v>0</v>
      </c>
      <c r="AGW22" s="95" t="n">
        <f aca="false">[1]НАДІЙШЛО2!KJ14</f>
        <v>0</v>
      </c>
      <c r="AGX22" s="96" t="n">
        <f aca="false">[1]ВИБУЛО2!KJ14</f>
        <v>0</v>
      </c>
      <c r="AGY22" s="97" t="n">
        <f aca="false">AGY21-AGX22+AGW22</f>
        <v>0</v>
      </c>
      <c r="AGZ22" s="95" t="n">
        <f aca="false">[1]НАДІЙШЛО2!KK14</f>
        <v>0</v>
      </c>
      <c r="AHA22" s="96" t="n">
        <f aca="false">[1]ВИБУЛО2!KK14</f>
        <v>0</v>
      </c>
      <c r="AHB22" s="97" t="n">
        <f aca="false">AHB21-AHA22+AGZ22</f>
        <v>0</v>
      </c>
      <c r="AHC22" s="95" t="n">
        <f aca="false">[1]НАДІЙШЛО2!KL14</f>
        <v>0</v>
      </c>
      <c r="AHD22" s="96" t="n">
        <f aca="false">[1]ВИБУЛО2!KL14</f>
        <v>0</v>
      </c>
      <c r="AHE22" s="97" t="n">
        <f aca="false">AHE21-AHD22+AHC22</f>
        <v>0</v>
      </c>
      <c r="AHF22" s="95" t="n">
        <f aca="false">[1]НАДІЙШЛО2!KM14</f>
        <v>0</v>
      </c>
      <c r="AHG22" s="96" t="n">
        <f aca="false">[1]ВИБУЛО2!KM14</f>
        <v>0</v>
      </c>
      <c r="AHH22" s="97" t="n">
        <f aca="false">AHH21-AHG22+AHF22</f>
        <v>0</v>
      </c>
      <c r="AHI22" s="95" t="n">
        <f aca="false">[1]НАДІЙШЛО2!KN14</f>
        <v>0</v>
      </c>
      <c r="AHJ22" s="96" t="n">
        <f aca="false">[1]ВИБУЛО2!KN14</f>
        <v>0</v>
      </c>
      <c r="AHK22" s="97" t="n">
        <f aca="false">AHK21-AHJ22+AHI22</f>
        <v>0</v>
      </c>
      <c r="AHL22" s="95" t="n">
        <f aca="false">[1]НАДІЙШЛО2!KO14</f>
        <v>0</v>
      </c>
      <c r="AHM22" s="96" t="n">
        <f aca="false">[1]ВИБУЛО2!KO14</f>
        <v>0</v>
      </c>
      <c r="AHN22" s="97" t="n">
        <f aca="false">AHN21-AHM22+AHL22</f>
        <v>0</v>
      </c>
      <c r="AHO22" s="95" t="n">
        <f aca="false">[1]НАДІЙШЛО2!KP14</f>
        <v>0</v>
      </c>
      <c r="AHP22" s="96" t="n">
        <f aca="false">[1]ВИБУЛО2!KP14</f>
        <v>0</v>
      </c>
      <c r="AHQ22" s="97" t="n">
        <f aca="false">AHQ21-AHP22+AHO22</f>
        <v>0</v>
      </c>
      <c r="AHR22" s="95" t="n">
        <f aca="false">[1]НАДІЙШЛО2!KQ14</f>
        <v>0</v>
      </c>
      <c r="AHS22" s="96" t="n">
        <f aca="false">[1]ВИБУЛО2!KQ14</f>
        <v>0</v>
      </c>
      <c r="AHT22" s="97" t="n">
        <f aca="false">AHT21-AHS22+AHR22</f>
        <v>0</v>
      </c>
      <c r="AHU22" s="95" t="n">
        <f aca="false">[1]НАДІЙШЛО2!KR14</f>
        <v>0</v>
      </c>
      <c r="AHV22" s="96" t="n">
        <f aca="false">[1]ВИБУЛО2!KR14</f>
        <v>0</v>
      </c>
      <c r="AHW22" s="97" t="n">
        <f aca="false">AHW21-AHV22+AHU22</f>
        <v>0</v>
      </c>
      <c r="AHX22" s="95" t="n">
        <f aca="false">[1]НАДІЙШЛО2!KS14</f>
        <v>0</v>
      </c>
      <c r="AHY22" s="96" t="n">
        <f aca="false">[1]ВИБУЛО2!KS14</f>
        <v>0</v>
      </c>
      <c r="AHZ22" s="97" t="n">
        <f aca="false">AHZ21-AHY22+AHX22</f>
        <v>0</v>
      </c>
      <c r="AIA22" s="95" t="n">
        <f aca="false">[1]НАДІЙШЛО2!KT14</f>
        <v>0</v>
      </c>
      <c r="AIB22" s="96" t="n">
        <f aca="false">[1]ВИБУЛО2!KT14</f>
        <v>0</v>
      </c>
      <c r="AIC22" s="97" t="n">
        <f aca="false">AIC21-AIB22+AIA22</f>
        <v>0</v>
      </c>
      <c r="AID22" s="95" t="n">
        <f aca="false">[1]НАДІЙШЛО2!KU14</f>
        <v>0</v>
      </c>
      <c r="AIE22" s="96" t="n">
        <f aca="false">[1]ВИБУЛО2!KU14</f>
        <v>0</v>
      </c>
      <c r="AIF22" s="97" t="n">
        <f aca="false">AIF21-AIE22+AID22</f>
        <v>0</v>
      </c>
      <c r="AIG22" s="95" t="n">
        <f aca="false">[1]НАДІЙШЛО2!KV14</f>
        <v>0</v>
      </c>
      <c r="AIH22" s="96" t="n">
        <f aca="false">[1]ВИБУЛО2!KV14</f>
        <v>0</v>
      </c>
      <c r="AII22" s="97" t="n">
        <f aca="false">AII21-AIH22+AIG22</f>
        <v>0</v>
      </c>
      <c r="AIJ22" s="95" t="n">
        <f aca="false">[1]НАДІЙШЛО2!KW14</f>
        <v>0</v>
      </c>
      <c r="AIK22" s="96" t="n">
        <f aca="false">[1]ВИБУЛО2!KW14</f>
        <v>0</v>
      </c>
      <c r="AIL22" s="97" t="n">
        <f aca="false">AIL21-AIK22+AIJ22</f>
        <v>0</v>
      </c>
      <c r="AIM22" s="95" t="n">
        <f aca="false">[1]НАДІЙШЛО2!KX14</f>
        <v>0</v>
      </c>
      <c r="AIN22" s="96" t="n">
        <f aca="false">[1]ВИБУЛО2!KX14</f>
        <v>0</v>
      </c>
      <c r="AIO22" s="97" t="n">
        <f aca="false">AIO21-AIN22+AIM22</f>
        <v>0</v>
      </c>
      <c r="AIP22" s="95" t="n">
        <f aca="false">[1]НАДІЙШЛО2!KY14</f>
        <v>0</v>
      </c>
      <c r="AIQ22" s="96" t="n">
        <f aca="false">[1]ВИБУЛО2!KY14</f>
        <v>0</v>
      </c>
      <c r="AIR22" s="97" t="n">
        <f aca="false">AIR21-AIQ22+AIP22</f>
        <v>0</v>
      </c>
      <c r="AIS22" s="95" t="n">
        <f aca="false">[1]НАДІЙШЛО2!KZ14</f>
        <v>0</v>
      </c>
      <c r="AIT22" s="96" t="n">
        <f aca="false">[1]ВИБУЛО2!KZ14</f>
        <v>0</v>
      </c>
      <c r="AIU22" s="97" t="n">
        <f aca="false">AIU21-AIT22+AIS22</f>
        <v>0</v>
      </c>
      <c r="AIV22" s="95" t="n">
        <f aca="false">[1]НАДІЙШЛО2!LA14</f>
        <v>0</v>
      </c>
      <c r="AIW22" s="96" t="n">
        <f aca="false">[1]ВИБУЛО2!LA14</f>
        <v>0</v>
      </c>
      <c r="AIX22" s="97" t="n">
        <f aca="false">AIX21-AIW22+AIV22</f>
        <v>0</v>
      </c>
      <c r="AIY22" s="95" t="n">
        <f aca="false">[1]НАДІЙШЛО2!LB14</f>
        <v>0</v>
      </c>
      <c r="AIZ22" s="96" t="n">
        <f aca="false">[1]ВИБУЛО2!LB14</f>
        <v>0</v>
      </c>
      <c r="AJA22" s="97" t="n">
        <f aca="false">AJA21-AIZ22+AIY22</f>
        <v>0</v>
      </c>
      <c r="AJB22" s="95" t="n">
        <f aca="false">[1]НАДІЙШЛО2!LC14</f>
        <v>0</v>
      </c>
      <c r="AJC22" s="96" t="n">
        <f aca="false">[1]ВИБУЛО2!LC14</f>
        <v>0</v>
      </c>
      <c r="AJD22" s="97" t="n">
        <f aca="false">AJD21-AJC22+AJB22</f>
        <v>0</v>
      </c>
      <c r="AJE22" s="95" t="n">
        <f aca="false">[1]НАДІЙШЛО2!LD14</f>
        <v>0</v>
      </c>
      <c r="AJF22" s="96" t="n">
        <f aca="false">[1]ВИБУЛО2!LD14</f>
        <v>0</v>
      </c>
      <c r="AJG22" s="97" t="n">
        <f aca="false">AJG21-AJF22+AJE22</f>
        <v>0</v>
      </c>
      <c r="AJH22" s="95" t="n">
        <f aca="false">[1]НАДІЙШЛО2!LE14</f>
        <v>0</v>
      </c>
      <c r="AJI22" s="96" t="n">
        <f aca="false">[1]ВИБУЛО2!LE14</f>
        <v>0</v>
      </c>
      <c r="AJJ22" s="97" t="n">
        <f aca="false">AJJ21-AJI22+AJH22</f>
        <v>0</v>
      </c>
      <c r="AJK22" s="95" t="n">
        <f aca="false">[1]НАДІЙШЛО2!LF14</f>
        <v>0</v>
      </c>
      <c r="AJL22" s="96" t="n">
        <f aca="false">[1]ВИБУЛО2!LF14</f>
        <v>0</v>
      </c>
      <c r="AJM22" s="97" t="n">
        <f aca="false">AJM21-AJL22+AJK22</f>
        <v>0</v>
      </c>
      <c r="AJN22" s="95" t="n">
        <f aca="false">[1]НАДІЙШЛО2!LG14</f>
        <v>0</v>
      </c>
      <c r="AJO22" s="96" t="n">
        <f aca="false">[1]ВИБУЛО2!LG14</f>
        <v>0</v>
      </c>
      <c r="AJP22" s="97" t="n">
        <f aca="false">AJP21-AJO22+AJN22</f>
        <v>0</v>
      </c>
      <c r="AJQ22" s="95" t="n">
        <f aca="false">[1]НАДІЙШЛО2!LH14</f>
        <v>0</v>
      </c>
      <c r="AJR22" s="96" t="n">
        <f aca="false">[1]ВИБУЛО2!LH14</f>
        <v>0</v>
      </c>
      <c r="AJS22" s="97" t="n">
        <f aca="false">AJS21-AJR22+AJQ22</f>
        <v>0</v>
      </c>
      <c r="AJT22" s="95" t="n">
        <f aca="false">[1]НАДІЙШЛО2!LI14</f>
        <v>0</v>
      </c>
      <c r="AJU22" s="96" t="n">
        <f aca="false">[1]ВИБУЛО2!LI14</f>
        <v>0</v>
      </c>
      <c r="AJV22" s="97" t="n">
        <f aca="false">AJV21-AJU22+AJT22</f>
        <v>0</v>
      </c>
      <c r="AJW22" s="95" t="n">
        <f aca="false">[1]НАДІЙШЛО2!LJ14</f>
        <v>0</v>
      </c>
      <c r="AJX22" s="96" t="n">
        <f aca="false">[1]ВИБУЛО2!LJ14</f>
        <v>0</v>
      </c>
      <c r="AJY22" s="97" t="n">
        <f aca="false">AJY21-AJX22+AJW22</f>
        <v>0</v>
      </c>
      <c r="AJZ22" s="95" t="n">
        <f aca="false">[1]НАДІЙШЛО2!LK14</f>
        <v>0</v>
      </c>
      <c r="AKA22" s="96" t="n">
        <f aca="false">[1]ВИБУЛО2!LK14</f>
        <v>0</v>
      </c>
      <c r="AKB22" s="97" t="n">
        <f aca="false">AKB21-AKA22+AJZ22</f>
        <v>0</v>
      </c>
      <c r="AKC22" s="95" t="n">
        <f aca="false">[1]НАДІЙШЛО2!LL14</f>
        <v>0</v>
      </c>
      <c r="AKD22" s="96" t="n">
        <f aca="false">[1]ВИБУЛО2!LL14</f>
        <v>0</v>
      </c>
      <c r="AKE22" s="97" t="n">
        <f aca="false">AKE21-AKD22+AKC22</f>
        <v>0</v>
      </c>
      <c r="AKF22" s="95" t="n">
        <f aca="false">[1]НАДІЙШЛО2!LM14</f>
        <v>0</v>
      </c>
      <c r="AKG22" s="96" t="n">
        <f aca="false">[1]ВИБУЛО2!LM14</f>
        <v>0</v>
      </c>
      <c r="AKH22" s="97" t="n">
        <f aca="false">AKH21-AKG22+AKF22</f>
        <v>0</v>
      </c>
      <c r="AKI22" s="95" t="n">
        <f aca="false">[1]НАДІЙШЛО2!LN14</f>
        <v>0</v>
      </c>
      <c r="AKJ22" s="96" t="n">
        <f aca="false">[1]ВИБУЛО2!LN14</f>
        <v>0</v>
      </c>
      <c r="AKK22" s="97" t="n">
        <f aca="false">AKK21-AKJ22+AKI22</f>
        <v>0</v>
      </c>
      <c r="AKL22" s="95" t="n">
        <f aca="false">[1]НАДІЙШЛО2!LO14</f>
        <v>0</v>
      </c>
      <c r="AKM22" s="96" t="n">
        <f aca="false">[1]ВИБУЛО2!LO14</f>
        <v>0</v>
      </c>
      <c r="AKN22" s="97" t="n">
        <f aca="false">AKN21-AKM22+AKL22</f>
        <v>0</v>
      </c>
      <c r="AKO22" s="95" t="n">
        <f aca="false">[1]НАДІЙШЛО2!LP14</f>
        <v>0</v>
      </c>
      <c r="AKP22" s="96" t="n">
        <f aca="false">[1]ВИБУЛО2!LP14</f>
        <v>0</v>
      </c>
      <c r="AKQ22" s="97" t="n">
        <f aca="false">AKQ21-AKP22+AKO22</f>
        <v>0</v>
      </c>
      <c r="AKR22" s="95" t="n">
        <f aca="false">[1]НАДІЙШЛО2!LQ14</f>
        <v>0</v>
      </c>
      <c r="AKS22" s="96" t="n">
        <f aca="false">[1]ВИБУЛО2!LQ14</f>
        <v>0</v>
      </c>
      <c r="AKT22" s="97" t="n">
        <f aca="false">AKT21-AKS22+AKR22</f>
        <v>0</v>
      </c>
      <c r="AKU22" s="95" t="n">
        <f aca="false">[1]НАДІЙШЛО2!LR14</f>
        <v>0</v>
      </c>
      <c r="AKV22" s="96" t="n">
        <f aca="false">[1]ВИБУЛО2!LR14</f>
        <v>0</v>
      </c>
      <c r="AKW22" s="97" t="n">
        <f aca="false">AKW21-AKV22+AKU22</f>
        <v>0</v>
      </c>
      <c r="AKX22" s="95" t="n">
        <f aca="false">[1]НАДІЙШЛО2!LS14</f>
        <v>0</v>
      </c>
      <c r="AKY22" s="96" t="n">
        <f aca="false">[1]ВИБУЛО2!LS14</f>
        <v>0</v>
      </c>
      <c r="AKZ22" s="97" t="n">
        <f aca="false">AKZ21-AKY22+AKX22</f>
        <v>0</v>
      </c>
      <c r="ALA22" s="95" t="n">
        <f aca="false">[1]НАДІЙШЛО2!LT14</f>
        <v>0</v>
      </c>
      <c r="ALB22" s="96" t="n">
        <f aca="false">[1]ВИБУЛО2!LT14</f>
        <v>0</v>
      </c>
      <c r="ALC22" s="97" t="n">
        <f aca="false">ALC21-ALB22+ALA22</f>
        <v>0</v>
      </c>
      <c r="ALD22" s="95" t="n">
        <f aca="false">[1]НАДІЙШЛО2!LU14</f>
        <v>0</v>
      </c>
      <c r="ALE22" s="96" t="n">
        <f aca="false">[1]ВИБУЛО2!LU14</f>
        <v>0</v>
      </c>
      <c r="ALF22" s="97" t="n">
        <f aca="false">ALF21-ALE22+ALD22</f>
        <v>0</v>
      </c>
      <c r="ALG22" s="95" t="n">
        <f aca="false">[1]НАДІЙШЛО2!LV14</f>
        <v>0</v>
      </c>
      <c r="ALH22" s="96" t="n">
        <f aca="false">[1]ВИБУЛО2!LV14</f>
        <v>0</v>
      </c>
      <c r="ALI22" s="97" t="n">
        <f aca="false">ALI21-ALH22+ALG22</f>
        <v>0</v>
      </c>
      <c r="ALJ22" s="95" t="n">
        <f aca="false">[1]НАДІЙШЛО2!LW14</f>
        <v>0</v>
      </c>
      <c r="ALK22" s="96" t="n">
        <f aca="false">[1]ВИБУЛО2!LW14</f>
        <v>0</v>
      </c>
      <c r="ALL22" s="97" t="n">
        <f aca="false">ALL21-ALK22+ALJ22</f>
        <v>0</v>
      </c>
      <c r="ALM22" s="95" t="n">
        <f aca="false">[1]НАДІЙШЛО2!LX14</f>
        <v>0</v>
      </c>
      <c r="ALN22" s="96" t="n">
        <f aca="false">[1]ВИБУЛО2!LX14</f>
        <v>0</v>
      </c>
      <c r="ALO22" s="97" t="n">
        <f aca="false">ALO21-ALN22+ALM22</f>
        <v>0</v>
      </c>
      <c r="ALP22" s="95" t="n">
        <f aca="false">[1]НАДІЙШЛО2!LY14</f>
        <v>0</v>
      </c>
      <c r="ALQ22" s="96" t="n">
        <f aca="false">[1]ВИБУЛО2!LY14</f>
        <v>0</v>
      </c>
      <c r="ALR22" s="97" t="n">
        <f aca="false">ALR21-ALQ22+ALP22</f>
        <v>0</v>
      </c>
      <c r="ALS22" s="95" t="n">
        <f aca="false">[1]НАДІЙШЛО2!LZ14</f>
        <v>0</v>
      </c>
      <c r="ALT22" s="96" t="n">
        <f aca="false">[1]ВИБУЛО2!LZ14</f>
        <v>0</v>
      </c>
      <c r="ALU22" s="97" t="n">
        <f aca="false">ALU21-ALT22+ALS22</f>
        <v>0</v>
      </c>
      <c r="ALV22" s="95" t="n">
        <f aca="false">[1]НАДІЙШЛО2!MA14</f>
        <v>0</v>
      </c>
      <c r="ALW22" s="96" t="n">
        <f aca="false">[1]ВИБУЛО2!MA14</f>
        <v>0</v>
      </c>
      <c r="ALX22" s="97" t="n">
        <f aca="false">ALX21-ALW22+ALV22</f>
        <v>0</v>
      </c>
      <c r="ALY22" s="95" t="n">
        <f aca="false">[1]НАДІЙШЛО2!MB14</f>
        <v>0</v>
      </c>
      <c r="ALZ22" s="96" t="n">
        <f aca="false">[1]ВИБУЛО2!MB14</f>
        <v>0</v>
      </c>
      <c r="AMA22" s="97" t="n">
        <f aca="false">AMA21-ALZ22+ALY22</f>
        <v>0</v>
      </c>
      <c r="AMB22" s="95" t="n">
        <f aca="false">[1]НАДІЙШЛО2!MC14</f>
        <v>0</v>
      </c>
      <c r="AMC22" s="96" t="n">
        <f aca="false">[1]ВИБУЛО2!MC14</f>
        <v>0</v>
      </c>
      <c r="AMD22" s="97" t="n">
        <f aca="false">AMD21-AMC22+AMB22</f>
        <v>0</v>
      </c>
      <c r="AME22" s="95" t="n">
        <f aca="false">[1]НАДІЙШЛО2!MD14</f>
        <v>0</v>
      </c>
      <c r="AMF22" s="96" t="n">
        <f aca="false">[1]ВИБУЛО2!MD14</f>
        <v>0</v>
      </c>
      <c r="AMG22" s="97" t="n">
        <f aca="false">AMG21-AMF22+AME22</f>
        <v>0</v>
      </c>
      <c r="AMH22" s="95" t="n">
        <f aca="false">[1]НАДІЙШЛО2!ME14</f>
        <v>0</v>
      </c>
      <c r="AMI22" s="96" t="n">
        <f aca="false">[1]ВИБУЛО2!ME14</f>
        <v>0</v>
      </c>
      <c r="AMJ22" s="97" t="n">
        <f aca="false">AMJ21-AMI22+AMH22</f>
        <v>0</v>
      </c>
    </row>
    <row r="23" s="99" customFormat="true" ht="16.5" hidden="false" customHeight="false" outlineLevel="0" collapsed="false">
      <c r="A23" s="98"/>
      <c r="D23" s="103"/>
      <c r="E23" s="95" t="n">
        <f aca="false">[1]НАДІЙШЛО2!D15</f>
        <v>0</v>
      </c>
      <c r="F23" s="96" t="n">
        <f aca="false">[1]ВИБУЛО2!D15</f>
        <v>0</v>
      </c>
      <c r="G23" s="97" t="n">
        <f aca="false">G22-F23+E23</f>
        <v>0</v>
      </c>
      <c r="H23" s="95" t="n">
        <f aca="false">[1]НАДІЙШЛО2!E15</f>
        <v>0</v>
      </c>
      <c r="I23" s="96" t="n">
        <f aca="false">[1]ВИБУЛО2!E15</f>
        <v>0</v>
      </c>
      <c r="J23" s="97" t="n">
        <f aca="false">J22-I23+H23</f>
        <v>0</v>
      </c>
      <c r="K23" s="95" t="n">
        <f aca="false">[1]НАДІЙШЛО2!F15</f>
        <v>0</v>
      </c>
      <c r="L23" s="96" t="n">
        <f aca="false">[1]ВИБУЛО2!F15</f>
        <v>0</v>
      </c>
      <c r="M23" s="97" t="n">
        <f aca="false">M22-L23+K23</f>
        <v>2.06</v>
      </c>
      <c r="N23" s="95" t="n">
        <f aca="false">[1]НАДІЙШЛО2!G15</f>
        <v>0</v>
      </c>
      <c r="O23" s="96" t="n">
        <f aca="false">[1]ВИБУЛО2!G15</f>
        <v>0</v>
      </c>
      <c r="P23" s="97" t="n">
        <f aca="false">P22-O23+N23</f>
        <v>0</v>
      </c>
      <c r="Q23" s="95" t="n">
        <f aca="false">[1]НАДІЙШЛО2!H15</f>
        <v>0</v>
      </c>
      <c r="R23" s="96" t="n">
        <f aca="false">[1]ВИБУЛО2!H15</f>
        <v>0</v>
      </c>
      <c r="S23" s="97" t="n">
        <f aca="false">S22-R23+Q23</f>
        <v>0</v>
      </c>
      <c r="T23" s="95" t="n">
        <f aca="false">[1]НАДІЙШЛО2!I15</f>
        <v>0</v>
      </c>
      <c r="U23" s="96" t="n">
        <f aca="false">[1]ВИБУЛО2!I15</f>
        <v>0</v>
      </c>
      <c r="V23" s="97" t="n">
        <f aca="false">V22-U23+T23</f>
        <v>0</v>
      </c>
      <c r="W23" s="95" t="n">
        <f aca="false">[1]НАДІЙШЛО2!J15</f>
        <v>0</v>
      </c>
      <c r="X23" s="96" t="n">
        <f aca="false">[1]ВИБУЛО2!J15</f>
        <v>0</v>
      </c>
      <c r="Y23" s="97" t="n">
        <f aca="false">Y22-X23+W23</f>
        <v>0</v>
      </c>
      <c r="Z23" s="95" t="n">
        <f aca="false">[1]НАДІЙШЛО2!K15</f>
        <v>0</v>
      </c>
      <c r="AA23" s="96" t="n">
        <f aca="false">[1]ВИБУЛО2!K15</f>
        <v>0</v>
      </c>
      <c r="AB23" s="97" t="n">
        <f aca="false">AB22-AA23+Z23</f>
        <v>0</v>
      </c>
      <c r="AC23" s="95" t="n">
        <f aca="false">[1]НАДІЙШЛО2!L15</f>
        <v>0</v>
      </c>
      <c r="AD23" s="96" t="n">
        <f aca="false">[1]ВИБУЛО2!L15</f>
        <v>0</v>
      </c>
      <c r="AE23" s="97" t="n">
        <f aca="false">AE22-AD23+AC23</f>
        <v>0</v>
      </c>
      <c r="AF23" s="95" t="n">
        <f aca="false">[1]НАДІЙШЛО2!M15</f>
        <v>0</v>
      </c>
      <c r="AG23" s="96" t="n">
        <f aca="false">[1]ВИБУЛО2!M15</f>
        <v>0</v>
      </c>
      <c r="AH23" s="97" t="n">
        <f aca="false">AH22-AG23+AF23</f>
        <v>0</v>
      </c>
      <c r="AI23" s="95" t="n">
        <f aca="false">[1]НАДІЙШЛО2!N15</f>
        <v>0</v>
      </c>
      <c r="AJ23" s="96" t="n">
        <f aca="false">[1]ВИБУЛО2!N15</f>
        <v>0</v>
      </c>
      <c r="AK23" s="97" t="n">
        <f aca="false">AK22-AJ23+AI23</f>
        <v>0</v>
      </c>
      <c r="AL23" s="95" t="n">
        <f aca="false">[1]НАДІЙШЛО2!O15</f>
        <v>0</v>
      </c>
      <c r="AM23" s="96" t="n">
        <f aca="false">[1]ВИБУЛО2!O15</f>
        <v>0</v>
      </c>
      <c r="AN23" s="97" t="n">
        <f aca="false">AN22-AM23+AL23</f>
        <v>0</v>
      </c>
      <c r="AO23" s="95" t="n">
        <f aca="false">[1]НАДІЙШЛО2!P15</f>
        <v>0</v>
      </c>
      <c r="AP23" s="96" t="n">
        <f aca="false">[1]ВИБУЛО2!P15</f>
        <v>0</v>
      </c>
      <c r="AQ23" s="97" t="n">
        <f aca="false">AQ22-AP23+AO23</f>
        <v>0</v>
      </c>
      <c r="AR23" s="95" t="n">
        <f aca="false">[1]НАДІЙШЛО2!Q15</f>
        <v>0</v>
      </c>
      <c r="AS23" s="96" t="n">
        <f aca="false">[1]ВИБУЛО2!Q15</f>
        <v>0</v>
      </c>
      <c r="AT23" s="97" t="n">
        <f aca="false">AT22-AS23+AR23</f>
        <v>0</v>
      </c>
      <c r="AU23" s="95" t="n">
        <f aca="false">[1]НАДІЙШЛО2!R15</f>
        <v>0</v>
      </c>
      <c r="AV23" s="96" t="n">
        <f aca="false">[1]ВИБУЛО2!R15</f>
        <v>0</v>
      </c>
      <c r="AW23" s="97" t="n">
        <f aca="false">AW22-AV23+AU23</f>
        <v>0</v>
      </c>
      <c r="AX23" s="95" t="n">
        <f aca="false">[1]НАДІЙШЛО2!S15</f>
        <v>0</v>
      </c>
      <c r="AY23" s="96" t="n">
        <f aca="false">[1]ВИБУЛО2!S15</f>
        <v>0</v>
      </c>
      <c r="AZ23" s="97" t="n">
        <f aca="false">AZ22-AY23+AX23</f>
        <v>0</v>
      </c>
      <c r="BA23" s="95" t="n">
        <f aca="false">[1]НАДІЙШЛО2!T15</f>
        <v>0</v>
      </c>
      <c r="BB23" s="96" t="n">
        <f aca="false">[1]ВИБУЛО2!T15</f>
        <v>0</v>
      </c>
      <c r="BC23" s="97" t="n">
        <f aca="false">BC22-BB23+BA23</f>
        <v>0</v>
      </c>
      <c r="BD23" s="95" t="n">
        <f aca="false">[1]НАДІЙШЛО2!U15</f>
        <v>0</v>
      </c>
      <c r="BE23" s="96" t="n">
        <f aca="false">[1]ВИБУЛО2!U15</f>
        <v>0</v>
      </c>
      <c r="BF23" s="97" t="n">
        <f aca="false">BF22-BE23+BD23</f>
        <v>0</v>
      </c>
      <c r="BG23" s="95" t="n">
        <f aca="false">[1]НАДІЙШЛО2!V15</f>
        <v>0</v>
      </c>
      <c r="BH23" s="96" t="n">
        <f aca="false">[1]ВИБУЛО2!V15</f>
        <v>0</v>
      </c>
      <c r="BI23" s="97" t="n">
        <f aca="false">BI22-BH23+BG23</f>
        <v>0</v>
      </c>
      <c r="BJ23" s="95" t="n">
        <f aca="false">[1]НАДІЙШЛО2!W15</f>
        <v>0</v>
      </c>
      <c r="BK23" s="96" t="n">
        <f aca="false">[1]ВИБУЛО2!W15</f>
        <v>0</v>
      </c>
      <c r="BL23" s="97" t="n">
        <f aca="false">BL22-BK23+BJ23</f>
        <v>0</v>
      </c>
      <c r="BM23" s="95" t="n">
        <f aca="false">[1]НАДІЙШЛО2!X15</f>
        <v>0</v>
      </c>
      <c r="BN23" s="96" t="n">
        <f aca="false">[1]ВИБУЛО2!X15</f>
        <v>0</v>
      </c>
      <c r="BO23" s="97" t="n">
        <f aca="false">BO22-BN23+BM23</f>
        <v>0</v>
      </c>
      <c r="BP23" s="95" t="n">
        <f aca="false">[1]НАДІЙШЛО2!Y15</f>
        <v>0</v>
      </c>
      <c r="BQ23" s="96" t="n">
        <f aca="false">[1]ВИБУЛО2!Y15</f>
        <v>0</v>
      </c>
      <c r="BR23" s="97" t="n">
        <f aca="false">BR22-BQ23+BP23</f>
        <v>0</v>
      </c>
      <c r="BS23" s="95" t="n">
        <f aca="false">[1]НАДІЙШЛО2!Z15</f>
        <v>0</v>
      </c>
      <c r="BT23" s="96" t="n">
        <f aca="false">[1]ВИБУЛО2!Z15</f>
        <v>0</v>
      </c>
      <c r="BU23" s="97" t="n">
        <f aca="false">BU22-BT23+BS23</f>
        <v>0</v>
      </c>
      <c r="BV23" s="95" t="n">
        <f aca="false">[1]НАДІЙШЛО2!AA15</f>
        <v>0</v>
      </c>
      <c r="BW23" s="96" t="n">
        <f aca="false">[1]ВИБУЛО2!AA15</f>
        <v>0</v>
      </c>
      <c r="BX23" s="97" t="n">
        <f aca="false">BX22-BW23+BV23</f>
        <v>0</v>
      </c>
      <c r="BY23" s="95" t="n">
        <f aca="false">[1]НАДІЙШЛО2!AB15</f>
        <v>0</v>
      </c>
      <c r="BZ23" s="96" t="n">
        <f aca="false">[1]ВИБУЛО2!AB15</f>
        <v>0</v>
      </c>
      <c r="CA23" s="97" t="n">
        <f aca="false">CA22-BZ23+BY23</f>
        <v>0</v>
      </c>
      <c r="CB23" s="95" t="n">
        <f aca="false">[1]НАДІЙШЛО2!AC15</f>
        <v>0</v>
      </c>
      <c r="CC23" s="96" t="n">
        <f aca="false">[1]ВИБУЛО2!AC15</f>
        <v>0</v>
      </c>
      <c r="CD23" s="97" t="n">
        <f aca="false">CD22-CC23+CB23</f>
        <v>0</v>
      </c>
      <c r="CE23" s="95" t="n">
        <f aca="false">[1]НАДІЙШЛО2!AD15</f>
        <v>0</v>
      </c>
      <c r="CF23" s="96" t="n">
        <f aca="false">[1]ВИБУЛО2!AD15</f>
        <v>0</v>
      </c>
      <c r="CG23" s="97" t="n">
        <f aca="false">CG22-CF23+CE23</f>
        <v>0</v>
      </c>
      <c r="CH23" s="95" t="n">
        <f aca="false">[1]НАДІЙШЛО2!AE15</f>
        <v>0</v>
      </c>
      <c r="CI23" s="96" t="n">
        <f aca="false">[1]ВИБУЛО2!AE15</f>
        <v>0</v>
      </c>
      <c r="CJ23" s="97" t="n">
        <f aca="false">CJ22-CI23+CH23</f>
        <v>0</v>
      </c>
      <c r="CK23" s="95" t="n">
        <f aca="false">[1]НАДІЙШЛО2!AF15</f>
        <v>0</v>
      </c>
      <c r="CL23" s="96" t="n">
        <f aca="false">[1]ВИБУЛО2!AF15</f>
        <v>0</v>
      </c>
      <c r="CM23" s="97" t="n">
        <f aca="false">CM22-CL23+CK23</f>
        <v>0</v>
      </c>
      <c r="CN23" s="95" t="n">
        <f aca="false">[1]НАДІЙШЛО2!AG15</f>
        <v>0</v>
      </c>
      <c r="CO23" s="96" t="n">
        <f aca="false">[1]ВИБУЛО2!AG15</f>
        <v>0</v>
      </c>
      <c r="CP23" s="97" t="n">
        <f aca="false">CP22-CO23+CN23</f>
        <v>0</v>
      </c>
      <c r="CQ23" s="95" t="n">
        <f aca="false">[1]НАДІЙШЛО2!AH15</f>
        <v>0</v>
      </c>
      <c r="CR23" s="96" t="n">
        <f aca="false">[1]ВИБУЛО2!AH15</f>
        <v>0</v>
      </c>
      <c r="CS23" s="97" t="n">
        <f aca="false">CS22-CR23+CQ23</f>
        <v>0</v>
      </c>
      <c r="CT23" s="95" t="n">
        <f aca="false">[1]НАДІЙШЛО2!AI15</f>
        <v>0</v>
      </c>
      <c r="CU23" s="96" t="n">
        <f aca="false">[1]ВИБУЛО2!AI15</f>
        <v>0</v>
      </c>
      <c r="CV23" s="97" t="n">
        <f aca="false">CV22-CU23+CT23</f>
        <v>0</v>
      </c>
      <c r="CW23" s="95" t="n">
        <f aca="false">[1]НАДІЙШЛО2!AJ15</f>
        <v>0</v>
      </c>
      <c r="CX23" s="96" t="n">
        <f aca="false">[1]ВИБУЛО2!AJ15</f>
        <v>0</v>
      </c>
      <c r="CY23" s="97" t="n">
        <f aca="false">CY22-CX23+CW23</f>
        <v>0</v>
      </c>
      <c r="CZ23" s="95" t="n">
        <f aca="false">[1]НАДІЙШЛО2!AK15</f>
        <v>0</v>
      </c>
      <c r="DA23" s="96" t="n">
        <f aca="false">[1]ВИБУЛО2!AK15</f>
        <v>0</v>
      </c>
      <c r="DB23" s="97" t="n">
        <f aca="false">DB22-DA23+CZ23</f>
        <v>0</v>
      </c>
      <c r="DC23" s="95" t="n">
        <f aca="false">[1]НАДІЙШЛО2!AL15</f>
        <v>0</v>
      </c>
      <c r="DD23" s="96" t="n">
        <f aca="false">[1]ВИБУЛО2!AL15</f>
        <v>0</v>
      </c>
      <c r="DE23" s="97" t="n">
        <f aca="false">DE22-DD23+DC23</f>
        <v>0</v>
      </c>
      <c r="DF23" s="95" t="n">
        <f aca="false">[1]НАДІЙШЛО2!AM15</f>
        <v>0</v>
      </c>
      <c r="DG23" s="96" t="n">
        <f aca="false">[1]ВИБУЛО2!AM15</f>
        <v>0</v>
      </c>
      <c r="DH23" s="97" t="n">
        <f aca="false">DH22-DG23+DF23</f>
        <v>0</v>
      </c>
      <c r="DI23" s="95" t="n">
        <f aca="false">[1]НАДІЙШЛО2!AN15</f>
        <v>0</v>
      </c>
      <c r="DJ23" s="96" t="n">
        <f aca="false">[1]ВИБУЛО2!AN15</f>
        <v>0</v>
      </c>
      <c r="DK23" s="97" t="n">
        <f aca="false">DK22-DJ23+DI23</f>
        <v>0</v>
      </c>
      <c r="DL23" s="95" t="n">
        <f aca="false">[1]НАДІЙШЛО2!AO15</f>
        <v>0</v>
      </c>
      <c r="DM23" s="96" t="n">
        <f aca="false">[1]ВИБУЛО2!AO15</f>
        <v>0</v>
      </c>
      <c r="DN23" s="97" t="n">
        <f aca="false">DN22-DM23+DL23</f>
        <v>0</v>
      </c>
      <c r="DO23" s="95" t="n">
        <f aca="false">[1]НАДІЙШЛО2!AP15</f>
        <v>0</v>
      </c>
      <c r="DP23" s="96" t="n">
        <f aca="false">[1]ВИБУЛО2!AP15</f>
        <v>0</v>
      </c>
      <c r="DQ23" s="97" t="n">
        <f aca="false">DQ22-DP23+DO23</f>
        <v>0</v>
      </c>
      <c r="DR23" s="95" t="n">
        <f aca="false">[1]НАДІЙШЛО2!AQ15</f>
        <v>0</v>
      </c>
      <c r="DS23" s="96" t="n">
        <f aca="false">[1]ВИБУЛО2!AQ15</f>
        <v>0</v>
      </c>
      <c r="DT23" s="97" t="n">
        <f aca="false">DT22-DS23+DR23</f>
        <v>0</v>
      </c>
      <c r="DU23" s="95" t="n">
        <f aca="false">[1]НАДІЙШЛО2!AR15</f>
        <v>0</v>
      </c>
      <c r="DV23" s="96" t="n">
        <f aca="false">[1]ВИБУЛО2!AR15</f>
        <v>0</v>
      </c>
      <c r="DW23" s="97" t="n">
        <f aca="false">DW22-DV23+DU23</f>
        <v>0</v>
      </c>
      <c r="DX23" s="95" t="n">
        <f aca="false">[1]НАДІЙШЛО2!AS15</f>
        <v>0</v>
      </c>
      <c r="DY23" s="96" t="n">
        <f aca="false">[1]ВИБУЛО2!AS15</f>
        <v>0</v>
      </c>
      <c r="DZ23" s="97" t="n">
        <f aca="false">DZ22-DY23+DX23</f>
        <v>0</v>
      </c>
      <c r="EA23" s="95" t="n">
        <f aca="false">[1]НАДІЙШЛО2!AT15</f>
        <v>0</v>
      </c>
      <c r="EB23" s="96" t="n">
        <f aca="false">[1]ВИБУЛО2!AT15</f>
        <v>0</v>
      </c>
      <c r="EC23" s="97" t="n">
        <f aca="false">EC22-EB23+EA23</f>
        <v>0</v>
      </c>
      <c r="ED23" s="95" t="n">
        <f aca="false">[1]НАДІЙШЛО2!AU15</f>
        <v>0</v>
      </c>
      <c r="EE23" s="96" t="n">
        <f aca="false">[1]ВИБУЛО2!AU15</f>
        <v>0</v>
      </c>
      <c r="EF23" s="97" t="n">
        <f aca="false">EF22-EE23+ED23</f>
        <v>0</v>
      </c>
      <c r="EG23" s="95" t="n">
        <f aca="false">[1]НАДІЙШЛО2!AV15</f>
        <v>0</v>
      </c>
      <c r="EH23" s="96" t="n">
        <f aca="false">[1]ВИБУЛО2!AV15</f>
        <v>0</v>
      </c>
      <c r="EI23" s="97" t="n">
        <f aca="false">EI22-EH23+EG23</f>
        <v>0</v>
      </c>
      <c r="EJ23" s="95" t="n">
        <f aca="false">[1]НАДІЙШЛО2!AW15</f>
        <v>0</v>
      </c>
      <c r="EK23" s="96" t="n">
        <f aca="false">[1]ВИБУЛО2!AW15</f>
        <v>0</v>
      </c>
      <c r="EL23" s="97" t="n">
        <f aca="false">EL22-EK23+EJ23</f>
        <v>0</v>
      </c>
      <c r="EM23" s="95" t="n">
        <f aca="false">[1]НАДІЙШЛО2!AX15</f>
        <v>0</v>
      </c>
      <c r="EN23" s="96" t="n">
        <f aca="false">[1]ВИБУЛО2!AX15</f>
        <v>0</v>
      </c>
      <c r="EO23" s="97" t="n">
        <f aca="false">EO22-EN23+EM23</f>
        <v>0</v>
      </c>
      <c r="EP23" s="95" t="n">
        <f aca="false">[1]НАДІЙШЛО2!AY15</f>
        <v>0</v>
      </c>
      <c r="EQ23" s="96" t="n">
        <f aca="false">[1]ВИБУЛО2!AY15</f>
        <v>0</v>
      </c>
      <c r="ER23" s="97" t="n">
        <f aca="false">ER22-EQ23+EP23</f>
        <v>0</v>
      </c>
      <c r="ES23" s="95" t="n">
        <f aca="false">[1]НАДІЙШЛО2!AZ15</f>
        <v>0</v>
      </c>
      <c r="ET23" s="96" t="n">
        <f aca="false">[1]ВИБУЛО2!AZ15</f>
        <v>0</v>
      </c>
      <c r="EU23" s="97" t="n">
        <f aca="false">EU22-ET23+ES23</f>
        <v>0</v>
      </c>
      <c r="EV23" s="95" t="n">
        <f aca="false">[1]НАДІЙШЛО2!BA15</f>
        <v>0</v>
      </c>
      <c r="EW23" s="96" t="n">
        <f aca="false">[1]ВИБУЛО2!BA15</f>
        <v>0</v>
      </c>
      <c r="EX23" s="97" t="n">
        <f aca="false">EX22-EW23+EV23</f>
        <v>0</v>
      </c>
      <c r="EY23" s="95" t="n">
        <f aca="false">[1]НАДІЙШЛО2!BB15</f>
        <v>0</v>
      </c>
      <c r="EZ23" s="96" t="n">
        <f aca="false">[1]ВИБУЛО2!BB15</f>
        <v>0</v>
      </c>
      <c r="FA23" s="97" t="n">
        <f aca="false">FA22-EZ23+EY23</f>
        <v>0</v>
      </c>
      <c r="FB23" s="95" t="n">
        <f aca="false">[1]НАДІЙШЛО2!BC15</f>
        <v>0</v>
      </c>
      <c r="FC23" s="96" t="n">
        <f aca="false">[1]ВИБУЛО2!BC15</f>
        <v>0</v>
      </c>
      <c r="FD23" s="97" t="n">
        <f aca="false">FD22-FC23+FB23</f>
        <v>0</v>
      </c>
      <c r="FE23" s="95" t="n">
        <f aca="false">[1]НАДІЙШЛО2!BD15</f>
        <v>0</v>
      </c>
      <c r="FF23" s="96" t="n">
        <f aca="false">[1]ВИБУЛО2!BD15</f>
        <v>0</v>
      </c>
      <c r="FG23" s="97" t="n">
        <f aca="false">FG22-FF23+FE23</f>
        <v>0</v>
      </c>
      <c r="FH23" s="95" t="n">
        <f aca="false">[1]НАДІЙШЛО2!BE15</f>
        <v>0</v>
      </c>
      <c r="FI23" s="96" t="n">
        <f aca="false">[1]ВИБУЛО2!BE15</f>
        <v>0</v>
      </c>
      <c r="FJ23" s="97" t="n">
        <f aca="false">FJ22-FI23+FH23</f>
        <v>0</v>
      </c>
      <c r="FK23" s="95" t="n">
        <f aca="false">[1]НАДІЙШЛО2!BF15</f>
        <v>0</v>
      </c>
      <c r="FL23" s="96" t="n">
        <f aca="false">[1]ВИБУЛО2!BF15</f>
        <v>0</v>
      </c>
      <c r="FM23" s="97" t="n">
        <f aca="false">FM22-FL23+FK23</f>
        <v>0</v>
      </c>
      <c r="FN23" s="95" t="n">
        <f aca="false">[1]НАДІЙШЛО2!BG15</f>
        <v>0</v>
      </c>
      <c r="FO23" s="96" t="n">
        <f aca="false">[1]ВИБУЛО2!BG15</f>
        <v>0</v>
      </c>
      <c r="FP23" s="97" t="n">
        <f aca="false">FP22-FO23+FN23</f>
        <v>0</v>
      </c>
      <c r="FQ23" s="95" t="n">
        <f aca="false">[1]НАДІЙШЛО2!BH15</f>
        <v>0</v>
      </c>
      <c r="FR23" s="96" t="n">
        <f aca="false">[1]ВИБУЛО2!BH15</f>
        <v>0</v>
      </c>
      <c r="FS23" s="97" t="n">
        <f aca="false">FS22-FR23+FQ23</f>
        <v>0</v>
      </c>
      <c r="FT23" s="95" t="n">
        <f aca="false">[1]НАДІЙШЛО2!BI15</f>
        <v>0</v>
      </c>
      <c r="FU23" s="96" t="n">
        <f aca="false">[1]ВИБУЛО2!BI15</f>
        <v>0</v>
      </c>
      <c r="FV23" s="97" t="n">
        <f aca="false">FV22-FU23+FT23</f>
        <v>0</v>
      </c>
      <c r="FW23" s="95" t="n">
        <f aca="false">[1]НАДІЙШЛО2!BJ15</f>
        <v>0</v>
      </c>
      <c r="FX23" s="96" t="n">
        <f aca="false">[1]ВИБУЛО2!BJ15</f>
        <v>0</v>
      </c>
      <c r="FY23" s="97" t="n">
        <f aca="false">FY22-FX23+FW23</f>
        <v>0</v>
      </c>
      <c r="FZ23" s="95" t="n">
        <f aca="false">[1]НАДІЙШЛО2!BK15</f>
        <v>0</v>
      </c>
      <c r="GA23" s="96" t="n">
        <f aca="false">[1]ВИБУЛО2!BK15</f>
        <v>0</v>
      </c>
      <c r="GB23" s="97" t="n">
        <f aca="false">GB22-GA23+FZ23</f>
        <v>0</v>
      </c>
      <c r="GC23" s="95" t="n">
        <f aca="false">[1]НАДІЙШЛО2!BL15</f>
        <v>0</v>
      </c>
      <c r="GD23" s="96" t="n">
        <f aca="false">[1]ВИБУЛО2!BL15</f>
        <v>0</v>
      </c>
      <c r="GE23" s="97" t="n">
        <f aca="false">GE22-GD23+GC23</f>
        <v>0</v>
      </c>
      <c r="GF23" s="95" t="n">
        <f aca="false">[1]НАДІЙШЛО2!BM15</f>
        <v>0</v>
      </c>
      <c r="GG23" s="96" t="n">
        <f aca="false">[1]ВИБУЛО2!BM15</f>
        <v>0</v>
      </c>
      <c r="GH23" s="97" t="n">
        <f aca="false">GH22-GG23+GF23</f>
        <v>0</v>
      </c>
      <c r="GI23" s="95" t="n">
        <f aca="false">[1]НАДІЙШЛО2!BN15</f>
        <v>0</v>
      </c>
      <c r="GJ23" s="96" t="n">
        <f aca="false">[1]ВИБУЛО2!BN15</f>
        <v>0</v>
      </c>
      <c r="GK23" s="97" t="n">
        <f aca="false">GK22-GJ23+GI23</f>
        <v>0</v>
      </c>
      <c r="GL23" s="95" t="n">
        <f aca="false">[1]НАДІЙШЛО2!BO15</f>
        <v>0</v>
      </c>
      <c r="GM23" s="96" t="n">
        <f aca="false">[1]ВИБУЛО2!BO15</f>
        <v>0</v>
      </c>
      <c r="GN23" s="97" t="n">
        <f aca="false">GN22-GM23+GL23</f>
        <v>0</v>
      </c>
      <c r="GO23" s="95" t="n">
        <f aca="false">[1]НАДІЙШЛО2!BP15</f>
        <v>0</v>
      </c>
      <c r="GP23" s="96" t="n">
        <f aca="false">[1]ВИБУЛО2!BP15</f>
        <v>0</v>
      </c>
      <c r="GQ23" s="97" t="n">
        <f aca="false">GQ22-GP23+GO23</f>
        <v>0</v>
      </c>
      <c r="GR23" s="95" t="n">
        <f aca="false">[1]НАДІЙШЛО2!BQ15</f>
        <v>0</v>
      </c>
      <c r="GS23" s="96" t="n">
        <f aca="false">[1]ВИБУЛО2!BQ15</f>
        <v>0</v>
      </c>
      <c r="GT23" s="97" t="n">
        <f aca="false">GT22-GS23+GR23</f>
        <v>0</v>
      </c>
      <c r="GU23" s="95" t="n">
        <f aca="false">[1]НАДІЙШЛО2!BR15</f>
        <v>0</v>
      </c>
      <c r="GV23" s="96" t="n">
        <f aca="false">[1]ВИБУЛО2!BR15</f>
        <v>0</v>
      </c>
      <c r="GW23" s="97" t="n">
        <f aca="false">GW22-GV23+GU23</f>
        <v>0</v>
      </c>
      <c r="GX23" s="95" t="n">
        <f aca="false">[1]НАДІЙШЛО2!BS15</f>
        <v>0</v>
      </c>
      <c r="GY23" s="96" t="n">
        <f aca="false">[1]ВИБУЛО2!BS15</f>
        <v>0</v>
      </c>
      <c r="GZ23" s="97" t="n">
        <f aca="false">GZ22-GY23+GX23</f>
        <v>0</v>
      </c>
      <c r="HA23" s="95" t="n">
        <f aca="false">[1]НАДІЙШЛО2!BT15</f>
        <v>0</v>
      </c>
      <c r="HB23" s="96" t="n">
        <f aca="false">[1]ВИБУЛО2!BT15</f>
        <v>0</v>
      </c>
      <c r="HC23" s="97" t="n">
        <f aca="false">HC22-HB23+HA23</f>
        <v>0</v>
      </c>
      <c r="HD23" s="95" t="n">
        <f aca="false">[1]НАДІЙШЛО2!BU15</f>
        <v>0</v>
      </c>
      <c r="HE23" s="96" t="n">
        <f aca="false">[1]ВИБУЛО2!BU15</f>
        <v>0</v>
      </c>
      <c r="HF23" s="97" t="n">
        <f aca="false">HF22-HE23+HD23</f>
        <v>0</v>
      </c>
      <c r="HG23" s="95" t="n">
        <f aca="false">[1]НАДІЙШЛО2!BV15</f>
        <v>0</v>
      </c>
      <c r="HH23" s="96" t="n">
        <f aca="false">[1]ВИБУЛО2!BV15</f>
        <v>0</v>
      </c>
      <c r="HI23" s="97" t="n">
        <f aca="false">HI22-HH23+HG23</f>
        <v>0</v>
      </c>
      <c r="HJ23" s="95" t="n">
        <f aca="false">[1]НАДІЙШЛО2!BW15</f>
        <v>0</v>
      </c>
      <c r="HK23" s="96" t="n">
        <f aca="false">[1]ВИБУЛО2!BW15</f>
        <v>0</v>
      </c>
      <c r="HL23" s="97" t="n">
        <f aca="false">HL22-HK23+HJ23</f>
        <v>0</v>
      </c>
      <c r="HM23" s="95" t="n">
        <f aca="false">[1]НАДІЙШЛО2!BX15</f>
        <v>0</v>
      </c>
      <c r="HN23" s="96" t="n">
        <f aca="false">[1]ВИБУЛО2!BX15</f>
        <v>0</v>
      </c>
      <c r="HO23" s="97" t="n">
        <f aca="false">HO22-HN23+HM23</f>
        <v>0</v>
      </c>
      <c r="HP23" s="95" t="n">
        <f aca="false">[1]НАДІЙШЛО2!BY15</f>
        <v>0</v>
      </c>
      <c r="HQ23" s="96" t="n">
        <f aca="false">[1]ВИБУЛО2!BY15</f>
        <v>0</v>
      </c>
      <c r="HR23" s="97" t="n">
        <f aca="false">HR22-HQ23+HP23</f>
        <v>0</v>
      </c>
      <c r="HS23" s="95" t="n">
        <f aca="false">[1]НАДІЙШЛО2!BZ15</f>
        <v>0</v>
      </c>
      <c r="HT23" s="96" t="n">
        <f aca="false">[1]ВИБУЛО2!BZ15</f>
        <v>0</v>
      </c>
      <c r="HU23" s="97" t="n">
        <f aca="false">HU22-HT23+HS23</f>
        <v>0</v>
      </c>
      <c r="HV23" s="95" t="n">
        <f aca="false">[1]НАДІЙШЛО2!CA15</f>
        <v>0</v>
      </c>
      <c r="HW23" s="96" t="n">
        <f aca="false">[1]ВИБУЛО2!CA15</f>
        <v>0</v>
      </c>
      <c r="HX23" s="97" t="n">
        <f aca="false">HX22-HW23+HV23</f>
        <v>0</v>
      </c>
      <c r="HY23" s="95" t="n">
        <f aca="false">[1]НАДІЙШЛО2!CB15</f>
        <v>0</v>
      </c>
      <c r="HZ23" s="96" t="n">
        <f aca="false">[1]ВИБУЛО2!CB15</f>
        <v>0</v>
      </c>
      <c r="IA23" s="97" t="n">
        <f aca="false">IA22-HZ23+HY23</f>
        <v>0</v>
      </c>
      <c r="IB23" s="95" t="n">
        <f aca="false">[1]НАДІЙШЛО2!CC15</f>
        <v>0</v>
      </c>
      <c r="IC23" s="96" t="n">
        <f aca="false">[1]ВИБУЛО2!CC15</f>
        <v>0</v>
      </c>
      <c r="ID23" s="97" t="n">
        <f aca="false">ID22-IC23+IB23</f>
        <v>0</v>
      </c>
      <c r="IE23" s="95" t="n">
        <f aca="false">[1]НАДІЙШЛО2!CD15</f>
        <v>0</v>
      </c>
      <c r="IF23" s="96" t="n">
        <f aca="false">[1]ВИБУЛО2!CD15</f>
        <v>0</v>
      </c>
      <c r="IG23" s="97" t="n">
        <f aca="false">IG22-IF23+IE23</f>
        <v>0</v>
      </c>
      <c r="IH23" s="95" t="n">
        <f aca="false">[1]НАДІЙШЛО2!CE15</f>
        <v>0</v>
      </c>
      <c r="II23" s="96" t="n">
        <f aca="false">[1]ВИБУЛО2!CE15</f>
        <v>0</v>
      </c>
      <c r="IJ23" s="97" t="n">
        <f aca="false">IJ22-II23+IH23</f>
        <v>0</v>
      </c>
      <c r="IK23" s="95" t="n">
        <f aca="false">[1]НАДІЙШЛО2!CF15</f>
        <v>0</v>
      </c>
      <c r="IL23" s="96" t="n">
        <f aca="false">[1]ВИБУЛО2!CF15</f>
        <v>0</v>
      </c>
      <c r="IM23" s="97" t="n">
        <f aca="false">IM22-IL23+IK23</f>
        <v>0</v>
      </c>
      <c r="IN23" s="95" t="n">
        <f aca="false">[1]НАДІЙШЛО2!CG15</f>
        <v>0</v>
      </c>
      <c r="IO23" s="96" t="n">
        <f aca="false">[1]ВИБУЛО2!CG15</f>
        <v>0</v>
      </c>
      <c r="IP23" s="97" t="n">
        <f aca="false">IP22-IO23+IN23</f>
        <v>0</v>
      </c>
      <c r="IQ23" s="95" t="n">
        <f aca="false">[1]НАДІЙШЛО2!CH15</f>
        <v>0</v>
      </c>
      <c r="IR23" s="96" t="n">
        <f aca="false">[1]ВИБУЛО2!CH15</f>
        <v>0</v>
      </c>
      <c r="IS23" s="97" t="n">
        <f aca="false">IS22-IR23+IQ23</f>
        <v>0</v>
      </c>
      <c r="IT23" s="95" t="n">
        <f aca="false">[1]НАДІЙШЛО2!CI15</f>
        <v>0</v>
      </c>
      <c r="IU23" s="96" t="n">
        <f aca="false">[1]ВИБУЛО2!CI15</f>
        <v>0</v>
      </c>
      <c r="IV23" s="97" t="n">
        <f aca="false">IV22-IU23+IT23</f>
        <v>0</v>
      </c>
      <c r="IW23" s="95" t="n">
        <f aca="false">[1]НАДІЙШЛО2!CJ15</f>
        <v>0</v>
      </c>
      <c r="IX23" s="96" t="n">
        <f aca="false">[1]ВИБУЛО2!CJ15</f>
        <v>0</v>
      </c>
      <c r="IY23" s="97" t="n">
        <f aca="false">IY22-IX23+IW23</f>
        <v>0</v>
      </c>
      <c r="IZ23" s="95" t="n">
        <f aca="false">[1]НАДІЙШЛО2!CK15</f>
        <v>0</v>
      </c>
      <c r="JA23" s="96" t="n">
        <f aca="false">[1]ВИБУЛО2!CK15</f>
        <v>0</v>
      </c>
      <c r="JB23" s="97" t="n">
        <f aca="false">JB22-JA23+IZ23</f>
        <v>0</v>
      </c>
      <c r="JC23" s="95" t="n">
        <f aca="false">[1]НАДІЙШЛО2!CL15</f>
        <v>0</v>
      </c>
      <c r="JD23" s="96" t="n">
        <f aca="false">[1]ВИБУЛО2!CL15</f>
        <v>0</v>
      </c>
      <c r="JE23" s="97" t="n">
        <f aca="false">JE22-JD23+JC23</f>
        <v>0</v>
      </c>
      <c r="JF23" s="95" t="n">
        <f aca="false">[1]НАДІЙШЛО2!CM15</f>
        <v>0</v>
      </c>
      <c r="JG23" s="96" t="n">
        <f aca="false">[1]ВИБУЛО2!CM15</f>
        <v>0</v>
      </c>
      <c r="JH23" s="97" t="n">
        <f aca="false">JH22-JG23+JF23</f>
        <v>0</v>
      </c>
      <c r="JI23" s="95" t="n">
        <f aca="false">[1]НАДІЙШЛО2!CN15</f>
        <v>0</v>
      </c>
      <c r="JJ23" s="96" t="n">
        <f aca="false">[1]ВИБУЛО2!CN15</f>
        <v>0</v>
      </c>
      <c r="JK23" s="97" t="n">
        <f aca="false">JK22-JJ23+JI23</f>
        <v>0</v>
      </c>
      <c r="JL23" s="95" t="n">
        <f aca="false">[1]НАДІЙШЛО2!CO15</f>
        <v>0</v>
      </c>
      <c r="JM23" s="96" t="n">
        <f aca="false">[1]ВИБУЛО2!CO15</f>
        <v>0</v>
      </c>
      <c r="JN23" s="97" t="n">
        <f aca="false">JN22-JM23+JL23</f>
        <v>0</v>
      </c>
      <c r="JO23" s="95" t="n">
        <f aca="false">[1]НАДІЙШЛО2!CP15</f>
        <v>0</v>
      </c>
      <c r="JP23" s="96" t="n">
        <f aca="false">[1]ВИБУЛО2!CP15</f>
        <v>0</v>
      </c>
      <c r="JQ23" s="97" t="n">
        <f aca="false">JQ22-JP23+JO23</f>
        <v>0</v>
      </c>
      <c r="JR23" s="95" t="n">
        <f aca="false">[1]НАДІЙШЛО2!CQ15</f>
        <v>0</v>
      </c>
      <c r="JS23" s="96" t="n">
        <f aca="false">[1]ВИБУЛО2!CQ15</f>
        <v>0</v>
      </c>
      <c r="JT23" s="97" t="n">
        <f aca="false">JT22-JS23+JR23</f>
        <v>0</v>
      </c>
      <c r="JU23" s="95" t="n">
        <f aca="false">[1]НАДІЙШЛО2!CR15</f>
        <v>0</v>
      </c>
      <c r="JV23" s="96" t="n">
        <f aca="false">[1]ВИБУЛО2!CR15</f>
        <v>0</v>
      </c>
      <c r="JW23" s="97" t="n">
        <f aca="false">JW22-JV23+JU23</f>
        <v>0</v>
      </c>
      <c r="JX23" s="95" t="n">
        <f aca="false">[1]НАДІЙШЛО2!CS15</f>
        <v>0</v>
      </c>
      <c r="JY23" s="96" t="n">
        <f aca="false">[1]ВИБУЛО2!CS15</f>
        <v>0</v>
      </c>
      <c r="JZ23" s="97" t="n">
        <f aca="false">JZ22-JY23+JX23</f>
        <v>0</v>
      </c>
      <c r="KA23" s="95" t="n">
        <f aca="false">[1]НАДІЙШЛО2!CT15</f>
        <v>0</v>
      </c>
      <c r="KB23" s="96" t="n">
        <f aca="false">[1]ВИБУЛО2!CT15</f>
        <v>0</v>
      </c>
      <c r="KC23" s="97" t="n">
        <f aca="false">KC22-KB23+KA23</f>
        <v>0</v>
      </c>
      <c r="KD23" s="95" t="n">
        <f aca="false">[1]НАДІЙШЛО2!CU15</f>
        <v>0</v>
      </c>
      <c r="KE23" s="96" t="n">
        <f aca="false">[1]ВИБУЛО2!CU15</f>
        <v>0</v>
      </c>
      <c r="KF23" s="97" t="n">
        <f aca="false">KF22-KE23+KD23</f>
        <v>0</v>
      </c>
      <c r="KG23" s="95" t="n">
        <f aca="false">[1]НАДІЙШЛО2!CV15</f>
        <v>0</v>
      </c>
      <c r="KH23" s="96" t="n">
        <f aca="false">[1]ВИБУЛО2!CV15</f>
        <v>0</v>
      </c>
      <c r="KI23" s="97" t="n">
        <f aca="false">KI22-KH23+KG23</f>
        <v>0</v>
      </c>
      <c r="KJ23" s="95" t="n">
        <f aca="false">[1]НАДІЙШЛО2!CW15</f>
        <v>0</v>
      </c>
      <c r="KK23" s="96" t="n">
        <f aca="false">[1]ВИБУЛО2!CW15</f>
        <v>0</v>
      </c>
      <c r="KL23" s="97" t="n">
        <f aca="false">KL22-KK23+KJ23</f>
        <v>0</v>
      </c>
      <c r="KM23" s="95" t="n">
        <f aca="false">[1]НАДІЙШЛО2!CX15</f>
        <v>0</v>
      </c>
      <c r="KN23" s="96" t="n">
        <f aca="false">[1]ВИБУЛО2!CX15</f>
        <v>0</v>
      </c>
      <c r="KO23" s="97" t="n">
        <f aca="false">KO22-KN23+KM23</f>
        <v>0</v>
      </c>
      <c r="KP23" s="95" t="n">
        <f aca="false">[1]НАДІЙШЛО2!CY15</f>
        <v>0</v>
      </c>
      <c r="KQ23" s="96" t="n">
        <f aca="false">[1]ВИБУЛО2!CY15</f>
        <v>0</v>
      </c>
      <c r="KR23" s="97" t="n">
        <f aca="false">KR22-KQ23+KP23</f>
        <v>0</v>
      </c>
      <c r="KS23" s="95" t="n">
        <f aca="false">[1]НАДІЙШЛО2!CZ15</f>
        <v>0</v>
      </c>
      <c r="KT23" s="96" t="n">
        <f aca="false">[1]ВИБУЛО2!CZ15</f>
        <v>0</v>
      </c>
      <c r="KU23" s="97" t="n">
        <f aca="false">KU22-KT23+KS23</f>
        <v>0</v>
      </c>
      <c r="KV23" s="95" t="n">
        <f aca="false">[1]НАДІЙШЛО2!DA15</f>
        <v>0</v>
      </c>
      <c r="KW23" s="96" t="n">
        <f aca="false">[1]ВИБУЛО2!DA15</f>
        <v>0</v>
      </c>
      <c r="KX23" s="97" t="n">
        <f aca="false">KX22-KW23+KV23</f>
        <v>0</v>
      </c>
      <c r="KY23" s="95" t="n">
        <f aca="false">[1]НАДІЙШЛО2!DB15</f>
        <v>0</v>
      </c>
      <c r="KZ23" s="96" t="n">
        <f aca="false">[1]ВИБУЛО2!DB15</f>
        <v>0</v>
      </c>
      <c r="LA23" s="97" t="n">
        <f aca="false">LA22-KZ23+KY23</f>
        <v>0</v>
      </c>
      <c r="LB23" s="95" t="n">
        <f aca="false">[1]НАДІЙШЛО2!DC15</f>
        <v>0</v>
      </c>
      <c r="LC23" s="96" t="n">
        <f aca="false">[1]ВИБУЛО2!DC15</f>
        <v>0</v>
      </c>
      <c r="LD23" s="97" t="n">
        <f aca="false">LD22-LC23+LB23</f>
        <v>0</v>
      </c>
      <c r="LE23" s="95" t="n">
        <f aca="false">[1]НАДІЙШЛО2!DD15</f>
        <v>0</v>
      </c>
      <c r="LF23" s="96" t="n">
        <f aca="false">[1]ВИБУЛО2!DD15</f>
        <v>0</v>
      </c>
      <c r="LG23" s="97" t="n">
        <f aca="false">LG22-LF23+LE23</f>
        <v>0</v>
      </c>
      <c r="LH23" s="95" t="n">
        <f aca="false">[1]НАДІЙШЛО2!DE15</f>
        <v>0</v>
      </c>
      <c r="LI23" s="96" t="n">
        <f aca="false">[1]ВИБУЛО2!DE15</f>
        <v>0</v>
      </c>
      <c r="LJ23" s="97" t="n">
        <f aca="false">LJ22-LI23+LH23</f>
        <v>0</v>
      </c>
      <c r="LK23" s="95" t="n">
        <f aca="false">[1]НАДІЙШЛО2!DF15</f>
        <v>0</v>
      </c>
      <c r="LL23" s="96" t="n">
        <f aca="false">[1]ВИБУЛО2!DF15</f>
        <v>0</v>
      </c>
      <c r="LM23" s="97" t="n">
        <f aca="false">LM22-LL23+LK23</f>
        <v>0</v>
      </c>
      <c r="LN23" s="95" t="n">
        <f aca="false">[1]НАДІЙШЛО2!DG15</f>
        <v>0</v>
      </c>
      <c r="LO23" s="96" t="n">
        <f aca="false">[1]ВИБУЛО2!DG15</f>
        <v>0</v>
      </c>
      <c r="LP23" s="97" t="n">
        <f aca="false">LP22-LO23+LN23</f>
        <v>0</v>
      </c>
      <c r="LQ23" s="95" t="n">
        <f aca="false">[1]НАДІЙШЛО2!DH15</f>
        <v>0</v>
      </c>
      <c r="LR23" s="96" t="n">
        <f aca="false">[1]ВИБУЛО2!DH15</f>
        <v>0</v>
      </c>
      <c r="LS23" s="97" t="n">
        <f aca="false">LS22-LR23+LQ23</f>
        <v>0</v>
      </c>
      <c r="LT23" s="95" t="n">
        <f aca="false">[1]НАДІЙШЛО2!DI15</f>
        <v>0</v>
      </c>
      <c r="LU23" s="96" t="n">
        <f aca="false">[1]ВИБУЛО2!DI15</f>
        <v>0</v>
      </c>
      <c r="LV23" s="97" t="n">
        <f aca="false">LV22-LU23+LT23</f>
        <v>0</v>
      </c>
      <c r="LW23" s="95" t="n">
        <f aca="false">[1]НАДІЙШЛО2!DJ15</f>
        <v>0</v>
      </c>
      <c r="LX23" s="96" t="n">
        <f aca="false">[1]ВИБУЛО2!DJ15</f>
        <v>0</v>
      </c>
      <c r="LY23" s="97" t="n">
        <f aca="false">LY22-LX23+LW23</f>
        <v>0</v>
      </c>
      <c r="LZ23" s="95" t="n">
        <f aca="false">[1]НАДІЙШЛО2!DK15</f>
        <v>0</v>
      </c>
      <c r="MA23" s="96" t="n">
        <f aca="false">[1]ВИБУЛО2!DK15</f>
        <v>0</v>
      </c>
      <c r="MB23" s="97" t="n">
        <f aca="false">MB22-MA23+LZ23</f>
        <v>0</v>
      </c>
      <c r="MC23" s="95" t="n">
        <f aca="false">[1]НАДІЙШЛО2!DL15</f>
        <v>0</v>
      </c>
      <c r="MD23" s="96" t="n">
        <f aca="false">[1]ВИБУЛО2!DL15</f>
        <v>0</v>
      </c>
      <c r="ME23" s="97" t="n">
        <f aca="false">ME22-MD23+MC23</f>
        <v>0</v>
      </c>
      <c r="MF23" s="95" t="n">
        <f aca="false">[1]НАДІЙШЛО2!DM15</f>
        <v>0</v>
      </c>
      <c r="MG23" s="96" t="n">
        <f aca="false">[1]ВИБУЛО2!DM15</f>
        <v>0</v>
      </c>
      <c r="MH23" s="97" t="n">
        <f aca="false">MH22-MG23+MF23</f>
        <v>0</v>
      </c>
      <c r="MI23" s="95" t="n">
        <f aca="false">[1]НАДІЙШЛО2!DN15</f>
        <v>0</v>
      </c>
      <c r="MJ23" s="96" t="n">
        <f aca="false">[1]ВИБУЛО2!DN15</f>
        <v>0</v>
      </c>
      <c r="MK23" s="97" t="n">
        <f aca="false">MK22-MJ23+MI23</f>
        <v>0</v>
      </c>
      <c r="ML23" s="95" t="n">
        <f aca="false">[1]НАДІЙШЛО2!DO15</f>
        <v>0</v>
      </c>
      <c r="MM23" s="96" t="n">
        <f aca="false">[1]ВИБУЛО2!DO15</f>
        <v>0</v>
      </c>
      <c r="MN23" s="97" t="n">
        <f aca="false">MN22-MM23+ML23</f>
        <v>0</v>
      </c>
      <c r="MO23" s="95" t="n">
        <f aca="false">[1]НАДІЙШЛО2!DP15</f>
        <v>0</v>
      </c>
      <c r="MP23" s="96" t="n">
        <f aca="false">[1]ВИБУЛО2!DP15</f>
        <v>0</v>
      </c>
      <c r="MQ23" s="97" t="n">
        <f aca="false">MQ22-MP23+MO23</f>
        <v>0</v>
      </c>
      <c r="MR23" s="95" t="n">
        <f aca="false">[1]НАДІЙШЛО2!DQ15</f>
        <v>0</v>
      </c>
      <c r="MS23" s="96" t="n">
        <f aca="false">[1]ВИБУЛО2!DQ15</f>
        <v>0</v>
      </c>
      <c r="MT23" s="97" t="n">
        <f aca="false">MT22-MS23+MR23</f>
        <v>0</v>
      </c>
      <c r="MU23" s="95" t="n">
        <f aca="false">[1]НАДІЙШЛО2!DR15</f>
        <v>0</v>
      </c>
      <c r="MV23" s="96" t="n">
        <f aca="false">[1]ВИБУЛО2!DR15</f>
        <v>0</v>
      </c>
      <c r="MW23" s="97" t="n">
        <f aca="false">MW22-MV23+MU23</f>
        <v>0</v>
      </c>
      <c r="MX23" s="95" t="n">
        <f aca="false">[1]НАДІЙШЛО2!DS15</f>
        <v>0</v>
      </c>
      <c r="MY23" s="96" t="n">
        <f aca="false">[1]ВИБУЛО2!DS15</f>
        <v>0</v>
      </c>
      <c r="MZ23" s="97" t="n">
        <f aca="false">MZ22-MY23+MX23</f>
        <v>0</v>
      </c>
      <c r="NA23" s="95" t="n">
        <f aca="false">[1]НАДІЙШЛО2!DT15</f>
        <v>0</v>
      </c>
      <c r="NB23" s="96" t="n">
        <f aca="false">[1]ВИБУЛО2!DT15</f>
        <v>0</v>
      </c>
      <c r="NC23" s="97" t="n">
        <f aca="false">NC22-NB23+NA23</f>
        <v>0</v>
      </c>
      <c r="ND23" s="95" t="n">
        <f aca="false">[1]НАДІЙШЛО2!DU15</f>
        <v>0</v>
      </c>
      <c r="NE23" s="96" t="n">
        <f aca="false">[1]ВИБУЛО2!DU15</f>
        <v>0</v>
      </c>
      <c r="NF23" s="97" t="n">
        <f aca="false">NF22-NE23+ND23</f>
        <v>0</v>
      </c>
      <c r="NG23" s="95" t="n">
        <f aca="false">[1]НАДІЙШЛО2!DV15</f>
        <v>0</v>
      </c>
      <c r="NH23" s="96" t="n">
        <f aca="false">[1]ВИБУЛО2!DV15</f>
        <v>0</v>
      </c>
      <c r="NI23" s="97" t="n">
        <f aca="false">NI22-NH23+NG23</f>
        <v>0</v>
      </c>
      <c r="NJ23" s="95" t="n">
        <f aca="false">[1]НАДІЙШЛО2!DW15</f>
        <v>0</v>
      </c>
      <c r="NK23" s="96" t="n">
        <f aca="false">[1]ВИБУЛО2!DW15</f>
        <v>0</v>
      </c>
      <c r="NL23" s="97" t="n">
        <f aca="false">NL22-NK23+NJ23</f>
        <v>0</v>
      </c>
      <c r="NM23" s="95" t="n">
        <f aca="false">[1]НАДІЙШЛО2!DX15</f>
        <v>0</v>
      </c>
      <c r="NN23" s="96" t="n">
        <f aca="false">[1]ВИБУЛО2!DX15</f>
        <v>0</v>
      </c>
      <c r="NO23" s="97" t="n">
        <f aca="false">NO22-NN23+NM23</f>
        <v>0</v>
      </c>
      <c r="NP23" s="95" t="n">
        <f aca="false">[1]НАДІЙШЛО2!DY15</f>
        <v>0</v>
      </c>
      <c r="NQ23" s="96" t="n">
        <f aca="false">[1]ВИБУЛО2!DY15</f>
        <v>0</v>
      </c>
      <c r="NR23" s="97" t="n">
        <f aca="false">NR22-NQ23+NP23</f>
        <v>0</v>
      </c>
      <c r="NS23" s="95" t="n">
        <f aca="false">[1]НАДІЙШЛО2!DZ15</f>
        <v>0</v>
      </c>
      <c r="NT23" s="96" t="n">
        <f aca="false">[1]ВИБУЛО2!DZ15</f>
        <v>0</v>
      </c>
      <c r="NU23" s="97" t="n">
        <f aca="false">NU22-NT23+NS23</f>
        <v>0</v>
      </c>
      <c r="NV23" s="95" t="n">
        <f aca="false">[1]НАДІЙШЛО2!EA15</f>
        <v>0</v>
      </c>
      <c r="NW23" s="96" t="n">
        <f aca="false">[1]ВИБУЛО2!EA15</f>
        <v>0</v>
      </c>
      <c r="NX23" s="97" t="n">
        <f aca="false">NX22-NW23+NV23</f>
        <v>0</v>
      </c>
      <c r="NY23" s="95" t="n">
        <f aca="false">[1]НАДІЙШЛО2!EB15</f>
        <v>0</v>
      </c>
      <c r="NZ23" s="96" t="n">
        <f aca="false">[1]ВИБУЛО2!EB15</f>
        <v>0</v>
      </c>
      <c r="OA23" s="97" t="n">
        <f aca="false">OA22-NZ23+NY23</f>
        <v>0</v>
      </c>
      <c r="OB23" s="95" t="n">
        <f aca="false">[1]НАДІЙШЛО2!EC15</f>
        <v>0</v>
      </c>
      <c r="OC23" s="96" t="n">
        <f aca="false">[1]ВИБУЛО2!EC15</f>
        <v>0</v>
      </c>
      <c r="OD23" s="97" t="n">
        <f aca="false">OD22-OC23+OB23</f>
        <v>0</v>
      </c>
      <c r="OE23" s="95" t="n">
        <f aca="false">[1]НАДІЙШЛО2!ED15</f>
        <v>0</v>
      </c>
      <c r="OF23" s="96" t="n">
        <f aca="false">[1]ВИБУЛО2!ED15</f>
        <v>0</v>
      </c>
      <c r="OG23" s="97" t="n">
        <f aca="false">OG22-OF23+OE23</f>
        <v>0</v>
      </c>
      <c r="OH23" s="95" t="n">
        <f aca="false">[1]НАДІЙШЛО2!EE15</f>
        <v>0</v>
      </c>
      <c r="OI23" s="96" t="n">
        <f aca="false">[1]ВИБУЛО2!EE15</f>
        <v>0</v>
      </c>
      <c r="OJ23" s="97" t="n">
        <f aca="false">OJ22-OI23+OH23</f>
        <v>0</v>
      </c>
      <c r="OK23" s="95" t="n">
        <f aca="false">[1]НАДІЙШЛО2!EF15</f>
        <v>0</v>
      </c>
      <c r="OL23" s="96" t="n">
        <f aca="false">[1]ВИБУЛО2!EF15</f>
        <v>0</v>
      </c>
      <c r="OM23" s="97" t="n">
        <f aca="false">OM22-OL23+OK23</f>
        <v>0</v>
      </c>
      <c r="ON23" s="95" t="n">
        <f aca="false">[1]НАДІЙШЛО2!EG15</f>
        <v>0</v>
      </c>
      <c r="OO23" s="96" t="n">
        <f aca="false">[1]ВИБУЛО2!EG15</f>
        <v>0</v>
      </c>
      <c r="OP23" s="97" t="n">
        <f aca="false">OP22-OO23+ON23</f>
        <v>0</v>
      </c>
      <c r="OQ23" s="95" t="n">
        <f aca="false">[1]НАДІЙШЛО2!EH15</f>
        <v>0</v>
      </c>
      <c r="OR23" s="96" t="n">
        <f aca="false">[1]ВИБУЛО2!EH15</f>
        <v>0</v>
      </c>
      <c r="OS23" s="97" t="n">
        <f aca="false">OS22-OR23+OQ23</f>
        <v>0</v>
      </c>
      <c r="OT23" s="95" t="n">
        <f aca="false">[1]НАДІЙШЛО2!EI15</f>
        <v>0</v>
      </c>
      <c r="OU23" s="96" t="n">
        <f aca="false">[1]ВИБУЛО2!EI15</f>
        <v>0</v>
      </c>
      <c r="OV23" s="97" t="n">
        <f aca="false">OV22-OU23+OT23</f>
        <v>0</v>
      </c>
      <c r="OW23" s="95" t="n">
        <f aca="false">[1]НАДІЙШЛО2!EJ15</f>
        <v>0</v>
      </c>
      <c r="OX23" s="96" t="n">
        <f aca="false">[1]ВИБУЛО2!EJ15</f>
        <v>0</v>
      </c>
      <c r="OY23" s="97" t="n">
        <f aca="false">OY22-OX23+OW23</f>
        <v>0</v>
      </c>
      <c r="OZ23" s="95" t="n">
        <f aca="false">[1]НАДІЙШЛО2!EK15</f>
        <v>0</v>
      </c>
      <c r="PA23" s="96" t="n">
        <f aca="false">[1]ВИБУЛО2!EK15</f>
        <v>0</v>
      </c>
      <c r="PB23" s="97" t="n">
        <f aca="false">PB22-PA23+OZ23</f>
        <v>0</v>
      </c>
      <c r="PC23" s="95" t="n">
        <f aca="false">[1]НАДІЙШЛО2!EL15</f>
        <v>0</v>
      </c>
      <c r="PD23" s="96" t="n">
        <f aca="false">[1]ВИБУЛО2!EL15</f>
        <v>0</v>
      </c>
      <c r="PE23" s="97" t="n">
        <f aca="false">PE22-PD23+PC23</f>
        <v>0</v>
      </c>
      <c r="PF23" s="95" t="n">
        <f aca="false">[1]НАДІЙШЛО2!EM15</f>
        <v>0</v>
      </c>
      <c r="PG23" s="96" t="n">
        <f aca="false">[1]ВИБУЛО2!EM15</f>
        <v>0</v>
      </c>
      <c r="PH23" s="97" t="n">
        <f aca="false">PH22-PG23+PF23</f>
        <v>0</v>
      </c>
      <c r="PI23" s="95" t="n">
        <f aca="false">[1]НАДІЙШЛО2!EN15</f>
        <v>0</v>
      </c>
      <c r="PJ23" s="96" t="n">
        <f aca="false">[1]ВИБУЛО2!EN15</f>
        <v>0</v>
      </c>
      <c r="PK23" s="97" t="n">
        <f aca="false">PK22-PJ23+PI23</f>
        <v>0</v>
      </c>
      <c r="PL23" s="95" t="n">
        <f aca="false">[1]НАДІЙШЛО2!EO15</f>
        <v>0</v>
      </c>
      <c r="PM23" s="96" t="n">
        <f aca="false">[1]ВИБУЛО2!EO15</f>
        <v>0</v>
      </c>
      <c r="PN23" s="97" t="n">
        <f aca="false">PN22-PM23+PL23</f>
        <v>0</v>
      </c>
      <c r="PO23" s="95" t="n">
        <f aca="false">[1]НАДІЙШЛО2!EP15</f>
        <v>0</v>
      </c>
      <c r="PP23" s="96" t="n">
        <f aca="false">[1]ВИБУЛО2!EP15</f>
        <v>0</v>
      </c>
      <c r="PQ23" s="97" t="n">
        <f aca="false">PQ22-PP23+PO23</f>
        <v>0</v>
      </c>
      <c r="PR23" s="95" t="n">
        <f aca="false">[1]НАДІЙШЛО2!EQ15</f>
        <v>0</v>
      </c>
      <c r="PS23" s="96" t="n">
        <f aca="false">[1]ВИБУЛО2!EQ15</f>
        <v>0</v>
      </c>
      <c r="PT23" s="97" t="n">
        <f aca="false">PT22-PS23+PR23</f>
        <v>0</v>
      </c>
      <c r="PU23" s="95" t="n">
        <f aca="false">[1]НАДІЙШЛО2!ER15</f>
        <v>0</v>
      </c>
      <c r="PV23" s="96" t="n">
        <f aca="false">[1]ВИБУЛО2!ER15</f>
        <v>0</v>
      </c>
      <c r="PW23" s="97" t="n">
        <f aca="false">PW22-PV23+PU23</f>
        <v>0</v>
      </c>
      <c r="PX23" s="95" t="n">
        <f aca="false">[1]НАДІЙШЛО2!ES15</f>
        <v>0</v>
      </c>
      <c r="PY23" s="96" t="n">
        <f aca="false">[1]ВИБУЛО2!ES15</f>
        <v>0</v>
      </c>
      <c r="PZ23" s="97" t="n">
        <f aca="false">PZ22-PY23+PX23</f>
        <v>0</v>
      </c>
      <c r="QA23" s="95" t="n">
        <f aca="false">[1]НАДІЙШЛО2!ET15</f>
        <v>0</v>
      </c>
      <c r="QB23" s="96" t="n">
        <f aca="false">[1]ВИБУЛО2!ET15</f>
        <v>0</v>
      </c>
      <c r="QC23" s="97" t="n">
        <f aca="false">QC22-QB23+QA23</f>
        <v>0</v>
      </c>
      <c r="QD23" s="95" t="n">
        <f aca="false">[1]НАДІЙШЛО2!EU15</f>
        <v>0</v>
      </c>
      <c r="QE23" s="96" t="n">
        <f aca="false">[1]ВИБУЛО2!EU15</f>
        <v>0</v>
      </c>
      <c r="QF23" s="97" t="n">
        <f aca="false">QF22-QE23+QD23</f>
        <v>0</v>
      </c>
      <c r="QG23" s="95" t="n">
        <f aca="false">[1]НАДІЙШЛО2!EV15</f>
        <v>0</v>
      </c>
      <c r="QH23" s="96" t="n">
        <f aca="false">[1]ВИБУЛО2!EV15</f>
        <v>0</v>
      </c>
      <c r="QI23" s="97" t="n">
        <f aca="false">QI22-QH23+QG23</f>
        <v>0</v>
      </c>
      <c r="QJ23" s="95" t="n">
        <f aca="false">[1]НАДІЙШЛО2!EW15</f>
        <v>0</v>
      </c>
      <c r="QK23" s="96" t="n">
        <f aca="false">[1]ВИБУЛО2!EW15</f>
        <v>0</v>
      </c>
      <c r="QL23" s="97" t="n">
        <f aca="false">QL22-QK23+QJ23</f>
        <v>0</v>
      </c>
      <c r="QM23" s="95" t="n">
        <f aca="false">[1]НАДІЙШЛО2!EX15</f>
        <v>0</v>
      </c>
      <c r="QN23" s="96" t="n">
        <f aca="false">[1]ВИБУЛО2!EX15</f>
        <v>0</v>
      </c>
      <c r="QO23" s="97" t="n">
        <f aca="false">QO22-QN23+QM23</f>
        <v>0</v>
      </c>
      <c r="QP23" s="95" t="n">
        <f aca="false">[1]НАДІЙШЛО2!EY15</f>
        <v>0</v>
      </c>
      <c r="QQ23" s="96" t="n">
        <f aca="false">[1]ВИБУЛО2!EY15</f>
        <v>0</v>
      </c>
      <c r="QR23" s="97" t="n">
        <f aca="false">QR22-QQ23+QP23</f>
        <v>0</v>
      </c>
      <c r="QS23" s="95" t="n">
        <f aca="false">[1]НАДІЙШЛО2!EZ15</f>
        <v>0</v>
      </c>
      <c r="QT23" s="96" t="n">
        <f aca="false">[1]ВИБУЛО2!EZ15</f>
        <v>0</v>
      </c>
      <c r="QU23" s="97" t="n">
        <f aca="false">QU22-QT23+QS23</f>
        <v>0</v>
      </c>
      <c r="QV23" s="95" t="n">
        <f aca="false">[1]НАДІЙШЛО2!FA15</f>
        <v>0</v>
      </c>
      <c r="QW23" s="96" t="n">
        <f aca="false">[1]ВИБУЛО2!FA15</f>
        <v>0</v>
      </c>
      <c r="QX23" s="97" t="n">
        <f aca="false">QX22-QW23+QV23</f>
        <v>0</v>
      </c>
      <c r="QY23" s="95" t="n">
        <f aca="false">[1]НАДІЙШЛО2!FB15</f>
        <v>0</v>
      </c>
      <c r="QZ23" s="96" t="n">
        <f aca="false">[1]ВИБУЛО2!FB15</f>
        <v>0</v>
      </c>
      <c r="RA23" s="97" t="n">
        <f aca="false">RA22-QZ23+QY23</f>
        <v>0</v>
      </c>
      <c r="RB23" s="95" t="n">
        <f aca="false">[1]НАДІЙШЛО2!FC15</f>
        <v>0</v>
      </c>
      <c r="RC23" s="96" t="n">
        <f aca="false">[1]ВИБУЛО2!FC15</f>
        <v>0</v>
      </c>
      <c r="RD23" s="97" t="n">
        <f aca="false">RD22-RC23+RB23</f>
        <v>0</v>
      </c>
      <c r="RE23" s="95" t="n">
        <f aca="false">[1]НАДІЙШЛО2!FD15</f>
        <v>0</v>
      </c>
      <c r="RF23" s="96" t="n">
        <f aca="false">[1]ВИБУЛО2!FD15</f>
        <v>0</v>
      </c>
      <c r="RG23" s="97" t="n">
        <f aca="false">RG22-RF23+RE23</f>
        <v>0</v>
      </c>
      <c r="RH23" s="95" t="n">
        <f aca="false">[1]НАДІЙШЛО2!FE15</f>
        <v>0</v>
      </c>
      <c r="RI23" s="96" t="n">
        <f aca="false">[1]ВИБУЛО2!FE15</f>
        <v>0</v>
      </c>
      <c r="RJ23" s="97" t="n">
        <f aca="false">RJ22-RI23+RH23</f>
        <v>0</v>
      </c>
      <c r="RK23" s="95" t="n">
        <f aca="false">[1]НАДІЙШЛО2!FF15</f>
        <v>0</v>
      </c>
      <c r="RL23" s="96" t="n">
        <f aca="false">[1]ВИБУЛО2!FF15</f>
        <v>0</v>
      </c>
      <c r="RM23" s="97" t="n">
        <f aca="false">RM22-RL23+RK23</f>
        <v>0</v>
      </c>
      <c r="RN23" s="95" t="n">
        <f aca="false">[1]НАДІЙШЛО2!FG15</f>
        <v>0</v>
      </c>
      <c r="RO23" s="96" t="n">
        <f aca="false">[1]ВИБУЛО2!FG15</f>
        <v>0</v>
      </c>
      <c r="RP23" s="97" t="n">
        <f aca="false">RP22-RO23+RN23</f>
        <v>0</v>
      </c>
      <c r="RQ23" s="95" t="n">
        <f aca="false">[1]НАДІЙШЛО2!FH15</f>
        <v>0</v>
      </c>
      <c r="RR23" s="96" t="n">
        <f aca="false">[1]ВИБУЛО2!FH15</f>
        <v>0</v>
      </c>
      <c r="RS23" s="97" t="n">
        <f aca="false">RS22-RR23+RQ23</f>
        <v>0</v>
      </c>
      <c r="RT23" s="95" t="n">
        <f aca="false">[1]НАДІЙШЛО2!FI15</f>
        <v>0</v>
      </c>
      <c r="RU23" s="96" t="n">
        <f aca="false">[1]ВИБУЛО2!FI15</f>
        <v>0</v>
      </c>
      <c r="RV23" s="97" t="n">
        <f aca="false">RV22-RU23+RT23</f>
        <v>0</v>
      </c>
      <c r="RW23" s="95" t="n">
        <f aca="false">[1]НАДІЙШЛО2!FJ15</f>
        <v>0</v>
      </c>
      <c r="RX23" s="96" t="n">
        <f aca="false">[1]ВИБУЛО2!FJ15</f>
        <v>0</v>
      </c>
      <c r="RY23" s="97" t="n">
        <f aca="false">RY22-RX23+RW23</f>
        <v>0</v>
      </c>
      <c r="RZ23" s="95" t="n">
        <f aca="false">[1]НАДІЙШЛО2!FK15</f>
        <v>0</v>
      </c>
      <c r="SA23" s="96" t="n">
        <f aca="false">[1]ВИБУЛО2!FK15</f>
        <v>0</v>
      </c>
      <c r="SB23" s="97" t="n">
        <f aca="false">SB22-SA23+RZ23</f>
        <v>0</v>
      </c>
      <c r="SC23" s="95" t="n">
        <f aca="false">[1]НАДІЙШЛО2!FL15</f>
        <v>0</v>
      </c>
      <c r="SD23" s="96" t="n">
        <f aca="false">[1]ВИБУЛО2!FL15</f>
        <v>0</v>
      </c>
      <c r="SE23" s="97" t="n">
        <f aca="false">SE22-SD23+SC23</f>
        <v>0</v>
      </c>
      <c r="SF23" s="95" t="n">
        <f aca="false">[1]НАДІЙШЛО2!FM15</f>
        <v>0</v>
      </c>
      <c r="SG23" s="96" t="n">
        <f aca="false">[1]ВИБУЛО2!FM15</f>
        <v>0</v>
      </c>
      <c r="SH23" s="97" t="n">
        <f aca="false">SH22-SG23+SF23</f>
        <v>0</v>
      </c>
      <c r="SI23" s="95" t="n">
        <f aca="false">[1]НАДІЙШЛО2!FN15</f>
        <v>0</v>
      </c>
      <c r="SJ23" s="96" t="n">
        <f aca="false">[1]ВИБУЛО2!FN15</f>
        <v>0</v>
      </c>
      <c r="SK23" s="97" t="n">
        <f aca="false">SK22-SJ23+SI23</f>
        <v>0</v>
      </c>
      <c r="SL23" s="95" t="n">
        <f aca="false">[1]НАДІЙШЛО2!FO15</f>
        <v>0</v>
      </c>
      <c r="SM23" s="96" t="n">
        <f aca="false">[1]ВИБУЛО2!FO15</f>
        <v>0</v>
      </c>
      <c r="SN23" s="97" t="n">
        <f aca="false">SN22-SM23+SL23</f>
        <v>0</v>
      </c>
      <c r="SO23" s="95" t="n">
        <f aca="false">[1]НАДІЙШЛО2!FP15</f>
        <v>0</v>
      </c>
      <c r="SP23" s="96" t="n">
        <f aca="false">[1]ВИБУЛО2!FP15</f>
        <v>0</v>
      </c>
      <c r="SQ23" s="97" t="n">
        <f aca="false">SQ22-SP23+SO23</f>
        <v>0</v>
      </c>
      <c r="SR23" s="95" t="n">
        <f aca="false">[1]НАДІЙШЛО2!FQ15</f>
        <v>0</v>
      </c>
      <c r="SS23" s="96" t="n">
        <f aca="false">[1]ВИБУЛО2!FQ15</f>
        <v>0</v>
      </c>
      <c r="ST23" s="97" t="n">
        <f aca="false">ST22-SS23+SR23</f>
        <v>0</v>
      </c>
      <c r="SU23" s="95" t="n">
        <f aca="false">[1]НАДІЙШЛО2!FR15</f>
        <v>0</v>
      </c>
      <c r="SV23" s="96" t="n">
        <f aca="false">[1]ВИБУЛО2!FR15</f>
        <v>0</v>
      </c>
      <c r="SW23" s="97" t="n">
        <f aca="false">SW22-SV23+SU23</f>
        <v>0</v>
      </c>
      <c r="SX23" s="95" t="n">
        <f aca="false">[1]НАДІЙШЛО2!FS15</f>
        <v>0</v>
      </c>
      <c r="SY23" s="96" t="n">
        <f aca="false">[1]ВИБУЛО2!FS15</f>
        <v>0</v>
      </c>
      <c r="SZ23" s="97" t="n">
        <f aca="false">SZ22-SY23+SX23</f>
        <v>0</v>
      </c>
      <c r="TA23" s="95" t="n">
        <f aca="false">[1]НАДІЙШЛО2!FT15</f>
        <v>0</v>
      </c>
      <c r="TB23" s="96" t="n">
        <f aca="false">[1]ВИБУЛО2!FT15</f>
        <v>0</v>
      </c>
      <c r="TC23" s="97" t="n">
        <f aca="false">TC22-TB23+TA23</f>
        <v>0</v>
      </c>
      <c r="TD23" s="95" t="n">
        <f aca="false">[1]НАДІЙШЛО2!FU15</f>
        <v>0</v>
      </c>
      <c r="TE23" s="96" t="n">
        <f aca="false">[1]ВИБУЛО2!FU15</f>
        <v>0</v>
      </c>
      <c r="TF23" s="97" t="n">
        <f aca="false">TF22-TE23+TD23</f>
        <v>0</v>
      </c>
      <c r="TG23" s="95" t="n">
        <f aca="false">[1]НАДІЙШЛО2!FV15</f>
        <v>0</v>
      </c>
      <c r="TH23" s="96" t="n">
        <f aca="false">[1]ВИБУЛО2!FV15</f>
        <v>0</v>
      </c>
      <c r="TI23" s="97" t="n">
        <f aca="false">TI22-TH23+TG23</f>
        <v>0</v>
      </c>
      <c r="TJ23" s="95" t="n">
        <f aca="false">[1]НАДІЙШЛО2!FW15</f>
        <v>0</v>
      </c>
      <c r="TK23" s="96" t="n">
        <f aca="false">[1]ВИБУЛО2!FW15</f>
        <v>0</v>
      </c>
      <c r="TL23" s="97" t="n">
        <f aca="false">TL22-TK23+TJ23</f>
        <v>0</v>
      </c>
      <c r="TM23" s="95" t="n">
        <f aca="false">[1]НАДІЙШЛО2!FX15</f>
        <v>0</v>
      </c>
      <c r="TN23" s="96" t="n">
        <f aca="false">[1]ВИБУЛО2!FX15</f>
        <v>0</v>
      </c>
      <c r="TO23" s="97" t="n">
        <f aca="false">TO22-TN23+TM23</f>
        <v>0</v>
      </c>
      <c r="TP23" s="95" t="n">
        <f aca="false">[1]НАДІЙШЛО2!FY15</f>
        <v>0</v>
      </c>
      <c r="TQ23" s="96" t="n">
        <f aca="false">[1]ВИБУЛО2!FY15</f>
        <v>0</v>
      </c>
      <c r="TR23" s="97" t="n">
        <f aca="false">TR22-TQ23+TP23</f>
        <v>0</v>
      </c>
      <c r="TS23" s="95" t="n">
        <f aca="false">[1]НАДІЙШЛО2!FZ15</f>
        <v>0</v>
      </c>
      <c r="TT23" s="96" t="n">
        <f aca="false">[1]ВИБУЛО2!FZ15</f>
        <v>0</v>
      </c>
      <c r="TU23" s="97" t="n">
        <f aca="false">TU22-TT23+TS23</f>
        <v>0</v>
      </c>
      <c r="TV23" s="95" t="n">
        <f aca="false">[1]НАДІЙШЛО2!GA15</f>
        <v>0</v>
      </c>
      <c r="TW23" s="96" t="n">
        <f aca="false">[1]ВИБУЛО2!GA15</f>
        <v>0</v>
      </c>
      <c r="TX23" s="97" t="n">
        <f aca="false">TX22-TW23+TV23</f>
        <v>0</v>
      </c>
      <c r="TY23" s="95" t="n">
        <f aca="false">[1]НАДІЙШЛО2!GB15</f>
        <v>0</v>
      </c>
      <c r="TZ23" s="96" t="n">
        <f aca="false">[1]ВИБУЛО2!GB15</f>
        <v>0</v>
      </c>
      <c r="UA23" s="97" t="n">
        <f aca="false">UA22-TZ23+TY23</f>
        <v>0</v>
      </c>
      <c r="UB23" s="95" t="n">
        <f aca="false">[1]НАДІЙШЛО2!GC15</f>
        <v>0</v>
      </c>
      <c r="UC23" s="96" t="n">
        <f aca="false">[1]ВИБУЛО2!GC15</f>
        <v>0</v>
      </c>
      <c r="UD23" s="97" t="n">
        <f aca="false">UD22-UC23+UB23</f>
        <v>0</v>
      </c>
      <c r="UE23" s="95" t="n">
        <f aca="false">[1]НАДІЙШЛО2!GD15</f>
        <v>0</v>
      </c>
      <c r="UF23" s="96" t="n">
        <f aca="false">[1]ВИБУЛО2!GD15</f>
        <v>0</v>
      </c>
      <c r="UG23" s="97" t="n">
        <f aca="false">UG22-UF23+UE23</f>
        <v>0</v>
      </c>
      <c r="UH23" s="95" t="n">
        <f aca="false">[1]НАДІЙШЛО2!GE15</f>
        <v>0</v>
      </c>
      <c r="UI23" s="96" t="n">
        <f aca="false">[1]ВИБУЛО2!GE15</f>
        <v>0</v>
      </c>
      <c r="UJ23" s="97" t="n">
        <f aca="false">UJ22-UI23+UH23</f>
        <v>0</v>
      </c>
      <c r="UK23" s="95" t="n">
        <f aca="false">[1]НАДІЙШЛО2!GF15</f>
        <v>0</v>
      </c>
      <c r="UL23" s="96" t="n">
        <f aca="false">[1]ВИБУЛО2!GF15</f>
        <v>0</v>
      </c>
      <c r="UM23" s="97" t="n">
        <f aca="false">UM22-UL23+UK23</f>
        <v>0</v>
      </c>
      <c r="UN23" s="95" t="n">
        <f aca="false">[1]НАДІЙШЛО2!GG15</f>
        <v>0</v>
      </c>
      <c r="UO23" s="96" t="n">
        <f aca="false">[1]ВИБУЛО2!GG15</f>
        <v>0</v>
      </c>
      <c r="UP23" s="97" t="n">
        <f aca="false">UP22-UO23+UN23</f>
        <v>0</v>
      </c>
      <c r="UQ23" s="95" t="n">
        <f aca="false">[1]НАДІЙШЛО2!GH15</f>
        <v>0</v>
      </c>
      <c r="UR23" s="96" t="n">
        <f aca="false">[1]ВИБУЛО2!GH15</f>
        <v>0</v>
      </c>
      <c r="US23" s="97" t="n">
        <f aca="false">US22-UR23+UQ23</f>
        <v>0</v>
      </c>
      <c r="UT23" s="95" t="n">
        <f aca="false">[1]НАДІЙШЛО2!GI15</f>
        <v>0</v>
      </c>
      <c r="UU23" s="96" t="n">
        <f aca="false">[1]ВИБУЛО2!GI15</f>
        <v>0</v>
      </c>
      <c r="UV23" s="97" t="n">
        <f aca="false">UV22-UU23+UT23</f>
        <v>0</v>
      </c>
      <c r="UW23" s="95" t="n">
        <f aca="false">[1]НАДІЙШЛО2!GJ15</f>
        <v>0</v>
      </c>
      <c r="UX23" s="96" t="n">
        <f aca="false">[1]ВИБУЛО2!GJ15</f>
        <v>0</v>
      </c>
      <c r="UY23" s="97" t="n">
        <f aca="false">UY22-UX23+UW23</f>
        <v>0</v>
      </c>
      <c r="UZ23" s="95" t="n">
        <f aca="false">[1]НАДІЙШЛО2!GK15</f>
        <v>0</v>
      </c>
      <c r="VA23" s="96" t="n">
        <f aca="false">[1]ВИБУЛО2!GK15</f>
        <v>0</v>
      </c>
      <c r="VB23" s="97" t="n">
        <f aca="false">VB22-VA23+UZ23</f>
        <v>0</v>
      </c>
      <c r="VC23" s="95" t="n">
        <f aca="false">[1]НАДІЙШЛО2!GL15</f>
        <v>0</v>
      </c>
      <c r="VD23" s="96" t="n">
        <f aca="false">[1]ВИБУЛО2!GL15</f>
        <v>0</v>
      </c>
      <c r="VE23" s="97" t="n">
        <f aca="false">VE22-VD23+VC23</f>
        <v>0</v>
      </c>
      <c r="VF23" s="95" t="n">
        <f aca="false">[1]НАДІЙШЛО2!GM15</f>
        <v>0</v>
      </c>
      <c r="VG23" s="96" t="n">
        <f aca="false">[1]ВИБУЛО2!GM15</f>
        <v>0</v>
      </c>
      <c r="VH23" s="97" t="n">
        <f aca="false">VH22-VG23+VF23</f>
        <v>0</v>
      </c>
      <c r="VI23" s="95" t="n">
        <f aca="false">[1]НАДІЙШЛО2!GN15</f>
        <v>0</v>
      </c>
      <c r="VJ23" s="96" t="n">
        <f aca="false">[1]ВИБУЛО2!GN15</f>
        <v>0</v>
      </c>
      <c r="VK23" s="97" t="n">
        <f aca="false">VK22-VJ23+VI23</f>
        <v>0</v>
      </c>
      <c r="VL23" s="95" t="n">
        <f aca="false">[1]НАДІЙШЛО2!GO15</f>
        <v>0</v>
      </c>
      <c r="VM23" s="96" t="n">
        <f aca="false">[1]ВИБУЛО2!GO15</f>
        <v>0</v>
      </c>
      <c r="VN23" s="97" t="n">
        <f aca="false">VN22-VM23+VL23</f>
        <v>0</v>
      </c>
      <c r="VO23" s="95" t="n">
        <f aca="false">[1]НАДІЙШЛО2!GP15</f>
        <v>0</v>
      </c>
      <c r="VP23" s="96" t="n">
        <f aca="false">[1]ВИБУЛО2!GP15</f>
        <v>0</v>
      </c>
      <c r="VQ23" s="97" t="n">
        <f aca="false">VQ22-VP23+VO23</f>
        <v>0</v>
      </c>
      <c r="VR23" s="95" t="n">
        <f aca="false">[1]НАДІЙШЛО2!GQ15</f>
        <v>0</v>
      </c>
      <c r="VS23" s="96" t="n">
        <f aca="false">[1]ВИБУЛО2!GQ15</f>
        <v>0</v>
      </c>
      <c r="VT23" s="97" t="n">
        <f aca="false">VT22-VS23+VR23</f>
        <v>0</v>
      </c>
      <c r="VU23" s="95" t="n">
        <f aca="false">[1]НАДІЙШЛО2!GR15</f>
        <v>0</v>
      </c>
      <c r="VV23" s="96" t="n">
        <f aca="false">[1]ВИБУЛО2!GR15</f>
        <v>0</v>
      </c>
      <c r="VW23" s="97" t="n">
        <f aca="false">VW22-VV23+VU23</f>
        <v>0</v>
      </c>
      <c r="VX23" s="95" t="n">
        <f aca="false">[1]НАДІЙШЛО2!GS15</f>
        <v>0</v>
      </c>
      <c r="VY23" s="96" t="n">
        <f aca="false">[1]ВИБУЛО2!GS15</f>
        <v>0</v>
      </c>
      <c r="VZ23" s="97" t="n">
        <f aca="false">VZ22-VY23+VX23</f>
        <v>0</v>
      </c>
      <c r="WA23" s="95" t="n">
        <f aca="false">[1]НАДІЙШЛО2!GT15</f>
        <v>0</v>
      </c>
      <c r="WB23" s="96" t="n">
        <f aca="false">[1]ВИБУЛО2!GT15</f>
        <v>0</v>
      </c>
      <c r="WC23" s="97" t="n">
        <f aca="false">WC22-WB23+WA23</f>
        <v>0</v>
      </c>
      <c r="WD23" s="95" t="n">
        <f aca="false">[1]НАДІЙШЛО2!GU15</f>
        <v>0</v>
      </c>
      <c r="WE23" s="96" t="n">
        <f aca="false">[1]ВИБУЛО2!GU15</f>
        <v>0</v>
      </c>
      <c r="WF23" s="97" t="n">
        <f aca="false">WF22-WE23+WD23</f>
        <v>0</v>
      </c>
      <c r="WG23" s="95" t="n">
        <f aca="false">[1]НАДІЙШЛО2!GV15</f>
        <v>0</v>
      </c>
      <c r="WH23" s="96" t="n">
        <f aca="false">[1]ВИБУЛО2!GV15</f>
        <v>0</v>
      </c>
      <c r="WI23" s="97" t="n">
        <f aca="false">WI22-WH23+WG23</f>
        <v>0</v>
      </c>
      <c r="WJ23" s="95" t="n">
        <f aca="false">[1]НАДІЙШЛО2!GW15</f>
        <v>0</v>
      </c>
      <c r="WK23" s="96" t="n">
        <f aca="false">[1]ВИБУЛО2!GW15</f>
        <v>0</v>
      </c>
      <c r="WL23" s="97" t="n">
        <f aca="false">WL22-WK23+WJ23</f>
        <v>0</v>
      </c>
      <c r="WM23" s="95" t="n">
        <f aca="false">[1]НАДІЙШЛО2!GX15</f>
        <v>0</v>
      </c>
      <c r="WN23" s="96" t="n">
        <f aca="false">[1]ВИБУЛО2!GX15</f>
        <v>0</v>
      </c>
      <c r="WO23" s="97" t="n">
        <f aca="false">WO22-WN23+WM23</f>
        <v>0</v>
      </c>
      <c r="WP23" s="95" t="n">
        <f aca="false">[1]НАДІЙШЛО2!GY15</f>
        <v>0</v>
      </c>
      <c r="WQ23" s="96" t="n">
        <f aca="false">[1]ВИБУЛО2!GY15</f>
        <v>0</v>
      </c>
      <c r="WR23" s="97" t="n">
        <f aca="false">WR22-WQ23+WP23</f>
        <v>0</v>
      </c>
      <c r="WS23" s="95" t="n">
        <f aca="false">[1]НАДІЙШЛО2!GZ15</f>
        <v>0</v>
      </c>
      <c r="WT23" s="96" t="n">
        <f aca="false">[1]ВИБУЛО2!GZ15</f>
        <v>0</v>
      </c>
      <c r="WU23" s="97" t="n">
        <f aca="false">WU22-WT23+WS23</f>
        <v>0</v>
      </c>
      <c r="WV23" s="95" t="n">
        <f aca="false">[1]НАДІЙШЛО2!HA15</f>
        <v>0</v>
      </c>
      <c r="WW23" s="96" t="n">
        <f aca="false">[1]ВИБУЛО2!HA15</f>
        <v>0</v>
      </c>
      <c r="WX23" s="97" t="n">
        <f aca="false">WX22-WW23+WV23</f>
        <v>0</v>
      </c>
      <c r="WY23" s="95" t="n">
        <f aca="false">[1]НАДІЙШЛО2!HB15</f>
        <v>0</v>
      </c>
      <c r="WZ23" s="96" t="n">
        <f aca="false">[1]ВИБУЛО2!HB15</f>
        <v>0</v>
      </c>
      <c r="XA23" s="97" t="n">
        <f aca="false">XA22-WZ23+WY23</f>
        <v>0</v>
      </c>
      <c r="XB23" s="95" t="n">
        <f aca="false">[1]НАДІЙШЛО2!HC15</f>
        <v>0</v>
      </c>
      <c r="XC23" s="96" t="n">
        <f aca="false">[1]ВИБУЛО2!HC15</f>
        <v>0</v>
      </c>
      <c r="XD23" s="97" t="n">
        <f aca="false">XD22-XC23+XB23</f>
        <v>0</v>
      </c>
      <c r="XE23" s="95" t="n">
        <f aca="false">[1]НАДІЙШЛО2!HD15</f>
        <v>0</v>
      </c>
      <c r="XF23" s="96" t="n">
        <f aca="false">[1]ВИБУЛО2!HD15</f>
        <v>0</v>
      </c>
      <c r="XG23" s="97" t="n">
        <f aca="false">XG22-XF23+XE23</f>
        <v>0</v>
      </c>
      <c r="XH23" s="95" t="n">
        <f aca="false">[1]НАДІЙШЛО2!HE15</f>
        <v>0</v>
      </c>
      <c r="XI23" s="96" t="n">
        <f aca="false">[1]ВИБУЛО2!HE15</f>
        <v>0</v>
      </c>
      <c r="XJ23" s="97" t="n">
        <f aca="false">XJ22-XI23+XH23</f>
        <v>0</v>
      </c>
      <c r="XK23" s="95" t="n">
        <f aca="false">[1]НАДІЙШЛО2!HF15</f>
        <v>0</v>
      </c>
      <c r="XL23" s="96" t="n">
        <f aca="false">[1]ВИБУЛО2!HF15</f>
        <v>0</v>
      </c>
      <c r="XM23" s="97" t="n">
        <f aca="false">XM22-XL23+XK23</f>
        <v>0</v>
      </c>
      <c r="XN23" s="95" t="n">
        <f aca="false">[1]НАДІЙШЛО2!HG15</f>
        <v>0</v>
      </c>
      <c r="XO23" s="96" t="n">
        <f aca="false">[1]ВИБУЛО2!HG15</f>
        <v>0</v>
      </c>
      <c r="XP23" s="97" t="n">
        <f aca="false">XP22-XO23+XN23</f>
        <v>0</v>
      </c>
      <c r="XQ23" s="95" t="n">
        <f aca="false">[1]НАДІЙШЛО2!HH15</f>
        <v>0</v>
      </c>
      <c r="XR23" s="96" t="n">
        <f aca="false">[1]ВИБУЛО2!HH15</f>
        <v>0</v>
      </c>
      <c r="XS23" s="97" t="n">
        <f aca="false">XS22-XR23+XQ23</f>
        <v>0</v>
      </c>
      <c r="XT23" s="95" t="n">
        <f aca="false">[1]НАДІЙШЛО2!HI15</f>
        <v>0</v>
      </c>
      <c r="XU23" s="96" t="n">
        <f aca="false">[1]ВИБУЛО2!HI15</f>
        <v>0</v>
      </c>
      <c r="XV23" s="97" t="n">
        <f aca="false">XV22-XU23+XT23</f>
        <v>0</v>
      </c>
      <c r="XW23" s="95" t="n">
        <f aca="false">[1]НАДІЙШЛО2!HJ15</f>
        <v>0</v>
      </c>
      <c r="XX23" s="96" t="n">
        <f aca="false">[1]ВИБУЛО2!HJ15</f>
        <v>0</v>
      </c>
      <c r="XY23" s="97" t="n">
        <f aca="false">XY22-XX23+XW23</f>
        <v>0</v>
      </c>
      <c r="XZ23" s="95" t="n">
        <f aca="false">[1]НАДІЙШЛО2!HK15</f>
        <v>0</v>
      </c>
      <c r="YA23" s="96" t="n">
        <f aca="false">[1]ВИБУЛО2!HK15</f>
        <v>0</v>
      </c>
      <c r="YB23" s="97" t="n">
        <f aca="false">YB22-YA23+XZ23</f>
        <v>0</v>
      </c>
      <c r="YC23" s="95" t="n">
        <f aca="false">[1]НАДІЙШЛО2!HL15</f>
        <v>0</v>
      </c>
      <c r="YD23" s="96" t="n">
        <f aca="false">[1]ВИБУЛО2!HL15</f>
        <v>0</v>
      </c>
      <c r="YE23" s="97" t="n">
        <f aca="false">YE22-YD23+YC23</f>
        <v>0</v>
      </c>
      <c r="YF23" s="95" t="n">
        <f aca="false">[1]НАДІЙШЛО2!HM15</f>
        <v>0</v>
      </c>
      <c r="YG23" s="96" t="n">
        <f aca="false">[1]ВИБУЛО2!HM15</f>
        <v>0</v>
      </c>
      <c r="YH23" s="97" t="n">
        <f aca="false">YH22-YG23+YF23</f>
        <v>0</v>
      </c>
      <c r="YI23" s="95" t="n">
        <f aca="false">[1]НАДІЙШЛО2!HN15</f>
        <v>0</v>
      </c>
      <c r="YJ23" s="96" t="n">
        <f aca="false">[1]ВИБУЛО2!HN15</f>
        <v>0</v>
      </c>
      <c r="YK23" s="97" t="n">
        <f aca="false">YK22-YJ23+YI23</f>
        <v>0</v>
      </c>
      <c r="YL23" s="95" t="n">
        <f aca="false">[1]НАДІЙШЛО2!HO15</f>
        <v>0</v>
      </c>
      <c r="YM23" s="96" t="n">
        <f aca="false">[1]ВИБУЛО2!HO15</f>
        <v>0</v>
      </c>
      <c r="YN23" s="97" t="n">
        <f aca="false">YN22-YM23+YL23</f>
        <v>0</v>
      </c>
      <c r="YO23" s="95" t="n">
        <f aca="false">[1]НАДІЙШЛО2!HP15</f>
        <v>0</v>
      </c>
      <c r="YP23" s="96" t="n">
        <f aca="false">[1]ВИБУЛО2!HP15</f>
        <v>0</v>
      </c>
      <c r="YQ23" s="97" t="n">
        <f aca="false">YQ22-YP23+YO23</f>
        <v>0</v>
      </c>
      <c r="YR23" s="95" t="n">
        <f aca="false">[1]НАДІЙШЛО2!HQ15</f>
        <v>0</v>
      </c>
      <c r="YS23" s="96" t="n">
        <f aca="false">[1]ВИБУЛО2!HQ15</f>
        <v>0</v>
      </c>
      <c r="YT23" s="97" t="n">
        <f aca="false">YT22-YS23+YR23</f>
        <v>0</v>
      </c>
      <c r="YU23" s="95" t="n">
        <f aca="false">[1]НАДІЙШЛО2!HR15</f>
        <v>0</v>
      </c>
      <c r="YV23" s="96" t="n">
        <f aca="false">[1]ВИБУЛО2!HR15</f>
        <v>0</v>
      </c>
      <c r="YW23" s="97" t="n">
        <f aca="false">YW22-YV23+YU23</f>
        <v>0</v>
      </c>
      <c r="YX23" s="95" t="n">
        <f aca="false">[1]НАДІЙШЛО2!HS15</f>
        <v>0</v>
      </c>
      <c r="YY23" s="96" t="n">
        <f aca="false">[1]ВИБУЛО2!HS15</f>
        <v>0</v>
      </c>
      <c r="YZ23" s="97" t="n">
        <f aca="false">YZ22-YY23+YX23</f>
        <v>0</v>
      </c>
      <c r="ZA23" s="95" t="n">
        <f aca="false">[1]НАДІЙШЛО2!HT15</f>
        <v>0</v>
      </c>
      <c r="ZB23" s="96" t="n">
        <f aca="false">[1]ВИБУЛО2!HT15</f>
        <v>0</v>
      </c>
      <c r="ZC23" s="97" t="n">
        <f aca="false">ZC22-ZB23+ZA23</f>
        <v>0</v>
      </c>
      <c r="ZD23" s="95" t="n">
        <f aca="false">[1]НАДІЙШЛО2!HU15</f>
        <v>0</v>
      </c>
      <c r="ZE23" s="96" t="n">
        <f aca="false">[1]ВИБУЛО2!HU15</f>
        <v>0</v>
      </c>
      <c r="ZF23" s="97" t="n">
        <f aca="false">ZF22-ZE23+ZD23</f>
        <v>0</v>
      </c>
      <c r="ZG23" s="95" t="n">
        <f aca="false">[1]НАДІЙШЛО2!HV15</f>
        <v>0</v>
      </c>
      <c r="ZH23" s="96" t="n">
        <f aca="false">[1]ВИБУЛО2!HV15</f>
        <v>0</v>
      </c>
      <c r="ZI23" s="97" t="n">
        <f aca="false">ZI22-ZH23+ZG23</f>
        <v>0</v>
      </c>
      <c r="ZJ23" s="95" t="n">
        <f aca="false">[1]НАДІЙШЛО2!HW15</f>
        <v>0</v>
      </c>
      <c r="ZK23" s="96" t="n">
        <f aca="false">[1]ВИБУЛО2!HW15</f>
        <v>0</v>
      </c>
      <c r="ZL23" s="97" t="n">
        <f aca="false">ZL22-ZK23+ZJ23</f>
        <v>0</v>
      </c>
      <c r="ZM23" s="95" t="n">
        <f aca="false">[1]НАДІЙШЛО2!HX15</f>
        <v>0</v>
      </c>
      <c r="ZN23" s="96" t="n">
        <f aca="false">[1]ВИБУЛО2!HX15</f>
        <v>0</v>
      </c>
      <c r="ZO23" s="97" t="n">
        <f aca="false">ZO22-ZN23+ZM23</f>
        <v>0</v>
      </c>
      <c r="ZP23" s="95" t="n">
        <f aca="false">[1]НАДІЙШЛО2!HY15</f>
        <v>0</v>
      </c>
      <c r="ZQ23" s="96" t="n">
        <f aca="false">[1]ВИБУЛО2!HY15</f>
        <v>0</v>
      </c>
      <c r="ZR23" s="97" t="n">
        <f aca="false">ZR22-ZQ23+ZP23</f>
        <v>0</v>
      </c>
      <c r="ZS23" s="95" t="n">
        <f aca="false">[1]НАДІЙШЛО2!HZ15</f>
        <v>0</v>
      </c>
      <c r="ZT23" s="96" t="n">
        <f aca="false">[1]ВИБУЛО2!HZ15</f>
        <v>0</v>
      </c>
      <c r="ZU23" s="97" t="n">
        <f aca="false">ZU22-ZT23+ZS23</f>
        <v>0</v>
      </c>
      <c r="ZV23" s="95" t="n">
        <f aca="false">[1]НАДІЙШЛО2!IA15</f>
        <v>0</v>
      </c>
      <c r="ZW23" s="96" t="n">
        <f aca="false">[1]ВИБУЛО2!IA15</f>
        <v>0</v>
      </c>
      <c r="ZX23" s="97" t="n">
        <f aca="false">ZX22-ZW23+ZV23</f>
        <v>0</v>
      </c>
      <c r="ZY23" s="95" t="n">
        <f aca="false">[1]НАДІЙШЛО2!IB15</f>
        <v>0</v>
      </c>
      <c r="ZZ23" s="96" t="n">
        <f aca="false">[1]ВИБУЛО2!IB15</f>
        <v>0</v>
      </c>
      <c r="AAA23" s="97" t="n">
        <f aca="false">AAA22-ZZ23+ZY23</f>
        <v>0</v>
      </c>
      <c r="AAB23" s="95" t="n">
        <f aca="false">[1]НАДІЙШЛО2!IC15</f>
        <v>0</v>
      </c>
      <c r="AAC23" s="96" t="n">
        <f aca="false">[1]ВИБУЛО2!IC15</f>
        <v>0</v>
      </c>
      <c r="AAD23" s="97" t="n">
        <f aca="false">AAD22-AAC23+AAB23</f>
        <v>0</v>
      </c>
      <c r="AAE23" s="95" t="n">
        <f aca="false">[1]НАДІЙШЛО2!ID15</f>
        <v>0</v>
      </c>
      <c r="AAF23" s="96" t="n">
        <f aca="false">[1]ВИБУЛО2!ID15</f>
        <v>0</v>
      </c>
      <c r="AAG23" s="97" t="n">
        <f aca="false">AAG22-AAF23+AAE23</f>
        <v>0</v>
      </c>
      <c r="AAH23" s="95" t="n">
        <f aca="false">[1]НАДІЙШЛО2!IE15</f>
        <v>0</v>
      </c>
      <c r="AAI23" s="96" t="n">
        <f aca="false">[1]ВИБУЛО2!IE15</f>
        <v>0</v>
      </c>
      <c r="AAJ23" s="97" t="n">
        <f aca="false">AAJ22-AAI23+AAH23</f>
        <v>0</v>
      </c>
      <c r="AAK23" s="95" t="n">
        <f aca="false">[1]НАДІЙШЛО2!IF15</f>
        <v>0</v>
      </c>
      <c r="AAL23" s="96" t="n">
        <f aca="false">[1]ВИБУЛО2!IF15</f>
        <v>0</v>
      </c>
      <c r="AAM23" s="97" t="n">
        <f aca="false">AAM22-AAL23+AAK23</f>
        <v>0</v>
      </c>
      <c r="AAN23" s="95" t="n">
        <f aca="false">[1]НАДІЙШЛО2!IG15</f>
        <v>0</v>
      </c>
      <c r="AAO23" s="96" t="n">
        <f aca="false">[1]ВИБУЛО2!IG15</f>
        <v>0</v>
      </c>
      <c r="AAP23" s="97" t="n">
        <f aca="false">AAP22-AAO23+AAN23</f>
        <v>0</v>
      </c>
      <c r="AAQ23" s="95" t="n">
        <f aca="false">[1]НАДІЙШЛО2!IH15</f>
        <v>0</v>
      </c>
      <c r="AAR23" s="96" t="n">
        <f aca="false">[1]ВИБУЛО2!IH15</f>
        <v>0</v>
      </c>
      <c r="AAS23" s="97" t="n">
        <f aca="false">AAS22-AAR23+AAQ23</f>
        <v>0</v>
      </c>
      <c r="AAT23" s="95" t="n">
        <f aca="false">[1]НАДІЙШЛО2!II15</f>
        <v>0</v>
      </c>
      <c r="AAU23" s="96" t="n">
        <f aca="false">[1]ВИБУЛО2!II15</f>
        <v>0</v>
      </c>
      <c r="AAV23" s="97" t="n">
        <f aca="false">AAV22-AAU23+AAT23</f>
        <v>0</v>
      </c>
      <c r="AAW23" s="95" t="n">
        <f aca="false">[1]НАДІЙШЛО2!IJ15</f>
        <v>0</v>
      </c>
      <c r="AAX23" s="96" t="n">
        <f aca="false">[1]ВИБУЛО2!IJ15</f>
        <v>0</v>
      </c>
      <c r="AAY23" s="97" t="n">
        <f aca="false">AAY22-AAX23+AAW23</f>
        <v>0</v>
      </c>
      <c r="AAZ23" s="95" t="n">
        <f aca="false">[1]НАДІЙШЛО2!IK15</f>
        <v>0</v>
      </c>
      <c r="ABA23" s="96" t="n">
        <f aca="false">[1]ВИБУЛО2!IK15</f>
        <v>0</v>
      </c>
      <c r="ABB23" s="97" t="n">
        <f aca="false">ABB22-ABA23+AAZ23</f>
        <v>0</v>
      </c>
      <c r="ABC23" s="95" t="n">
        <f aca="false">[1]НАДІЙШЛО2!IL15</f>
        <v>0</v>
      </c>
      <c r="ABD23" s="96" t="n">
        <f aca="false">[1]ВИБУЛО2!IL15</f>
        <v>0</v>
      </c>
      <c r="ABE23" s="97" t="n">
        <f aca="false">ABE22-ABD23+ABC23</f>
        <v>0</v>
      </c>
      <c r="ABF23" s="95" t="n">
        <f aca="false">[1]НАДІЙШЛО2!IM15</f>
        <v>0</v>
      </c>
      <c r="ABG23" s="96" t="n">
        <f aca="false">[1]ВИБУЛО2!IM15</f>
        <v>0</v>
      </c>
      <c r="ABH23" s="97" t="n">
        <f aca="false">ABH22-ABG23+ABF23</f>
        <v>0</v>
      </c>
      <c r="ABI23" s="95" t="n">
        <f aca="false">[1]НАДІЙШЛО2!IN15</f>
        <v>0</v>
      </c>
      <c r="ABJ23" s="96" t="n">
        <f aca="false">[1]ВИБУЛО2!IN15</f>
        <v>0</v>
      </c>
      <c r="ABK23" s="97" t="n">
        <f aca="false">ABK22-ABJ23+ABI23</f>
        <v>0</v>
      </c>
      <c r="ABL23" s="95" t="n">
        <f aca="false">[1]НАДІЙШЛО2!IO15</f>
        <v>0</v>
      </c>
      <c r="ABM23" s="96" t="n">
        <f aca="false">[1]ВИБУЛО2!IO15</f>
        <v>0</v>
      </c>
      <c r="ABN23" s="97" t="n">
        <f aca="false">ABN22-ABM23+ABL23</f>
        <v>0</v>
      </c>
      <c r="ABO23" s="95" t="n">
        <f aca="false">[1]НАДІЙШЛО2!IP15</f>
        <v>0</v>
      </c>
      <c r="ABP23" s="96" t="n">
        <f aca="false">[1]ВИБУЛО2!IP15</f>
        <v>0</v>
      </c>
      <c r="ABQ23" s="97" t="n">
        <f aca="false">ABQ22-ABP23+ABO23</f>
        <v>0</v>
      </c>
      <c r="ABR23" s="95" t="n">
        <f aca="false">[1]НАДІЙШЛО2!IQ15</f>
        <v>0</v>
      </c>
      <c r="ABS23" s="96" t="n">
        <f aca="false">[1]ВИБУЛО2!IQ15</f>
        <v>0</v>
      </c>
      <c r="ABT23" s="97" t="n">
        <f aca="false">ABT22-ABS23+ABR23</f>
        <v>0</v>
      </c>
      <c r="ABU23" s="95" t="n">
        <f aca="false">[1]НАДІЙШЛО2!IR15</f>
        <v>0</v>
      </c>
      <c r="ABV23" s="96" t="n">
        <f aca="false">[1]ВИБУЛО2!IR15</f>
        <v>0</v>
      </c>
      <c r="ABW23" s="97" t="n">
        <f aca="false">ABW22-ABV23+ABU23</f>
        <v>0</v>
      </c>
      <c r="ABX23" s="95" t="n">
        <f aca="false">[1]НАДІЙШЛО2!IS15</f>
        <v>0</v>
      </c>
      <c r="ABY23" s="96" t="n">
        <f aca="false">[1]ВИБУЛО2!IS15</f>
        <v>0</v>
      </c>
      <c r="ABZ23" s="97" t="n">
        <f aca="false">ABZ22-ABY23+ABX23</f>
        <v>0</v>
      </c>
      <c r="ACA23" s="95" t="n">
        <f aca="false">[1]НАДІЙШЛО2!IT15</f>
        <v>0</v>
      </c>
      <c r="ACB23" s="96" t="n">
        <f aca="false">[1]ВИБУЛО2!IT15</f>
        <v>0</v>
      </c>
      <c r="ACC23" s="97" t="n">
        <f aca="false">ACC22-ACB23+ACA23</f>
        <v>0</v>
      </c>
      <c r="ACD23" s="95" t="n">
        <f aca="false">[1]НАДІЙШЛО2!IU15</f>
        <v>0</v>
      </c>
      <c r="ACE23" s="96" t="n">
        <f aca="false">[1]ВИБУЛО2!IU15</f>
        <v>0</v>
      </c>
      <c r="ACF23" s="97" t="n">
        <f aca="false">ACF22-ACE23+ACD23</f>
        <v>0</v>
      </c>
      <c r="ACG23" s="95" t="n">
        <f aca="false">[1]НАДІЙШЛО2!IV15</f>
        <v>0</v>
      </c>
      <c r="ACH23" s="96" t="n">
        <f aca="false">[1]ВИБУЛО2!IV15</f>
        <v>0</v>
      </c>
      <c r="ACI23" s="97" t="n">
        <f aca="false">ACI22-ACH23+ACG23</f>
        <v>0</v>
      </c>
      <c r="ACJ23" s="95" t="n">
        <f aca="false">[1]НАДІЙШЛО2!IW15</f>
        <v>0</v>
      </c>
      <c r="ACK23" s="96" t="n">
        <f aca="false">[1]ВИБУЛО2!IW15</f>
        <v>0</v>
      </c>
      <c r="ACL23" s="97" t="n">
        <f aca="false">ACL22-ACK23+ACJ23</f>
        <v>0</v>
      </c>
      <c r="ACM23" s="95" t="n">
        <f aca="false">[1]НАДІЙШЛО2!IX15</f>
        <v>0</v>
      </c>
      <c r="ACN23" s="96" t="n">
        <f aca="false">[1]ВИБУЛО2!IX15</f>
        <v>0</v>
      </c>
      <c r="ACO23" s="97" t="n">
        <f aca="false">ACO22-ACN23+ACM23</f>
        <v>0</v>
      </c>
      <c r="ACP23" s="95" t="n">
        <f aca="false">[1]НАДІЙШЛО2!IY15</f>
        <v>0</v>
      </c>
      <c r="ACQ23" s="96" t="n">
        <f aca="false">[1]ВИБУЛО2!IY15</f>
        <v>0</v>
      </c>
      <c r="ACR23" s="97" t="n">
        <f aca="false">ACR22-ACQ23+ACP23</f>
        <v>0</v>
      </c>
      <c r="ACS23" s="95" t="n">
        <f aca="false">[1]НАДІЙШЛО2!IZ15</f>
        <v>0</v>
      </c>
      <c r="ACT23" s="96" t="n">
        <f aca="false">[1]ВИБУЛО2!IZ15</f>
        <v>0</v>
      </c>
      <c r="ACU23" s="97" t="n">
        <f aca="false">ACU22-ACT23+ACS23</f>
        <v>0</v>
      </c>
      <c r="ACV23" s="95" t="n">
        <f aca="false">[1]НАДІЙШЛО2!JA15</f>
        <v>0</v>
      </c>
      <c r="ACW23" s="96" t="n">
        <f aca="false">[1]ВИБУЛО2!JA15</f>
        <v>0</v>
      </c>
      <c r="ACX23" s="97" t="n">
        <f aca="false">ACX22-ACW23+ACV23</f>
        <v>0</v>
      </c>
      <c r="ACY23" s="95" t="n">
        <f aca="false">[1]НАДІЙШЛО2!JB15</f>
        <v>0</v>
      </c>
      <c r="ACZ23" s="96" t="n">
        <f aca="false">[1]ВИБУЛО2!JB15</f>
        <v>0</v>
      </c>
      <c r="ADA23" s="97" t="n">
        <f aca="false">ADA22-ACZ23+ACY23</f>
        <v>0</v>
      </c>
      <c r="ADB23" s="95" t="n">
        <f aca="false">[1]НАДІЙШЛО2!JC15</f>
        <v>0</v>
      </c>
      <c r="ADC23" s="96" t="n">
        <f aca="false">[1]ВИБУЛО2!JC15</f>
        <v>0</v>
      </c>
      <c r="ADD23" s="97" t="n">
        <f aca="false">ADD22-ADC23+ADB23</f>
        <v>0</v>
      </c>
      <c r="ADE23" s="95" t="n">
        <f aca="false">[1]НАДІЙШЛО2!JD15</f>
        <v>0</v>
      </c>
      <c r="ADF23" s="96" t="n">
        <f aca="false">[1]ВИБУЛО2!JD15</f>
        <v>0</v>
      </c>
      <c r="ADG23" s="97" t="n">
        <f aca="false">ADG22-ADF23+ADE23</f>
        <v>0</v>
      </c>
      <c r="ADH23" s="95" t="n">
        <f aca="false">[1]НАДІЙШЛО2!JE15</f>
        <v>0</v>
      </c>
      <c r="ADI23" s="96" t="n">
        <f aca="false">[1]ВИБУЛО2!JE15</f>
        <v>0</v>
      </c>
      <c r="ADJ23" s="97" t="n">
        <f aca="false">ADJ22-ADI23+ADH23</f>
        <v>0</v>
      </c>
      <c r="ADK23" s="95" t="n">
        <f aca="false">[1]НАДІЙШЛО2!JF15</f>
        <v>0</v>
      </c>
      <c r="ADL23" s="96" t="n">
        <f aca="false">[1]ВИБУЛО2!JF15</f>
        <v>0</v>
      </c>
      <c r="ADM23" s="97" t="n">
        <f aca="false">ADM22-ADL23+ADK23</f>
        <v>0</v>
      </c>
      <c r="ADN23" s="95" t="n">
        <f aca="false">[1]НАДІЙШЛО2!JG15</f>
        <v>0</v>
      </c>
      <c r="ADO23" s="96" t="n">
        <f aca="false">[1]ВИБУЛО2!JG15</f>
        <v>0</v>
      </c>
      <c r="ADP23" s="97" t="n">
        <f aca="false">ADP22-ADO23+ADN23</f>
        <v>0</v>
      </c>
      <c r="ADQ23" s="95" t="n">
        <f aca="false">[1]НАДІЙШЛО2!JH15</f>
        <v>0</v>
      </c>
      <c r="ADR23" s="96" t="n">
        <f aca="false">[1]ВИБУЛО2!JH15</f>
        <v>0</v>
      </c>
      <c r="ADS23" s="97" t="n">
        <f aca="false">ADS22-ADR23+ADQ23</f>
        <v>0</v>
      </c>
      <c r="ADT23" s="95" t="n">
        <f aca="false">[1]НАДІЙШЛО2!JI15</f>
        <v>0</v>
      </c>
      <c r="ADU23" s="96" t="n">
        <f aca="false">[1]ВИБУЛО2!JI15</f>
        <v>0</v>
      </c>
      <c r="ADV23" s="97" t="n">
        <f aca="false">ADV22-ADU23+ADT23</f>
        <v>0</v>
      </c>
      <c r="ADW23" s="95" t="n">
        <f aca="false">[1]НАДІЙШЛО2!JJ15</f>
        <v>0</v>
      </c>
      <c r="ADX23" s="96" t="n">
        <f aca="false">[1]ВИБУЛО2!JJ15</f>
        <v>0</v>
      </c>
      <c r="ADY23" s="97" t="n">
        <f aca="false">ADY22-ADX23+ADW23</f>
        <v>0</v>
      </c>
      <c r="ADZ23" s="95" t="n">
        <f aca="false">[1]НАДІЙШЛО2!JK15</f>
        <v>0</v>
      </c>
      <c r="AEA23" s="96" t="n">
        <f aca="false">[1]ВИБУЛО2!JK15</f>
        <v>0</v>
      </c>
      <c r="AEB23" s="97" t="n">
        <f aca="false">AEB22-AEA23+ADZ23</f>
        <v>0</v>
      </c>
      <c r="AEC23" s="95" t="n">
        <f aca="false">[1]НАДІЙШЛО2!JL15</f>
        <v>0</v>
      </c>
      <c r="AED23" s="96" t="n">
        <f aca="false">[1]ВИБУЛО2!JL15</f>
        <v>0</v>
      </c>
      <c r="AEE23" s="97" t="n">
        <f aca="false">AEE22-AED23+AEC23</f>
        <v>0</v>
      </c>
      <c r="AEF23" s="95" t="n">
        <f aca="false">[1]НАДІЙШЛО2!JM15</f>
        <v>0</v>
      </c>
      <c r="AEG23" s="96" t="n">
        <f aca="false">[1]ВИБУЛО2!JM15</f>
        <v>0</v>
      </c>
      <c r="AEH23" s="97" t="n">
        <f aca="false">AEH22-AEG23+AEF23</f>
        <v>0</v>
      </c>
      <c r="AEI23" s="95" t="n">
        <f aca="false">[1]НАДІЙШЛО2!JN15</f>
        <v>0</v>
      </c>
      <c r="AEJ23" s="96" t="n">
        <f aca="false">[1]ВИБУЛО2!JN15</f>
        <v>0</v>
      </c>
      <c r="AEK23" s="97" t="n">
        <f aca="false">AEK22-AEJ23+AEI23</f>
        <v>0</v>
      </c>
      <c r="AEL23" s="95" t="n">
        <f aca="false">[1]НАДІЙШЛО2!JO15</f>
        <v>0</v>
      </c>
      <c r="AEM23" s="96" t="n">
        <f aca="false">[1]ВИБУЛО2!JO15</f>
        <v>0</v>
      </c>
      <c r="AEN23" s="97" t="n">
        <f aca="false">AEN22-AEM23+AEL23</f>
        <v>0</v>
      </c>
      <c r="AEO23" s="95" t="n">
        <f aca="false">[1]НАДІЙШЛО2!JP15</f>
        <v>0</v>
      </c>
      <c r="AEP23" s="96" t="n">
        <f aca="false">[1]ВИБУЛО2!JP15</f>
        <v>0</v>
      </c>
      <c r="AEQ23" s="97" t="n">
        <f aca="false">AEQ22-AEP23+AEO23</f>
        <v>0</v>
      </c>
      <c r="AER23" s="95" t="n">
        <f aca="false">[1]НАДІЙШЛО2!JQ15</f>
        <v>0</v>
      </c>
      <c r="AES23" s="96" t="n">
        <f aca="false">[1]ВИБУЛО2!JQ15</f>
        <v>0</v>
      </c>
      <c r="AET23" s="97" t="n">
        <f aca="false">AET22-AES23+AER23</f>
        <v>0</v>
      </c>
      <c r="AEU23" s="95" t="n">
        <f aca="false">[1]НАДІЙШЛО2!JR15</f>
        <v>0</v>
      </c>
      <c r="AEV23" s="96" t="n">
        <f aca="false">[1]ВИБУЛО2!JR15</f>
        <v>0</v>
      </c>
      <c r="AEW23" s="97" t="n">
        <f aca="false">AEW22-AEV23+AEU23</f>
        <v>0</v>
      </c>
      <c r="AEX23" s="95" t="n">
        <f aca="false">[1]НАДІЙШЛО2!JS15</f>
        <v>0</v>
      </c>
      <c r="AEY23" s="96" t="n">
        <f aca="false">[1]ВИБУЛО2!JS15</f>
        <v>0</v>
      </c>
      <c r="AEZ23" s="97" t="n">
        <f aca="false">AEZ22-AEY23+AEX23</f>
        <v>0</v>
      </c>
      <c r="AFA23" s="95" t="n">
        <f aca="false">[1]НАДІЙШЛО2!JT15</f>
        <v>0</v>
      </c>
      <c r="AFB23" s="96" t="n">
        <f aca="false">[1]ВИБУЛО2!JT15</f>
        <v>0</v>
      </c>
      <c r="AFC23" s="97" t="n">
        <f aca="false">AFC22-AFB23+AFA23</f>
        <v>0</v>
      </c>
      <c r="AFD23" s="95" t="n">
        <f aca="false">[1]НАДІЙШЛО2!JU15</f>
        <v>0</v>
      </c>
      <c r="AFE23" s="96" t="n">
        <f aca="false">[1]ВИБУЛО2!JU15</f>
        <v>0</v>
      </c>
      <c r="AFF23" s="97" t="n">
        <f aca="false">AFF22-AFE23+AFD23</f>
        <v>0</v>
      </c>
      <c r="AFG23" s="95" t="n">
        <f aca="false">[1]НАДІЙШЛО2!JV15</f>
        <v>0</v>
      </c>
      <c r="AFH23" s="96" t="n">
        <f aca="false">[1]ВИБУЛО2!JV15</f>
        <v>0</v>
      </c>
      <c r="AFI23" s="97" t="n">
        <f aca="false">AFI22-AFH23+AFG23</f>
        <v>0</v>
      </c>
      <c r="AFJ23" s="95" t="n">
        <f aca="false">[1]НАДІЙШЛО2!JW15</f>
        <v>0</v>
      </c>
      <c r="AFK23" s="96" t="n">
        <f aca="false">[1]ВИБУЛО2!JW15</f>
        <v>0</v>
      </c>
      <c r="AFL23" s="97" t="n">
        <f aca="false">AFL22-AFK23+AFJ23</f>
        <v>0</v>
      </c>
      <c r="AFM23" s="95" t="n">
        <f aca="false">[1]НАДІЙШЛО2!JX15</f>
        <v>0</v>
      </c>
      <c r="AFN23" s="96" t="n">
        <f aca="false">[1]ВИБУЛО2!JX15</f>
        <v>0</v>
      </c>
      <c r="AFO23" s="97" t="n">
        <f aca="false">AFO22-AFN23+AFM23</f>
        <v>0</v>
      </c>
      <c r="AFP23" s="95" t="n">
        <f aca="false">[1]НАДІЙШЛО2!JY15</f>
        <v>0</v>
      </c>
      <c r="AFQ23" s="96" t="n">
        <f aca="false">[1]ВИБУЛО2!JY15</f>
        <v>0</v>
      </c>
      <c r="AFR23" s="97" t="n">
        <f aca="false">AFR22-AFQ23+AFP23</f>
        <v>0</v>
      </c>
      <c r="AFS23" s="95" t="n">
        <f aca="false">[1]НАДІЙШЛО2!JZ15</f>
        <v>0</v>
      </c>
      <c r="AFT23" s="96" t="n">
        <f aca="false">[1]ВИБУЛО2!JZ15</f>
        <v>0</v>
      </c>
      <c r="AFU23" s="97" t="n">
        <f aca="false">AFU22-AFT23+AFS23</f>
        <v>0</v>
      </c>
      <c r="AFV23" s="95" t="n">
        <f aca="false">[1]НАДІЙШЛО2!KA15</f>
        <v>0</v>
      </c>
      <c r="AFW23" s="96" t="n">
        <f aca="false">[1]ВИБУЛО2!KA15</f>
        <v>0</v>
      </c>
      <c r="AFX23" s="97" t="n">
        <f aca="false">AFX22-AFW23+AFV23</f>
        <v>0</v>
      </c>
      <c r="AFY23" s="95" t="n">
        <f aca="false">[1]НАДІЙШЛО2!KB15</f>
        <v>0</v>
      </c>
      <c r="AFZ23" s="96" t="n">
        <f aca="false">[1]ВИБУЛО2!KB15</f>
        <v>0</v>
      </c>
      <c r="AGA23" s="97" t="n">
        <f aca="false">AGA22-AFZ23+AFY23</f>
        <v>0</v>
      </c>
      <c r="AGB23" s="95" t="n">
        <f aca="false">[1]НАДІЙШЛО2!KC15</f>
        <v>0</v>
      </c>
      <c r="AGC23" s="96" t="n">
        <f aca="false">[1]ВИБУЛО2!KC15</f>
        <v>0</v>
      </c>
      <c r="AGD23" s="97" t="n">
        <f aca="false">AGD22-AGC23+AGB23</f>
        <v>0</v>
      </c>
      <c r="AGE23" s="95" t="n">
        <f aca="false">[1]НАДІЙШЛО2!KD15</f>
        <v>0</v>
      </c>
      <c r="AGF23" s="96" t="n">
        <f aca="false">[1]ВИБУЛО2!KD15</f>
        <v>0</v>
      </c>
      <c r="AGG23" s="97" t="n">
        <f aca="false">AGG22-AGF23+AGE23</f>
        <v>0</v>
      </c>
      <c r="AGH23" s="95" t="n">
        <f aca="false">[1]НАДІЙШЛО2!KE15</f>
        <v>0</v>
      </c>
      <c r="AGI23" s="96" t="n">
        <f aca="false">[1]ВИБУЛО2!KE15</f>
        <v>0</v>
      </c>
      <c r="AGJ23" s="97" t="n">
        <f aca="false">AGJ22-AGI23+AGH23</f>
        <v>0</v>
      </c>
      <c r="AGK23" s="95" t="n">
        <f aca="false">[1]НАДІЙШЛО2!KF15</f>
        <v>0</v>
      </c>
      <c r="AGL23" s="96" t="n">
        <f aca="false">[1]ВИБУЛО2!KF15</f>
        <v>0</v>
      </c>
      <c r="AGM23" s="97" t="n">
        <f aca="false">AGM22-AGL23+AGK23</f>
        <v>0</v>
      </c>
      <c r="AGN23" s="95" t="n">
        <f aca="false">[1]НАДІЙШЛО2!KG15</f>
        <v>0</v>
      </c>
      <c r="AGO23" s="96" t="n">
        <f aca="false">[1]ВИБУЛО2!KG15</f>
        <v>0</v>
      </c>
      <c r="AGP23" s="97" t="n">
        <f aca="false">AGP22-AGO23+AGN23</f>
        <v>0</v>
      </c>
      <c r="AGQ23" s="95" t="n">
        <f aca="false">[1]НАДІЙШЛО2!KH15</f>
        <v>0</v>
      </c>
      <c r="AGR23" s="96" t="n">
        <f aca="false">[1]ВИБУЛО2!KH15</f>
        <v>0</v>
      </c>
      <c r="AGS23" s="97" t="n">
        <f aca="false">AGS22-AGR23+AGQ23</f>
        <v>0</v>
      </c>
      <c r="AGT23" s="95" t="n">
        <f aca="false">[1]НАДІЙШЛО2!KI15</f>
        <v>0</v>
      </c>
      <c r="AGU23" s="96" t="n">
        <f aca="false">[1]ВИБУЛО2!KI15</f>
        <v>0</v>
      </c>
      <c r="AGV23" s="97" t="n">
        <f aca="false">AGV22-AGU23+AGT23</f>
        <v>0</v>
      </c>
      <c r="AGW23" s="95" t="n">
        <f aca="false">[1]НАДІЙШЛО2!KJ15</f>
        <v>0</v>
      </c>
      <c r="AGX23" s="96" t="n">
        <f aca="false">[1]ВИБУЛО2!KJ15</f>
        <v>0</v>
      </c>
      <c r="AGY23" s="97" t="n">
        <f aca="false">AGY22-AGX23+AGW23</f>
        <v>0</v>
      </c>
      <c r="AGZ23" s="95" t="n">
        <f aca="false">[1]НАДІЙШЛО2!KK15</f>
        <v>0</v>
      </c>
      <c r="AHA23" s="96" t="n">
        <f aca="false">[1]ВИБУЛО2!KK15</f>
        <v>0</v>
      </c>
      <c r="AHB23" s="97" t="n">
        <f aca="false">AHB22-AHA23+AGZ23</f>
        <v>0</v>
      </c>
      <c r="AHC23" s="95" t="n">
        <f aca="false">[1]НАДІЙШЛО2!KL15</f>
        <v>0</v>
      </c>
      <c r="AHD23" s="96" t="n">
        <f aca="false">[1]ВИБУЛО2!KL15</f>
        <v>0</v>
      </c>
      <c r="AHE23" s="97" t="n">
        <f aca="false">AHE22-AHD23+AHC23</f>
        <v>0</v>
      </c>
      <c r="AHF23" s="95" t="n">
        <f aca="false">[1]НАДІЙШЛО2!KM15</f>
        <v>0</v>
      </c>
      <c r="AHG23" s="96" t="n">
        <f aca="false">[1]ВИБУЛО2!KM15</f>
        <v>0</v>
      </c>
      <c r="AHH23" s="97" t="n">
        <f aca="false">AHH22-AHG23+AHF23</f>
        <v>0</v>
      </c>
      <c r="AHI23" s="95" t="n">
        <f aca="false">[1]НАДІЙШЛО2!KN15</f>
        <v>0</v>
      </c>
      <c r="AHJ23" s="96" t="n">
        <f aca="false">[1]ВИБУЛО2!KN15</f>
        <v>0</v>
      </c>
      <c r="AHK23" s="97" t="n">
        <f aca="false">AHK22-AHJ23+AHI23</f>
        <v>0</v>
      </c>
      <c r="AHL23" s="95" t="n">
        <f aca="false">[1]НАДІЙШЛО2!KO15</f>
        <v>0</v>
      </c>
      <c r="AHM23" s="96" t="n">
        <f aca="false">[1]ВИБУЛО2!KO15</f>
        <v>0</v>
      </c>
      <c r="AHN23" s="97" t="n">
        <f aca="false">AHN22-AHM23+AHL23</f>
        <v>0</v>
      </c>
      <c r="AHO23" s="95" t="n">
        <f aca="false">[1]НАДІЙШЛО2!KP15</f>
        <v>0</v>
      </c>
      <c r="AHP23" s="96" t="n">
        <f aca="false">[1]ВИБУЛО2!KP15</f>
        <v>0</v>
      </c>
      <c r="AHQ23" s="97" t="n">
        <f aca="false">AHQ22-AHP23+AHO23</f>
        <v>0</v>
      </c>
      <c r="AHR23" s="95" t="n">
        <f aca="false">[1]НАДІЙШЛО2!KQ15</f>
        <v>0</v>
      </c>
      <c r="AHS23" s="96" t="n">
        <f aca="false">[1]ВИБУЛО2!KQ15</f>
        <v>0</v>
      </c>
      <c r="AHT23" s="97" t="n">
        <f aca="false">AHT22-AHS23+AHR23</f>
        <v>0</v>
      </c>
      <c r="AHU23" s="95" t="n">
        <f aca="false">[1]НАДІЙШЛО2!KR15</f>
        <v>0</v>
      </c>
      <c r="AHV23" s="96" t="n">
        <f aca="false">[1]ВИБУЛО2!KR15</f>
        <v>0</v>
      </c>
      <c r="AHW23" s="97" t="n">
        <f aca="false">AHW22-AHV23+AHU23</f>
        <v>0</v>
      </c>
      <c r="AHX23" s="95" t="n">
        <f aca="false">[1]НАДІЙШЛО2!KS15</f>
        <v>0</v>
      </c>
      <c r="AHY23" s="96" t="n">
        <f aca="false">[1]ВИБУЛО2!KS15</f>
        <v>0</v>
      </c>
      <c r="AHZ23" s="97" t="n">
        <f aca="false">AHZ22-AHY23+AHX23</f>
        <v>0</v>
      </c>
      <c r="AIA23" s="95" t="n">
        <f aca="false">[1]НАДІЙШЛО2!KT15</f>
        <v>0</v>
      </c>
      <c r="AIB23" s="96" t="n">
        <f aca="false">[1]ВИБУЛО2!KT15</f>
        <v>0</v>
      </c>
      <c r="AIC23" s="97" t="n">
        <f aca="false">AIC22-AIB23+AIA23</f>
        <v>0</v>
      </c>
      <c r="AID23" s="95" t="n">
        <f aca="false">[1]НАДІЙШЛО2!KU15</f>
        <v>0</v>
      </c>
      <c r="AIE23" s="96" t="n">
        <f aca="false">[1]ВИБУЛО2!KU15</f>
        <v>0</v>
      </c>
      <c r="AIF23" s="97" t="n">
        <f aca="false">AIF22-AIE23+AID23</f>
        <v>0</v>
      </c>
      <c r="AIG23" s="95" t="n">
        <f aca="false">[1]НАДІЙШЛО2!KV15</f>
        <v>0</v>
      </c>
      <c r="AIH23" s="96" t="n">
        <f aca="false">[1]ВИБУЛО2!KV15</f>
        <v>0</v>
      </c>
      <c r="AII23" s="97" t="n">
        <f aca="false">AII22-AIH23+AIG23</f>
        <v>0</v>
      </c>
      <c r="AIJ23" s="95" t="n">
        <f aca="false">[1]НАДІЙШЛО2!KW15</f>
        <v>0</v>
      </c>
      <c r="AIK23" s="96" t="n">
        <f aca="false">[1]ВИБУЛО2!KW15</f>
        <v>0</v>
      </c>
      <c r="AIL23" s="97" t="n">
        <f aca="false">AIL22-AIK23+AIJ23</f>
        <v>0</v>
      </c>
      <c r="AIM23" s="95" t="n">
        <f aca="false">[1]НАДІЙШЛО2!KX15</f>
        <v>0</v>
      </c>
      <c r="AIN23" s="96" t="n">
        <f aca="false">[1]ВИБУЛО2!KX15</f>
        <v>0</v>
      </c>
      <c r="AIO23" s="97" t="n">
        <f aca="false">AIO22-AIN23+AIM23</f>
        <v>0</v>
      </c>
      <c r="AIP23" s="95" t="n">
        <f aca="false">[1]НАДІЙШЛО2!KY15</f>
        <v>0</v>
      </c>
      <c r="AIQ23" s="96" t="n">
        <f aca="false">[1]ВИБУЛО2!KY15</f>
        <v>0</v>
      </c>
      <c r="AIR23" s="97" t="n">
        <f aca="false">AIR22-AIQ23+AIP23</f>
        <v>0</v>
      </c>
      <c r="AIS23" s="95" t="n">
        <f aca="false">[1]НАДІЙШЛО2!KZ15</f>
        <v>0</v>
      </c>
      <c r="AIT23" s="96" t="n">
        <f aca="false">[1]ВИБУЛО2!KZ15</f>
        <v>0</v>
      </c>
      <c r="AIU23" s="97" t="n">
        <f aca="false">AIU22-AIT23+AIS23</f>
        <v>0</v>
      </c>
      <c r="AIV23" s="95" t="n">
        <f aca="false">[1]НАДІЙШЛО2!LA15</f>
        <v>0</v>
      </c>
      <c r="AIW23" s="96" t="n">
        <f aca="false">[1]ВИБУЛО2!LA15</f>
        <v>0</v>
      </c>
      <c r="AIX23" s="97" t="n">
        <f aca="false">AIX22-AIW23+AIV23</f>
        <v>0</v>
      </c>
      <c r="AIY23" s="95" t="n">
        <f aca="false">[1]НАДІЙШЛО2!LB15</f>
        <v>0</v>
      </c>
      <c r="AIZ23" s="96" t="n">
        <f aca="false">[1]ВИБУЛО2!LB15</f>
        <v>0</v>
      </c>
      <c r="AJA23" s="97" t="n">
        <f aca="false">AJA22-AIZ23+AIY23</f>
        <v>0</v>
      </c>
      <c r="AJB23" s="95" t="n">
        <f aca="false">[1]НАДІЙШЛО2!LC15</f>
        <v>0</v>
      </c>
      <c r="AJC23" s="96" t="n">
        <f aca="false">[1]ВИБУЛО2!LC15</f>
        <v>0</v>
      </c>
      <c r="AJD23" s="97" t="n">
        <f aca="false">AJD22-AJC23+AJB23</f>
        <v>0</v>
      </c>
      <c r="AJE23" s="95" t="n">
        <f aca="false">[1]НАДІЙШЛО2!LD15</f>
        <v>0</v>
      </c>
      <c r="AJF23" s="96" t="n">
        <f aca="false">[1]ВИБУЛО2!LD15</f>
        <v>0</v>
      </c>
      <c r="AJG23" s="97" t="n">
        <f aca="false">AJG22-AJF23+AJE23</f>
        <v>0</v>
      </c>
      <c r="AJH23" s="95" t="n">
        <f aca="false">[1]НАДІЙШЛО2!LE15</f>
        <v>0</v>
      </c>
      <c r="AJI23" s="96" t="n">
        <f aca="false">[1]ВИБУЛО2!LE15</f>
        <v>0</v>
      </c>
      <c r="AJJ23" s="97" t="n">
        <f aca="false">AJJ22-AJI23+AJH23</f>
        <v>0</v>
      </c>
      <c r="AJK23" s="95" t="n">
        <f aca="false">[1]НАДІЙШЛО2!LF15</f>
        <v>0</v>
      </c>
      <c r="AJL23" s="96" t="n">
        <f aca="false">[1]ВИБУЛО2!LF15</f>
        <v>0</v>
      </c>
      <c r="AJM23" s="97" t="n">
        <f aca="false">AJM22-AJL23+AJK23</f>
        <v>0</v>
      </c>
      <c r="AJN23" s="95" t="n">
        <f aca="false">[1]НАДІЙШЛО2!LG15</f>
        <v>0</v>
      </c>
      <c r="AJO23" s="96" t="n">
        <f aca="false">[1]ВИБУЛО2!LG15</f>
        <v>0</v>
      </c>
      <c r="AJP23" s="97" t="n">
        <f aca="false">AJP22-AJO23+AJN23</f>
        <v>0</v>
      </c>
      <c r="AJQ23" s="95" t="n">
        <f aca="false">[1]НАДІЙШЛО2!LH15</f>
        <v>0</v>
      </c>
      <c r="AJR23" s="96" t="n">
        <f aca="false">[1]ВИБУЛО2!LH15</f>
        <v>0</v>
      </c>
      <c r="AJS23" s="97" t="n">
        <f aca="false">AJS22-AJR23+AJQ23</f>
        <v>0</v>
      </c>
      <c r="AJT23" s="95" t="n">
        <f aca="false">[1]НАДІЙШЛО2!LI15</f>
        <v>0</v>
      </c>
      <c r="AJU23" s="96" t="n">
        <f aca="false">[1]ВИБУЛО2!LI15</f>
        <v>0</v>
      </c>
      <c r="AJV23" s="97" t="n">
        <f aca="false">AJV22-AJU23+AJT23</f>
        <v>0</v>
      </c>
      <c r="AJW23" s="95" t="n">
        <f aca="false">[1]НАДІЙШЛО2!LJ15</f>
        <v>0</v>
      </c>
      <c r="AJX23" s="96" t="n">
        <f aca="false">[1]ВИБУЛО2!LJ15</f>
        <v>0</v>
      </c>
      <c r="AJY23" s="97" t="n">
        <f aca="false">AJY22-AJX23+AJW23</f>
        <v>0</v>
      </c>
      <c r="AJZ23" s="95" t="n">
        <f aca="false">[1]НАДІЙШЛО2!LK15</f>
        <v>0</v>
      </c>
      <c r="AKA23" s="96" t="n">
        <f aca="false">[1]ВИБУЛО2!LK15</f>
        <v>0</v>
      </c>
      <c r="AKB23" s="97" t="n">
        <f aca="false">AKB22-AKA23+AJZ23</f>
        <v>0</v>
      </c>
      <c r="AKC23" s="95" t="n">
        <f aca="false">[1]НАДІЙШЛО2!LL15</f>
        <v>0</v>
      </c>
      <c r="AKD23" s="96" t="n">
        <f aca="false">[1]ВИБУЛО2!LL15</f>
        <v>0</v>
      </c>
      <c r="AKE23" s="97" t="n">
        <f aca="false">AKE22-AKD23+AKC23</f>
        <v>0</v>
      </c>
      <c r="AKF23" s="95" t="n">
        <f aca="false">[1]НАДІЙШЛО2!LM15</f>
        <v>0</v>
      </c>
      <c r="AKG23" s="96" t="n">
        <f aca="false">[1]ВИБУЛО2!LM15</f>
        <v>0</v>
      </c>
      <c r="AKH23" s="97" t="n">
        <f aca="false">AKH22-AKG23+AKF23</f>
        <v>0</v>
      </c>
      <c r="AKI23" s="95" t="n">
        <f aca="false">[1]НАДІЙШЛО2!LN15</f>
        <v>0</v>
      </c>
      <c r="AKJ23" s="96" t="n">
        <f aca="false">[1]ВИБУЛО2!LN15</f>
        <v>0</v>
      </c>
      <c r="AKK23" s="97" t="n">
        <f aca="false">AKK22-AKJ23+AKI23</f>
        <v>0</v>
      </c>
      <c r="AKL23" s="95" t="n">
        <f aca="false">[1]НАДІЙШЛО2!LO15</f>
        <v>0</v>
      </c>
      <c r="AKM23" s="96" t="n">
        <f aca="false">[1]ВИБУЛО2!LO15</f>
        <v>0</v>
      </c>
      <c r="AKN23" s="97" t="n">
        <f aca="false">AKN22-AKM23+AKL23</f>
        <v>0</v>
      </c>
      <c r="AKO23" s="95" t="n">
        <f aca="false">[1]НАДІЙШЛО2!LP15</f>
        <v>0</v>
      </c>
      <c r="AKP23" s="96" t="n">
        <f aca="false">[1]ВИБУЛО2!LP15</f>
        <v>0</v>
      </c>
      <c r="AKQ23" s="97" t="n">
        <f aca="false">AKQ22-AKP23+AKO23</f>
        <v>0</v>
      </c>
      <c r="AKR23" s="95" t="n">
        <f aca="false">[1]НАДІЙШЛО2!LQ15</f>
        <v>0</v>
      </c>
      <c r="AKS23" s="96" t="n">
        <f aca="false">[1]ВИБУЛО2!LQ15</f>
        <v>0</v>
      </c>
      <c r="AKT23" s="97" t="n">
        <f aca="false">AKT22-AKS23+AKR23</f>
        <v>0</v>
      </c>
      <c r="AKU23" s="95" t="n">
        <f aca="false">[1]НАДІЙШЛО2!LR15</f>
        <v>0</v>
      </c>
      <c r="AKV23" s="96" t="n">
        <f aca="false">[1]ВИБУЛО2!LR15</f>
        <v>0</v>
      </c>
      <c r="AKW23" s="97" t="n">
        <f aca="false">AKW22-AKV23+AKU23</f>
        <v>0</v>
      </c>
      <c r="AKX23" s="95" t="n">
        <f aca="false">[1]НАДІЙШЛО2!LS15</f>
        <v>0</v>
      </c>
      <c r="AKY23" s="96" t="n">
        <f aca="false">[1]ВИБУЛО2!LS15</f>
        <v>0</v>
      </c>
      <c r="AKZ23" s="97" t="n">
        <f aca="false">AKZ22-AKY23+AKX23</f>
        <v>0</v>
      </c>
      <c r="ALA23" s="95" t="n">
        <f aca="false">[1]НАДІЙШЛО2!LT15</f>
        <v>0</v>
      </c>
      <c r="ALB23" s="96" t="n">
        <f aca="false">[1]ВИБУЛО2!LT15</f>
        <v>0</v>
      </c>
      <c r="ALC23" s="97" t="n">
        <f aca="false">ALC22-ALB23+ALA23</f>
        <v>0</v>
      </c>
      <c r="ALD23" s="95" t="n">
        <f aca="false">[1]НАДІЙШЛО2!LU15</f>
        <v>0</v>
      </c>
      <c r="ALE23" s="96" t="n">
        <f aca="false">[1]ВИБУЛО2!LU15</f>
        <v>0</v>
      </c>
      <c r="ALF23" s="97" t="n">
        <f aca="false">ALF22-ALE23+ALD23</f>
        <v>0</v>
      </c>
      <c r="ALG23" s="95" t="n">
        <f aca="false">[1]НАДІЙШЛО2!LV15</f>
        <v>0</v>
      </c>
      <c r="ALH23" s="96" t="n">
        <f aca="false">[1]ВИБУЛО2!LV15</f>
        <v>0</v>
      </c>
      <c r="ALI23" s="97" t="n">
        <f aca="false">ALI22-ALH23+ALG23</f>
        <v>0</v>
      </c>
      <c r="ALJ23" s="95" t="n">
        <f aca="false">[1]НАДІЙШЛО2!LW15</f>
        <v>0</v>
      </c>
      <c r="ALK23" s="96" t="n">
        <f aca="false">[1]ВИБУЛО2!LW15</f>
        <v>0</v>
      </c>
      <c r="ALL23" s="97" t="n">
        <f aca="false">ALL22-ALK23+ALJ23</f>
        <v>0</v>
      </c>
      <c r="ALM23" s="95" t="n">
        <f aca="false">[1]НАДІЙШЛО2!LX15</f>
        <v>0</v>
      </c>
      <c r="ALN23" s="96" t="n">
        <f aca="false">[1]ВИБУЛО2!LX15</f>
        <v>0</v>
      </c>
      <c r="ALO23" s="97" t="n">
        <f aca="false">ALO22-ALN23+ALM23</f>
        <v>0</v>
      </c>
      <c r="ALP23" s="95" t="n">
        <f aca="false">[1]НАДІЙШЛО2!LY15</f>
        <v>0</v>
      </c>
      <c r="ALQ23" s="96" t="n">
        <f aca="false">[1]ВИБУЛО2!LY15</f>
        <v>0</v>
      </c>
      <c r="ALR23" s="97" t="n">
        <f aca="false">ALR22-ALQ23+ALP23</f>
        <v>0</v>
      </c>
      <c r="ALS23" s="95" t="n">
        <f aca="false">[1]НАДІЙШЛО2!LZ15</f>
        <v>0</v>
      </c>
      <c r="ALT23" s="96" t="n">
        <f aca="false">[1]ВИБУЛО2!LZ15</f>
        <v>0</v>
      </c>
      <c r="ALU23" s="97" t="n">
        <f aca="false">ALU22-ALT23+ALS23</f>
        <v>0</v>
      </c>
      <c r="ALV23" s="95" t="n">
        <f aca="false">[1]НАДІЙШЛО2!MA15</f>
        <v>0</v>
      </c>
      <c r="ALW23" s="96" t="n">
        <f aca="false">[1]ВИБУЛО2!MA15</f>
        <v>0</v>
      </c>
      <c r="ALX23" s="97" t="n">
        <f aca="false">ALX22-ALW23+ALV23</f>
        <v>0</v>
      </c>
      <c r="ALY23" s="95" t="n">
        <f aca="false">[1]НАДІЙШЛО2!MB15</f>
        <v>0</v>
      </c>
      <c r="ALZ23" s="96" t="n">
        <f aca="false">[1]ВИБУЛО2!MB15</f>
        <v>0</v>
      </c>
      <c r="AMA23" s="97" t="n">
        <f aca="false">AMA22-ALZ23+ALY23</f>
        <v>0</v>
      </c>
      <c r="AMB23" s="95" t="n">
        <f aca="false">[1]НАДІЙШЛО2!MC15</f>
        <v>0</v>
      </c>
      <c r="AMC23" s="96" t="n">
        <f aca="false">[1]ВИБУЛО2!MC15</f>
        <v>0</v>
      </c>
      <c r="AMD23" s="97" t="n">
        <f aca="false">AMD22-AMC23+AMB23</f>
        <v>0</v>
      </c>
      <c r="AME23" s="95" t="n">
        <f aca="false">[1]НАДІЙШЛО2!MD15</f>
        <v>0</v>
      </c>
      <c r="AMF23" s="96" t="n">
        <f aca="false">[1]ВИБУЛО2!MD15</f>
        <v>0</v>
      </c>
      <c r="AMG23" s="97" t="n">
        <f aca="false">AMG22-AMF23+AME23</f>
        <v>0</v>
      </c>
      <c r="AMH23" s="95" t="n">
        <f aca="false">[1]НАДІЙШЛО2!ME15</f>
        <v>0</v>
      </c>
      <c r="AMI23" s="96" t="n">
        <f aca="false">[1]ВИБУЛО2!ME15</f>
        <v>0</v>
      </c>
      <c r="AMJ23" s="97" t="n">
        <f aca="false">AMJ22-AMI23+AMH23</f>
        <v>0</v>
      </c>
    </row>
    <row r="24" s="99" customFormat="true" ht="16.5" hidden="false" customHeight="false" outlineLevel="0" collapsed="false">
      <c r="A24" s="98"/>
      <c r="D24" s="103"/>
      <c r="E24" s="95" t="n">
        <f aca="false">[1]НАДІЙШЛО2!D16</f>
        <v>0</v>
      </c>
      <c r="F24" s="96" t="n">
        <f aca="false">[1]ВИБУЛО2!D16</f>
        <v>0</v>
      </c>
      <c r="G24" s="97" t="n">
        <f aca="false">G23-F24+E24</f>
        <v>0</v>
      </c>
      <c r="H24" s="95" t="n">
        <f aca="false">[1]НАДІЙШЛО2!E16</f>
        <v>0</v>
      </c>
      <c r="I24" s="96" t="n">
        <f aca="false">[1]ВИБУЛО2!E16</f>
        <v>0</v>
      </c>
      <c r="J24" s="97" t="n">
        <f aca="false">J23-I24+H24</f>
        <v>0</v>
      </c>
      <c r="K24" s="95" t="n">
        <f aca="false">[1]НАДІЙШЛО2!F16</f>
        <v>0</v>
      </c>
      <c r="L24" s="96" t="n">
        <f aca="false">[1]ВИБУЛО2!F16</f>
        <v>0</v>
      </c>
      <c r="M24" s="97" t="n">
        <f aca="false">M23-L24+K24</f>
        <v>2.06</v>
      </c>
      <c r="N24" s="95" t="n">
        <f aca="false">[1]НАДІЙШЛО2!G16</f>
        <v>0</v>
      </c>
      <c r="O24" s="96" t="n">
        <f aca="false">[1]ВИБУЛО2!G16</f>
        <v>0</v>
      </c>
      <c r="P24" s="97" t="n">
        <f aca="false">P23-O24+N24</f>
        <v>0</v>
      </c>
      <c r="Q24" s="95" t="n">
        <f aca="false">[1]НАДІЙШЛО2!H16</f>
        <v>0</v>
      </c>
      <c r="R24" s="96" t="n">
        <f aca="false">[1]ВИБУЛО2!H16</f>
        <v>0</v>
      </c>
      <c r="S24" s="97" t="n">
        <f aca="false">S23-R24+Q24</f>
        <v>0</v>
      </c>
      <c r="T24" s="95" t="n">
        <f aca="false">[1]НАДІЙШЛО2!I16</f>
        <v>0</v>
      </c>
      <c r="U24" s="96" t="n">
        <f aca="false">[1]ВИБУЛО2!I16</f>
        <v>0</v>
      </c>
      <c r="V24" s="97" t="n">
        <f aca="false">V23-U24+T24</f>
        <v>0</v>
      </c>
      <c r="W24" s="95" t="n">
        <f aca="false">[1]НАДІЙШЛО2!J16</f>
        <v>0</v>
      </c>
      <c r="X24" s="96" t="n">
        <f aca="false">[1]ВИБУЛО2!J16</f>
        <v>0</v>
      </c>
      <c r="Y24" s="97" t="n">
        <f aca="false">Y23-X24+W24</f>
        <v>0</v>
      </c>
      <c r="Z24" s="95" t="n">
        <f aca="false">[1]НАДІЙШЛО2!K16</f>
        <v>0</v>
      </c>
      <c r="AA24" s="96" t="n">
        <f aca="false">[1]ВИБУЛО2!K16</f>
        <v>0</v>
      </c>
      <c r="AB24" s="97" t="n">
        <f aca="false">AB23-AA24+Z24</f>
        <v>0</v>
      </c>
      <c r="AC24" s="95" t="n">
        <f aca="false">[1]НАДІЙШЛО2!L16</f>
        <v>0</v>
      </c>
      <c r="AD24" s="96" t="n">
        <f aca="false">[1]ВИБУЛО2!L16</f>
        <v>0</v>
      </c>
      <c r="AE24" s="97" t="n">
        <f aca="false">AE23-AD24+AC24</f>
        <v>0</v>
      </c>
      <c r="AF24" s="95" t="n">
        <f aca="false">[1]НАДІЙШЛО2!M16</f>
        <v>0</v>
      </c>
      <c r="AG24" s="96" t="n">
        <f aca="false">[1]ВИБУЛО2!M16</f>
        <v>0</v>
      </c>
      <c r="AH24" s="97" t="n">
        <f aca="false">AH23-AG24+AF24</f>
        <v>0</v>
      </c>
      <c r="AI24" s="95" t="n">
        <f aca="false">[1]НАДІЙШЛО2!N16</f>
        <v>0</v>
      </c>
      <c r="AJ24" s="96" t="n">
        <f aca="false">[1]ВИБУЛО2!N16</f>
        <v>0</v>
      </c>
      <c r="AK24" s="97" t="n">
        <f aca="false">AK23-AJ24+AI24</f>
        <v>0</v>
      </c>
      <c r="AL24" s="95" t="n">
        <f aca="false">[1]НАДІЙШЛО2!O16</f>
        <v>0</v>
      </c>
      <c r="AM24" s="96" t="n">
        <f aca="false">[1]ВИБУЛО2!O16</f>
        <v>0</v>
      </c>
      <c r="AN24" s="97" t="n">
        <f aca="false">AN23-AM24+AL24</f>
        <v>0</v>
      </c>
      <c r="AO24" s="95" t="n">
        <f aca="false">[1]НАДІЙШЛО2!P16</f>
        <v>0</v>
      </c>
      <c r="AP24" s="96" t="n">
        <f aca="false">[1]ВИБУЛО2!P16</f>
        <v>0</v>
      </c>
      <c r="AQ24" s="97" t="n">
        <f aca="false">AQ23-AP24+AO24</f>
        <v>0</v>
      </c>
      <c r="AR24" s="95" t="n">
        <f aca="false">[1]НАДІЙШЛО2!Q16</f>
        <v>0</v>
      </c>
      <c r="AS24" s="96" t="n">
        <f aca="false">[1]ВИБУЛО2!Q16</f>
        <v>0</v>
      </c>
      <c r="AT24" s="97" t="n">
        <f aca="false">AT23-AS24+AR24</f>
        <v>0</v>
      </c>
      <c r="AU24" s="95" t="n">
        <f aca="false">[1]НАДІЙШЛО2!R16</f>
        <v>0</v>
      </c>
      <c r="AV24" s="96" t="n">
        <f aca="false">[1]ВИБУЛО2!R16</f>
        <v>0</v>
      </c>
      <c r="AW24" s="97" t="n">
        <f aca="false">AW23-AV24+AU24</f>
        <v>0</v>
      </c>
      <c r="AX24" s="95" t="n">
        <f aca="false">[1]НАДІЙШЛО2!S16</f>
        <v>0</v>
      </c>
      <c r="AY24" s="96" t="n">
        <f aca="false">[1]ВИБУЛО2!S16</f>
        <v>0</v>
      </c>
      <c r="AZ24" s="97" t="n">
        <f aca="false">AZ23-AY24+AX24</f>
        <v>0</v>
      </c>
      <c r="BA24" s="95" t="n">
        <f aca="false">[1]НАДІЙШЛО2!T16</f>
        <v>0</v>
      </c>
      <c r="BB24" s="96" t="n">
        <f aca="false">[1]ВИБУЛО2!T16</f>
        <v>0</v>
      </c>
      <c r="BC24" s="97" t="n">
        <f aca="false">BC23-BB24+BA24</f>
        <v>0</v>
      </c>
      <c r="BD24" s="95" t="n">
        <f aca="false">[1]НАДІЙШЛО2!U16</f>
        <v>0</v>
      </c>
      <c r="BE24" s="96" t="n">
        <f aca="false">[1]ВИБУЛО2!U16</f>
        <v>0</v>
      </c>
      <c r="BF24" s="97" t="n">
        <f aca="false">BF23-BE24+BD24</f>
        <v>0</v>
      </c>
      <c r="BG24" s="95" t="n">
        <f aca="false">[1]НАДІЙШЛО2!V16</f>
        <v>0</v>
      </c>
      <c r="BH24" s="96" t="n">
        <f aca="false">[1]ВИБУЛО2!V16</f>
        <v>0</v>
      </c>
      <c r="BI24" s="97" t="n">
        <f aca="false">BI23-BH24+BG24</f>
        <v>0</v>
      </c>
      <c r="BJ24" s="95" t="n">
        <f aca="false">[1]НАДІЙШЛО2!W16</f>
        <v>0</v>
      </c>
      <c r="BK24" s="96" t="n">
        <f aca="false">[1]ВИБУЛО2!W16</f>
        <v>0</v>
      </c>
      <c r="BL24" s="97" t="n">
        <f aca="false">BL23-BK24+BJ24</f>
        <v>0</v>
      </c>
      <c r="BM24" s="95" t="n">
        <f aca="false">[1]НАДІЙШЛО2!X16</f>
        <v>0</v>
      </c>
      <c r="BN24" s="96" t="n">
        <f aca="false">[1]ВИБУЛО2!X16</f>
        <v>0</v>
      </c>
      <c r="BO24" s="97" t="n">
        <f aca="false">BO23-BN24+BM24</f>
        <v>0</v>
      </c>
      <c r="BP24" s="95" t="n">
        <f aca="false">[1]НАДІЙШЛО2!Y16</f>
        <v>0</v>
      </c>
      <c r="BQ24" s="96" t="n">
        <f aca="false">[1]ВИБУЛО2!Y16</f>
        <v>0</v>
      </c>
      <c r="BR24" s="97" t="n">
        <f aca="false">BR23-BQ24+BP24</f>
        <v>0</v>
      </c>
      <c r="BS24" s="95" t="n">
        <f aca="false">[1]НАДІЙШЛО2!Z16</f>
        <v>0</v>
      </c>
      <c r="BT24" s="96" t="n">
        <f aca="false">[1]ВИБУЛО2!Z16</f>
        <v>0</v>
      </c>
      <c r="BU24" s="97" t="n">
        <f aca="false">BU23-BT24+BS24</f>
        <v>0</v>
      </c>
      <c r="BV24" s="95" t="n">
        <f aca="false">[1]НАДІЙШЛО2!AA16</f>
        <v>0</v>
      </c>
      <c r="BW24" s="96" t="n">
        <f aca="false">[1]ВИБУЛО2!AA16</f>
        <v>0</v>
      </c>
      <c r="BX24" s="97" t="n">
        <f aca="false">BX23-BW24+BV24</f>
        <v>0</v>
      </c>
      <c r="BY24" s="95" t="n">
        <f aca="false">[1]НАДІЙШЛО2!AB16</f>
        <v>0</v>
      </c>
      <c r="BZ24" s="96" t="n">
        <f aca="false">[1]ВИБУЛО2!AB16</f>
        <v>0</v>
      </c>
      <c r="CA24" s="97" t="n">
        <f aca="false">CA23-BZ24+BY24</f>
        <v>0</v>
      </c>
      <c r="CB24" s="95" t="n">
        <f aca="false">[1]НАДІЙШЛО2!AC16</f>
        <v>0</v>
      </c>
      <c r="CC24" s="96" t="n">
        <f aca="false">[1]ВИБУЛО2!AC16</f>
        <v>0</v>
      </c>
      <c r="CD24" s="97" t="n">
        <f aca="false">CD23-CC24+CB24</f>
        <v>0</v>
      </c>
      <c r="CE24" s="95" t="n">
        <f aca="false">[1]НАДІЙШЛО2!AD16</f>
        <v>0</v>
      </c>
      <c r="CF24" s="96" t="n">
        <f aca="false">[1]ВИБУЛО2!AD16</f>
        <v>0</v>
      </c>
      <c r="CG24" s="97" t="n">
        <f aca="false">CG23-CF24+CE24</f>
        <v>0</v>
      </c>
      <c r="CH24" s="95" t="n">
        <f aca="false">[1]НАДІЙШЛО2!AE16</f>
        <v>0</v>
      </c>
      <c r="CI24" s="96" t="n">
        <f aca="false">[1]ВИБУЛО2!AE16</f>
        <v>0</v>
      </c>
      <c r="CJ24" s="97" t="n">
        <f aca="false">CJ23-CI24+CH24</f>
        <v>0</v>
      </c>
      <c r="CK24" s="95" t="n">
        <f aca="false">[1]НАДІЙШЛО2!AF16</f>
        <v>0</v>
      </c>
      <c r="CL24" s="96" t="n">
        <f aca="false">[1]ВИБУЛО2!AF16</f>
        <v>0</v>
      </c>
      <c r="CM24" s="97" t="n">
        <f aca="false">CM23-CL24+CK24</f>
        <v>0</v>
      </c>
      <c r="CN24" s="95" t="n">
        <f aca="false">[1]НАДІЙШЛО2!AG16</f>
        <v>0</v>
      </c>
      <c r="CO24" s="96" t="n">
        <f aca="false">[1]ВИБУЛО2!AG16</f>
        <v>0</v>
      </c>
      <c r="CP24" s="97" t="n">
        <f aca="false">CP23-CO24+CN24</f>
        <v>0</v>
      </c>
      <c r="CQ24" s="95" t="n">
        <f aca="false">[1]НАДІЙШЛО2!AH16</f>
        <v>0</v>
      </c>
      <c r="CR24" s="96" t="n">
        <f aca="false">[1]ВИБУЛО2!AH16</f>
        <v>0</v>
      </c>
      <c r="CS24" s="97" t="n">
        <f aca="false">CS23-CR24+CQ24</f>
        <v>0</v>
      </c>
      <c r="CT24" s="95" t="n">
        <f aca="false">[1]НАДІЙШЛО2!AI16</f>
        <v>0</v>
      </c>
      <c r="CU24" s="96" t="n">
        <f aca="false">[1]ВИБУЛО2!AI16</f>
        <v>0</v>
      </c>
      <c r="CV24" s="97" t="n">
        <f aca="false">CV23-CU24+CT24</f>
        <v>0</v>
      </c>
      <c r="CW24" s="95" t="n">
        <f aca="false">[1]НАДІЙШЛО2!AJ16</f>
        <v>0</v>
      </c>
      <c r="CX24" s="96" t="n">
        <f aca="false">[1]ВИБУЛО2!AJ16</f>
        <v>0</v>
      </c>
      <c r="CY24" s="97" t="n">
        <f aca="false">CY23-CX24+CW24</f>
        <v>0</v>
      </c>
      <c r="CZ24" s="95" t="n">
        <f aca="false">[1]НАДІЙШЛО2!AK16</f>
        <v>0</v>
      </c>
      <c r="DA24" s="96" t="n">
        <f aca="false">[1]ВИБУЛО2!AK16</f>
        <v>0</v>
      </c>
      <c r="DB24" s="97" t="n">
        <f aca="false">DB23-DA24+CZ24</f>
        <v>0</v>
      </c>
      <c r="DC24" s="95" t="n">
        <f aca="false">[1]НАДІЙШЛО2!AL16</f>
        <v>0</v>
      </c>
      <c r="DD24" s="96" t="n">
        <f aca="false">[1]ВИБУЛО2!AL16</f>
        <v>0</v>
      </c>
      <c r="DE24" s="97" t="n">
        <f aca="false">DE23-DD24+DC24</f>
        <v>0</v>
      </c>
      <c r="DF24" s="95" t="n">
        <f aca="false">[1]НАДІЙШЛО2!AM16</f>
        <v>0</v>
      </c>
      <c r="DG24" s="96" t="n">
        <f aca="false">[1]ВИБУЛО2!AM16</f>
        <v>0</v>
      </c>
      <c r="DH24" s="97" t="n">
        <f aca="false">DH23-DG24+DF24</f>
        <v>0</v>
      </c>
      <c r="DI24" s="95" t="n">
        <f aca="false">[1]НАДІЙШЛО2!AN16</f>
        <v>0</v>
      </c>
      <c r="DJ24" s="96" t="n">
        <f aca="false">[1]ВИБУЛО2!AN16</f>
        <v>0</v>
      </c>
      <c r="DK24" s="97" t="n">
        <f aca="false">DK23-DJ24+DI24</f>
        <v>0</v>
      </c>
      <c r="DL24" s="95" t="n">
        <f aca="false">[1]НАДІЙШЛО2!AO16</f>
        <v>0</v>
      </c>
      <c r="DM24" s="96" t="n">
        <f aca="false">[1]ВИБУЛО2!AO16</f>
        <v>0</v>
      </c>
      <c r="DN24" s="97" t="n">
        <f aca="false">DN23-DM24+DL24</f>
        <v>0</v>
      </c>
      <c r="DO24" s="95" t="n">
        <f aca="false">[1]НАДІЙШЛО2!AP16</f>
        <v>0</v>
      </c>
      <c r="DP24" s="96" t="n">
        <f aca="false">[1]ВИБУЛО2!AP16</f>
        <v>0</v>
      </c>
      <c r="DQ24" s="97" t="n">
        <f aca="false">DQ23-DP24+DO24</f>
        <v>0</v>
      </c>
      <c r="DR24" s="95" t="n">
        <f aca="false">[1]НАДІЙШЛО2!AQ16</f>
        <v>0</v>
      </c>
      <c r="DS24" s="96" t="n">
        <f aca="false">[1]ВИБУЛО2!AQ16</f>
        <v>0</v>
      </c>
      <c r="DT24" s="97" t="n">
        <f aca="false">DT23-DS24+DR24</f>
        <v>0</v>
      </c>
      <c r="DU24" s="95" t="n">
        <f aca="false">[1]НАДІЙШЛО2!AR16</f>
        <v>0</v>
      </c>
      <c r="DV24" s="96" t="n">
        <f aca="false">[1]ВИБУЛО2!AR16</f>
        <v>0</v>
      </c>
      <c r="DW24" s="97" t="n">
        <f aca="false">DW23-DV24+DU24</f>
        <v>0</v>
      </c>
      <c r="DX24" s="95" t="n">
        <f aca="false">[1]НАДІЙШЛО2!AS16</f>
        <v>0</v>
      </c>
      <c r="DY24" s="96" t="n">
        <f aca="false">[1]ВИБУЛО2!AS16</f>
        <v>0</v>
      </c>
      <c r="DZ24" s="97" t="n">
        <f aca="false">DZ23-DY24+DX24</f>
        <v>0</v>
      </c>
      <c r="EA24" s="95" t="n">
        <f aca="false">[1]НАДІЙШЛО2!AT16</f>
        <v>0</v>
      </c>
      <c r="EB24" s="96" t="n">
        <f aca="false">[1]ВИБУЛО2!AT16</f>
        <v>0</v>
      </c>
      <c r="EC24" s="97" t="n">
        <f aca="false">EC23-EB24+EA24</f>
        <v>0</v>
      </c>
      <c r="ED24" s="95" t="n">
        <f aca="false">[1]НАДІЙШЛО2!AU16</f>
        <v>0</v>
      </c>
      <c r="EE24" s="96" t="n">
        <f aca="false">[1]ВИБУЛО2!AU16</f>
        <v>0</v>
      </c>
      <c r="EF24" s="97" t="n">
        <f aca="false">EF23-EE24+ED24</f>
        <v>0</v>
      </c>
      <c r="EG24" s="95" t="n">
        <f aca="false">[1]НАДІЙШЛО2!AV16</f>
        <v>0</v>
      </c>
      <c r="EH24" s="96" t="n">
        <f aca="false">[1]ВИБУЛО2!AV16</f>
        <v>0</v>
      </c>
      <c r="EI24" s="97" t="n">
        <f aca="false">EI23-EH24+EG24</f>
        <v>0</v>
      </c>
      <c r="EJ24" s="95" t="n">
        <f aca="false">[1]НАДІЙШЛО2!AW16</f>
        <v>0</v>
      </c>
      <c r="EK24" s="96" t="n">
        <f aca="false">[1]ВИБУЛО2!AW16</f>
        <v>0</v>
      </c>
      <c r="EL24" s="97" t="n">
        <f aca="false">EL23-EK24+EJ24</f>
        <v>0</v>
      </c>
      <c r="EM24" s="95" t="n">
        <f aca="false">[1]НАДІЙШЛО2!AX16</f>
        <v>0</v>
      </c>
      <c r="EN24" s="96" t="n">
        <f aca="false">[1]ВИБУЛО2!AX16</f>
        <v>0</v>
      </c>
      <c r="EO24" s="97" t="n">
        <f aca="false">EO23-EN24+EM24</f>
        <v>0</v>
      </c>
      <c r="EP24" s="95" t="n">
        <f aca="false">[1]НАДІЙШЛО2!AY16</f>
        <v>0</v>
      </c>
      <c r="EQ24" s="96" t="n">
        <f aca="false">[1]ВИБУЛО2!AY16</f>
        <v>0</v>
      </c>
      <c r="ER24" s="97" t="n">
        <f aca="false">ER23-EQ24+EP24</f>
        <v>0</v>
      </c>
      <c r="ES24" s="95" t="n">
        <f aca="false">[1]НАДІЙШЛО2!AZ16</f>
        <v>0</v>
      </c>
      <c r="ET24" s="96" t="n">
        <f aca="false">[1]ВИБУЛО2!AZ16</f>
        <v>0</v>
      </c>
      <c r="EU24" s="97" t="n">
        <f aca="false">EU23-ET24+ES24</f>
        <v>0</v>
      </c>
      <c r="EV24" s="95" t="n">
        <f aca="false">[1]НАДІЙШЛО2!BA16</f>
        <v>0</v>
      </c>
      <c r="EW24" s="96" t="n">
        <f aca="false">[1]ВИБУЛО2!BA16</f>
        <v>0</v>
      </c>
      <c r="EX24" s="97" t="n">
        <f aca="false">EX23-EW24+EV24</f>
        <v>0</v>
      </c>
      <c r="EY24" s="95" t="n">
        <f aca="false">[1]НАДІЙШЛО2!BB16</f>
        <v>0</v>
      </c>
      <c r="EZ24" s="96" t="n">
        <f aca="false">[1]ВИБУЛО2!BB16</f>
        <v>0</v>
      </c>
      <c r="FA24" s="97" t="n">
        <f aca="false">FA23-EZ24+EY24</f>
        <v>0</v>
      </c>
      <c r="FB24" s="95" t="n">
        <f aca="false">[1]НАДІЙШЛО2!BC16</f>
        <v>0</v>
      </c>
      <c r="FC24" s="96" t="n">
        <f aca="false">[1]ВИБУЛО2!BC16</f>
        <v>0</v>
      </c>
      <c r="FD24" s="97" t="n">
        <f aca="false">FD23-FC24+FB24</f>
        <v>0</v>
      </c>
      <c r="FE24" s="95" t="n">
        <f aca="false">[1]НАДІЙШЛО2!BD16</f>
        <v>0</v>
      </c>
      <c r="FF24" s="96" t="n">
        <f aca="false">[1]ВИБУЛО2!BD16</f>
        <v>0</v>
      </c>
      <c r="FG24" s="97" t="n">
        <f aca="false">FG23-FF24+FE24</f>
        <v>0</v>
      </c>
      <c r="FH24" s="95" t="n">
        <f aca="false">[1]НАДІЙШЛО2!BE16</f>
        <v>0</v>
      </c>
      <c r="FI24" s="96" t="n">
        <f aca="false">[1]ВИБУЛО2!BE16</f>
        <v>0</v>
      </c>
      <c r="FJ24" s="97" t="n">
        <f aca="false">FJ23-FI24+FH24</f>
        <v>0</v>
      </c>
      <c r="FK24" s="95" t="n">
        <f aca="false">[1]НАДІЙШЛО2!BF16</f>
        <v>0</v>
      </c>
      <c r="FL24" s="96" t="n">
        <f aca="false">[1]ВИБУЛО2!BF16</f>
        <v>0</v>
      </c>
      <c r="FM24" s="97" t="n">
        <f aca="false">FM23-FL24+FK24</f>
        <v>0</v>
      </c>
      <c r="FN24" s="95" t="n">
        <f aca="false">[1]НАДІЙШЛО2!BG16</f>
        <v>0</v>
      </c>
      <c r="FO24" s="96" t="n">
        <f aca="false">[1]ВИБУЛО2!BG16</f>
        <v>0</v>
      </c>
      <c r="FP24" s="97" t="n">
        <f aca="false">FP23-FO24+FN24</f>
        <v>0</v>
      </c>
      <c r="FQ24" s="95" t="n">
        <f aca="false">[1]НАДІЙШЛО2!BH16</f>
        <v>0</v>
      </c>
      <c r="FR24" s="96" t="n">
        <f aca="false">[1]ВИБУЛО2!BH16</f>
        <v>0</v>
      </c>
      <c r="FS24" s="97" t="n">
        <f aca="false">FS23-FR24+FQ24</f>
        <v>0</v>
      </c>
      <c r="FT24" s="95" t="n">
        <f aca="false">[1]НАДІЙШЛО2!BI16</f>
        <v>0</v>
      </c>
      <c r="FU24" s="96" t="n">
        <f aca="false">[1]ВИБУЛО2!BI16</f>
        <v>0</v>
      </c>
      <c r="FV24" s="97" t="n">
        <f aca="false">FV23-FU24+FT24</f>
        <v>0</v>
      </c>
      <c r="FW24" s="95" t="n">
        <f aca="false">[1]НАДІЙШЛО2!BJ16</f>
        <v>0</v>
      </c>
      <c r="FX24" s="96" t="n">
        <f aca="false">[1]ВИБУЛО2!BJ16</f>
        <v>0</v>
      </c>
      <c r="FY24" s="97" t="n">
        <f aca="false">FY23-FX24+FW24</f>
        <v>0</v>
      </c>
      <c r="FZ24" s="95" t="n">
        <f aca="false">[1]НАДІЙШЛО2!BK16</f>
        <v>0</v>
      </c>
      <c r="GA24" s="96" t="n">
        <f aca="false">[1]ВИБУЛО2!BK16</f>
        <v>0</v>
      </c>
      <c r="GB24" s="97" t="n">
        <f aca="false">GB23-GA24+FZ24</f>
        <v>0</v>
      </c>
      <c r="GC24" s="95" t="n">
        <f aca="false">[1]НАДІЙШЛО2!BL16</f>
        <v>0</v>
      </c>
      <c r="GD24" s="96" t="n">
        <f aca="false">[1]ВИБУЛО2!BL16</f>
        <v>0</v>
      </c>
      <c r="GE24" s="97" t="n">
        <f aca="false">GE23-GD24+GC24</f>
        <v>0</v>
      </c>
      <c r="GF24" s="95" t="n">
        <f aca="false">[1]НАДІЙШЛО2!BM16</f>
        <v>0</v>
      </c>
      <c r="GG24" s="96" t="n">
        <f aca="false">[1]ВИБУЛО2!BM16</f>
        <v>0</v>
      </c>
      <c r="GH24" s="97" t="n">
        <f aca="false">GH23-GG24+GF24</f>
        <v>0</v>
      </c>
      <c r="GI24" s="95" t="n">
        <f aca="false">[1]НАДІЙШЛО2!BN16</f>
        <v>0</v>
      </c>
      <c r="GJ24" s="96" t="n">
        <f aca="false">[1]ВИБУЛО2!BN16</f>
        <v>0</v>
      </c>
      <c r="GK24" s="97" t="n">
        <f aca="false">GK23-GJ24+GI24</f>
        <v>0</v>
      </c>
      <c r="GL24" s="95" t="n">
        <f aca="false">[1]НАДІЙШЛО2!BO16</f>
        <v>0</v>
      </c>
      <c r="GM24" s="96" t="n">
        <f aca="false">[1]ВИБУЛО2!BO16</f>
        <v>0</v>
      </c>
      <c r="GN24" s="97" t="n">
        <f aca="false">GN23-GM24+GL24</f>
        <v>0</v>
      </c>
      <c r="GO24" s="95" t="n">
        <f aca="false">[1]НАДІЙШЛО2!BP16</f>
        <v>0</v>
      </c>
      <c r="GP24" s="96" t="n">
        <f aca="false">[1]ВИБУЛО2!BP16</f>
        <v>0</v>
      </c>
      <c r="GQ24" s="97" t="n">
        <f aca="false">GQ23-GP24+GO24</f>
        <v>0</v>
      </c>
      <c r="GR24" s="95" t="n">
        <f aca="false">[1]НАДІЙШЛО2!BQ16</f>
        <v>0</v>
      </c>
      <c r="GS24" s="96" t="n">
        <f aca="false">[1]ВИБУЛО2!BQ16</f>
        <v>0</v>
      </c>
      <c r="GT24" s="97" t="n">
        <f aca="false">GT23-GS24+GR24</f>
        <v>0</v>
      </c>
      <c r="GU24" s="95" t="n">
        <f aca="false">[1]НАДІЙШЛО2!BR16</f>
        <v>0</v>
      </c>
      <c r="GV24" s="96" t="n">
        <f aca="false">[1]ВИБУЛО2!BR16</f>
        <v>0</v>
      </c>
      <c r="GW24" s="97" t="n">
        <f aca="false">GW23-GV24+GU24</f>
        <v>0</v>
      </c>
      <c r="GX24" s="95" t="n">
        <f aca="false">[1]НАДІЙШЛО2!BS16</f>
        <v>0</v>
      </c>
      <c r="GY24" s="96" t="n">
        <f aca="false">[1]ВИБУЛО2!BS16</f>
        <v>0</v>
      </c>
      <c r="GZ24" s="97" t="n">
        <f aca="false">GZ23-GY24+GX24</f>
        <v>0</v>
      </c>
      <c r="HA24" s="95" t="n">
        <f aca="false">[1]НАДІЙШЛО2!BT16</f>
        <v>0</v>
      </c>
      <c r="HB24" s="96" t="n">
        <f aca="false">[1]ВИБУЛО2!BT16</f>
        <v>0</v>
      </c>
      <c r="HC24" s="97" t="n">
        <f aca="false">HC23-HB24+HA24</f>
        <v>0</v>
      </c>
      <c r="HD24" s="95" t="n">
        <f aca="false">[1]НАДІЙШЛО2!BU16</f>
        <v>0</v>
      </c>
      <c r="HE24" s="96" t="n">
        <f aca="false">[1]ВИБУЛО2!BU16</f>
        <v>0</v>
      </c>
      <c r="HF24" s="97" t="n">
        <f aca="false">HF23-HE24+HD24</f>
        <v>0</v>
      </c>
      <c r="HG24" s="95" t="n">
        <f aca="false">[1]НАДІЙШЛО2!BV16</f>
        <v>0</v>
      </c>
      <c r="HH24" s="96" t="n">
        <f aca="false">[1]ВИБУЛО2!BV16</f>
        <v>0</v>
      </c>
      <c r="HI24" s="97" t="n">
        <f aca="false">HI23-HH24+HG24</f>
        <v>0</v>
      </c>
      <c r="HJ24" s="95" t="n">
        <f aca="false">[1]НАДІЙШЛО2!BW16</f>
        <v>0</v>
      </c>
      <c r="HK24" s="96" t="n">
        <f aca="false">[1]ВИБУЛО2!BW16</f>
        <v>0</v>
      </c>
      <c r="HL24" s="97" t="n">
        <f aca="false">HL23-HK24+HJ24</f>
        <v>0</v>
      </c>
      <c r="HM24" s="95" t="n">
        <f aca="false">[1]НАДІЙШЛО2!BX16</f>
        <v>0</v>
      </c>
      <c r="HN24" s="96" t="n">
        <f aca="false">[1]ВИБУЛО2!BX16</f>
        <v>0</v>
      </c>
      <c r="HO24" s="97" t="n">
        <f aca="false">HO23-HN24+HM24</f>
        <v>0</v>
      </c>
      <c r="HP24" s="95" t="n">
        <f aca="false">[1]НАДІЙШЛО2!BY16</f>
        <v>0</v>
      </c>
      <c r="HQ24" s="96" t="n">
        <f aca="false">[1]ВИБУЛО2!BY16</f>
        <v>0</v>
      </c>
      <c r="HR24" s="97" t="n">
        <f aca="false">HR23-HQ24+HP24</f>
        <v>0</v>
      </c>
      <c r="HS24" s="95" t="n">
        <f aca="false">[1]НАДІЙШЛО2!BZ16</f>
        <v>0</v>
      </c>
      <c r="HT24" s="96" t="n">
        <f aca="false">[1]ВИБУЛО2!BZ16</f>
        <v>0</v>
      </c>
      <c r="HU24" s="97" t="n">
        <f aca="false">HU23-HT24+HS24</f>
        <v>0</v>
      </c>
      <c r="HV24" s="95" t="n">
        <f aca="false">[1]НАДІЙШЛО2!CA16</f>
        <v>0</v>
      </c>
      <c r="HW24" s="96" t="n">
        <f aca="false">[1]ВИБУЛО2!CA16</f>
        <v>0</v>
      </c>
      <c r="HX24" s="97" t="n">
        <f aca="false">HX23-HW24+HV24</f>
        <v>0</v>
      </c>
      <c r="HY24" s="95" t="n">
        <f aca="false">[1]НАДІЙШЛО2!CB16</f>
        <v>0</v>
      </c>
      <c r="HZ24" s="96" t="n">
        <f aca="false">[1]ВИБУЛО2!CB16</f>
        <v>0</v>
      </c>
      <c r="IA24" s="97" t="n">
        <f aca="false">IA23-HZ24+HY24</f>
        <v>0</v>
      </c>
      <c r="IB24" s="95" t="n">
        <f aca="false">[1]НАДІЙШЛО2!CC16</f>
        <v>0</v>
      </c>
      <c r="IC24" s="96" t="n">
        <f aca="false">[1]ВИБУЛО2!CC16</f>
        <v>0</v>
      </c>
      <c r="ID24" s="97" t="n">
        <f aca="false">ID23-IC24+IB24</f>
        <v>0</v>
      </c>
      <c r="IE24" s="95" t="n">
        <f aca="false">[1]НАДІЙШЛО2!CD16</f>
        <v>0</v>
      </c>
      <c r="IF24" s="96" t="n">
        <f aca="false">[1]ВИБУЛО2!CD16</f>
        <v>0</v>
      </c>
      <c r="IG24" s="97" t="n">
        <f aca="false">IG23-IF24+IE24</f>
        <v>0</v>
      </c>
      <c r="IH24" s="95" t="n">
        <f aca="false">[1]НАДІЙШЛО2!CE16</f>
        <v>0</v>
      </c>
      <c r="II24" s="96" t="n">
        <f aca="false">[1]ВИБУЛО2!CE16</f>
        <v>0</v>
      </c>
      <c r="IJ24" s="97" t="n">
        <f aca="false">IJ23-II24+IH24</f>
        <v>0</v>
      </c>
      <c r="IK24" s="95" t="n">
        <f aca="false">[1]НАДІЙШЛО2!CF16</f>
        <v>0</v>
      </c>
      <c r="IL24" s="96" t="n">
        <f aca="false">[1]ВИБУЛО2!CF16</f>
        <v>0</v>
      </c>
      <c r="IM24" s="97" t="n">
        <f aca="false">IM23-IL24+IK24</f>
        <v>0</v>
      </c>
      <c r="IN24" s="95" t="n">
        <f aca="false">[1]НАДІЙШЛО2!CG16</f>
        <v>0</v>
      </c>
      <c r="IO24" s="96" t="n">
        <f aca="false">[1]ВИБУЛО2!CG16</f>
        <v>0</v>
      </c>
      <c r="IP24" s="97" t="n">
        <f aca="false">IP23-IO24+IN24</f>
        <v>0</v>
      </c>
      <c r="IQ24" s="95" t="n">
        <f aca="false">[1]НАДІЙШЛО2!CH16</f>
        <v>0</v>
      </c>
      <c r="IR24" s="96" t="n">
        <f aca="false">[1]ВИБУЛО2!CH16</f>
        <v>0</v>
      </c>
      <c r="IS24" s="97" t="n">
        <f aca="false">IS23-IR24+IQ24</f>
        <v>0</v>
      </c>
      <c r="IT24" s="95" t="n">
        <f aca="false">[1]НАДІЙШЛО2!CI16</f>
        <v>0</v>
      </c>
      <c r="IU24" s="96" t="n">
        <f aca="false">[1]ВИБУЛО2!CI16</f>
        <v>0</v>
      </c>
      <c r="IV24" s="97" t="n">
        <f aca="false">IV23-IU24+IT24</f>
        <v>0</v>
      </c>
      <c r="IW24" s="95" t="n">
        <f aca="false">[1]НАДІЙШЛО2!CJ16</f>
        <v>0</v>
      </c>
      <c r="IX24" s="96" t="n">
        <f aca="false">[1]ВИБУЛО2!CJ16</f>
        <v>0</v>
      </c>
      <c r="IY24" s="97" t="n">
        <f aca="false">IY23-IX24+IW24</f>
        <v>0</v>
      </c>
      <c r="IZ24" s="95" t="n">
        <f aca="false">[1]НАДІЙШЛО2!CK16</f>
        <v>0</v>
      </c>
      <c r="JA24" s="96" t="n">
        <f aca="false">[1]ВИБУЛО2!CK16</f>
        <v>0</v>
      </c>
      <c r="JB24" s="97" t="n">
        <f aca="false">JB23-JA24+IZ24</f>
        <v>0</v>
      </c>
      <c r="JC24" s="95" t="n">
        <f aca="false">[1]НАДІЙШЛО2!CL16</f>
        <v>0</v>
      </c>
      <c r="JD24" s="96" t="n">
        <f aca="false">[1]ВИБУЛО2!CL16</f>
        <v>0</v>
      </c>
      <c r="JE24" s="97" t="n">
        <f aca="false">JE23-JD24+JC24</f>
        <v>0</v>
      </c>
      <c r="JF24" s="95" t="n">
        <f aca="false">[1]НАДІЙШЛО2!CM16</f>
        <v>0</v>
      </c>
      <c r="JG24" s="96" t="n">
        <f aca="false">[1]ВИБУЛО2!CM16</f>
        <v>0</v>
      </c>
      <c r="JH24" s="97" t="n">
        <f aca="false">JH23-JG24+JF24</f>
        <v>0</v>
      </c>
      <c r="JI24" s="95" t="n">
        <f aca="false">[1]НАДІЙШЛО2!CN16</f>
        <v>0</v>
      </c>
      <c r="JJ24" s="96" t="n">
        <f aca="false">[1]ВИБУЛО2!CN16</f>
        <v>0</v>
      </c>
      <c r="JK24" s="97" t="n">
        <f aca="false">JK23-JJ24+JI24</f>
        <v>0</v>
      </c>
      <c r="JL24" s="95" t="n">
        <f aca="false">[1]НАДІЙШЛО2!CO16</f>
        <v>0</v>
      </c>
      <c r="JM24" s="96" t="n">
        <f aca="false">[1]ВИБУЛО2!CO16</f>
        <v>0</v>
      </c>
      <c r="JN24" s="97" t="n">
        <f aca="false">JN23-JM24+JL24</f>
        <v>0</v>
      </c>
      <c r="JO24" s="95" t="n">
        <f aca="false">[1]НАДІЙШЛО2!CP16</f>
        <v>0</v>
      </c>
      <c r="JP24" s="96" t="n">
        <f aca="false">[1]ВИБУЛО2!CP16</f>
        <v>0</v>
      </c>
      <c r="JQ24" s="97" t="n">
        <f aca="false">JQ23-JP24+JO24</f>
        <v>0</v>
      </c>
      <c r="JR24" s="95" t="n">
        <f aca="false">[1]НАДІЙШЛО2!CQ16</f>
        <v>0</v>
      </c>
      <c r="JS24" s="96" t="n">
        <f aca="false">[1]ВИБУЛО2!CQ16</f>
        <v>0</v>
      </c>
      <c r="JT24" s="97" t="n">
        <f aca="false">JT23-JS24+JR24</f>
        <v>0</v>
      </c>
      <c r="JU24" s="95" t="n">
        <f aca="false">[1]НАДІЙШЛО2!CR16</f>
        <v>0</v>
      </c>
      <c r="JV24" s="96" t="n">
        <f aca="false">[1]ВИБУЛО2!CR16</f>
        <v>0</v>
      </c>
      <c r="JW24" s="97" t="n">
        <f aca="false">JW23-JV24+JU24</f>
        <v>0</v>
      </c>
      <c r="JX24" s="95" t="n">
        <f aca="false">[1]НАДІЙШЛО2!CS16</f>
        <v>0</v>
      </c>
      <c r="JY24" s="96" t="n">
        <f aca="false">[1]ВИБУЛО2!CS16</f>
        <v>0</v>
      </c>
      <c r="JZ24" s="97" t="n">
        <f aca="false">JZ23-JY24+JX24</f>
        <v>0</v>
      </c>
      <c r="KA24" s="95" t="n">
        <f aca="false">[1]НАДІЙШЛО2!CT16</f>
        <v>0</v>
      </c>
      <c r="KB24" s="96" t="n">
        <f aca="false">[1]ВИБУЛО2!CT16</f>
        <v>0</v>
      </c>
      <c r="KC24" s="97" t="n">
        <f aca="false">KC23-KB24+KA24</f>
        <v>0</v>
      </c>
      <c r="KD24" s="95" t="n">
        <f aca="false">[1]НАДІЙШЛО2!CU16</f>
        <v>0</v>
      </c>
      <c r="KE24" s="96" t="n">
        <f aca="false">[1]ВИБУЛО2!CU16</f>
        <v>0</v>
      </c>
      <c r="KF24" s="97" t="n">
        <f aca="false">KF23-KE24+KD24</f>
        <v>0</v>
      </c>
      <c r="KG24" s="95" t="n">
        <f aca="false">[1]НАДІЙШЛО2!CV16</f>
        <v>0</v>
      </c>
      <c r="KH24" s="96" t="n">
        <f aca="false">[1]ВИБУЛО2!CV16</f>
        <v>0</v>
      </c>
      <c r="KI24" s="97" t="n">
        <f aca="false">KI23-KH24+KG24</f>
        <v>0</v>
      </c>
      <c r="KJ24" s="95" t="n">
        <f aca="false">[1]НАДІЙШЛО2!CW16</f>
        <v>0</v>
      </c>
      <c r="KK24" s="96" t="n">
        <f aca="false">[1]ВИБУЛО2!CW16</f>
        <v>0</v>
      </c>
      <c r="KL24" s="97" t="n">
        <f aca="false">KL23-KK24+KJ24</f>
        <v>0</v>
      </c>
      <c r="KM24" s="95" t="n">
        <f aca="false">[1]НАДІЙШЛО2!CX16</f>
        <v>0</v>
      </c>
      <c r="KN24" s="96" t="n">
        <f aca="false">[1]ВИБУЛО2!CX16</f>
        <v>0</v>
      </c>
      <c r="KO24" s="97" t="n">
        <f aca="false">KO23-KN24+KM24</f>
        <v>0</v>
      </c>
      <c r="KP24" s="95" t="n">
        <f aca="false">[1]НАДІЙШЛО2!CY16</f>
        <v>0</v>
      </c>
      <c r="KQ24" s="96" t="n">
        <f aca="false">[1]ВИБУЛО2!CY16</f>
        <v>0</v>
      </c>
      <c r="KR24" s="97" t="n">
        <f aca="false">KR23-KQ24+KP24</f>
        <v>0</v>
      </c>
      <c r="KS24" s="95" t="n">
        <f aca="false">[1]НАДІЙШЛО2!CZ16</f>
        <v>0</v>
      </c>
      <c r="KT24" s="96" t="n">
        <f aca="false">[1]ВИБУЛО2!CZ16</f>
        <v>0</v>
      </c>
      <c r="KU24" s="97" t="n">
        <f aca="false">KU23-KT24+KS24</f>
        <v>0</v>
      </c>
      <c r="KV24" s="95" t="n">
        <f aca="false">[1]НАДІЙШЛО2!DA16</f>
        <v>0</v>
      </c>
      <c r="KW24" s="96" t="n">
        <f aca="false">[1]ВИБУЛО2!DA16</f>
        <v>0</v>
      </c>
      <c r="KX24" s="97" t="n">
        <f aca="false">KX23-KW24+KV24</f>
        <v>0</v>
      </c>
      <c r="KY24" s="95" t="n">
        <f aca="false">[1]НАДІЙШЛО2!DB16</f>
        <v>0</v>
      </c>
      <c r="KZ24" s="96" t="n">
        <f aca="false">[1]ВИБУЛО2!DB16</f>
        <v>0</v>
      </c>
      <c r="LA24" s="97" t="n">
        <f aca="false">LA23-KZ24+KY24</f>
        <v>0</v>
      </c>
      <c r="LB24" s="95" t="n">
        <f aca="false">[1]НАДІЙШЛО2!DC16</f>
        <v>0</v>
      </c>
      <c r="LC24" s="96" t="n">
        <f aca="false">[1]ВИБУЛО2!DC16</f>
        <v>0</v>
      </c>
      <c r="LD24" s="97" t="n">
        <f aca="false">LD23-LC24+LB24</f>
        <v>0</v>
      </c>
      <c r="LE24" s="95" t="n">
        <f aca="false">[1]НАДІЙШЛО2!DD16</f>
        <v>0</v>
      </c>
      <c r="LF24" s="96" t="n">
        <f aca="false">[1]ВИБУЛО2!DD16</f>
        <v>0</v>
      </c>
      <c r="LG24" s="97" t="n">
        <f aca="false">LG23-LF24+LE24</f>
        <v>0</v>
      </c>
      <c r="LH24" s="95" t="n">
        <f aca="false">[1]НАДІЙШЛО2!DE16</f>
        <v>0</v>
      </c>
      <c r="LI24" s="96" t="n">
        <f aca="false">[1]ВИБУЛО2!DE16</f>
        <v>0</v>
      </c>
      <c r="LJ24" s="97" t="n">
        <f aca="false">LJ23-LI24+LH24</f>
        <v>0</v>
      </c>
      <c r="LK24" s="95" t="n">
        <f aca="false">[1]НАДІЙШЛО2!DF16</f>
        <v>0</v>
      </c>
      <c r="LL24" s="96" t="n">
        <f aca="false">[1]ВИБУЛО2!DF16</f>
        <v>0</v>
      </c>
      <c r="LM24" s="97" t="n">
        <f aca="false">LM23-LL24+LK24</f>
        <v>0</v>
      </c>
      <c r="LN24" s="95" t="n">
        <f aca="false">[1]НАДІЙШЛО2!DG16</f>
        <v>0</v>
      </c>
      <c r="LO24" s="96" t="n">
        <f aca="false">[1]ВИБУЛО2!DG16</f>
        <v>0</v>
      </c>
      <c r="LP24" s="97" t="n">
        <f aca="false">LP23-LO24+LN24</f>
        <v>0</v>
      </c>
      <c r="LQ24" s="95" t="n">
        <f aca="false">[1]НАДІЙШЛО2!DH16</f>
        <v>0</v>
      </c>
      <c r="LR24" s="96" t="n">
        <f aca="false">[1]ВИБУЛО2!DH16</f>
        <v>0</v>
      </c>
      <c r="LS24" s="97" t="n">
        <f aca="false">LS23-LR24+LQ24</f>
        <v>0</v>
      </c>
      <c r="LT24" s="95" t="n">
        <f aca="false">[1]НАДІЙШЛО2!DI16</f>
        <v>0</v>
      </c>
      <c r="LU24" s="96" t="n">
        <f aca="false">[1]ВИБУЛО2!DI16</f>
        <v>0</v>
      </c>
      <c r="LV24" s="97" t="n">
        <f aca="false">LV23-LU24+LT24</f>
        <v>0</v>
      </c>
      <c r="LW24" s="95" t="n">
        <f aca="false">[1]НАДІЙШЛО2!DJ16</f>
        <v>0</v>
      </c>
      <c r="LX24" s="96" t="n">
        <f aca="false">[1]ВИБУЛО2!DJ16</f>
        <v>0</v>
      </c>
      <c r="LY24" s="97" t="n">
        <f aca="false">LY23-LX24+LW24</f>
        <v>0</v>
      </c>
      <c r="LZ24" s="95" t="n">
        <f aca="false">[1]НАДІЙШЛО2!DK16</f>
        <v>0</v>
      </c>
      <c r="MA24" s="96" t="n">
        <f aca="false">[1]ВИБУЛО2!DK16</f>
        <v>0</v>
      </c>
      <c r="MB24" s="97" t="n">
        <f aca="false">MB23-MA24+LZ24</f>
        <v>0</v>
      </c>
      <c r="MC24" s="95" t="n">
        <f aca="false">[1]НАДІЙШЛО2!DL16</f>
        <v>0</v>
      </c>
      <c r="MD24" s="96" t="n">
        <f aca="false">[1]ВИБУЛО2!DL16</f>
        <v>0</v>
      </c>
      <c r="ME24" s="97" t="n">
        <f aca="false">ME23-MD24+MC24</f>
        <v>0</v>
      </c>
      <c r="MF24" s="95" t="n">
        <f aca="false">[1]НАДІЙШЛО2!DM16</f>
        <v>0</v>
      </c>
      <c r="MG24" s="96" t="n">
        <f aca="false">[1]ВИБУЛО2!DM16</f>
        <v>0</v>
      </c>
      <c r="MH24" s="97" t="n">
        <f aca="false">MH23-MG24+MF24</f>
        <v>0</v>
      </c>
      <c r="MI24" s="95" t="n">
        <f aca="false">[1]НАДІЙШЛО2!DN16</f>
        <v>0</v>
      </c>
      <c r="MJ24" s="96" t="n">
        <f aca="false">[1]ВИБУЛО2!DN16</f>
        <v>0</v>
      </c>
      <c r="MK24" s="97" t="n">
        <f aca="false">MK23-MJ24+MI24</f>
        <v>0</v>
      </c>
      <c r="ML24" s="95" t="n">
        <f aca="false">[1]НАДІЙШЛО2!DO16</f>
        <v>0</v>
      </c>
      <c r="MM24" s="96" t="n">
        <f aca="false">[1]ВИБУЛО2!DO16</f>
        <v>0</v>
      </c>
      <c r="MN24" s="97" t="n">
        <f aca="false">MN23-MM24+ML24</f>
        <v>0</v>
      </c>
      <c r="MO24" s="95" t="n">
        <f aca="false">[1]НАДІЙШЛО2!DP16</f>
        <v>0</v>
      </c>
      <c r="MP24" s="96" t="n">
        <f aca="false">[1]ВИБУЛО2!DP16</f>
        <v>0</v>
      </c>
      <c r="MQ24" s="97" t="n">
        <f aca="false">MQ23-MP24+MO24</f>
        <v>0</v>
      </c>
      <c r="MR24" s="95" t="n">
        <f aca="false">[1]НАДІЙШЛО2!DQ16</f>
        <v>0</v>
      </c>
      <c r="MS24" s="96" t="n">
        <f aca="false">[1]ВИБУЛО2!DQ16</f>
        <v>0</v>
      </c>
      <c r="MT24" s="97" t="n">
        <f aca="false">MT23-MS24+MR24</f>
        <v>0</v>
      </c>
      <c r="MU24" s="95" t="n">
        <f aca="false">[1]НАДІЙШЛО2!DR16</f>
        <v>0</v>
      </c>
      <c r="MV24" s="96" t="n">
        <f aca="false">[1]ВИБУЛО2!DR16</f>
        <v>0</v>
      </c>
      <c r="MW24" s="97" t="n">
        <f aca="false">MW23-MV24+MU24</f>
        <v>0</v>
      </c>
      <c r="MX24" s="95" t="n">
        <f aca="false">[1]НАДІЙШЛО2!DS16</f>
        <v>0</v>
      </c>
      <c r="MY24" s="96" t="n">
        <f aca="false">[1]ВИБУЛО2!DS16</f>
        <v>0</v>
      </c>
      <c r="MZ24" s="97" t="n">
        <f aca="false">MZ23-MY24+MX24</f>
        <v>0</v>
      </c>
      <c r="NA24" s="95" t="n">
        <f aca="false">[1]НАДІЙШЛО2!DT16</f>
        <v>0</v>
      </c>
      <c r="NB24" s="96" t="n">
        <f aca="false">[1]ВИБУЛО2!DT16</f>
        <v>0</v>
      </c>
      <c r="NC24" s="97" t="n">
        <f aca="false">NC23-NB24+NA24</f>
        <v>0</v>
      </c>
      <c r="ND24" s="95" t="n">
        <f aca="false">[1]НАДІЙШЛО2!DU16</f>
        <v>0</v>
      </c>
      <c r="NE24" s="96" t="n">
        <f aca="false">[1]ВИБУЛО2!DU16</f>
        <v>0</v>
      </c>
      <c r="NF24" s="97" t="n">
        <f aca="false">NF23-NE24+ND24</f>
        <v>0</v>
      </c>
      <c r="NG24" s="95" t="n">
        <f aca="false">[1]НАДІЙШЛО2!DV16</f>
        <v>0</v>
      </c>
      <c r="NH24" s="96" t="n">
        <f aca="false">[1]ВИБУЛО2!DV16</f>
        <v>0</v>
      </c>
      <c r="NI24" s="97" t="n">
        <f aca="false">NI23-NH24+NG24</f>
        <v>0</v>
      </c>
      <c r="NJ24" s="95" t="n">
        <f aca="false">[1]НАДІЙШЛО2!DW16</f>
        <v>0</v>
      </c>
      <c r="NK24" s="96" t="n">
        <f aca="false">[1]ВИБУЛО2!DW16</f>
        <v>0</v>
      </c>
      <c r="NL24" s="97" t="n">
        <f aca="false">NL23-NK24+NJ24</f>
        <v>0</v>
      </c>
      <c r="NM24" s="95" t="n">
        <f aca="false">[1]НАДІЙШЛО2!DX16</f>
        <v>0</v>
      </c>
      <c r="NN24" s="96" t="n">
        <f aca="false">[1]ВИБУЛО2!DX16</f>
        <v>0</v>
      </c>
      <c r="NO24" s="97" t="n">
        <f aca="false">NO23-NN24+NM24</f>
        <v>0</v>
      </c>
      <c r="NP24" s="95" t="n">
        <f aca="false">[1]НАДІЙШЛО2!DY16</f>
        <v>0</v>
      </c>
      <c r="NQ24" s="96" t="n">
        <f aca="false">[1]ВИБУЛО2!DY16</f>
        <v>0</v>
      </c>
      <c r="NR24" s="97" t="n">
        <f aca="false">NR23-NQ24+NP24</f>
        <v>0</v>
      </c>
      <c r="NS24" s="95" t="n">
        <f aca="false">[1]НАДІЙШЛО2!DZ16</f>
        <v>0</v>
      </c>
      <c r="NT24" s="96" t="n">
        <f aca="false">[1]ВИБУЛО2!DZ16</f>
        <v>0</v>
      </c>
      <c r="NU24" s="97" t="n">
        <f aca="false">NU23-NT24+NS24</f>
        <v>0</v>
      </c>
      <c r="NV24" s="95" t="n">
        <f aca="false">[1]НАДІЙШЛО2!EA16</f>
        <v>0</v>
      </c>
      <c r="NW24" s="96" t="n">
        <f aca="false">[1]ВИБУЛО2!EA16</f>
        <v>0</v>
      </c>
      <c r="NX24" s="97" t="n">
        <f aca="false">NX23-NW24+NV24</f>
        <v>0</v>
      </c>
      <c r="NY24" s="95" t="n">
        <f aca="false">[1]НАДІЙШЛО2!EB16</f>
        <v>0</v>
      </c>
      <c r="NZ24" s="96" t="n">
        <f aca="false">[1]ВИБУЛО2!EB16</f>
        <v>0</v>
      </c>
      <c r="OA24" s="97" t="n">
        <f aca="false">OA23-NZ24+NY24</f>
        <v>0</v>
      </c>
      <c r="OB24" s="95" t="n">
        <f aca="false">[1]НАДІЙШЛО2!EC16</f>
        <v>0</v>
      </c>
      <c r="OC24" s="96" t="n">
        <f aca="false">[1]ВИБУЛО2!EC16</f>
        <v>0</v>
      </c>
      <c r="OD24" s="97" t="n">
        <f aca="false">OD23-OC24+OB24</f>
        <v>0</v>
      </c>
      <c r="OE24" s="95" t="n">
        <f aca="false">[1]НАДІЙШЛО2!ED16</f>
        <v>0</v>
      </c>
      <c r="OF24" s="96" t="n">
        <f aca="false">[1]ВИБУЛО2!ED16</f>
        <v>0</v>
      </c>
      <c r="OG24" s="97" t="n">
        <f aca="false">OG23-OF24+OE24</f>
        <v>0</v>
      </c>
      <c r="OH24" s="95" t="n">
        <f aca="false">[1]НАДІЙШЛО2!EE16</f>
        <v>0</v>
      </c>
      <c r="OI24" s="96" t="n">
        <f aca="false">[1]ВИБУЛО2!EE16</f>
        <v>0</v>
      </c>
      <c r="OJ24" s="97" t="n">
        <f aca="false">OJ23-OI24+OH24</f>
        <v>0</v>
      </c>
      <c r="OK24" s="95" t="n">
        <f aca="false">[1]НАДІЙШЛО2!EF16</f>
        <v>0</v>
      </c>
      <c r="OL24" s="96" t="n">
        <f aca="false">[1]ВИБУЛО2!EF16</f>
        <v>0</v>
      </c>
      <c r="OM24" s="97" t="n">
        <f aca="false">OM23-OL24+OK24</f>
        <v>0</v>
      </c>
      <c r="ON24" s="95" t="n">
        <f aca="false">[1]НАДІЙШЛО2!EG16</f>
        <v>0</v>
      </c>
      <c r="OO24" s="96" t="n">
        <f aca="false">[1]ВИБУЛО2!EG16</f>
        <v>0</v>
      </c>
      <c r="OP24" s="97" t="n">
        <f aca="false">OP23-OO24+ON24</f>
        <v>0</v>
      </c>
      <c r="OQ24" s="95" t="n">
        <f aca="false">[1]НАДІЙШЛО2!EH16</f>
        <v>0</v>
      </c>
      <c r="OR24" s="96" t="n">
        <f aca="false">[1]ВИБУЛО2!EH16</f>
        <v>0</v>
      </c>
      <c r="OS24" s="97" t="n">
        <f aca="false">OS23-OR24+OQ24</f>
        <v>0</v>
      </c>
      <c r="OT24" s="95" t="n">
        <f aca="false">[1]НАДІЙШЛО2!EI16</f>
        <v>0</v>
      </c>
      <c r="OU24" s="96" t="n">
        <f aca="false">[1]ВИБУЛО2!EI16</f>
        <v>0</v>
      </c>
      <c r="OV24" s="97" t="n">
        <f aca="false">OV23-OU24+OT24</f>
        <v>0</v>
      </c>
      <c r="OW24" s="95" t="n">
        <f aca="false">[1]НАДІЙШЛО2!EJ16</f>
        <v>0</v>
      </c>
      <c r="OX24" s="96" t="n">
        <f aca="false">[1]ВИБУЛО2!EJ16</f>
        <v>0</v>
      </c>
      <c r="OY24" s="97" t="n">
        <f aca="false">OY23-OX24+OW24</f>
        <v>0</v>
      </c>
      <c r="OZ24" s="95" t="n">
        <f aca="false">[1]НАДІЙШЛО2!EK16</f>
        <v>0</v>
      </c>
      <c r="PA24" s="96" t="n">
        <f aca="false">[1]ВИБУЛО2!EK16</f>
        <v>0</v>
      </c>
      <c r="PB24" s="97" t="n">
        <f aca="false">PB23-PA24+OZ24</f>
        <v>0</v>
      </c>
      <c r="PC24" s="95" t="n">
        <f aca="false">[1]НАДІЙШЛО2!EL16</f>
        <v>0</v>
      </c>
      <c r="PD24" s="96" t="n">
        <f aca="false">[1]ВИБУЛО2!EL16</f>
        <v>0</v>
      </c>
      <c r="PE24" s="97" t="n">
        <f aca="false">PE23-PD24+PC24</f>
        <v>0</v>
      </c>
      <c r="PF24" s="95" t="n">
        <f aca="false">[1]НАДІЙШЛО2!EM16</f>
        <v>0</v>
      </c>
      <c r="PG24" s="96" t="n">
        <f aca="false">[1]ВИБУЛО2!EM16</f>
        <v>0</v>
      </c>
      <c r="PH24" s="97" t="n">
        <f aca="false">PH23-PG24+PF24</f>
        <v>0</v>
      </c>
      <c r="PI24" s="95" t="n">
        <f aca="false">[1]НАДІЙШЛО2!EN16</f>
        <v>0</v>
      </c>
      <c r="PJ24" s="96" t="n">
        <f aca="false">[1]ВИБУЛО2!EN16</f>
        <v>0</v>
      </c>
      <c r="PK24" s="97" t="n">
        <f aca="false">PK23-PJ24+PI24</f>
        <v>0</v>
      </c>
      <c r="PL24" s="95" t="n">
        <f aca="false">[1]НАДІЙШЛО2!EO16</f>
        <v>0</v>
      </c>
      <c r="PM24" s="96" t="n">
        <f aca="false">[1]ВИБУЛО2!EO16</f>
        <v>0</v>
      </c>
      <c r="PN24" s="97" t="n">
        <f aca="false">PN23-PM24+PL24</f>
        <v>0</v>
      </c>
      <c r="PO24" s="95" t="n">
        <f aca="false">[1]НАДІЙШЛО2!EP16</f>
        <v>0</v>
      </c>
      <c r="PP24" s="96" t="n">
        <f aca="false">[1]ВИБУЛО2!EP16</f>
        <v>0</v>
      </c>
      <c r="PQ24" s="97" t="n">
        <f aca="false">PQ23-PP24+PO24</f>
        <v>0</v>
      </c>
      <c r="PR24" s="95" t="n">
        <f aca="false">[1]НАДІЙШЛО2!EQ16</f>
        <v>0</v>
      </c>
      <c r="PS24" s="96" t="n">
        <f aca="false">[1]ВИБУЛО2!EQ16</f>
        <v>0</v>
      </c>
      <c r="PT24" s="97" t="n">
        <f aca="false">PT23-PS24+PR24</f>
        <v>0</v>
      </c>
      <c r="PU24" s="95" t="n">
        <f aca="false">[1]НАДІЙШЛО2!ER16</f>
        <v>0</v>
      </c>
      <c r="PV24" s="96" t="n">
        <f aca="false">[1]ВИБУЛО2!ER16</f>
        <v>0</v>
      </c>
      <c r="PW24" s="97" t="n">
        <f aca="false">PW23-PV24+PU24</f>
        <v>0</v>
      </c>
      <c r="PX24" s="95" t="n">
        <f aca="false">[1]НАДІЙШЛО2!ES16</f>
        <v>0</v>
      </c>
      <c r="PY24" s="96" t="n">
        <f aca="false">[1]ВИБУЛО2!ES16</f>
        <v>0</v>
      </c>
      <c r="PZ24" s="97" t="n">
        <f aca="false">PZ23-PY24+PX24</f>
        <v>0</v>
      </c>
      <c r="QA24" s="95" t="n">
        <f aca="false">[1]НАДІЙШЛО2!ET16</f>
        <v>0</v>
      </c>
      <c r="QB24" s="96" t="n">
        <f aca="false">[1]ВИБУЛО2!ET16</f>
        <v>0</v>
      </c>
      <c r="QC24" s="97" t="n">
        <f aca="false">QC23-QB24+QA24</f>
        <v>0</v>
      </c>
      <c r="QD24" s="95" t="n">
        <f aca="false">[1]НАДІЙШЛО2!EU16</f>
        <v>0</v>
      </c>
      <c r="QE24" s="96" t="n">
        <f aca="false">[1]ВИБУЛО2!EU16</f>
        <v>0</v>
      </c>
      <c r="QF24" s="97" t="n">
        <f aca="false">QF23-QE24+QD24</f>
        <v>0</v>
      </c>
      <c r="QG24" s="95" t="n">
        <f aca="false">[1]НАДІЙШЛО2!EV16</f>
        <v>0</v>
      </c>
      <c r="QH24" s="96" t="n">
        <f aca="false">[1]ВИБУЛО2!EV16</f>
        <v>0</v>
      </c>
      <c r="QI24" s="97" t="n">
        <f aca="false">QI23-QH24+QG24</f>
        <v>0</v>
      </c>
      <c r="QJ24" s="95" t="n">
        <f aca="false">[1]НАДІЙШЛО2!EW16</f>
        <v>0</v>
      </c>
      <c r="QK24" s="96" t="n">
        <f aca="false">[1]ВИБУЛО2!EW16</f>
        <v>0</v>
      </c>
      <c r="QL24" s="97" t="n">
        <f aca="false">QL23-QK24+QJ24</f>
        <v>0</v>
      </c>
      <c r="QM24" s="95" t="n">
        <f aca="false">[1]НАДІЙШЛО2!EX16</f>
        <v>0</v>
      </c>
      <c r="QN24" s="96" t="n">
        <f aca="false">[1]ВИБУЛО2!EX16</f>
        <v>0</v>
      </c>
      <c r="QO24" s="97" t="n">
        <f aca="false">QO23-QN24+QM24</f>
        <v>0</v>
      </c>
      <c r="QP24" s="95" t="n">
        <f aca="false">[1]НАДІЙШЛО2!EY16</f>
        <v>0</v>
      </c>
      <c r="QQ24" s="96" t="n">
        <f aca="false">[1]ВИБУЛО2!EY16</f>
        <v>0</v>
      </c>
      <c r="QR24" s="97" t="n">
        <f aca="false">QR23-QQ24+QP24</f>
        <v>0</v>
      </c>
      <c r="QS24" s="95" t="n">
        <f aca="false">[1]НАДІЙШЛО2!EZ16</f>
        <v>0</v>
      </c>
      <c r="QT24" s="96" t="n">
        <f aca="false">[1]ВИБУЛО2!EZ16</f>
        <v>0</v>
      </c>
      <c r="QU24" s="97" t="n">
        <f aca="false">QU23-QT24+QS24</f>
        <v>0</v>
      </c>
      <c r="QV24" s="95" t="n">
        <f aca="false">[1]НАДІЙШЛО2!FA16</f>
        <v>0</v>
      </c>
      <c r="QW24" s="96" t="n">
        <f aca="false">[1]ВИБУЛО2!FA16</f>
        <v>0</v>
      </c>
      <c r="QX24" s="97" t="n">
        <f aca="false">QX23-QW24+QV24</f>
        <v>0</v>
      </c>
      <c r="QY24" s="95" t="n">
        <f aca="false">[1]НАДІЙШЛО2!FB16</f>
        <v>0</v>
      </c>
      <c r="QZ24" s="96" t="n">
        <f aca="false">[1]ВИБУЛО2!FB16</f>
        <v>0</v>
      </c>
      <c r="RA24" s="97" t="n">
        <f aca="false">RA23-QZ24+QY24</f>
        <v>0</v>
      </c>
      <c r="RB24" s="95" t="n">
        <f aca="false">[1]НАДІЙШЛО2!FC16</f>
        <v>0</v>
      </c>
      <c r="RC24" s="96" t="n">
        <f aca="false">[1]ВИБУЛО2!FC16</f>
        <v>0</v>
      </c>
      <c r="RD24" s="97" t="n">
        <f aca="false">RD23-RC24+RB24</f>
        <v>0</v>
      </c>
      <c r="RE24" s="95" t="n">
        <f aca="false">[1]НАДІЙШЛО2!FD16</f>
        <v>0</v>
      </c>
      <c r="RF24" s="96" t="n">
        <f aca="false">[1]ВИБУЛО2!FD16</f>
        <v>0</v>
      </c>
      <c r="RG24" s="97" t="n">
        <f aca="false">RG23-RF24+RE24</f>
        <v>0</v>
      </c>
      <c r="RH24" s="95" t="n">
        <f aca="false">[1]НАДІЙШЛО2!FE16</f>
        <v>0</v>
      </c>
      <c r="RI24" s="96" t="n">
        <f aca="false">[1]ВИБУЛО2!FE16</f>
        <v>0</v>
      </c>
      <c r="RJ24" s="97" t="n">
        <f aca="false">RJ23-RI24+RH24</f>
        <v>0</v>
      </c>
      <c r="RK24" s="95" t="n">
        <f aca="false">[1]НАДІЙШЛО2!FF16</f>
        <v>0</v>
      </c>
      <c r="RL24" s="96" t="n">
        <f aca="false">[1]ВИБУЛО2!FF16</f>
        <v>0</v>
      </c>
      <c r="RM24" s="97" t="n">
        <f aca="false">RM23-RL24+RK24</f>
        <v>0</v>
      </c>
      <c r="RN24" s="95" t="n">
        <f aca="false">[1]НАДІЙШЛО2!FG16</f>
        <v>0</v>
      </c>
      <c r="RO24" s="96" t="n">
        <f aca="false">[1]ВИБУЛО2!FG16</f>
        <v>0</v>
      </c>
      <c r="RP24" s="97" t="n">
        <f aca="false">RP23-RO24+RN24</f>
        <v>0</v>
      </c>
      <c r="RQ24" s="95" t="n">
        <f aca="false">[1]НАДІЙШЛО2!FH16</f>
        <v>0</v>
      </c>
      <c r="RR24" s="96" t="n">
        <f aca="false">[1]ВИБУЛО2!FH16</f>
        <v>0</v>
      </c>
      <c r="RS24" s="97" t="n">
        <f aca="false">RS23-RR24+RQ24</f>
        <v>0</v>
      </c>
      <c r="RT24" s="95" t="n">
        <f aca="false">[1]НАДІЙШЛО2!FI16</f>
        <v>0</v>
      </c>
      <c r="RU24" s="96" t="n">
        <f aca="false">[1]ВИБУЛО2!FI16</f>
        <v>0</v>
      </c>
      <c r="RV24" s="97" t="n">
        <f aca="false">RV23-RU24+RT24</f>
        <v>0</v>
      </c>
      <c r="RW24" s="95" t="n">
        <f aca="false">[1]НАДІЙШЛО2!FJ16</f>
        <v>0</v>
      </c>
      <c r="RX24" s="96" t="n">
        <f aca="false">[1]ВИБУЛО2!FJ16</f>
        <v>0</v>
      </c>
      <c r="RY24" s="97" t="n">
        <f aca="false">RY23-RX24+RW24</f>
        <v>0</v>
      </c>
      <c r="RZ24" s="95" t="n">
        <f aca="false">[1]НАДІЙШЛО2!FK16</f>
        <v>0</v>
      </c>
      <c r="SA24" s="96" t="n">
        <f aca="false">[1]ВИБУЛО2!FK16</f>
        <v>0</v>
      </c>
      <c r="SB24" s="97" t="n">
        <f aca="false">SB23-SA24+RZ24</f>
        <v>0</v>
      </c>
      <c r="SC24" s="95" t="n">
        <f aca="false">[1]НАДІЙШЛО2!FL16</f>
        <v>0</v>
      </c>
      <c r="SD24" s="96" t="n">
        <f aca="false">[1]ВИБУЛО2!FL16</f>
        <v>0</v>
      </c>
      <c r="SE24" s="97" t="n">
        <f aca="false">SE23-SD24+SC24</f>
        <v>0</v>
      </c>
      <c r="SF24" s="95" t="n">
        <f aca="false">[1]НАДІЙШЛО2!FM16</f>
        <v>0</v>
      </c>
      <c r="SG24" s="96" t="n">
        <f aca="false">[1]ВИБУЛО2!FM16</f>
        <v>0</v>
      </c>
      <c r="SH24" s="97" t="n">
        <f aca="false">SH23-SG24+SF24</f>
        <v>0</v>
      </c>
      <c r="SI24" s="95" t="n">
        <f aca="false">[1]НАДІЙШЛО2!FN16</f>
        <v>0</v>
      </c>
      <c r="SJ24" s="96" t="n">
        <f aca="false">[1]ВИБУЛО2!FN16</f>
        <v>0</v>
      </c>
      <c r="SK24" s="97" t="n">
        <f aca="false">SK23-SJ24+SI24</f>
        <v>0</v>
      </c>
      <c r="SL24" s="95" t="n">
        <f aca="false">[1]НАДІЙШЛО2!FO16</f>
        <v>0</v>
      </c>
      <c r="SM24" s="96" t="n">
        <f aca="false">[1]ВИБУЛО2!FO16</f>
        <v>0</v>
      </c>
      <c r="SN24" s="97" t="n">
        <f aca="false">SN23-SM24+SL24</f>
        <v>0</v>
      </c>
      <c r="SO24" s="95" t="n">
        <f aca="false">[1]НАДІЙШЛО2!FP16</f>
        <v>0</v>
      </c>
      <c r="SP24" s="96" t="n">
        <f aca="false">[1]ВИБУЛО2!FP16</f>
        <v>0</v>
      </c>
      <c r="SQ24" s="97" t="n">
        <f aca="false">SQ23-SP24+SO24</f>
        <v>0</v>
      </c>
      <c r="SR24" s="95" t="n">
        <f aca="false">[1]НАДІЙШЛО2!FQ16</f>
        <v>0</v>
      </c>
      <c r="SS24" s="96" t="n">
        <f aca="false">[1]ВИБУЛО2!FQ16</f>
        <v>0</v>
      </c>
      <c r="ST24" s="97" t="n">
        <f aca="false">ST23-SS24+SR24</f>
        <v>0</v>
      </c>
      <c r="SU24" s="95" t="n">
        <f aca="false">[1]НАДІЙШЛО2!FR16</f>
        <v>0</v>
      </c>
      <c r="SV24" s="96" t="n">
        <f aca="false">[1]ВИБУЛО2!FR16</f>
        <v>0</v>
      </c>
      <c r="SW24" s="97" t="n">
        <f aca="false">SW23-SV24+SU24</f>
        <v>0</v>
      </c>
      <c r="SX24" s="95" t="n">
        <f aca="false">[1]НАДІЙШЛО2!FS16</f>
        <v>0</v>
      </c>
      <c r="SY24" s="96" t="n">
        <f aca="false">[1]ВИБУЛО2!FS16</f>
        <v>0</v>
      </c>
      <c r="SZ24" s="97" t="n">
        <f aca="false">SZ23-SY24+SX24</f>
        <v>0</v>
      </c>
      <c r="TA24" s="95" t="n">
        <f aca="false">[1]НАДІЙШЛО2!FT16</f>
        <v>0</v>
      </c>
      <c r="TB24" s="96" t="n">
        <f aca="false">[1]ВИБУЛО2!FT16</f>
        <v>0</v>
      </c>
      <c r="TC24" s="97" t="n">
        <f aca="false">TC23-TB24+TA24</f>
        <v>0</v>
      </c>
      <c r="TD24" s="95" t="n">
        <f aca="false">[1]НАДІЙШЛО2!FU16</f>
        <v>0</v>
      </c>
      <c r="TE24" s="96" t="n">
        <f aca="false">[1]ВИБУЛО2!FU16</f>
        <v>0</v>
      </c>
      <c r="TF24" s="97" t="n">
        <f aca="false">TF23-TE24+TD24</f>
        <v>0</v>
      </c>
      <c r="TG24" s="95" t="n">
        <f aca="false">[1]НАДІЙШЛО2!FV16</f>
        <v>0</v>
      </c>
      <c r="TH24" s="96" t="n">
        <f aca="false">[1]ВИБУЛО2!FV16</f>
        <v>0</v>
      </c>
      <c r="TI24" s="97" t="n">
        <f aca="false">TI23-TH24+TG24</f>
        <v>0</v>
      </c>
      <c r="TJ24" s="95" t="n">
        <f aca="false">[1]НАДІЙШЛО2!FW16</f>
        <v>0</v>
      </c>
      <c r="TK24" s="96" t="n">
        <f aca="false">[1]ВИБУЛО2!FW16</f>
        <v>0</v>
      </c>
      <c r="TL24" s="97" t="n">
        <f aca="false">TL23-TK24+TJ24</f>
        <v>0</v>
      </c>
      <c r="TM24" s="95" t="n">
        <f aca="false">[1]НАДІЙШЛО2!FX16</f>
        <v>0</v>
      </c>
      <c r="TN24" s="96" t="n">
        <f aca="false">[1]ВИБУЛО2!FX16</f>
        <v>0</v>
      </c>
      <c r="TO24" s="97" t="n">
        <f aca="false">TO23-TN24+TM24</f>
        <v>0</v>
      </c>
      <c r="TP24" s="95" t="n">
        <f aca="false">[1]НАДІЙШЛО2!FY16</f>
        <v>0</v>
      </c>
      <c r="TQ24" s="96" t="n">
        <f aca="false">[1]ВИБУЛО2!FY16</f>
        <v>0</v>
      </c>
      <c r="TR24" s="97" t="n">
        <f aca="false">TR23-TQ24+TP24</f>
        <v>0</v>
      </c>
      <c r="TS24" s="95" t="n">
        <f aca="false">[1]НАДІЙШЛО2!FZ16</f>
        <v>0</v>
      </c>
      <c r="TT24" s="96" t="n">
        <f aca="false">[1]ВИБУЛО2!FZ16</f>
        <v>0</v>
      </c>
      <c r="TU24" s="97" t="n">
        <f aca="false">TU23-TT24+TS24</f>
        <v>0</v>
      </c>
      <c r="TV24" s="95" t="n">
        <f aca="false">[1]НАДІЙШЛО2!GA16</f>
        <v>0</v>
      </c>
      <c r="TW24" s="96" t="n">
        <f aca="false">[1]ВИБУЛО2!GA16</f>
        <v>0</v>
      </c>
      <c r="TX24" s="97" t="n">
        <f aca="false">TX23-TW24+TV24</f>
        <v>0</v>
      </c>
      <c r="TY24" s="95" t="n">
        <f aca="false">[1]НАДІЙШЛО2!GB16</f>
        <v>0</v>
      </c>
      <c r="TZ24" s="96" t="n">
        <f aca="false">[1]ВИБУЛО2!GB16</f>
        <v>0</v>
      </c>
      <c r="UA24" s="97" t="n">
        <f aca="false">UA23-TZ24+TY24</f>
        <v>0</v>
      </c>
      <c r="UB24" s="95" t="n">
        <f aca="false">[1]НАДІЙШЛО2!GC16</f>
        <v>0</v>
      </c>
      <c r="UC24" s="96" t="n">
        <f aca="false">[1]ВИБУЛО2!GC16</f>
        <v>0</v>
      </c>
      <c r="UD24" s="97" t="n">
        <f aca="false">UD23-UC24+UB24</f>
        <v>0</v>
      </c>
      <c r="UE24" s="95" t="n">
        <f aca="false">[1]НАДІЙШЛО2!GD16</f>
        <v>0</v>
      </c>
      <c r="UF24" s="96" t="n">
        <f aca="false">[1]ВИБУЛО2!GD16</f>
        <v>0</v>
      </c>
      <c r="UG24" s="97" t="n">
        <f aca="false">UG23-UF24+UE24</f>
        <v>0</v>
      </c>
      <c r="UH24" s="95" t="n">
        <f aca="false">[1]НАДІЙШЛО2!GE16</f>
        <v>0</v>
      </c>
      <c r="UI24" s="96" t="n">
        <f aca="false">[1]ВИБУЛО2!GE16</f>
        <v>0</v>
      </c>
      <c r="UJ24" s="97" t="n">
        <f aca="false">UJ23-UI24+UH24</f>
        <v>0</v>
      </c>
      <c r="UK24" s="95" t="n">
        <f aca="false">[1]НАДІЙШЛО2!GF16</f>
        <v>0</v>
      </c>
      <c r="UL24" s="96" t="n">
        <f aca="false">[1]ВИБУЛО2!GF16</f>
        <v>0</v>
      </c>
      <c r="UM24" s="97" t="n">
        <f aca="false">UM23-UL24+UK24</f>
        <v>0</v>
      </c>
      <c r="UN24" s="95" t="n">
        <f aca="false">[1]НАДІЙШЛО2!GG16</f>
        <v>0</v>
      </c>
      <c r="UO24" s="96" t="n">
        <f aca="false">[1]ВИБУЛО2!GG16</f>
        <v>0</v>
      </c>
      <c r="UP24" s="97" t="n">
        <f aca="false">UP23-UO24+UN24</f>
        <v>0</v>
      </c>
      <c r="UQ24" s="95" t="n">
        <f aca="false">[1]НАДІЙШЛО2!GH16</f>
        <v>0</v>
      </c>
      <c r="UR24" s="96" t="n">
        <f aca="false">[1]ВИБУЛО2!GH16</f>
        <v>0</v>
      </c>
      <c r="US24" s="97" t="n">
        <f aca="false">US23-UR24+UQ24</f>
        <v>0</v>
      </c>
      <c r="UT24" s="95" t="n">
        <f aca="false">[1]НАДІЙШЛО2!GI16</f>
        <v>0</v>
      </c>
      <c r="UU24" s="96" t="n">
        <f aca="false">[1]ВИБУЛО2!GI16</f>
        <v>0</v>
      </c>
      <c r="UV24" s="97" t="n">
        <f aca="false">UV23-UU24+UT24</f>
        <v>0</v>
      </c>
      <c r="UW24" s="95" t="n">
        <f aca="false">[1]НАДІЙШЛО2!GJ16</f>
        <v>0</v>
      </c>
      <c r="UX24" s="96" t="n">
        <f aca="false">[1]ВИБУЛО2!GJ16</f>
        <v>0</v>
      </c>
      <c r="UY24" s="97" t="n">
        <f aca="false">UY23-UX24+UW24</f>
        <v>0</v>
      </c>
      <c r="UZ24" s="95" t="n">
        <f aca="false">[1]НАДІЙШЛО2!GK16</f>
        <v>0</v>
      </c>
      <c r="VA24" s="96" t="n">
        <f aca="false">[1]ВИБУЛО2!GK16</f>
        <v>0</v>
      </c>
      <c r="VB24" s="97" t="n">
        <f aca="false">VB23-VA24+UZ24</f>
        <v>0</v>
      </c>
      <c r="VC24" s="95" t="n">
        <f aca="false">[1]НАДІЙШЛО2!GL16</f>
        <v>0</v>
      </c>
      <c r="VD24" s="96" t="n">
        <f aca="false">[1]ВИБУЛО2!GL16</f>
        <v>0</v>
      </c>
      <c r="VE24" s="97" t="n">
        <f aca="false">VE23-VD24+VC24</f>
        <v>0</v>
      </c>
      <c r="VF24" s="95" t="n">
        <f aca="false">[1]НАДІЙШЛО2!GM16</f>
        <v>0</v>
      </c>
      <c r="VG24" s="96" t="n">
        <f aca="false">[1]ВИБУЛО2!GM16</f>
        <v>0</v>
      </c>
      <c r="VH24" s="97" t="n">
        <f aca="false">VH23-VG24+VF24</f>
        <v>0</v>
      </c>
      <c r="VI24" s="95" t="n">
        <f aca="false">[1]НАДІЙШЛО2!GN16</f>
        <v>0</v>
      </c>
      <c r="VJ24" s="96" t="n">
        <f aca="false">[1]ВИБУЛО2!GN16</f>
        <v>0</v>
      </c>
      <c r="VK24" s="97" t="n">
        <f aca="false">VK23-VJ24+VI24</f>
        <v>0</v>
      </c>
      <c r="VL24" s="95" t="n">
        <f aca="false">[1]НАДІЙШЛО2!GO16</f>
        <v>0</v>
      </c>
      <c r="VM24" s="96" t="n">
        <f aca="false">[1]ВИБУЛО2!GO16</f>
        <v>0</v>
      </c>
      <c r="VN24" s="97" t="n">
        <f aca="false">VN23-VM24+VL24</f>
        <v>0</v>
      </c>
      <c r="VO24" s="95" t="n">
        <f aca="false">[1]НАДІЙШЛО2!GP16</f>
        <v>0</v>
      </c>
      <c r="VP24" s="96" t="n">
        <f aca="false">[1]ВИБУЛО2!GP16</f>
        <v>0</v>
      </c>
      <c r="VQ24" s="97" t="n">
        <f aca="false">VQ23-VP24+VO24</f>
        <v>0</v>
      </c>
      <c r="VR24" s="95" t="n">
        <f aca="false">[1]НАДІЙШЛО2!GQ16</f>
        <v>0</v>
      </c>
      <c r="VS24" s="96" t="n">
        <f aca="false">[1]ВИБУЛО2!GQ16</f>
        <v>0</v>
      </c>
      <c r="VT24" s="97" t="n">
        <f aca="false">VT23-VS24+VR24</f>
        <v>0</v>
      </c>
      <c r="VU24" s="95" t="n">
        <f aca="false">[1]НАДІЙШЛО2!GR16</f>
        <v>0</v>
      </c>
      <c r="VV24" s="96" t="n">
        <f aca="false">[1]ВИБУЛО2!GR16</f>
        <v>0</v>
      </c>
      <c r="VW24" s="97" t="n">
        <f aca="false">VW23-VV24+VU24</f>
        <v>0</v>
      </c>
      <c r="VX24" s="95" t="n">
        <f aca="false">[1]НАДІЙШЛО2!GS16</f>
        <v>0</v>
      </c>
      <c r="VY24" s="96" t="n">
        <f aca="false">[1]ВИБУЛО2!GS16</f>
        <v>0</v>
      </c>
      <c r="VZ24" s="97" t="n">
        <f aca="false">VZ23-VY24+VX24</f>
        <v>0</v>
      </c>
      <c r="WA24" s="95" t="n">
        <f aca="false">[1]НАДІЙШЛО2!GT16</f>
        <v>0</v>
      </c>
      <c r="WB24" s="96" t="n">
        <f aca="false">[1]ВИБУЛО2!GT16</f>
        <v>0</v>
      </c>
      <c r="WC24" s="97" t="n">
        <f aca="false">WC23-WB24+WA24</f>
        <v>0</v>
      </c>
      <c r="WD24" s="95" t="n">
        <f aca="false">[1]НАДІЙШЛО2!GU16</f>
        <v>0</v>
      </c>
      <c r="WE24" s="96" t="n">
        <f aca="false">[1]ВИБУЛО2!GU16</f>
        <v>0</v>
      </c>
      <c r="WF24" s="97" t="n">
        <f aca="false">WF23-WE24+WD24</f>
        <v>0</v>
      </c>
      <c r="WG24" s="95" t="n">
        <f aca="false">[1]НАДІЙШЛО2!GV16</f>
        <v>0</v>
      </c>
      <c r="WH24" s="96" t="n">
        <f aca="false">[1]ВИБУЛО2!GV16</f>
        <v>0</v>
      </c>
      <c r="WI24" s="97" t="n">
        <f aca="false">WI23-WH24+WG24</f>
        <v>0</v>
      </c>
      <c r="WJ24" s="95" t="n">
        <f aca="false">[1]НАДІЙШЛО2!GW16</f>
        <v>0</v>
      </c>
      <c r="WK24" s="96" t="n">
        <f aca="false">[1]ВИБУЛО2!GW16</f>
        <v>0</v>
      </c>
      <c r="WL24" s="97" t="n">
        <f aca="false">WL23-WK24+WJ24</f>
        <v>0</v>
      </c>
      <c r="WM24" s="95" t="n">
        <f aca="false">[1]НАДІЙШЛО2!GX16</f>
        <v>0</v>
      </c>
      <c r="WN24" s="96" t="n">
        <f aca="false">[1]ВИБУЛО2!GX16</f>
        <v>0</v>
      </c>
      <c r="WO24" s="97" t="n">
        <f aca="false">WO23-WN24+WM24</f>
        <v>0</v>
      </c>
      <c r="WP24" s="95" t="n">
        <f aca="false">[1]НАДІЙШЛО2!GY16</f>
        <v>0</v>
      </c>
      <c r="WQ24" s="96" t="n">
        <f aca="false">[1]ВИБУЛО2!GY16</f>
        <v>0</v>
      </c>
      <c r="WR24" s="97" t="n">
        <f aca="false">WR23-WQ24+WP24</f>
        <v>0</v>
      </c>
      <c r="WS24" s="95" t="n">
        <f aca="false">[1]НАДІЙШЛО2!GZ16</f>
        <v>0</v>
      </c>
      <c r="WT24" s="96" t="n">
        <f aca="false">[1]ВИБУЛО2!GZ16</f>
        <v>0</v>
      </c>
      <c r="WU24" s="97" t="n">
        <f aca="false">WU23-WT24+WS24</f>
        <v>0</v>
      </c>
      <c r="WV24" s="95" t="n">
        <f aca="false">[1]НАДІЙШЛО2!HA16</f>
        <v>0</v>
      </c>
      <c r="WW24" s="96" t="n">
        <f aca="false">[1]ВИБУЛО2!HA16</f>
        <v>0</v>
      </c>
      <c r="WX24" s="97" t="n">
        <f aca="false">WX23-WW24+WV24</f>
        <v>0</v>
      </c>
      <c r="WY24" s="95" t="n">
        <f aca="false">[1]НАДІЙШЛО2!HB16</f>
        <v>0</v>
      </c>
      <c r="WZ24" s="96" t="n">
        <f aca="false">[1]ВИБУЛО2!HB16</f>
        <v>0</v>
      </c>
      <c r="XA24" s="97" t="n">
        <f aca="false">XA23-WZ24+WY24</f>
        <v>0</v>
      </c>
      <c r="XB24" s="95" t="n">
        <f aca="false">[1]НАДІЙШЛО2!HC16</f>
        <v>0</v>
      </c>
      <c r="XC24" s="96" t="n">
        <f aca="false">[1]ВИБУЛО2!HC16</f>
        <v>0</v>
      </c>
      <c r="XD24" s="97" t="n">
        <f aca="false">XD23-XC24+XB24</f>
        <v>0</v>
      </c>
      <c r="XE24" s="95" t="n">
        <f aca="false">[1]НАДІЙШЛО2!HD16</f>
        <v>0</v>
      </c>
      <c r="XF24" s="96" t="n">
        <f aca="false">[1]ВИБУЛО2!HD16</f>
        <v>0</v>
      </c>
      <c r="XG24" s="97" t="n">
        <f aca="false">XG23-XF24+XE24</f>
        <v>0</v>
      </c>
      <c r="XH24" s="95" t="n">
        <f aca="false">[1]НАДІЙШЛО2!HE16</f>
        <v>0</v>
      </c>
      <c r="XI24" s="96" t="n">
        <f aca="false">[1]ВИБУЛО2!HE16</f>
        <v>0</v>
      </c>
      <c r="XJ24" s="97" t="n">
        <f aca="false">XJ23-XI24+XH24</f>
        <v>0</v>
      </c>
      <c r="XK24" s="95" t="n">
        <f aca="false">[1]НАДІЙШЛО2!HF16</f>
        <v>0</v>
      </c>
      <c r="XL24" s="96" t="n">
        <f aca="false">[1]ВИБУЛО2!HF16</f>
        <v>0</v>
      </c>
      <c r="XM24" s="97" t="n">
        <f aca="false">XM23-XL24+XK24</f>
        <v>0</v>
      </c>
      <c r="XN24" s="95" t="n">
        <f aca="false">[1]НАДІЙШЛО2!HG16</f>
        <v>0</v>
      </c>
      <c r="XO24" s="96" t="n">
        <f aca="false">[1]ВИБУЛО2!HG16</f>
        <v>0</v>
      </c>
      <c r="XP24" s="97" t="n">
        <f aca="false">XP23-XO24+XN24</f>
        <v>0</v>
      </c>
      <c r="XQ24" s="95" t="n">
        <f aca="false">[1]НАДІЙШЛО2!HH16</f>
        <v>0</v>
      </c>
      <c r="XR24" s="96" t="n">
        <f aca="false">[1]ВИБУЛО2!HH16</f>
        <v>0</v>
      </c>
      <c r="XS24" s="97" t="n">
        <f aca="false">XS23-XR24+XQ24</f>
        <v>0</v>
      </c>
      <c r="XT24" s="95" t="n">
        <f aca="false">[1]НАДІЙШЛО2!HI16</f>
        <v>0</v>
      </c>
      <c r="XU24" s="96" t="n">
        <f aca="false">[1]ВИБУЛО2!HI16</f>
        <v>0</v>
      </c>
      <c r="XV24" s="97" t="n">
        <f aca="false">XV23-XU24+XT24</f>
        <v>0</v>
      </c>
      <c r="XW24" s="95" t="n">
        <f aca="false">[1]НАДІЙШЛО2!HJ16</f>
        <v>0</v>
      </c>
      <c r="XX24" s="96" t="n">
        <f aca="false">[1]ВИБУЛО2!HJ16</f>
        <v>0</v>
      </c>
      <c r="XY24" s="97" t="n">
        <f aca="false">XY23-XX24+XW24</f>
        <v>0</v>
      </c>
      <c r="XZ24" s="95" t="n">
        <f aca="false">[1]НАДІЙШЛО2!HK16</f>
        <v>0</v>
      </c>
      <c r="YA24" s="96" t="n">
        <f aca="false">[1]ВИБУЛО2!HK16</f>
        <v>0</v>
      </c>
      <c r="YB24" s="97" t="n">
        <f aca="false">YB23-YA24+XZ24</f>
        <v>0</v>
      </c>
      <c r="YC24" s="95" t="n">
        <f aca="false">[1]НАДІЙШЛО2!HL16</f>
        <v>0</v>
      </c>
      <c r="YD24" s="96" t="n">
        <f aca="false">[1]ВИБУЛО2!HL16</f>
        <v>0</v>
      </c>
      <c r="YE24" s="97" t="n">
        <f aca="false">YE23-YD24+YC24</f>
        <v>0</v>
      </c>
      <c r="YF24" s="95" t="n">
        <f aca="false">[1]НАДІЙШЛО2!HM16</f>
        <v>0</v>
      </c>
      <c r="YG24" s="96" t="n">
        <f aca="false">[1]ВИБУЛО2!HM16</f>
        <v>0</v>
      </c>
      <c r="YH24" s="97" t="n">
        <f aca="false">YH23-YG24+YF24</f>
        <v>0</v>
      </c>
      <c r="YI24" s="95" t="n">
        <f aca="false">[1]НАДІЙШЛО2!HN16</f>
        <v>0</v>
      </c>
      <c r="YJ24" s="96" t="n">
        <f aca="false">[1]ВИБУЛО2!HN16</f>
        <v>0</v>
      </c>
      <c r="YK24" s="97" t="n">
        <f aca="false">YK23-YJ24+YI24</f>
        <v>0</v>
      </c>
      <c r="YL24" s="95" t="n">
        <f aca="false">[1]НАДІЙШЛО2!HO16</f>
        <v>0</v>
      </c>
      <c r="YM24" s="96" t="n">
        <f aca="false">[1]ВИБУЛО2!HO16</f>
        <v>0</v>
      </c>
      <c r="YN24" s="97" t="n">
        <f aca="false">YN23-YM24+YL24</f>
        <v>0</v>
      </c>
      <c r="YO24" s="95" t="n">
        <f aca="false">[1]НАДІЙШЛО2!HP16</f>
        <v>0</v>
      </c>
      <c r="YP24" s="96" t="n">
        <f aca="false">[1]ВИБУЛО2!HP16</f>
        <v>0</v>
      </c>
      <c r="YQ24" s="97" t="n">
        <f aca="false">YQ23-YP24+YO24</f>
        <v>0</v>
      </c>
      <c r="YR24" s="95" t="n">
        <f aca="false">[1]НАДІЙШЛО2!HQ16</f>
        <v>0</v>
      </c>
      <c r="YS24" s="96" t="n">
        <f aca="false">[1]ВИБУЛО2!HQ16</f>
        <v>0</v>
      </c>
      <c r="YT24" s="97" t="n">
        <f aca="false">YT23-YS24+YR24</f>
        <v>0</v>
      </c>
      <c r="YU24" s="95" t="n">
        <f aca="false">[1]НАДІЙШЛО2!HR16</f>
        <v>0</v>
      </c>
      <c r="YV24" s="96" t="n">
        <f aca="false">[1]ВИБУЛО2!HR16</f>
        <v>0</v>
      </c>
      <c r="YW24" s="97" t="n">
        <f aca="false">YW23-YV24+YU24</f>
        <v>0</v>
      </c>
      <c r="YX24" s="95" t="n">
        <f aca="false">[1]НАДІЙШЛО2!HS16</f>
        <v>0</v>
      </c>
      <c r="YY24" s="96" t="n">
        <f aca="false">[1]ВИБУЛО2!HS16</f>
        <v>0</v>
      </c>
      <c r="YZ24" s="97" t="n">
        <f aca="false">YZ23-YY24+YX24</f>
        <v>0</v>
      </c>
      <c r="ZA24" s="95" t="n">
        <f aca="false">[1]НАДІЙШЛО2!HT16</f>
        <v>0</v>
      </c>
      <c r="ZB24" s="96" t="n">
        <f aca="false">[1]ВИБУЛО2!HT16</f>
        <v>0</v>
      </c>
      <c r="ZC24" s="97" t="n">
        <f aca="false">ZC23-ZB24+ZA24</f>
        <v>0</v>
      </c>
      <c r="ZD24" s="95" t="n">
        <f aca="false">[1]НАДІЙШЛО2!HU16</f>
        <v>0</v>
      </c>
      <c r="ZE24" s="96" t="n">
        <f aca="false">[1]ВИБУЛО2!HU16</f>
        <v>0</v>
      </c>
      <c r="ZF24" s="97" t="n">
        <f aca="false">ZF23-ZE24+ZD24</f>
        <v>0</v>
      </c>
      <c r="ZG24" s="95" t="n">
        <f aca="false">[1]НАДІЙШЛО2!HV16</f>
        <v>0</v>
      </c>
      <c r="ZH24" s="96" t="n">
        <f aca="false">[1]ВИБУЛО2!HV16</f>
        <v>0</v>
      </c>
      <c r="ZI24" s="97" t="n">
        <f aca="false">ZI23-ZH24+ZG24</f>
        <v>0</v>
      </c>
      <c r="ZJ24" s="95" t="n">
        <f aca="false">[1]НАДІЙШЛО2!HW16</f>
        <v>0</v>
      </c>
      <c r="ZK24" s="96" t="n">
        <f aca="false">[1]ВИБУЛО2!HW16</f>
        <v>0</v>
      </c>
      <c r="ZL24" s="97" t="n">
        <f aca="false">ZL23-ZK24+ZJ24</f>
        <v>0</v>
      </c>
      <c r="ZM24" s="95" t="n">
        <f aca="false">[1]НАДІЙШЛО2!HX16</f>
        <v>0</v>
      </c>
      <c r="ZN24" s="96" t="n">
        <f aca="false">[1]ВИБУЛО2!HX16</f>
        <v>0</v>
      </c>
      <c r="ZO24" s="97" t="n">
        <f aca="false">ZO23-ZN24+ZM24</f>
        <v>0</v>
      </c>
      <c r="ZP24" s="95" t="n">
        <f aca="false">[1]НАДІЙШЛО2!HY16</f>
        <v>0</v>
      </c>
      <c r="ZQ24" s="96" t="n">
        <f aca="false">[1]ВИБУЛО2!HY16</f>
        <v>0</v>
      </c>
      <c r="ZR24" s="97" t="n">
        <f aca="false">ZR23-ZQ24+ZP24</f>
        <v>0</v>
      </c>
      <c r="ZS24" s="95" t="n">
        <f aca="false">[1]НАДІЙШЛО2!HZ16</f>
        <v>0</v>
      </c>
      <c r="ZT24" s="96" t="n">
        <f aca="false">[1]ВИБУЛО2!HZ16</f>
        <v>0</v>
      </c>
      <c r="ZU24" s="97" t="n">
        <f aca="false">ZU23-ZT24+ZS24</f>
        <v>0</v>
      </c>
      <c r="ZV24" s="95" t="n">
        <f aca="false">[1]НАДІЙШЛО2!IA16</f>
        <v>0</v>
      </c>
      <c r="ZW24" s="96" t="n">
        <f aca="false">[1]ВИБУЛО2!IA16</f>
        <v>0</v>
      </c>
      <c r="ZX24" s="97" t="n">
        <f aca="false">ZX23-ZW24+ZV24</f>
        <v>0</v>
      </c>
      <c r="ZY24" s="95" t="n">
        <f aca="false">[1]НАДІЙШЛО2!IB16</f>
        <v>0</v>
      </c>
      <c r="ZZ24" s="96" t="n">
        <f aca="false">[1]ВИБУЛО2!IB16</f>
        <v>0</v>
      </c>
      <c r="AAA24" s="97" t="n">
        <f aca="false">AAA23-ZZ24+ZY24</f>
        <v>0</v>
      </c>
      <c r="AAB24" s="95" t="n">
        <f aca="false">[1]НАДІЙШЛО2!IC16</f>
        <v>0</v>
      </c>
      <c r="AAC24" s="96" t="n">
        <f aca="false">[1]ВИБУЛО2!IC16</f>
        <v>0</v>
      </c>
      <c r="AAD24" s="97" t="n">
        <f aca="false">AAD23-AAC24+AAB24</f>
        <v>0</v>
      </c>
      <c r="AAE24" s="95" t="n">
        <f aca="false">[1]НАДІЙШЛО2!ID16</f>
        <v>0</v>
      </c>
      <c r="AAF24" s="96" t="n">
        <f aca="false">[1]ВИБУЛО2!ID16</f>
        <v>0</v>
      </c>
      <c r="AAG24" s="97" t="n">
        <f aca="false">AAG23-AAF24+AAE24</f>
        <v>0</v>
      </c>
      <c r="AAH24" s="95" t="n">
        <f aca="false">[1]НАДІЙШЛО2!IE16</f>
        <v>0</v>
      </c>
      <c r="AAI24" s="96" t="n">
        <f aca="false">[1]ВИБУЛО2!IE16</f>
        <v>0</v>
      </c>
      <c r="AAJ24" s="97" t="n">
        <f aca="false">AAJ23-AAI24+AAH24</f>
        <v>0</v>
      </c>
      <c r="AAK24" s="95" t="n">
        <f aca="false">[1]НАДІЙШЛО2!IF16</f>
        <v>0</v>
      </c>
      <c r="AAL24" s="96" t="n">
        <f aca="false">[1]ВИБУЛО2!IF16</f>
        <v>0</v>
      </c>
      <c r="AAM24" s="97" t="n">
        <f aca="false">AAM23-AAL24+AAK24</f>
        <v>0</v>
      </c>
      <c r="AAN24" s="95" t="n">
        <f aca="false">[1]НАДІЙШЛО2!IG16</f>
        <v>0</v>
      </c>
      <c r="AAO24" s="96" t="n">
        <f aca="false">[1]ВИБУЛО2!IG16</f>
        <v>0</v>
      </c>
      <c r="AAP24" s="97" t="n">
        <f aca="false">AAP23-AAO24+AAN24</f>
        <v>0</v>
      </c>
      <c r="AAQ24" s="95" t="n">
        <f aca="false">[1]НАДІЙШЛО2!IH16</f>
        <v>0</v>
      </c>
      <c r="AAR24" s="96" t="n">
        <f aca="false">[1]ВИБУЛО2!IH16</f>
        <v>0</v>
      </c>
      <c r="AAS24" s="97" t="n">
        <f aca="false">AAS23-AAR24+AAQ24</f>
        <v>0</v>
      </c>
      <c r="AAT24" s="95" t="n">
        <f aca="false">[1]НАДІЙШЛО2!II16</f>
        <v>0</v>
      </c>
      <c r="AAU24" s="96" t="n">
        <f aca="false">[1]ВИБУЛО2!II16</f>
        <v>0</v>
      </c>
      <c r="AAV24" s="97" t="n">
        <f aca="false">AAV23-AAU24+AAT24</f>
        <v>0</v>
      </c>
      <c r="AAW24" s="95" t="n">
        <f aca="false">[1]НАДІЙШЛО2!IJ16</f>
        <v>0</v>
      </c>
      <c r="AAX24" s="96" t="n">
        <f aca="false">[1]ВИБУЛО2!IJ16</f>
        <v>0</v>
      </c>
      <c r="AAY24" s="97" t="n">
        <f aca="false">AAY23-AAX24+AAW24</f>
        <v>0</v>
      </c>
      <c r="AAZ24" s="95" t="n">
        <f aca="false">[1]НАДІЙШЛО2!IK16</f>
        <v>0</v>
      </c>
      <c r="ABA24" s="96" t="n">
        <f aca="false">[1]ВИБУЛО2!IK16</f>
        <v>0</v>
      </c>
      <c r="ABB24" s="97" t="n">
        <f aca="false">ABB23-ABA24+AAZ24</f>
        <v>0</v>
      </c>
      <c r="ABC24" s="95" t="n">
        <f aca="false">[1]НАДІЙШЛО2!IL16</f>
        <v>0</v>
      </c>
      <c r="ABD24" s="96" t="n">
        <f aca="false">[1]ВИБУЛО2!IL16</f>
        <v>0</v>
      </c>
      <c r="ABE24" s="97" t="n">
        <f aca="false">ABE23-ABD24+ABC24</f>
        <v>0</v>
      </c>
      <c r="ABF24" s="95" t="n">
        <f aca="false">[1]НАДІЙШЛО2!IM16</f>
        <v>0</v>
      </c>
      <c r="ABG24" s="96" t="n">
        <f aca="false">[1]ВИБУЛО2!IM16</f>
        <v>0</v>
      </c>
      <c r="ABH24" s="97" t="n">
        <f aca="false">ABH23-ABG24+ABF24</f>
        <v>0</v>
      </c>
      <c r="ABI24" s="95" t="n">
        <f aca="false">[1]НАДІЙШЛО2!IN16</f>
        <v>0</v>
      </c>
      <c r="ABJ24" s="96" t="n">
        <f aca="false">[1]ВИБУЛО2!IN16</f>
        <v>0</v>
      </c>
      <c r="ABK24" s="97" t="n">
        <f aca="false">ABK23-ABJ24+ABI24</f>
        <v>0</v>
      </c>
      <c r="ABL24" s="95" t="n">
        <f aca="false">[1]НАДІЙШЛО2!IO16</f>
        <v>0</v>
      </c>
      <c r="ABM24" s="96" t="n">
        <f aca="false">[1]ВИБУЛО2!IO16</f>
        <v>0</v>
      </c>
      <c r="ABN24" s="97" t="n">
        <f aca="false">ABN23-ABM24+ABL24</f>
        <v>0</v>
      </c>
      <c r="ABO24" s="95" t="n">
        <f aca="false">[1]НАДІЙШЛО2!IP16</f>
        <v>0</v>
      </c>
      <c r="ABP24" s="96" t="n">
        <f aca="false">[1]ВИБУЛО2!IP16</f>
        <v>0</v>
      </c>
      <c r="ABQ24" s="97" t="n">
        <f aca="false">ABQ23-ABP24+ABO24</f>
        <v>0</v>
      </c>
      <c r="ABR24" s="95" t="n">
        <f aca="false">[1]НАДІЙШЛО2!IQ16</f>
        <v>0</v>
      </c>
      <c r="ABS24" s="96" t="n">
        <f aca="false">[1]ВИБУЛО2!IQ16</f>
        <v>0</v>
      </c>
      <c r="ABT24" s="97" t="n">
        <f aca="false">ABT23-ABS24+ABR24</f>
        <v>0</v>
      </c>
      <c r="ABU24" s="95" t="n">
        <f aca="false">[1]НАДІЙШЛО2!IR16</f>
        <v>0</v>
      </c>
      <c r="ABV24" s="96" t="n">
        <f aca="false">[1]ВИБУЛО2!IR16</f>
        <v>0</v>
      </c>
      <c r="ABW24" s="97" t="n">
        <f aca="false">ABW23-ABV24+ABU24</f>
        <v>0</v>
      </c>
      <c r="ABX24" s="95" t="n">
        <f aca="false">[1]НАДІЙШЛО2!IS16</f>
        <v>0</v>
      </c>
      <c r="ABY24" s="96" t="n">
        <f aca="false">[1]ВИБУЛО2!IS16</f>
        <v>0</v>
      </c>
      <c r="ABZ24" s="97" t="n">
        <f aca="false">ABZ23-ABY24+ABX24</f>
        <v>0</v>
      </c>
      <c r="ACA24" s="95" t="n">
        <f aca="false">[1]НАДІЙШЛО2!IT16</f>
        <v>0</v>
      </c>
      <c r="ACB24" s="96" t="n">
        <f aca="false">[1]ВИБУЛО2!IT16</f>
        <v>0</v>
      </c>
      <c r="ACC24" s="97" t="n">
        <f aca="false">ACC23-ACB24+ACA24</f>
        <v>0</v>
      </c>
      <c r="ACD24" s="95" t="n">
        <f aca="false">[1]НАДІЙШЛО2!IU16</f>
        <v>0</v>
      </c>
      <c r="ACE24" s="96" t="n">
        <f aca="false">[1]ВИБУЛО2!IU16</f>
        <v>0</v>
      </c>
      <c r="ACF24" s="97" t="n">
        <f aca="false">ACF23-ACE24+ACD24</f>
        <v>0</v>
      </c>
      <c r="ACG24" s="95" t="n">
        <f aca="false">[1]НАДІЙШЛО2!IV16</f>
        <v>0</v>
      </c>
      <c r="ACH24" s="96" t="n">
        <f aca="false">[1]ВИБУЛО2!IV16</f>
        <v>0</v>
      </c>
      <c r="ACI24" s="97" t="n">
        <f aca="false">ACI23-ACH24+ACG24</f>
        <v>0</v>
      </c>
      <c r="ACJ24" s="95" t="n">
        <f aca="false">[1]НАДІЙШЛО2!IW16</f>
        <v>0</v>
      </c>
      <c r="ACK24" s="96" t="n">
        <f aca="false">[1]ВИБУЛО2!IW16</f>
        <v>0</v>
      </c>
      <c r="ACL24" s="97" t="n">
        <f aca="false">ACL23-ACK24+ACJ24</f>
        <v>0</v>
      </c>
      <c r="ACM24" s="95" t="n">
        <f aca="false">[1]НАДІЙШЛО2!IX16</f>
        <v>0</v>
      </c>
      <c r="ACN24" s="96" t="n">
        <f aca="false">[1]ВИБУЛО2!IX16</f>
        <v>0</v>
      </c>
      <c r="ACO24" s="97" t="n">
        <f aca="false">ACO23-ACN24+ACM24</f>
        <v>0</v>
      </c>
      <c r="ACP24" s="95" t="n">
        <f aca="false">[1]НАДІЙШЛО2!IY16</f>
        <v>0</v>
      </c>
      <c r="ACQ24" s="96" t="n">
        <f aca="false">[1]ВИБУЛО2!IY16</f>
        <v>0</v>
      </c>
      <c r="ACR24" s="97" t="n">
        <f aca="false">ACR23-ACQ24+ACP24</f>
        <v>0</v>
      </c>
      <c r="ACS24" s="95" t="n">
        <f aca="false">[1]НАДІЙШЛО2!IZ16</f>
        <v>0</v>
      </c>
      <c r="ACT24" s="96" t="n">
        <f aca="false">[1]ВИБУЛО2!IZ16</f>
        <v>0</v>
      </c>
      <c r="ACU24" s="97" t="n">
        <f aca="false">ACU23-ACT24+ACS24</f>
        <v>0</v>
      </c>
      <c r="ACV24" s="95" t="n">
        <f aca="false">[1]НАДІЙШЛО2!JA16</f>
        <v>0</v>
      </c>
      <c r="ACW24" s="96" t="n">
        <f aca="false">[1]ВИБУЛО2!JA16</f>
        <v>0</v>
      </c>
      <c r="ACX24" s="97" t="n">
        <f aca="false">ACX23-ACW24+ACV24</f>
        <v>0</v>
      </c>
      <c r="ACY24" s="95" t="n">
        <f aca="false">[1]НАДІЙШЛО2!JB16</f>
        <v>0</v>
      </c>
      <c r="ACZ24" s="96" t="n">
        <f aca="false">[1]ВИБУЛО2!JB16</f>
        <v>0</v>
      </c>
      <c r="ADA24" s="97" t="n">
        <f aca="false">ADA23-ACZ24+ACY24</f>
        <v>0</v>
      </c>
      <c r="ADB24" s="95" t="n">
        <f aca="false">[1]НАДІЙШЛО2!JC16</f>
        <v>0</v>
      </c>
      <c r="ADC24" s="96" t="n">
        <f aca="false">[1]ВИБУЛО2!JC16</f>
        <v>0</v>
      </c>
      <c r="ADD24" s="97" t="n">
        <f aca="false">ADD23-ADC24+ADB24</f>
        <v>0</v>
      </c>
      <c r="ADE24" s="95" t="n">
        <f aca="false">[1]НАДІЙШЛО2!JD16</f>
        <v>0</v>
      </c>
      <c r="ADF24" s="96" t="n">
        <f aca="false">[1]ВИБУЛО2!JD16</f>
        <v>0</v>
      </c>
      <c r="ADG24" s="97" t="n">
        <f aca="false">ADG23-ADF24+ADE24</f>
        <v>0</v>
      </c>
      <c r="ADH24" s="95" t="n">
        <f aca="false">[1]НАДІЙШЛО2!JE16</f>
        <v>0</v>
      </c>
      <c r="ADI24" s="96" t="n">
        <f aca="false">[1]ВИБУЛО2!JE16</f>
        <v>0</v>
      </c>
      <c r="ADJ24" s="97" t="n">
        <f aca="false">ADJ23-ADI24+ADH24</f>
        <v>0</v>
      </c>
      <c r="ADK24" s="95" t="n">
        <f aca="false">[1]НАДІЙШЛО2!JF16</f>
        <v>0</v>
      </c>
      <c r="ADL24" s="96" t="n">
        <f aca="false">[1]ВИБУЛО2!JF16</f>
        <v>0</v>
      </c>
      <c r="ADM24" s="97" t="n">
        <f aca="false">ADM23-ADL24+ADK24</f>
        <v>0</v>
      </c>
      <c r="ADN24" s="95" t="n">
        <f aca="false">[1]НАДІЙШЛО2!JG16</f>
        <v>0</v>
      </c>
      <c r="ADO24" s="96" t="n">
        <f aca="false">[1]ВИБУЛО2!JG16</f>
        <v>0</v>
      </c>
      <c r="ADP24" s="97" t="n">
        <f aca="false">ADP23-ADO24+ADN24</f>
        <v>0</v>
      </c>
      <c r="ADQ24" s="95" t="n">
        <f aca="false">[1]НАДІЙШЛО2!JH16</f>
        <v>0</v>
      </c>
      <c r="ADR24" s="96" t="n">
        <f aca="false">[1]ВИБУЛО2!JH16</f>
        <v>0</v>
      </c>
      <c r="ADS24" s="97" t="n">
        <f aca="false">ADS23-ADR24+ADQ24</f>
        <v>0</v>
      </c>
      <c r="ADT24" s="95" t="n">
        <f aca="false">[1]НАДІЙШЛО2!JI16</f>
        <v>0</v>
      </c>
      <c r="ADU24" s="96" t="n">
        <f aca="false">[1]ВИБУЛО2!JI16</f>
        <v>0</v>
      </c>
      <c r="ADV24" s="97" t="n">
        <f aca="false">ADV23-ADU24+ADT24</f>
        <v>0</v>
      </c>
      <c r="ADW24" s="95" t="n">
        <f aca="false">[1]НАДІЙШЛО2!JJ16</f>
        <v>0</v>
      </c>
      <c r="ADX24" s="96" t="n">
        <f aca="false">[1]ВИБУЛО2!JJ16</f>
        <v>0</v>
      </c>
      <c r="ADY24" s="97" t="n">
        <f aca="false">ADY23-ADX24+ADW24</f>
        <v>0</v>
      </c>
      <c r="ADZ24" s="95" t="n">
        <f aca="false">[1]НАДІЙШЛО2!JK16</f>
        <v>0</v>
      </c>
      <c r="AEA24" s="96" t="n">
        <f aca="false">[1]ВИБУЛО2!JK16</f>
        <v>0</v>
      </c>
      <c r="AEB24" s="97" t="n">
        <f aca="false">AEB23-AEA24+ADZ24</f>
        <v>0</v>
      </c>
      <c r="AEC24" s="95" t="n">
        <f aca="false">[1]НАДІЙШЛО2!JL16</f>
        <v>0</v>
      </c>
      <c r="AED24" s="96" t="n">
        <f aca="false">[1]ВИБУЛО2!JL16</f>
        <v>0</v>
      </c>
      <c r="AEE24" s="97" t="n">
        <f aca="false">AEE23-AED24+AEC24</f>
        <v>0</v>
      </c>
      <c r="AEF24" s="95" t="n">
        <f aca="false">[1]НАДІЙШЛО2!JM16</f>
        <v>0</v>
      </c>
      <c r="AEG24" s="96" t="n">
        <f aca="false">[1]ВИБУЛО2!JM16</f>
        <v>0</v>
      </c>
      <c r="AEH24" s="97" t="n">
        <f aca="false">AEH23-AEG24+AEF24</f>
        <v>0</v>
      </c>
      <c r="AEI24" s="95" t="n">
        <f aca="false">[1]НАДІЙШЛО2!JN16</f>
        <v>0</v>
      </c>
      <c r="AEJ24" s="96" t="n">
        <f aca="false">[1]ВИБУЛО2!JN16</f>
        <v>0</v>
      </c>
      <c r="AEK24" s="97" t="n">
        <f aca="false">AEK23-AEJ24+AEI24</f>
        <v>0</v>
      </c>
      <c r="AEL24" s="95" t="n">
        <f aca="false">[1]НАДІЙШЛО2!JO16</f>
        <v>0</v>
      </c>
      <c r="AEM24" s="96" t="n">
        <f aca="false">[1]ВИБУЛО2!JO16</f>
        <v>0</v>
      </c>
      <c r="AEN24" s="97" t="n">
        <f aca="false">AEN23-AEM24+AEL24</f>
        <v>0</v>
      </c>
      <c r="AEO24" s="95" t="n">
        <f aca="false">[1]НАДІЙШЛО2!JP16</f>
        <v>0</v>
      </c>
      <c r="AEP24" s="96" t="n">
        <f aca="false">[1]ВИБУЛО2!JP16</f>
        <v>0</v>
      </c>
      <c r="AEQ24" s="97" t="n">
        <f aca="false">AEQ23-AEP24+AEO24</f>
        <v>0</v>
      </c>
      <c r="AER24" s="95" t="n">
        <f aca="false">[1]НАДІЙШЛО2!JQ16</f>
        <v>0</v>
      </c>
      <c r="AES24" s="96" t="n">
        <f aca="false">[1]ВИБУЛО2!JQ16</f>
        <v>0</v>
      </c>
      <c r="AET24" s="97" t="n">
        <f aca="false">AET23-AES24+AER24</f>
        <v>0</v>
      </c>
      <c r="AEU24" s="95" t="n">
        <f aca="false">[1]НАДІЙШЛО2!JR16</f>
        <v>0</v>
      </c>
      <c r="AEV24" s="96" t="n">
        <f aca="false">[1]ВИБУЛО2!JR16</f>
        <v>0</v>
      </c>
      <c r="AEW24" s="97" t="n">
        <f aca="false">AEW23-AEV24+AEU24</f>
        <v>0</v>
      </c>
      <c r="AEX24" s="95" t="n">
        <f aca="false">[1]НАДІЙШЛО2!JS16</f>
        <v>0</v>
      </c>
      <c r="AEY24" s="96" t="n">
        <f aca="false">[1]ВИБУЛО2!JS16</f>
        <v>0</v>
      </c>
      <c r="AEZ24" s="97" t="n">
        <f aca="false">AEZ23-AEY24+AEX24</f>
        <v>0</v>
      </c>
      <c r="AFA24" s="95" t="n">
        <f aca="false">[1]НАДІЙШЛО2!JT16</f>
        <v>0</v>
      </c>
      <c r="AFB24" s="96" t="n">
        <f aca="false">[1]ВИБУЛО2!JT16</f>
        <v>0</v>
      </c>
      <c r="AFC24" s="97" t="n">
        <f aca="false">AFC23-AFB24+AFA24</f>
        <v>0</v>
      </c>
      <c r="AFD24" s="95" t="n">
        <f aca="false">[1]НАДІЙШЛО2!JU16</f>
        <v>0</v>
      </c>
      <c r="AFE24" s="96" t="n">
        <f aca="false">[1]ВИБУЛО2!JU16</f>
        <v>0</v>
      </c>
      <c r="AFF24" s="97" t="n">
        <f aca="false">AFF23-AFE24+AFD24</f>
        <v>0</v>
      </c>
      <c r="AFG24" s="95" t="n">
        <f aca="false">[1]НАДІЙШЛО2!JV16</f>
        <v>0</v>
      </c>
      <c r="AFH24" s="96" t="n">
        <f aca="false">[1]ВИБУЛО2!JV16</f>
        <v>0</v>
      </c>
      <c r="AFI24" s="97" t="n">
        <f aca="false">AFI23-AFH24+AFG24</f>
        <v>0</v>
      </c>
      <c r="AFJ24" s="95" t="n">
        <f aca="false">[1]НАДІЙШЛО2!JW16</f>
        <v>0</v>
      </c>
      <c r="AFK24" s="96" t="n">
        <f aca="false">[1]ВИБУЛО2!JW16</f>
        <v>0</v>
      </c>
      <c r="AFL24" s="97" t="n">
        <f aca="false">AFL23-AFK24+AFJ24</f>
        <v>0</v>
      </c>
      <c r="AFM24" s="95" t="n">
        <f aca="false">[1]НАДІЙШЛО2!JX16</f>
        <v>0</v>
      </c>
      <c r="AFN24" s="96" t="n">
        <f aca="false">[1]ВИБУЛО2!JX16</f>
        <v>0</v>
      </c>
      <c r="AFO24" s="97" t="n">
        <f aca="false">AFO23-AFN24+AFM24</f>
        <v>0</v>
      </c>
      <c r="AFP24" s="95" t="n">
        <f aca="false">[1]НАДІЙШЛО2!JY16</f>
        <v>0</v>
      </c>
      <c r="AFQ24" s="96" t="n">
        <f aca="false">[1]ВИБУЛО2!JY16</f>
        <v>0</v>
      </c>
      <c r="AFR24" s="97" t="n">
        <f aca="false">AFR23-AFQ24+AFP24</f>
        <v>0</v>
      </c>
      <c r="AFS24" s="95" t="n">
        <f aca="false">[1]НАДІЙШЛО2!JZ16</f>
        <v>0</v>
      </c>
      <c r="AFT24" s="96" t="n">
        <f aca="false">[1]ВИБУЛО2!JZ16</f>
        <v>0</v>
      </c>
      <c r="AFU24" s="97" t="n">
        <f aca="false">AFU23-AFT24+AFS24</f>
        <v>0</v>
      </c>
      <c r="AFV24" s="95" t="n">
        <f aca="false">[1]НАДІЙШЛО2!KA16</f>
        <v>0</v>
      </c>
      <c r="AFW24" s="96" t="n">
        <f aca="false">[1]ВИБУЛО2!KA16</f>
        <v>0</v>
      </c>
      <c r="AFX24" s="97" t="n">
        <f aca="false">AFX23-AFW24+AFV24</f>
        <v>0</v>
      </c>
      <c r="AFY24" s="95" t="n">
        <f aca="false">[1]НАДІЙШЛО2!KB16</f>
        <v>0</v>
      </c>
      <c r="AFZ24" s="96" t="n">
        <f aca="false">[1]ВИБУЛО2!KB16</f>
        <v>0</v>
      </c>
      <c r="AGA24" s="97" t="n">
        <f aca="false">AGA23-AFZ24+AFY24</f>
        <v>0</v>
      </c>
      <c r="AGB24" s="95" t="n">
        <f aca="false">[1]НАДІЙШЛО2!KC16</f>
        <v>0</v>
      </c>
      <c r="AGC24" s="96" t="n">
        <f aca="false">[1]ВИБУЛО2!KC16</f>
        <v>0</v>
      </c>
      <c r="AGD24" s="97" t="n">
        <f aca="false">AGD23-AGC24+AGB24</f>
        <v>0</v>
      </c>
      <c r="AGE24" s="95" t="n">
        <f aca="false">[1]НАДІЙШЛО2!KD16</f>
        <v>0</v>
      </c>
      <c r="AGF24" s="96" t="n">
        <f aca="false">[1]ВИБУЛО2!KD16</f>
        <v>0</v>
      </c>
      <c r="AGG24" s="97" t="n">
        <f aca="false">AGG23-AGF24+AGE24</f>
        <v>0</v>
      </c>
      <c r="AGH24" s="95" t="n">
        <f aca="false">[1]НАДІЙШЛО2!KE16</f>
        <v>0</v>
      </c>
      <c r="AGI24" s="96" t="n">
        <f aca="false">[1]ВИБУЛО2!KE16</f>
        <v>0</v>
      </c>
      <c r="AGJ24" s="97" t="n">
        <f aca="false">AGJ23-AGI24+AGH24</f>
        <v>0</v>
      </c>
      <c r="AGK24" s="95" t="n">
        <f aca="false">[1]НАДІЙШЛО2!KF16</f>
        <v>0</v>
      </c>
      <c r="AGL24" s="96" t="n">
        <f aca="false">[1]ВИБУЛО2!KF16</f>
        <v>0</v>
      </c>
      <c r="AGM24" s="97" t="n">
        <f aca="false">AGM23-AGL24+AGK24</f>
        <v>0</v>
      </c>
      <c r="AGN24" s="95" t="n">
        <f aca="false">[1]НАДІЙШЛО2!KG16</f>
        <v>0</v>
      </c>
      <c r="AGO24" s="96" t="n">
        <f aca="false">[1]ВИБУЛО2!KG16</f>
        <v>0</v>
      </c>
      <c r="AGP24" s="97" t="n">
        <f aca="false">AGP23-AGO24+AGN24</f>
        <v>0</v>
      </c>
      <c r="AGQ24" s="95" t="n">
        <f aca="false">[1]НАДІЙШЛО2!KH16</f>
        <v>0</v>
      </c>
      <c r="AGR24" s="96" t="n">
        <f aca="false">[1]ВИБУЛО2!KH16</f>
        <v>0</v>
      </c>
      <c r="AGS24" s="97" t="n">
        <f aca="false">AGS23-AGR24+AGQ24</f>
        <v>0</v>
      </c>
      <c r="AGT24" s="95" t="n">
        <f aca="false">[1]НАДІЙШЛО2!KI16</f>
        <v>0</v>
      </c>
      <c r="AGU24" s="96" t="n">
        <f aca="false">[1]ВИБУЛО2!KI16</f>
        <v>0</v>
      </c>
      <c r="AGV24" s="97" t="n">
        <f aca="false">AGV23-AGU24+AGT24</f>
        <v>0</v>
      </c>
      <c r="AGW24" s="95" t="n">
        <f aca="false">[1]НАДІЙШЛО2!KJ16</f>
        <v>0</v>
      </c>
      <c r="AGX24" s="96" t="n">
        <f aca="false">[1]ВИБУЛО2!KJ16</f>
        <v>0</v>
      </c>
      <c r="AGY24" s="97" t="n">
        <f aca="false">AGY23-AGX24+AGW24</f>
        <v>0</v>
      </c>
      <c r="AGZ24" s="95" t="n">
        <f aca="false">[1]НАДІЙШЛО2!KK16</f>
        <v>0</v>
      </c>
      <c r="AHA24" s="96" t="n">
        <f aca="false">[1]ВИБУЛО2!KK16</f>
        <v>0</v>
      </c>
      <c r="AHB24" s="97" t="n">
        <f aca="false">AHB23-AHA24+AGZ24</f>
        <v>0</v>
      </c>
      <c r="AHC24" s="95" t="n">
        <f aca="false">[1]НАДІЙШЛО2!KL16</f>
        <v>0</v>
      </c>
      <c r="AHD24" s="96" t="n">
        <f aca="false">[1]ВИБУЛО2!KL16</f>
        <v>0</v>
      </c>
      <c r="AHE24" s="97" t="n">
        <f aca="false">AHE23-AHD24+AHC24</f>
        <v>0</v>
      </c>
      <c r="AHF24" s="95" t="n">
        <f aca="false">[1]НАДІЙШЛО2!KM16</f>
        <v>0</v>
      </c>
      <c r="AHG24" s="96" t="n">
        <f aca="false">[1]ВИБУЛО2!KM16</f>
        <v>0</v>
      </c>
      <c r="AHH24" s="97" t="n">
        <f aca="false">AHH23-AHG24+AHF24</f>
        <v>0</v>
      </c>
      <c r="AHI24" s="95" t="n">
        <f aca="false">[1]НАДІЙШЛО2!KN16</f>
        <v>0</v>
      </c>
      <c r="AHJ24" s="96" t="n">
        <f aca="false">[1]ВИБУЛО2!KN16</f>
        <v>0</v>
      </c>
      <c r="AHK24" s="97" t="n">
        <f aca="false">AHK23-AHJ24+AHI24</f>
        <v>0</v>
      </c>
      <c r="AHL24" s="95" t="n">
        <f aca="false">[1]НАДІЙШЛО2!KO16</f>
        <v>0</v>
      </c>
      <c r="AHM24" s="96" t="n">
        <f aca="false">[1]ВИБУЛО2!KO16</f>
        <v>0</v>
      </c>
      <c r="AHN24" s="97" t="n">
        <f aca="false">AHN23-AHM24+AHL24</f>
        <v>0</v>
      </c>
      <c r="AHO24" s="95" t="n">
        <f aca="false">[1]НАДІЙШЛО2!KP16</f>
        <v>0</v>
      </c>
      <c r="AHP24" s="96" t="n">
        <f aca="false">[1]ВИБУЛО2!KP16</f>
        <v>0</v>
      </c>
      <c r="AHQ24" s="97" t="n">
        <f aca="false">AHQ23-AHP24+AHO24</f>
        <v>0</v>
      </c>
      <c r="AHR24" s="95" t="n">
        <f aca="false">[1]НАДІЙШЛО2!KQ16</f>
        <v>0</v>
      </c>
      <c r="AHS24" s="96" t="n">
        <f aca="false">[1]ВИБУЛО2!KQ16</f>
        <v>0</v>
      </c>
      <c r="AHT24" s="97" t="n">
        <f aca="false">AHT23-AHS24+AHR24</f>
        <v>0</v>
      </c>
      <c r="AHU24" s="95" t="n">
        <f aca="false">[1]НАДІЙШЛО2!KR16</f>
        <v>0</v>
      </c>
      <c r="AHV24" s="96" t="n">
        <f aca="false">[1]ВИБУЛО2!KR16</f>
        <v>0</v>
      </c>
      <c r="AHW24" s="97" t="n">
        <f aca="false">AHW23-AHV24+AHU24</f>
        <v>0</v>
      </c>
      <c r="AHX24" s="95" t="n">
        <f aca="false">[1]НАДІЙШЛО2!KS16</f>
        <v>0</v>
      </c>
      <c r="AHY24" s="96" t="n">
        <f aca="false">[1]ВИБУЛО2!KS16</f>
        <v>0</v>
      </c>
      <c r="AHZ24" s="97" t="n">
        <f aca="false">AHZ23-AHY24+AHX24</f>
        <v>0</v>
      </c>
      <c r="AIA24" s="95" t="n">
        <f aca="false">[1]НАДІЙШЛО2!KT16</f>
        <v>0</v>
      </c>
      <c r="AIB24" s="96" t="n">
        <f aca="false">[1]ВИБУЛО2!KT16</f>
        <v>0</v>
      </c>
      <c r="AIC24" s="97" t="n">
        <f aca="false">AIC23-AIB24+AIA24</f>
        <v>0</v>
      </c>
      <c r="AID24" s="95" t="n">
        <f aca="false">[1]НАДІЙШЛО2!KU16</f>
        <v>0</v>
      </c>
      <c r="AIE24" s="96" t="n">
        <f aca="false">[1]ВИБУЛО2!KU16</f>
        <v>0</v>
      </c>
      <c r="AIF24" s="97" t="n">
        <f aca="false">AIF23-AIE24+AID24</f>
        <v>0</v>
      </c>
      <c r="AIG24" s="95" t="n">
        <f aca="false">[1]НАДІЙШЛО2!KV16</f>
        <v>0</v>
      </c>
      <c r="AIH24" s="96" t="n">
        <f aca="false">[1]ВИБУЛО2!KV16</f>
        <v>0</v>
      </c>
      <c r="AII24" s="97" t="n">
        <f aca="false">AII23-AIH24+AIG24</f>
        <v>0</v>
      </c>
      <c r="AIJ24" s="95" t="n">
        <f aca="false">[1]НАДІЙШЛО2!KW16</f>
        <v>0</v>
      </c>
      <c r="AIK24" s="96" t="n">
        <f aca="false">[1]ВИБУЛО2!KW16</f>
        <v>0</v>
      </c>
      <c r="AIL24" s="97" t="n">
        <f aca="false">AIL23-AIK24+AIJ24</f>
        <v>0</v>
      </c>
      <c r="AIM24" s="95" t="n">
        <f aca="false">[1]НАДІЙШЛО2!KX16</f>
        <v>0</v>
      </c>
      <c r="AIN24" s="96" t="n">
        <f aca="false">[1]ВИБУЛО2!KX16</f>
        <v>0</v>
      </c>
      <c r="AIO24" s="97" t="n">
        <f aca="false">AIO23-AIN24+AIM24</f>
        <v>0</v>
      </c>
      <c r="AIP24" s="95" t="n">
        <f aca="false">[1]НАДІЙШЛО2!KY16</f>
        <v>0</v>
      </c>
      <c r="AIQ24" s="96" t="n">
        <f aca="false">[1]ВИБУЛО2!KY16</f>
        <v>0</v>
      </c>
      <c r="AIR24" s="97" t="n">
        <f aca="false">AIR23-AIQ24+AIP24</f>
        <v>0</v>
      </c>
      <c r="AIS24" s="95" t="n">
        <f aca="false">[1]НАДІЙШЛО2!KZ16</f>
        <v>0</v>
      </c>
      <c r="AIT24" s="96" t="n">
        <f aca="false">[1]ВИБУЛО2!KZ16</f>
        <v>0</v>
      </c>
      <c r="AIU24" s="97" t="n">
        <f aca="false">AIU23-AIT24+AIS24</f>
        <v>0</v>
      </c>
      <c r="AIV24" s="95" t="n">
        <f aca="false">[1]НАДІЙШЛО2!LA16</f>
        <v>0</v>
      </c>
      <c r="AIW24" s="96" t="n">
        <f aca="false">[1]ВИБУЛО2!LA16</f>
        <v>0</v>
      </c>
      <c r="AIX24" s="97" t="n">
        <f aca="false">AIX23-AIW24+AIV24</f>
        <v>0</v>
      </c>
      <c r="AIY24" s="95" t="n">
        <f aca="false">[1]НАДІЙШЛО2!LB16</f>
        <v>0</v>
      </c>
      <c r="AIZ24" s="96" t="n">
        <f aca="false">[1]ВИБУЛО2!LB16</f>
        <v>0</v>
      </c>
      <c r="AJA24" s="97" t="n">
        <f aca="false">AJA23-AIZ24+AIY24</f>
        <v>0</v>
      </c>
      <c r="AJB24" s="95" t="n">
        <f aca="false">[1]НАДІЙШЛО2!LC16</f>
        <v>0</v>
      </c>
      <c r="AJC24" s="96" t="n">
        <f aca="false">[1]ВИБУЛО2!LC16</f>
        <v>0</v>
      </c>
      <c r="AJD24" s="97" t="n">
        <f aca="false">AJD23-AJC24+AJB24</f>
        <v>0</v>
      </c>
      <c r="AJE24" s="95" t="n">
        <f aca="false">[1]НАДІЙШЛО2!LD16</f>
        <v>0</v>
      </c>
      <c r="AJF24" s="96" t="n">
        <f aca="false">[1]ВИБУЛО2!LD16</f>
        <v>0</v>
      </c>
      <c r="AJG24" s="97" t="n">
        <f aca="false">AJG23-AJF24+AJE24</f>
        <v>0</v>
      </c>
      <c r="AJH24" s="95" t="n">
        <f aca="false">[1]НАДІЙШЛО2!LE16</f>
        <v>0</v>
      </c>
      <c r="AJI24" s="96" t="n">
        <f aca="false">[1]ВИБУЛО2!LE16</f>
        <v>0</v>
      </c>
      <c r="AJJ24" s="97" t="n">
        <f aca="false">AJJ23-AJI24+AJH24</f>
        <v>0</v>
      </c>
      <c r="AJK24" s="95" t="n">
        <f aca="false">[1]НАДІЙШЛО2!LF16</f>
        <v>0</v>
      </c>
      <c r="AJL24" s="96" t="n">
        <f aca="false">[1]ВИБУЛО2!LF16</f>
        <v>0</v>
      </c>
      <c r="AJM24" s="97" t="n">
        <f aca="false">AJM23-AJL24+AJK24</f>
        <v>0</v>
      </c>
      <c r="AJN24" s="95" t="n">
        <f aca="false">[1]НАДІЙШЛО2!LG16</f>
        <v>0</v>
      </c>
      <c r="AJO24" s="96" t="n">
        <f aca="false">[1]ВИБУЛО2!LG16</f>
        <v>0</v>
      </c>
      <c r="AJP24" s="97" t="n">
        <f aca="false">AJP23-AJO24+AJN24</f>
        <v>0</v>
      </c>
      <c r="AJQ24" s="95" t="n">
        <f aca="false">[1]НАДІЙШЛО2!LH16</f>
        <v>0</v>
      </c>
      <c r="AJR24" s="96" t="n">
        <f aca="false">[1]ВИБУЛО2!LH16</f>
        <v>0</v>
      </c>
      <c r="AJS24" s="97" t="n">
        <f aca="false">AJS23-AJR24+AJQ24</f>
        <v>0</v>
      </c>
      <c r="AJT24" s="95" t="n">
        <f aca="false">[1]НАДІЙШЛО2!LI16</f>
        <v>0</v>
      </c>
      <c r="AJU24" s="96" t="n">
        <f aca="false">[1]ВИБУЛО2!LI16</f>
        <v>0</v>
      </c>
      <c r="AJV24" s="97" t="n">
        <f aca="false">AJV23-AJU24+AJT24</f>
        <v>0</v>
      </c>
      <c r="AJW24" s="95" t="n">
        <f aca="false">[1]НАДІЙШЛО2!LJ16</f>
        <v>0</v>
      </c>
      <c r="AJX24" s="96" t="n">
        <f aca="false">[1]ВИБУЛО2!LJ16</f>
        <v>0</v>
      </c>
      <c r="AJY24" s="97" t="n">
        <f aca="false">AJY23-AJX24+AJW24</f>
        <v>0</v>
      </c>
      <c r="AJZ24" s="95" t="n">
        <f aca="false">[1]НАДІЙШЛО2!LK16</f>
        <v>0</v>
      </c>
      <c r="AKA24" s="96" t="n">
        <f aca="false">[1]ВИБУЛО2!LK16</f>
        <v>0</v>
      </c>
      <c r="AKB24" s="97" t="n">
        <f aca="false">AKB23-AKA24+AJZ24</f>
        <v>0</v>
      </c>
      <c r="AKC24" s="95" t="n">
        <f aca="false">[1]НАДІЙШЛО2!LL16</f>
        <v>0</v>
      </c>
      <c r="AKD24" s="96" t="n">
        <f aca="false">[1]ВИБУЛО2!LL16</f>
        <v>0</v>
      </c>
      <c r="AKE24" s="97" t="n">
        <f aca="false">AKE23-AKD24+AKC24</f>
        <v>0</v>
      </c>
      <c r="AKF24" s="95" t="n">
        <f aca="false">[1]НАДІЙШЛО2!LM16</f>
        <v>0</v>
      </c>
      <c r="AKG24" s="96" t="n">
        <f aca="false">[1]ВИБУЛО2!LM16</f>
        <v>0</v>
      </c>
      <c r="AKH24" s="97" t="n">
        <f aca="false">AKH23-AKG24+AKF24</f>
        <v>0</v>
      </c>
      <c r="AKI24" s="95" t="n">
        <f aca="false">[1]НАДІЙШЛО2!LN16</f>
        <v>0</v>
      </c>
      <c r="AKJ24" s="96" t="n">
        <f aca="false">[1]ВИБУЛО2!LN16</f>
        <v>0</v>
      </c>
      <c r="AKK24" s="97" t="n">
        <f aca="false">AKK23-AKJ24+AKI24</f>
        <v>0</v>
      </c>
      <c r="AKL24" s="95" t="n">
        <f aca="false">[1]НАДІЙШЛО2!LO16</f>
        <v>0</v>
      </c>
      <c r="AKM24" s="96" t="n">
        <f aca="false">[1]ВИБУЛО2!LO16</f>
        <v>0</v>
      </c>
      <c r="AKN24" s="97" t="n">
        <f aca="false">AKN23-AKM24+AKL24</f>
        <v>0</v>
      </c>
      <c r="AKO24" s="95" t="n">
        <f aca="false">[1]НАДІЙШЛО2!LP16</f>
        <v>0</v>
      </c>
      <c r="AKP24" s="96" t="n">
        <f aca="false">[1]ВИБУЛО2!LP16</f>
        <v>0</v>
      </c>
      <c r="AKQ24" s="97" t="n">
        <f aca="false">AKQ23-AKP24+AKO24</f>
        <v>0</v>
      </c>
      <c r="AKR24" s="95" t="n">
        <f aca="false">[1]НАДІЙШЛО2!LQ16</f>
        <v>0</v>
      </c>
      <c r="AKS24" s="96" t="n">
        <f aca="false">[1]ВИБУЛО2!LQ16</f>
        <v>0</v>
      </c>
      <c r="AKT24" s="97" t="n">
        <f aca="false">AKT23-AKS24+AKR24</f>
        <v>0</v>
      </c>
      <c r="AKU24" s="95" t="n">
        <f aca="false">[1]НАДІЙШЛО2!LR16</f>
        <v>0</v>
      </c>
      <c r="AKV24" s="96" t="n">
        <f aca="false">[1]ВИБУЛО2!LR16</f>
        <v>0</v>
      </c>
      <c r="AKW24" s="97" t="n">
        <f aca="false">AKW23-AKV24+AKU24</f>
        <v>0</v>
      </c>
      <c r="AKX24" s="95" t="n">
        <f aca="false">[1]НАДІЙШЛО2!LS16</f>
        <v>0</v>
      </c>
      <c r="AKY24" s="96" t="n">
        <f aca="false">[1]ВИБУЛО2!LS16</f>
        <v>0</v>
      </c>
      <c r="AKZ24" s="97" t="n">
        <f aca="false">AKZ23-AKY24+AKX24</f>
        <v>0</v>
      </c>
      <c r="ALA24" s="95" t="n">
        <f aca="false">[1]НАДІЙШЛО2!LT16</f>
        <v>0</v>
      </c>
      <c r="ALB24" s="96" t="n">
        <f aca="false">[1]ВИБУЛО2!LT16</f>
        <v>0</v>
      </c>
      <c r="ALC24" s="97" t="n">
        <f aca="false">ALC23-ALB24+ALA24</f>
        <v>0</v>
      </c>
      <c r="ALD24" s="95" t="n">
        <f aca="false">[1]НАДІЙШЛО2!LU16</f>
        <v>0</v>
      </c>
      <c r="ALE24" s="96" t="n">
        <f aca="false">[1]ВИБУЛО2!LU16</f>
        <v>0</v>
      </c>
      <c r="ALF24" s="97" t="n">
        <f aca="false">ALF23-ALE24+ALD24</f>
        <v>0</v>
      </c>
      <c r="ALG24" s="95" t="n">
        <f aca="false">[1]НАДІЙШЛО2!LV16</f>
        <v>0</v>
      </c>
      <c r="ALH24" s="96" t="n">
        <f aca="false">[1]ВИБУЛО2!LV16</f>
        <v>0</v>
      </c>
      <c r="ALI24" s="97" t="n">
        <f aca="false">ALI23-ALH24+ALG24</f>
        <v>0</v>
      </c>
      <c r="ALJ24" s="95" t="n">
        <f aca="false">[1]НАДІЙШЛО2!LW16</f>
        <v>0</v>
      </c>
      <c r="ALK24" s="96" t="n">
        <f aca="false">[1]ВИБУЛО2!LW16</f>
        <v>0</v>
      </c>
      <c r="ALL24" s="97" t="n">
        <f aca="false">ALL23-ALK24+ALJ24</f>
        <v>0</v>
      </c>
      <c r="ALM24" s="95" t="n">
        <f aca="false">[1]НАДІЙШЛО2!LX16</f>
        <v>0</v>
      </c>
      <c r="ALN24" s="96" t="n">
        <f aca="false">[1]ВИБУЛО2!LX16</f>
        <v>0</v>
      </c>
      <c r="ALO24" s="97" t="n">
        <f aca="false">ALO23-ALN24+ALM24</f>
        <v>0</v>
      </c>
      <c r="ALP24" s="95" t="n">
        <f aca="false">[1]НАДІЙШЛО2!LY16</f>
        <v>0</v>
      </c>
      <c r="ALQ24" s="96" t="n">
        <f aca="false">[1]ВИБУЛО2!LY16</f>
        <v>0</v>
      </c>
      <c r="ALR24" s="97" t="n">
        <f aca="false">ALR23-ALQ24+ALP24</f>
        <v>0</v>
      </c>
      <c r="ALS24" s="95" t="n">
        <f aca="false">[1]НАДІЙШЛО2!LZ16</f>
        <v>0</v>
      </c>
      <c r="ALT24" s="96" t="n">
        <f aca="false">[1]ВИБУЛО2!LZ16</f>
        <v>0</v>
      </c>
      <c r="ALU24" s="97" t="n">
        <f aca="false">ALU23-ALT24+ALS24</f>
        <v>0</v>
      </c>
      <c r="ALV24" s="95" t="n">
        <f aca="false">[1]НАДІЙШЛО2!MA16</f>
        <v>0</v>
      </c>
      <c r="ALW24" s="96" t="n">
        <f aca="false">[1]ВИБУЛО2!MA16</f>
        <v>0</v>
      </c>
      <c r="ALX24" s="97" t="n">
        <f aca="false">ALX23-ALW24+ALV24</f>
        <v>0</v>
      </c>
      <c r="ALY24" s="95" t="n">
        <f aca="false">[1]НАДІЙШЛО2!MB16</f>
        <v>0</v>
      </c>
      <c r="ALZ24" s="96" t="n">
        <f aca="false">[1]ВИБУЛО2!MB16</f>
        <v>0</v>
      </c>
      <c r="AMA24" s="97" t="n">
        <f aca="false">AMA23-ALZ24+ALY24</f>
        <v>0</v>
      </c>
      <c r="AMB24" s="95" t="n">
        <f aca="false">[1]НАДІЙШЛО2!MC16</f>
        <v>0</v>
      </c>
      <c r="AMC24" s="96" t="n">
        <f aca="false">[1]ВИБУЛО2!MC16</f>
        <v>0</v>
      </c>
      <c r="AMD24" s="97" t="n">
        <f aca="false">AMD23-AMC24+AMB24</f>
        <v>0</v>
      </c>
      <c r="AME24" s="95" t="n">
        <f aca="false">[1]НАДІЙШЛО2!MD16</f>
        <v>0</v>
      </c>
      <c r="AMF24" s="96" t="n">
        <f aca="false">[1]ВИБУЛО2!MD16</f>
        <v>0</v>
      </c>
      <c r="AMG24" s="97" t="n">
        <f aca="false">AMG23-AMF24+AME24</f>
        <v>0</v>
      </c>
      <c r="AMH24" s="95" t="n">
        <f aca="false">[1]НАДІЙШЛО2!ME16</f>
        <v>0</v>
      </c>
      <c r="AMI24" s="96" t="n">
        <f aca="false">[1]ВИБУЛО2!ME16</f>
        <v>0</v>
      </c>
      <c r="AMJ24" s="97" t="n">
        <f aca="false">AMJ23-AMI24+AMH24</f>
        <v>0</v>
      </c>
    </row>
    <row r="25" s="99" customFormat="true" ht="16.5" hidden="false" customHeight="false" outlineLevel="0" collapsed="false">
      <c r="A25" s="98"/>
      <c r="D25" s="103"/>
      <c r="E25" s="95" t="n">
        <f aca="false">[1]НАДІЙШЛО2!D17</f>
        <v>0</v>
      </c>
      <c r="F25" s="96" t="n">
        <f aca="false">[1]ВИБУЛО2!D17</f>
        <v>0</v>
      </c>
      <c r="G25" s="97" t="n">
        <f aca="false">G24-F25+E25</f>
        <v>0</v>
      </c>
      <c r="H25" s="95" t="n">
        <f aca="false">[1]НАДІЙШЛО2!E17</f>
        <v>0</v>
      </c>
      <c r="I25" s="96" t="n">
        <f aca="false">[1]ВИБУЛО2!E17</f>
        <v>0</v>
      </c>
      <c r="J25" s="97" t="n">
        <f aca="false">J24-I25+H25</f>
        <v>0</v>
      </c>
      <c r="K25" s="95" t="n">
        <f aca="false">[1]НАДІЙШЛО2!F17</f>
        <v>0</v>
      </c>
      <c r="L25" s="96" t="n">
        <f aca="false">[1]ВИБУЛО2!F17</f>
        <v>0</v>
      </c>
      <c r="M25" s="97" t="n">
        <f aca="false">M24-L25+K25</f>
        <v>2.06</v>
      </c>
      <c r="N25" s="95" t="n">
        <f aca="false">[1]НАДІЙШЛО2!G17</f>
        <v>0</v>
      </c>
      <c r="O25" s="96" t="n">
        <f aca="false">[1]ВИБУЛО2!G17</f>
        <v>0</v>
      </c>
      <c r="P25" s="97" t="n">
        <f aca="false">P24-O25+N25</f>
        <v>0</v>
      </c>
      <c r="Q25" s="95" t="n">
        <f aca="false">[1]НАДІЙШЛО2!H17</f>
        <v>0</v>
      </c>
      <c r="R25" s="96" t="n">
        <f aca="false">[1]ВИБУЛО2!H17</f>
        <v>0</v>
      </c>
      <c r="S25" s="97" t="n">
        <f aca="false">S24-R25+Q25</f>
        <v>0</v>
      </c>
      <c r="T25" s="95" t="n">
        <f aca="false">[1]НАДІЙШЛО2!I17</f>
        <v>0</v>
      </c>
      <c r="U25" s="96" t="n">
        <f aca="false">[1]ВИБУЛО2!I17</f>
        <v>0</v>
      </c>
      <c r="V25" s="97" t="n">
        <f aca="false">V24-U25+T25</f>
        <v>0</v>
      </c>
      <c r="W25" s="95" t="n">
        <f aca="false">[1]НАДІЙШЛО2!J17</f>
        <v>0</v>
      </c>
      <c r="X25" s="96" t="n">
        <f aca="false">[1]ВИБУЛО2!J17</f>
        <v>0</v>
      </c>
      <c r="Y25" s="97" t="n">
        <f aca="false">Y24-X25+W25</f>
        <v>0</v>
      </c>
      <c r="Z25" s="95" t="n">
        <f aca="false">[1]НАДІЙШЛО2!K17</f>
        <v>0</v>
      </c>
      <c r="AA25" s="96" t="n">
        <f aca="false">[1]ВИБУЛО2!K17</f>
        <v>0</v>
      </c>
      <c r="AB25" s="97" t="n">
        <f aca="false">AB24-AA25+Z25</f>
        <v>0</v>
      </c>
      <c r="AC25" s="95" t="n">
        <f aca="false">[1]НАДІЙШЛО2!L17</f>
        <v>0</v>
      </c>
      <c r="AD25" s="96" t="n">
        <f aca="false">[1]ВИБУЛО2!L17</f>
        <v>0</v>
      </c>
      <c r="AE25" s="97" t="n">
        <f aca="false">AE24-AD25+AC25</f>
        <v>0</v>
      </c>
      <c r="AF25" s="95" t="n">
        <f aca="false">[1]НАДІЙШЛО2!M17</f>
        <v>0</v>
      </c>
      <c r="AG25" s="96" t="n">
        <f aca="false">[1]ВИБУЛО2!M17</f>
        <v>0</v>
      </c>
      <c r="AH25" s="97" t="n">
        <f aca="false">AH24-AG25+AF25</f>
        <v>0</v>
      </c>
      <c r="AI25" s="95" t="n">
        <f aca="false">[1]НАДІЙШЛО2!N17</f>
        <v>0</v>
      </c>
      <c r="AJ25" s="96" t="n">
        <f aca="false">[1]ВИБУЛО2!N17</f>
        <v>0</v>
      </c>
      <c r="AK25" s="97" t="n">
        <f aca="false">AK24-AJ25+AI25</f>
        <v>0</v>
      </c>
      <c r="AL25" s="95" t="n">
        <f aca="false">[1]НАДІЙШЛО2!O17</f>
        <v>0</v>
      </c>
      <c r="AM25" s="96" t="n">
        <f aca="false">[1]ВИБУЛО2!O17</f>
        <v>0</v>
      </c>
      <c r="AN25" s="97" t="n">
        <f aca="false">AN24-AM25+AL25</f>
        <v>0</v>
      </c>
      <c r="AO25" s="95" t="n">
        <f aca="false">[1]НАДІЙШЛО2!P17</f>
        <v>0</v>
      </c>
      <c r="AP25" s="96" t="n">
        <f aca="false">[1]ВИБУЛО2!P17</f>
        <v>0</v>
      </c>
      <c r="AQ25" s="97" t="n">
        <f aca="false">AQ24-AP25+AO25</f>
        <v>0</v>
      </c>
      <c r="AR25" s="95" t="n">
        <f aca="false">[1]НАДІЙШЛО2!Q17</f>
        <v>0</v>
      </c>
      <c r="AS25" s="96" t="n">
        <f aca="false">[1]ВИБУЛО2!Q17</f>
        <v>0</v>
      </c>
      <c r="AT25" s="97" t="n">
        <f aca="false">AT24-AS25+AR25</f>
        <v>0</v>
      </c>
      <c r="AU25" s="95" t="n">
        <f aca="false">[1]НАДІЙШЛО2!R17</f>
        <v>0</v>
      </c>
      <c r="AV25" s="96" t="n">
        <f aca="false">[1]ВИБУЛО2!R17</f>
        <v>0</v>
      </c>
      <c r="AW25" s="97" t="n">
        <f aca="false">AW24-AV25+AU25</f>
        <v>0</v>
      </c>
      <c r="AX25" s="95" t="n">
        <f aca="false">[1]НАДІЙШЛО2!S17</f>
        <v>0</v>
      </c>
      <c r="AY25" s="96" t="n">
        <f aca="false">[1]ВИБУЛО2!S17</f>
        <v>0</v>
      </c>
      <c r="AZ25" s="97" t="n">
        <f aca="false">AZ24-AY25+AX25</f>
        <v>0</v>
      </c>
      <c r="BA25" s="95" t="n">
        <f aca="false">[1]НАДІЙШЛО2!T17</f>
        <v>0</v>
      </c>
      <c r="BB25" s="96" t="n">
        <f aca="false">[1]ВИБУЛО2!T17</f>
        <v>0</v>
      </c>
      <c r="BC25" s="97" t="n">
        <f aca="false">BC24-BB25+BA25</f>
        <v>0</v>
      </c>
      <c r="BD25" s="95" t="n">
        <f aca="false">[1]НАДІЙШЛО2!U17</f>
        <v>0</v>
      </c>
      <c r="BE25" s="96" t="n">
        <f aca="false">[1]ВИБУЛО2!U17</f>
        <v>0</v>
      </c>
      <c r="BF25" s="97" t="n">
        <f aca="false">BF24-BE25+BD25</f>
        <v>0</v>
      </c>
      <c r="BG25" s="95" t="n">
        <f aca="false">[1]НАДІЙШЛО2!V17</f>
        <v>0</v>
      </c>
      <c r="BH25" s="96" t="n">
        <f aca="false">[1]ВИБУЛО2!V17</f>
        <v>0</v>
      </c>
      <c r="BI25" s="97" t="n">
        <f aca="false">BI24-BH25+BG25</f>
        <v>0</v>
      </c>
      <c r="BJ25" s="95" t="n">
        <f aca="false">[1]НАДІЙШЛО2!W17</f>
        <v>0</v>
      </c>
      <c r="BK25" s="96" t="n">
        <f aca="false">[1]ВИБУЛО2!W17</f>
        <v>0</v>
      </c>
      <c r="BL25" s="97" t="n">
        <f aca="false">BL24-BK25+BJ25</f>
        <v>0</v>
      </c>
      <c r="BM25" s="95" t="n">
        <f aca="false">[1]НАДІЙШЛО2!X17</f>
        <v>0</v>
      </c>
      <c r="BN25" s="96" t="n">
        <f aca="false">[1]ВИБУЛО2!X17</f>
        <v>0</v>
      </c>
      <c r="BO25" s="97" t="n">
        <f aca="false">BO24-BN25+BM25</f>
        <v>0</v>
      </c>
      <c r="BP25" s="95" t="n">
        <f aca="false">[1]НАДІЙШЛО2!Y17</f>
        <v>0</v>
      </c>
      <c r="BQ25" s="96" t="n">
        <f aca="false">[1]ВИБУЛО2!Y17</f>
        <v>0</v>
      </c>
      <c r="BR25" s="97" t="n">
        <f aca="false">BR24-BQ25+BP25</f>
        <v>0</v>
      </c>
      <c r="BS25" s="95" t="n">
        <f aca="false">[1]НАДІЙШЛО2!Z17</f>
        <v>0</v>
      </c>
      <c r="BT25" s="96" t="n">
        <f aca="false">[1]ВИБУЛО2!Z17</f>
        <v>0</v>
      </c>
      <c r="BU25" s="97" t="n">
        <f aca="false">BU24-BT25+BS25</f>
        <v>0</v>
      </c>
      <c r="BV25" s="95" t="n">
        <f aca="false">[1]НАДІЙШЛО2!AA17</f>
        <v>0</v>
      </c>
      <c r="BW25" s="96" t="n">
        <f aca="false">[1]ВИБУЛО2!AA17</f>
        <v>0</v>
      </c>
      <c r="BX25" s="97" t="n">
        <f aca="false">BX24-BW25+BV25</f>
        <v>0</v>
      </c>
      <c r="BY25" s="95" t="n">
        <f aca="false">[1]НАДІЙШЛО2!AB17</f>
        <v>0</v>
      </c>
      <c r="BZ25" s="96" t="n">
        <f aca="false">[1]ВИБУЛО2!AB17</f>
        <v>0</v>
      </c>
      <c r="CA25" s="97" t="n">
        <f aca="false">CA24-BZ25+BY25</f>
        <v>0</v>
      </c>
      <c r="CB25" s="95" t="n">
        <f aca="false">[1]НАДІЙШЛО2!AC17</f>
        <v>0</v>
      </c>
      <c r="CC25" s="96" t="n">
        <f aca="false">[1]ВИБУЛО2!AC17</f>
        <v>0</v>
      </c>
      <c r="CD25" s="97" t="n">
        <f aca="false">CD24-CC25+CB25</f>
        <v>0</v>
      </c>
      <c r="CE25" s="95" t="n">
        <f aca="false">[1]НАДІЙШЛО2!AD17</f>
        <v>0</v>
      </c>
      <c r="CF25" s="96" t="n">
        <f aca="false">[1]ВИБУЛО2!AD17</f>
        <v>0</v>
      </c>
      <c r="CG25" s="97" t="n">
        <f aca="false">CG24-CF25+CE25</f>
        <v>0</v>
      </c>
      <c r="CH25" s="95" t="n">
        <f aca="false">[1]НАДІЙШЛО2!AE17</f>
        <v>0</v>
      </c>
      <c r="CI25" s="96" t="n">
        <f aca="false">[1]ВИБУЛО2!AE17</f>
        <v>0</v>
      </c>
      <c r="CJ25" s="97" t="n">
        <f aca="false">CJ24-CI25+CH25</f>
        <v>0</v>
      </c>
      <c r="CK25" s="95" t="n">
        <f aca="false">[1]НАДІЙШЛО2!AF17</f>
        <v>0</v>
      </c>
      <c r="CL25" s="96" t="n">
        <f aca="false">[1]ВИБУЛО2!AF17</f>
        <v>0</v>
      </c>
      <c r="CM25" s="97" t="n">
        <f aca="false">CM24-CL25+CK25</f>
        <v>0</v>
      </c>
      <c r="CN25" s="95" t="n">
        <f aca="false">[1]НАДІЙШЛО2!AG17</f>
        <v>0</v>
      </c>
      <c r="CO25" s="96" t="n">
        <f aca="false">[1]ВИБУЛО2!AG17</f>
        <v>0</v>
      </c>
      <c r="CP25" s="97" t="n">
        <f aca="false">CP24-CO25+CN25</f>
        <v>0</v>
      </c>
      <c r="CQ25" s="95" t="n">
        <f aca="false">[1]НАДІЙШЛО2!AH17</f>
        <v>0</v>
      </c>
      <c r="CR25" s="96" t="n">
        <f aca="false">[1]ВИБУЛО2!AH17</f>
        <v>0</v>
      </c>
      <c r="CS25" s="97" t="n">
        <f aca="false">CS24-CR25+CQ25</f>
        <v>0</v>
      </c>
      <c r="CT25" s="95" t="n">
        <f aca="false">[1]НАДІЙШЛО2!AI17</f>
        <v>0</v>
      </c>
      <c r="CU25" s="96" t="n">
        <f aca="false">[1]ВИБУЛО2!AI17</f>
        <v>0</v>
      </c>
      <c r="CV25" s="97" t="n">
        <f aca="false">CV24-CU25+CT25</f>
        <v>0</v>
      </c>
      <c r="CW25" s="95" t="n">
        <f aca="false">[1]НАДІЙШЛО2!AJ17</f>
        <v>0</v>
      </c>
      <c r="CX25" s="96" t="n">
        <f aca="false">[1]ВИБУЛО2!AJ17</f>
        <v>0</v>
      </c>
      <c r="CY25" s="97" t="n">
        <f aca="false">CY24-CX25+CW25</f>
        <v>0</v>
      </c>
      <c r="CZ25" s="95" t="n">
        <f aca="false">[1]НАДІЙШЛО2!AK17</f>
        <v>0</v>
      </c>
      <c r="DA25" s="96" t="n">
        <f aca="false">[1]ВИБУЛО2!AK17</f>
        <v>0</v>
      </c>
      <c r="DB25" s="97" t="n">
        <f aca="false">DB24-DA25+CZ25</f>
        <v>0</v>
      </c>
      <c r="DC25" s="95" t="n">
        <f aca="false">[1]НАДІЙШЛО2!AL17</f>
        <v>0</v>
      </c>
      <c r="DD25" s="96" t="n">
        <f aca="false">[1]ВИБУЛО2!AL17</f>
        <v>0</v>
      </c>
      <c r="DE25" s="97" t="n">
        <f aca="false">DE24-DD25+DC25</f>
        <v>0</v>
      </c>
      <c r="DF25" s="95" t="n">
        <f aca="false">[1]НАДІЙШЛО2!AM17</f>
        <v>0</v>
      </c>
      <c r="DG25" s="96" t="n">
        <f aca="false">[1]ВИБУЛО2!AM17</f>
        <v>0</v>
      </c>
      <c r="DH25" s="97" t="n">
        <f aca="false">DH24-DG25+DF25</f>
        <v>0</v>
      </c>
      <c r="DI25" s="95" t="n">
        <f aca="false">[1]НАДІЙШЛО2!AN17</f>
        <v>0</v>
      </c>
      <c r="DJ25" s="96" t="n">
        <f aca="false">[1]ВИБУЛО2!AN17</f>
        <v>0</v>
      </c>
      <c r="DK25" s="97" t="n">
        <f aca="false">DK24-DJ25+DI25</f>
        <v>0</v>
      </c>
      <c r="DL25" s="95" t="n">
        <f aca="false">[1]НАДІЙШЛО2!AO17</f>
        <v>0</v>
      </c>
      <c r="DM25" s="96" t="n">
        <f aca="false">[1]ВИБУЛО2!AO17</f>
        <v>0</v>
      </c>
      <c r="DN25" s="97" t="n">
        <f aca="false">DN24-DM25+DL25</f>
        <v>0</v>
      </c>
      <c r="DO25" s="95" t="n">
        <f aca="false">[1]НАДІЙШЛО2!AP17</f>
        <v>0</v>
      </c>
      <c r="DP25" s="96" t="n">
        <f aca="false">[1]ВИБУЛО2!AP17</f>
        <v>0</v>
      </c>
      <c r="DQ25" s="97" t="n">
        <f aca="false">DQ24-DP25+DO25</f>
        <v>0</v>
      </c>
      <c r="DR25" s="95" t="n">
        <f aca="false">[1]НАДІЙШЛО2!AQ17</f>
        <v>0</v>
      </c>
      <c r="DS25" s="96" t="n">
        <f aca="false">[1]ВИБУЛО2!AQ17</f>
        <v>0</v>
      </c>
      <c r="DT25" s="97" t="n">
        <f aca="false">DT24-DS25+DR25</f>
        <v>0</v>
      </c>
      <c r="DU25" s="95" t="n">
        <f aca="false">[1]НАДІЙШЛО2!AR17</f>
        <v>0</v>
      </c>
      <c r="DV25" s="96" t="n">
        <f aca="false">[1]ВИБУЛО2!AR17</f>
        <v>0</v>
      </c>
      <c r="DW25" s="97" t="n">
        <f aca="false">DW24-DV25+DU25</f>
        <v>0</v>
      </c>
      <c r="DX25" s="95" t="n">
        <f aca="false">[1]НАДІЙШЛО2!AS17</f>
        <v>0</v>
      </c>
      <c r="DY25" s="96" t="n">
        <f aca="false">[1]ВИБУЛО2!AS17</f>
        <v>0</v>
      </c>
      <c r="DZ25" s="97" t="n">
        <f aca="false">DZ24-DY25+DX25</f>
        <v>0</v>
      </c>
      <c r="EA25" s="95" t="n">
        <f aca="false">[1]НАДІЙШЛО2!AT17</f>
        <v>0</v>
      </c>
      <c r="EB25" s="96" t="n">
        <f aca="false">[1]ВИБУЛО2!AT17</f>
        <v>0</v>
      </c>
      <c r="EC25" s="97" t="n">
        <f aca="false">EC24-EB25+EA25</f>
        <v>0</v>
      </c>
      <c r="ED25" s="95" t="n">
        <f aca="false">[1]НАДІЙШЛО2!AU17</f>
        <v>0</v>
      </c>
      <c r="EE25" s="96" t="n">
        <f aca="false">[1]ВИБУЛО2!AU17</f>
        <v>0</v>
      </c>
      <c r="EF25" s="97" t="n">
        <f aca="false">EF24-EE25+ED25</f>
        <v>0</v>
      </c>
      <c r="EG25" s="95" t="n">
        <f aca="false">[1]НАДІЙШЛО2!AV17</f>
        <v>0</v>
      </c>
      <c r="EH25" s="96" t="n">
        <f aca="false">[1]ВИБУЛО2!AV17</f>
        <v>0</v>
      </c>
      <c r="EI25" s="97" t="n">
        <f aca="false">EI24-EH25+EG25</f>
        <v>0</v>
      </c>
      <c r="EJ25" s="95" t="n">
        <f aca="false">[1]НАДІЙШЛО2!AW17</f>
        <v>0</v>
      </c>
      <c r="EK25" s="96" t="n">
        <f aca="false">[1]ВИБУЛО2!AW17</f>
        <v>0</v>
      </c>
      <c r="EL25" s="97" t="n">
        <f aca="false">EL24-EK25+EJ25</f>
        <v>0</v>
      </c>
      <c r="EM25" s="95" t="n">
        <f aca="false">[1]НАДІЙШЛО2!AX17</f>
        <v>0</v>
      </c>
      <c r="EN25" s="96" t="n">
        <f aca="false">[1]ВИБУЛО2!AX17</f>
        <v>0</v>
      </c>
      <c r="EO25" s="97" t="n">
        <f aca="false">EO24-EN25+EM25</f>
        <v>0</v>
      </c>
      <c r="EP25" s="95" t="n">
        <f aca="false">[1]НАДІЙШЛО2!AY17</f>
        <v>0</v>
      </c>
      <c r="EQ25" s="96" t="n">
        <f aca="false">[1]ВИБУЛО2!AY17</f>
        <v>0</v>
      </c>
      <c r="ER25" s="97" t="n">
        <f aca="false">ER24-EQ25+EP25</f>
        <v>0</v>
      </c>
      <c r="ES25" s="95" t="n">
        <f aca="false">[1]НАДІЙШЛО2!AZ17</f>
        <v>0</v>
      </c>
      <c r="ET25" s="96" t="n">
        <f aca="false">[1]ВИБУЛО2!AZ17</f>
        <v>0</v>
      </c>
      <c r="EU25" s="97" t="n">
        <f aca="false">EU24-ET25+ES25</f>
        <v>0</v>
      </c>
      <c r="EV25" s="95" t="n">
        <f aca="false">[1]НАДІЙШЛО2!BA17</f>
        <v>0</v>
      </c>
      <c r="EW25" s="96" t="n">
        <f aca="false">[1]ВИБУЛО2!BA17</f>
        <v>0</v>
      </c>
      <c r="EX25" s="97" t="n">
        <f aca="false">EX24-EW25+EV25</f>
        <v>0</v>
      </c>
      <c r="EY25" s="95" t="n">
        <f aca="false">[1]НАДІЙШЛО2!BB17</f>
        <v>0</v>
      </c>
      <c r="EZ25" s="96" t="n">
        <f aca="false">[1]ВИБУЛО2!BB17</f>
        <v>0</v>
      </c>
      <c r="FA25" s="97" t="n">
        <f aca="false">FA24-EZ25+EY25</f>
        <v>0</v>
      </c>
      <c r="FB25" s="95" t="n">
        <f aca="false">[1]НАДІЙШЛО2!BC17</f>
        <v>0</v>
      </c>
      <c r="FC25" s="96" t="n">
        <f aca="false">[1]ВИБУЛО2!BC17</f>
        <v>0</v>
      </c>
      <c r="FD25" s="97" t="n">
        <f aca="false">FD24-FC25+FB25</f>
        <v>0</v>
      </c>
      <c r="FE25" s="95" t="n">
        <f aca="false">[1]НАДІЙШЛО2!BD17</f>
        <v>0</v>
      </c>
      <c r="FF25" s="96" t="n">
        <f aca="false">[1]ВИБУЛО2!BD17</f>
        <v>0</v>
      </c>
      <c r="FG25" s="97" t="n">
        <f aca="false">FG24-FF25+FE25</f>
        <v>0</v>
      </c>
      <c r="FH25" s="95" t="n">
        <f aca="false">[1]НАДІЙШЛО2!BE17</f>
        <v>0</v>
      </c>
      <c r="FI25" s="96" t="n">
        <f aca="false">[1]ВИБУЛО2!BE17</f>
        <v>0</v>
      </c>
      <c r="FJ25" s="97" t="n">
        <f aca="false">FJ24-FI25+FH25</f>
        <v>0</v>
      </c>
      <c r="FK25" s="95" t="n">
        <f aca="false">[1]НАДІЙШЛО2!BF17</f>
        <v>0</v>
      </c>
      <c r="FL25" s="96" t="n">
        <f aca="false">[1]ВИБУЛО2!BF17</f>
        <v>0</v>
      </c>
      <c r="FM25" s="97" t="n">
        <f aca="false">FM24-FL25+FK25</f>
        <v>0</v>
      </c>
      <c r="FN25" s="95" t="n">
        <f aca="false">[1]НАДІЙШЛО2!BG17</f>
        <v>0</v>
      </c>
      <c r="FO25" s="96" t="n">
        <f aca="false">[1]ВИБУЛО2!BG17</f>
        <v>0</v>
      </c>
      <c r="FP25" s="97" t="n">
        <f aca="false">FP24-FO25+FN25</f>
        <v>0</v>
      </c>
      <c r="FQ25" s="95" t="n">
        <f aca="false">[1]НАДІЙШЛО2!BH17</f>
        <v>0</v>
      </c>
      <c r="FR25" s="96" t="n">
        <f aca="false">[1]ВИБУЛО2!BH17</f>
        <v>0</v>
      </c>
      <c r="FS25" s="97" t="n">
        <f aca="false">FS24-FR25+FQ25</f>
        <v>0</v>
      </c>
      <c r="FT25" s="95" t="n">
        <f aca="false">[1]НАДІЙШЛО2!BI17</f>
        <v>0</v>
      </c>
      <c r="FU25" s="96" t="n">
        <f aca="false">[1]ВИБУЛО2!BI17</f>
        <v>0</v>
      </c>
      <c r="FV25" s="97" t="n">
        <f aca="false">FV24-FU25+FT25</f>
        <v>0</v>
      </c>
      <c r="FW25" s="95" t="n">
        <f aca="false">[1]НАДІЙШЛО2!BJ17</f>
        <v>0</v>
      </c>
      <c r="FX25" s="96" t="n">
        <f aca="false">[1]ВИБУЛО2!BJ17</f>
        <v>0</v>
      </c>
      <c r="FY25" s="97" t="n">
        <f aca="false">FY24-FX25+FW25</f>
        <v>0</v>
      </c>
      <c r="FZ25" s="95" t="n">
        <f aca="false">[1]НАДІЙШЛО2!BK17</f>
        <v>0</v>
      </c>
      <c r="GA25" s="96" t="n">
        <f aca="false">[1]ВИБУЛО2!BK17</f>
        <v>0</v>
      </c>
      <c r="GB25" s="97" t="n">
        <f aca="false">GB24-GA25+FZ25</f>
        <v>0</v>
      </c>
      <c r="GC25" s="95" t="n">
        <f aca="false">[1]НАДІЙШЛО2!BL17</f>
        <v>0</v>
      </c>
      <c r="GD25" s="96" t="n">
        <f aca="false">[1]ВИБУЛО2!BL17</f>
        <v>0</v>
      </c>
      <c r="GE25" s="97" t="n">
        <f aca="false">GE24-GD25+GC25</f>
        <v>0</v>
      </c>
      <c r="GF25" s="95" t="n">
        <f aca="false">[1]НАДІЙШЛО2!BM17</f>
        <v>0</v>
      </c>
      <c r="GG25" s="96" t="n">
        <f aca="false">[1]ВИБУЛО2!BM17</f>
        <v>0</v>
      </c>
      <c r="GH25" s="97" t="n">
        <f aca="false">GH24-GG25+GF25</f>
        <v>0</v>
      </c>
      <c r="GI25" s="95" t="n">
        <f aca="false">[1]НАДІЙШЛО2!BN17</f>
        <v>0</v>
      </c>
      <c r="GJ25" s="96" t="n">
        <f aca="false">[1]ВИБУЛО2!BN17</f>
        <v>0</v>
      </c>
      <c r="GK25" s="97" t="n">
        <f aca="false">GK24-GJ25+GI25</f>
        <v>0</v>
      </c>
      <c r="GL25" s="95" t="n">
        <f aca="false">[1]НАДІЙШЛО2!BO17</f>
        <v>0</v>
      </c>
      <c r="GM25" s="96" t="n">
        <f aca="false">[1]ВИБУЛО2!BO17</f>
        <v>0</v>
      </c>
      <c r="GN25" s="97" t="n">
        <f aca="false">GN24-GM25+GL25</f>
        <v>0</v>
      </c>
      <c r="GO25" s="95" t="n">
        <f aca="false">[1]НАДІЙШЛО2!BP17</f>
        <v>0</v>
      </c>
      <c r="GP25" s="96" t="n">
        <f aca="false">[1]ВИБУЛО2!BP17</f>
        <v>0</v>
      </c>
      <c r="GQ25" s="97" t="n">
        <f aca="false">GQ24-GP25+GO25</f>
        <v>0</v>
      </c>
      <c r="GR25" s="95" t="n">
        <f aca="false">[1]НАДІЙШЛО2!BQ17</f>
        <v>0</v>
      </c>
      <c r="GS25" s="96" t="n">
        <f aca="false">[1]ВИБУЛО2!BQ17</f>
        <v>0</v>
      </c>
      <c r="GT25" s="97" t="n">
        <f aca="false">GT24-GS25+GR25</f>
        <v>0</v>
      </c>
      <c r="GU25" s="95" t="n">
        <f aca="false">[1]НАДІЙШЛО2!BR17</f>
        <v>0</v>
      </c>
      <c r="GV25" s="96" t="n">
        <f aca="false">[1]ВИБУЛО2!BR17</f>
        <v>0</v>
      </c>
      <c r="GW25" s="97" t="n">
        <f aca="false">GW24-GV25+GU25</f>
        <v>0</v>
      </c>
      <c r="GX25" s="95" t="n">
        <f aca="false">[1]НАДІЙШЛО2!BS17</f>
        <v>0</v>
      </c>
      <c r="GY25" s="96" t="n">
        <f aca="false">[1]ВИБУЛО2!BS17</f>
        <v>0</v>
      </c>
      <c r="GZ25" s="97" t="n">
        <f aca="false">GZ24-GY25+GX25</f>
        <v>0</v>
      </c>
      <c r="HA25" s="95" t="n">
        <f aca="false">[1]НАДІЙШЛО2!BT17</f>
        <v>0</v>
      </c>
      <c r="HB25" s="96" t="n">
        <f aca="false">[1]ВИБУЛО2!BT17</f>
        <v>0</v>
      </c>
      <c r="HC25" s="97" t="n">
        <f aca="false">HC24-HB25+HA25</f>
        <v>0</v>
      </c>
      <c r="HD25" s="95" t="n">
        <f aca="false">[1]НАДІЙШЛО2!BU17</f>
        <v>0</v>
      </c>
      <c r="HE25" s="96" t="n">
        <f aca="false">[1]ВИБУЛО2!BU17</f>
        <v>0</v>
      </c>
      <c r="HF25" s="97" t="n">
        <f aca="false">HF24-HE25+HD25</f>
        <v>0</v>
      </c>
      <c r="HG25" s="95" t="n">
        <f aca="false">[1]НАДІЙШЛО2!BV17</f>
        <v>0</v>
      </c>
      <c r="HH25" s="96" t="n">
        <f aca="false">[1]ВИБУЛО2!BV17</f>
        <v>0</v>
      </c>
      <c r="HI25" s="97" t="n">
        <f aca="false">HI24-HH25+HG25</f>
        <v>0</v>
      </c>
      <c r="HJ25" s="95" t="n">
        <f aca="false">[1]НАДІЙШЛО2!BW17</f>
        <v>0</v>
      </c>
      <c r="HK25" s="96" t="n">
        <f aca="false">[1]ВИБУЛО2!BW17</f>
        <v>0</v>
      </c>
      <c r="HL25" s="97" t="n">
        <f aca="false">HL24-HK25+HJ25</f>
        <v>0</v>
      </c>
      <c r="HM25" s="95" t="n">
        <f aca="false">[1]НАДІЙШЛО2!BX17</f>
        <v>0</v>
      </c>
      <c r="HN25" s="96" t="n">
        <f aca="false">[1]ВИБУЛО2!BX17</f>
        <v>0</v>
      </c>
      <c r="HO25" s="97" t="n">
        <f aca="false">HO24-HN25+HM25</f>
        <v>0</v>
      </c>
      <c r="HP25" s="95" t="n">
        <f aca="false">[1]НАДІЙШЛО2!BY17</f>
        <v>0</v>
      </c>
      <c r="HQ25" s="96" t="n">
        <f aca="false">[1]ВИБУЛО2!BY17</f>
        <v>0</v>
      </c>
      <c r="HR25" s="97" t="n">
        <f aca="false">HR24-HQ25+HP25</f>
        <v>0</v>
      </c>
      <c r="HS25" s="95" t="n">
        <f aca="false">[1]НАДІЙШЛО2!BZ17</f>
        <v>0</v>
      </c>
      <c r="HT25" s="96" t="n">
        <f aca="false">[1]ВИБУЛО2!BZ17</f>
        <v>0</v>
      </c>
      <c r="HU25" s="97" t="n">
        <f aca="false">HU24-HT25+HS25</f>
        <v>0</v>
      </c>
      <c r="HV25" s="95" t="n">
        <f aca="false">[1]НАДІЙШЛО2!CA17</f>
        <v>0</v>
      </c>
      <c r="HW25" s="96" t="n">
        <f aca="false">[1]ВИБУЛО2!CA17</f>
        <v>0</v>
      </c>
      <c r="HX25" s="97" t="n">
        <f aca="false">HX24-HW25+HV25</f>
        <v>0</v>
      </c>
      <c r="HY25" s="95" t="n">
        <f aca="false">[1]НАДІЙШЛО2!CB17</f>
        <v>0</v>
      </c>
      <c r="HZ25" s="96" t="n">
        <f aca="false">[1]ВИБУЛО2!CB17</f>
        <v>0</v>
      </c>
      <c r="IA25" s="97" t="n">
        <f aca="false">IA24-HZ25+HY25</f>
        <v>0</v>
      </c>
      <c r="IB25" s="95" t="n">
        <f aca="false">[1]НАДІЙШЛО2!CC17</f>
        <v>0</v>
      </c>
      <c r="IC25" s="96" t="n">
        <f aca="false">[1]ВИБУЛО2!CC17</f>
        <v>0</v>
      </c>
      <c r="ID25" s="97" t="n">
        <f aca="false">ID24-IC25+IB25</f>
        <v>0</v>
      </c>
      <c r="IE25" s="95" t="n">
        <f aca="false">[1]НАДІЙШЛО2!CD17</f>
        <v>0</v>
      </c>
      <c r="IF25" s="96" t="n">
        <f aca="false">[1]ВИБУЛО2!CD17</f>
        <v>0</v>
      </c>
      <c r="IG25" s="97" t="n">
        <f aca="false">IG24-IF25+IE25</f>
        <v>0</v>
      </c>
      <c r="IH25" s="95" t="n">
        <f aca="false">[1]НАДІЙШЛО2!CE17</f>
        <v>0</v>
      </c>
      <c r="II25" s="96" t="n">
        <f aca="false">[1]ВИБУЛО2!CE17</f>
        <v>0</v>
      </c>
      <c r="IJ25" s="97" t="n">
        <f aca="false">IJ24-II25+IH25</f>
        <v>0</v>
      </c>
      <c r="IK25" s="95" t="n">
        <f aca="false">[1]НАДІЙШЛО2!CF17</f>
        <v>0</v>
      </c>
      <c r="IL25" s="96" t="n">
        <f aca="false">[1]ВИБУЛО2!CF17</f>
        <v>0</v>
      </c>
      <c r="IM25" s="97" t="n">
        <f aca="false">IM24-IL25+IK25</f>
        <v>0</v>
      </c>
      <c r="IN25" s="95" t="n">
        <f aca="false">[1]НАДІЙШЛО2!CG17</f>
        <v>0</v>
      </c>
      <c r="IO25" s="96" t="n">
        <f aca="false">[1]ВИБУЛО2!CG17</f>
        <v>0</v>
      </c>
      <c r="IP25" s="97" t="n">
        <f aca="false">IP24-IO25+IN25</f>
        <v>0</v>
      </c>
      <c r="IQ25" s="95" t="n">
        <f aca="false">[1]НАДІЙШЛО2!CH17</f>
        <v>0</v>
      </c>
      <c r="IR25" s="96" t="n">
        <f aca="false">[1]ВИБУЛО2!CH17</f>
        <v>0</v>
      </c>
      <c r="IS25" s="97" t="n">
        <f aca="false">IS24-IR25+IQ25</f>
        <v>0</v>
      </c>
      <c r="IT25" s="95" t="n">
        <f aca="false">[1]НАДІЙШЛО2!CI17</f>
        <v>0</v>
      </c>
      <c r="IU25" s="96" t="n">
        <f aca="false">[1]ВИБУЛО2!CI17</f>
        <v>0</v>
      </c>
      <c r="IV25" s="97" t="n">
        <f aca="false">IV24-IU25+IT25</f>
        <v>0</v>
      </c>
      <c r="IW25" s="95" t="n">
        <f aca="false">[1]НАДІЙШЛО2!CJ17</f>
        <v>0</v>
      </c>
      <c r="IX25" s="96" t="n">
        <f aca="false">[1]ВИБУЛО2!CJ17</f>
        <v>0</v>
      </c>
      <c r="IY25" s="97" t="n">
        <f aca="false">IY24-IX25+IW25</f>
        <v>0</v>
      </c>
      <c r="IZ25" s="95" t="n">
        <f aca="false">[1]НАДІЙШЛО2!CK17</f>
        <v>0</v>
      </c>
      <c r="JA25" s="96" t="n">
        <f aca="false">[1]ВИБУЛО2!CK17</f>
        <v>0</v>
      </c>
      <c r="JB25" s="97" t="n">
        <f aca="false">JB24-JA25+IZ25</f>
        <v>0</v>
      </c>
      <c r="JC25" s="95" t="n">
        <f aca="false">[1]НАДІЙШЛО2!CL17</f>
        <v>0</v>
      </c>
      <c r="JD25" s="96" t="n">
        <f aca="false">[1]ВИБУЛО2!CL17</f>
        <v>0</v>
      </c>
      <c r="JE25" s="97" t="n">
        <f aca="false">JE24-JD25+JC25</f>
        <v>0</v>
      </c>
      <c r="JF25" s="95" t="n">
        <f aca="false">[1]НАДІЙШЛО2!CM17</f>
        <v>0</v>
      </c>
      <c r="JG25" s="96" t="n">
        <f aca="false">[1]ВИБУЛО2!CM17</f>
        <v>0</v>
      </c>
      <c r="JH25" s="97" t="n">
        <f aca="false">JH24-JG25+JF25</f>
        <v>0</v>
      </c>
      <c r="JI25" s="95" t="n">
        <f aca="false">[1]НАДІЙШЛО2!CN17</f>
        <v>0</v>
      </c>
      <c r="JJ25" s="96" t="n">
        <f aca="false">[1]ВИБУЛО2!CN17</f>
        <v>0</v>
      </c>
      <c r="JK25" s="97" t="n">
        <f aca="false">JK24-JJ25+JI25</f>
        <v>0</v>
      </c>
      <c r="JL25" s="95" t="n">
        <f aca="false">[1]НАДІЙШЛО2!CO17</f>
        <v>0</v>
      </c>
      <c r="JM25" s="96" t="n">
        <f aca="false">[1]ВИБУЛО2!CO17</f>
        <v>0</v>
      </c>
      <c r="JN25" s="97" t="n">
        <f aca="false">JN24-JM25+JL25</f>
        <v>0</v>
      </c>
      <c r="JO25" s="95" t="n">
        <f aca="false">[1]НАДІЙШЛО2!CP17</f>
        <v>0</v>
      </c>
      <c r="JP25" s="96" t="n">
        <f aca="false">[1]ВИБУЛО2!CP17</f>
        <v>0</v>
      </c>
      <c r="JQ25" s="97" t="n">
        <f aca="false">JQ24-JP25+JO25</f>
        <v>0</v>
      </c>
      <c r="JR25" s="95" t="n">
        <f aca="false">[1]НАДІЙШЛО2!CQ17</f>
        <v>0</v>
      </c>
      <c r="JS25" s="96" t="n">
        <f aca="false">[1]ВИБУЛО2!CQ17</f>
        <v>0</v>
      </c>
      <c r="JT25" s="97" t="n">
        <f aca="false">JT24-JS25+JR25</f>
        <v>0</v>
      </c>
      <c r="JU25" s="95" t="n">
        <f aca="false">[1]НАДІЙШЛО2!CR17</f>
        <v>0</v>
      </c>
      <c r="JV25" s="96" t="n">
        <f aca="false">[1]ВИБУЛО2!CR17</f>
        <v>0</v>
      </c>
      <c r="JW25" s="97" t="n">
        <f aca="false">JW24-JV25+JU25</f>
        <v>0</v>
      </c>
      <c r="JX25" s="95" t="n">
        <f aca="false">[1]НАДІЙШЛО2!CS17</f>
        <v>0</v>
      </c>
      <c r="JY25" s="96" t="n">
        <f aca="false">[1]ВИБУЛО2!CS17</f>
        <v>0</v>
      </c>
      <c r="JZ25" s="97" t="n">
        <f aca="false">JZ24-JY25+JX25</f>
        <v>0</v>
      </c>
      <c r="KA25" s="95" t="n">
        <f aca="false">[1]НАДІЙШЛО2!CT17</f>
        <v>0</v>
      </c>
      <c r="KB25" s="96" t="n">
        <f aca="false">[1]ВИБУЛО2!CT17</f>
        <v>0</v>
      </c>
      <c r="KC25" s="97" t="n">
        <f aca="false">KC24-KB25+KA25</f>
        <v>0</v>
      </c>
      <c r="KD25" s="95" t="n">
        <f aca="false">[1]НАДІЙШЛО2!CU17</f>
        <v>0</v>
      </c>
      <c r="KE25" s="96" t="n">
        <f aca="false">[1]ВИБУЛО2!CU17</f>
        <v>0</v>
      </c>
      <c r="KF25" s="97" t="n">
        <f aca="false">KF24-KE25+KD25</f>
        <v>0</v>
      </c>
      <c r="KG25" s="95" t="n">
        <f aca="false">[1]НАДІЙШЛО2!CV17</f>
        <v>0</v>
      </c>
      <c r="KH25" s="96" t="n">
        <f aca="false">[1]ВИБУЛО2!CV17</f>
        <v>0</v>
      </c>
      <c r="KI25" s="97" t="n">
        <f aca="false">KI24-KH25+KG25</f>
        <v>0</v>
      </c>
      <c r="KJ25" s="95" t="n">
        <f aca="false">[1]НАДІЙШЛО2!CW17</f>
        <v>0</v>
      </c>
      <c r="KK25" s="96" t="n">
        <f aca="false">[1]ВИБУЛО2!CW17</f>
        <v>0</v>
      </c>
      <c r="KL25" s="97" t="n">
        <f aca="false">KL24-KK25+KJ25</f>
        <v>0</v>
      </c>
      <c r="KM25" s="95" t="n">
        <f aca="false">[1]НАДІЙШЛО2!CX17</f>
        <v>0</v>
      </c>
      <c r="KN25" s="96" t="n">
        <f aca="false">[1]ВИБУЛО2!CX17</f>
        <v>0</v>
      </c>
      <c r="KO25" s="97" t="n">
        <f aca="false">KO24-KN25+KM25</f>
        <v>0</v>
      </c>
      <c r="KP25" s="95" t="n">
        <f aca="false">[1]НАДІЙШЛО2!CY17</f>
        <v>0</v>
      </c>
      <c r="KQ25" s="96" t="n">
        <f aca="false">[1]ВИБУЛО2!CY17</f>
        <v>0</v>
      </c>
      <c r="KR25" s="97" t="n">
        <f aca="false">KR24-KQ25+KP25</f>
        <v>0</v>
      </c>
      <c r="KS25" s="95" t="n">
        <f aca="false">[1]НАДІЙШЛО2!CZ17</f>
        <v>0</v>
      </c>
      <c r="KT25" s="96" t="n">
        <f aca="false">[1]ВИБУЛО2!CZ17</f>
        <v>0</v>
      </c>
      <c r="KU25" s="97" t="n">
        <f aca="false">KU24-KT25+KS25</f>
        <v>0</v>
      </c>
      <c r="KV25" s="95" t="n">
        <f aca="false">[1]НАДІЙШЛО2!DA17</f>
        <v>0</v>
      </c>
      <c r="KW25" s="96" t="n">
        <f aca="false">[1]ВИБУЛО2!DA17</f>
        <v>0</v>
      </c>
      <c r="KX25" s="97" t="n">
        <f aca="false">KX24-KW25+KV25</f>
        <v>0</v>
      </c>
      <c r="KY25" s="95" t="n">
        <f aca="false">[1]НАДІЙШЛО2!DB17</f>
        <v>0</v>
      </c>
      <c r="KZ25" s="96" t="n">
        <f aca="false">[1]ВИБУЛО2!DB17</f>
        <v>0</v>
      </c>
      <c r="LA25" s="97" t="n">
        <f aca="false">LA24-KZ25+KY25</f>
        <v>0</v>
      </c>
      <c r="LB25" s="95" t="n">
        <f aca="false">[1]НАДІЙШЛО2!DC17</f>
        <v>0</v>
      </c>
      <c r="LC25" s="96" t="n">
        <f aca="false">[1]ВИБУЛО2!DC17</f>
        <v>0</v>
      </c>
      <c r="LD25" s="97" t="n">
        <f aca="false">LD24-LC25+LB25</f>
        <v>0</v>
      </c>
      <c r="LE25" s="95" t="n">
        <f aca="false">[1]НАДІЙШЛО2!DD17</f>
        <v>0</v>
      </c>
      <c r="LF25" s="96" t="n">
        <f aca="false">[1]ВИБУЛО2!DD17</f>
        <v>0</v>
      </c>
      <c r="LG25" s="97" t="n">
        <f aca="false">LG24-LF25+LE25</f>
        <v>0</v>
      </c>
      <c r="LH25" s="95" t="n">
        <f aca="false">[1]НАДІЙШЛО2!DE17</f>
        <v>0</v>
      </c>
      <c r="LI25" s="96" t="n">
        <f aca="false">[1]ВИБУЛО2!DE17</f>
        <v>0</v>
      </c>
      <c r="LJ25" s="97" t="n">
        <f aca="false">LJ24-LI25+LH25</f>
        <v>0</v>
      </c>
      <c r="LK25" s="95" t="n">
        <f aca="false">[1]НАДІЙШЛО2!DF17</f>
        <v>0</v>
      </c>
      <c r="LL25" s="96" t="n">
        <f aca="false">[1]ВИБУЛО2!DF17</f>
        <v>0</v>
      </c>
      <c r="LM25" s="97" t="n">
        <f aca="false">LM24-LL25+LK25</f>
        <v>0</v>
      </c>
      <c r="LN25" s="95" t="n">
        <f aca="false">[1]НАДІЙШЛО2!DG17</f>
        <v>0</v>
      </c>
      <c r="LO25" s="96" t="n">
        <f aca="false">[1]ВИБУЛО2!DG17</f>
        <v>0</v>
      </c>
      <c r="LP25" s="97" t="n">
        <f aca="false">LP24-LO25+LN25</f>
        <v>0</v>
      </c>
      <c r="LQ25" s="95" t="n">
        <f aca="false">[1]НАДІЙШЛО2!DH17</f>
        <v>0</v>
      </c>
      <c r="LR25" s="96" t="n">
        <f aca="false">[1]ВИБУЛО2!DH17</f>
        <v>0</v>
      </c>
      <c r="LS25" s="97" t="n">
        <f aca="false">LS24-LR25+LQ25</f>
        <v>0</v>
      </c>
      <c r="LT25" s="95" t="n">
        <f aca="false">[1]НАДІЙШЛО2!DI17</f>
        <v>0</v>
      </c>
      <c r="LU25" s="96" t="n">
        <f aca="false">[1]ВИБУЛО2!DI17</f>
        <v>0</v>
      </c>
      <c r="LV25" s="97" t="n">
        <f aca="false">LV24-LU25+LT25</f>
        <v>0</v>
      </c>
      <c r="LW25" s="95" t="n">
        <f aca="false">[1]НАДІЙШЛО2!DJ17</f>
        <v>0</v>
      </c>
      <c r="LX25" s="96" t="n">
        <f aca="false">[1]ВИБУЛО2!DJ17</f>
        <v>0</v>
      </c>
      <c r="LY25" s="97" t="n">
        <f aca="false">LY24-LX25+LW25</f>
        <v>0</v>
      </c>
      <c r="LZ25" s="95" t="n">
        <f aca="false">[1]НАДІЙШЛО2!DK17</f>
        <v>0</v>
      </c>
      <c r="MA25" s="96" t="n">
        <f aca="false">[1]ВИБУЛО2!DK17</f>
        <v>0</v>
      </c>
      <c r="MB25" s="97" t="n">
        <f aca="false">MB24-MA25+LZ25</f>
        <v>0</v>
      </c>
      <c r="MC25" s="95" t="n">
        <f aca="false">[1]НАДІЙШЛО2!DL17</f>
        <v>0</v>
      </c>
      <c r="MD25" s="96" t="n">
        <f aca="false">[1]ВИБУЛО2!DL17</f>
        <v>0</v>
      </c>
      <c r="ME25" s="97" t="n">
        <f aca="false">ME24-MD25+MC25</f>
        <v>0</v>
      </c>
      <c r="MF25" s="95" t="n">
        <f aca="false">[1]НАДІЙШЛО2!DM17</f>
        <v>0</v>
      </c>
      <c r="MG25" s="96" t="n">
        <f aca="false">[1]ВИБУЛО2!DM17</f>
        <v>0</v>
      </c>
      <c r="MH25" s="97" t="n">
        <f aca="false">MH24-MG25+MF25</f>
        <v>0</v>
      </c>
      <c r="MI25" s="95" t="n">
        <f aca="false">[1]НАДІЙШЛО2!DN17</f>
        <v>0</v>
      </c>
      <c r="MJ25" s="96" t="n">
        <f aca="false">[1]ВИБУЛО2!DN17</f>
        <v>0</v>
      </c>
      <c r="MK25" s="97" t="n">
        <f aca="false">MK24-MJ25+MI25</f>
        <v>0</v>
      </c>
      <c r="ML25" s="95" t="n">
        <f aca="false">[1]НАДІЙШЛО2!DO17</f>
        <v>0</v>
      </c>
      <c r="MM25" s="96" t="n">
        <f aca="false">[1]ВИБУЛО2!DO17</f>
        <v>0</v>
      </c>
      <c r="MN25" s="97" t="n">
        <f aca="false">MN24-MM25+ML25</f>
        <v>0</v>
      </c>
      <c r="MO25" s="95" t="n">
        <f aca="false">[1]НАДІЙШЛО2!DP17</f>
        <v>0</v>
      </c>
      <c r="MP25" s="96" t="n">
        <f aca="false">[1]ВИБУЛО2!DP17</f>
        <v>0</v>
      </c>
      <c r="MQ25" s="97" t="n">
        <f aca="false">MQ24-MP25+MO25</f>
        <v>0</v>
      </c>
      <c r="MR25" s="95" t="n">
        <f aca="false">[1]НАДІЙШЛО2!DQ17</f>
        <v>0</v>
      </c>
      <c r="MS25" s="96" t="n">
        <f aca="false">[1]ВИБУЛО2!DQ17</f>
        <v>0</v>
      </c>
      <c r="MT25" s="97" t="n">
        <f aca="false">MT24-MS25+MR25</f>
        <v>0</v>
      </c>
      <c r="MU25" s="95" t="n">
        <f aca="false">[1]НАДІЙШЛО2!DR17</f>
        <v>0</v>
      </c>
      <c r="MV25" s="96" t="n">
        <f aca="false">[1]ВИБУЛО2!DR17</f>
        <v>0</v>
      </c>
      <c r="MW25" s="97" t="n">
        <f aca="false">MW24-MV25+MU25</f>
        <v>0</v>
      </c>
      <c r="MX25" s="95" t="n">
        <f aca="false">[1]НАДІЙШЛО2!DS17</f>
        <v>0</v>
      </c>
      <c r="MY25" s="96" t="n">
        <f aca="false">[1]ВИБУЛО2!DS17</f>
        <v>0</v>
      </c>
      <c r="MZ25" s="97" t="n">
        <f aca="false">MZ24-MY25+MX25</f>
        <v>0</v>
      </c>
      <c r="NA25" s="95" t="n">
        <f aca="false">[1]НАДІЙШЛО2!DT17</f>
        <v>0</v>
      </c>
      <c r="NB25" s="96" t="n">
        <f aca="false">[1]ВИБУЛО2!DT17</f>
        <v>0</v>
      </c>
      <c r="NC25" s="97" t="n">
        <f aca="false">NC24-NB25+NA25</f>
        <v>0</v>
      </c>
      <c r="ND25" s="95" t="n">
        <f aca="false">[1]НАДІЙШЛО2!DU17</f>
        <v>0</v>
      </c>
      <c r="NE25" s="96" t="n">
        <f aca="false">[1]ВИБУЛО2!DU17</f>
        <v>0</v>
      </c>
      <c r="NF25" s="97" t="n">
        <f aca="false">NF24-NE25+ND25</f>
        <v>0</v>
      </c>
      <c r="NG25" s="95" t="n">
        <f aca="false">[1]НАДІЙШЛО2!DV17</f>
        <v>0</v>
      </c>
      <c r="NH25" s="96" t="n">
        <f aca="false">[1]ВИБУЛО2!DV17</f>
        <v>0</v>
      </c>
      <c r="NI25" s="97" t="n">
        <f aca="false">NI24-NH25+NG25</f>
        <v>0</v>
      </c>
      <c r="NJ25" s="95" t="n">
        <f aca="false">[1]НАДІЙШЛО2!DW17</f>
        <v>0</v>
      </c>
      <c r="NK25" s="96" t="n">
        <f aca="false">[1]ВИБУЛО2!DW17</f>
        <v>0</v>
      </c>
      <c r="NL25" s="97" t="n">
        <f aca="false">NL24-NK25+NJ25</f>
        <v>0</v>
      </c>
      <c r="NM25" s="95" t="n">
        <f aca="false">[1]НАДІЙШЛО2!DX17</f>
        <v>0</v>
      </c>
      <c r="NN25" s="96" t="n">
        <f aca="false">[1]ВИБУЛО2!DX17</f>
        <v>0</v>
      </c>
      <c r="NO25" s="97" t="n">
        <f aca="false">NO24-NN25+NM25</f>
        <v>0</v>
      </c>
      <c r="NP25" s="95" t="n">
        <f aca="false">[1]НАДІЙШЛО2!DY17</f>
        <v>0</v>
      </c>
      <c r="NQ25" s="96" t="n">
        <f aca="false">[1]ВИБУЛО2!DY17</f>
        <v>0</v>
      </c>
      <c r="NR25" s="97" t="n">
        <f aca="false">NR24-NQ25+NP25</f>
        <v>0</v>
      </c>
      <c r="NS25" s="95" t="n">
        <f aca="false">[1]НАДІЙШЛО2!DZ17</f>
        <v>0</v>
      </c>
      <c r="NT25" s="96" t="n">
        <f aca="false">[1]ВИБУЛО2!DZ17</f>
        <v>0</v>
      </c>
      <c r="NU25" s="97" t="n">
        <f aca="false">NU24-NT25+NS25</f>
        <v>0</v>
      </c>
      <c r="NV25" s="95" t="n">
        <f aca="false">[1]НАДІЙШЛО2!EA17</f>
        <v>0</v>
      </c>
      <c r="NW25" s="96" t="n">
        <f aca="false">[1]ВИБУЛО2!EA17</f>
        <v>0</v>
      </c>
      <c r="NX25" s="97" t="n">
        <f aca="false">NX24-NW25+NV25</f>
        <v>0</v>
      </c>
      <c r="NY25" s="95" t="n">
        <f aca="false">[1]НАДІЙШЛО2!EB17</f>
        <v>0</v>
      </c>
      <c r="NZ25" s="96" t="n">
        <f aca="false">[1]ВИБУЛО2!EB17</f>
        <v>0</v>
      </c>
      <c r="OA25" s="97" t="n">
        <f aca="false">OA24-NZ25+NY25</f>
        <v>0</v>
      </c>
      <c r="OB25" s="95" t="n">
        <f aca="false">[1]НАДІЙШЛО2!EC17</f>
        <v>0</v>
      </c>
      <c r="OC25" s="96" t="n">
        <f aca="false">[1]ВИБУЛО2!EC17</f>
        <v>0</v>
      </c>
      <c r="OD25" s="97" t="n">
        <f aca="false">OD24-OC25+OB25</f>
        <v>0</v>
      </c>
      <c r="OE25" s="95" t="n">
        <f aca="false">[1]НАДІЙШЛО2!ED17</f>
        <v>0</v>
      </c>
      <c r="OF25" s="96" t="n">
        <f aca="false">[1]ВИБУЛО2!ED17</f>
        <v>0</v>
      </c>
      <c r="OG25" s="97" t="n">
        <f aca="false">OG24-OF25+OE25</f>
        <v>0</v>
      </c>
      <c r="OH25" s="95" t="n">
        <f aca="false">[1]НАДІЙШЛО2!EE17</f>
        <v>0</v>
      </c>
      <c r="OI25" s="96" t="n">
        <f aca="false">[1]ВИБУЛО2!EE17</f>
        <v>0</v>
      </c>
      <c r="OJ25" s="97" t="n">
        <f aca="false">OJ24-OI25+OH25</f>
        <v>0</v>
      </c>
      <c r="OK25" s="95" t="n">
        <f aca="false">[1]НАДІЙШЛО2!EF17</f>
        <v>0</v>
      </c>
      <c r="OL25" s="96" t="n">
        <f aca="false">[1]ВИБУЛО2!EF17</f>
        <v>0</v>
      </c>
      <c r="OM25" s="97" t="n">
        <f aca="false">OM24-OL25+OK25</f>
        <v>0</v>
      </c>
      <c r="ON25" s="95" t="n">
        <f aca="false">[1]НАДІЙШЛО2!EG17</f>
        <v>0</v>
      </c>
      <c r="OO25" s="96" t="n">
        <f aca="false">[1]ВИБУЛО2!EG17</f>
        <v>0</v>
      </c>
      <c r="OP25" s="97" t="n">
        <f aca="false">OP24-OO25+ON25</f>
        <v>0</v>
      </c>
      <c r="OQ25" s="95" t="n">
        <f aca="false">[1]НАДІЙШЛО2!EH17</f>
        <v>0</v>
      </c>
      <c r="OR25" s="96" t="n">
        <f aca="false">[1]ВИБУЛО2!EH17</f>
        <v>0</v>
      </c>
      <c r="OS25" s="97" t="n">
        <f aca="false">OS24-OR25+OQ25</f>
        <v>0</v>
      </c>
      <c r="OT25" s="95" t="n">
        <f aca="false">[1]НАДІЙШЛО2!EI17</f>
        <v>0</v>
      </c>
      <c r="OU25" s="96" t="n">
        <f aca="false">[1]ВИБУЛО2!EI17</f>
        <v>0</v>
      </c>
      <c r="OV25" s="97" t="n">
        <f aca="false">OV24-OU25+OT25</f>
        <v>0</v>
      </c>
      <c r="OW25" s="95" t="n">
        <f aca="false">[1]НАДІЙШЛО2!EJ17</f>
        <v>0</v>
      </c>
      <c r="OX25" s="96" t="n">
        <f aca="false">[1]ВИБУЛО2!EJ17</f>
        <v>0</v>
      </c>
      <c r="OY25" s="97" t="n">
        <f aca="false">OY24-OX25+OW25</f>
        <v>0</v>
      </c>
      <c r="OZ25" s="95" t="n">
        <f aca="false">[1]НАДІЙШЛО2!EK17</f>
        <v>0</v>
      </c>
      <c r="PA25" s="96" t="n">
        <f aca="false">[1]ВИБУЛО2!EK17</f>
        <v>0</v>
      </c>
      <c r="PB25" s="97" t="n">
        <f aca="false">PB24-PA25+OZ25</f>
        <v>0</v>
      </c>
      <c r="PC25" s="95" t="n">
        <f aca="false">[1]НАДІЙШЛО2!EL17</f>
        <v>0</v>
      </c>
      <c r="PD25" s="96" t="n">
        <f aca="false">[1]ВИБУЛО2!EL17</f>
        <v>0</v>
      </c>
      <c r="PE25" s="97" t="n">
        <f aca="false">PE24-PD25+PC25</f>
        <v>0</v>
      </c>
      <c r="PF25" s="95" t="n">
        <f aca="false">[1]НАДІЙШЛО2!EM17</f>
        <v>0</v>
      </c>
      <c r="PG25" s="96" t="n">
        <f aca="false">[1]ВИБУЛО2!EM17</f>
        <v>0</v>
      </c>
      <c r="PH25" s="97" t="n">
        <f aca="false">PH24-PG25+PF25</f>
        <v>0</v>
      </c>
      <c r="PI25" s="95" t="n">
        <f aca="false">[1]НАДІЙШЛО2!EN17</f>
        <v>0</v>
      </c>
      <c r="PJ25" s="96" t="n">
        <f aca="false">[1]ВИБУЛО2!EN17</f>
        <v>0</v>
      </c>
      <c r="PK25" s="97" t="n">
        <f aca="false">PK24-PJ25+PI25</f>
        <v>0</v>
      </c>
      <c r="PL25" s="95" t="n">
        <f aca="false">[1]НАДІЙШЛО2!EO17</f>
        <v>0</v>
      </c>
      <c r="PM25" s="96" t="n">
        <f aca="false">[1]ВИБУЛО2!EO17</f>
        <v>0</v>
      </c>
      <c r="PN25" s="97" t="n">
        <f aca="false">PN24-PM25+PL25</f>
        <v>0</v>
      </c>
      <c r="PO25" s="95" t="n">
        <f aca="false">[1]НАДІЙШЛО2!EP17</f>
        <v>0</v>
      </c>
      <c r="PP25" s="96" t="n">
        <f aca="false">[1]ВИБУЛО2!EP17</f>
        <v>0</v>
      </c>
      <c r="PQ25" s="97" t="n">
        <f aca="false">PQ24-PP25+PO25</f>
        <v>0</v>
      </c>
      <c r="PR25" s="95" t="n">
        <f aca="false">[1]НАДІЙШЛО2!EQ17</f>
        <v>0</v>
      </c>
      <c r="PS25" s="96" t="n">
        <f aca="false">[1]ВИБУЛО2!EQ17</f>
        <v>0</v>
      </c>
      <c r="PT25" s="97" t="n">
        <f aca="false">PT24-PS25+PR25</f>
        <v>0</v>
      </c>
      <c r="PU25" s="95" t="n">
        <f aca="false">[1]НАДІЙШЛО2!ER17</f>
        <v>0</v>
      </c>
      <c r="PV25" s="96" t="n">
        <f aca="false">[1]ВИБУЛО2!ER17</f>
        <v>0</v>
      </c>
      <c r="PW25" s="97" t="n">
        <f aca="false">PW24-PV25+PU25</f>
        <v>0</v>
      </c>
      <c r="PX25" s="95" t="n">
        <f aca="false">[1]НАДІЙШЛО2!ES17</f>
        <v>0</v>
      </c>
      <c r="PY25" s="96" t="n">
        <f aca="false">[1]ВИБУЛО2!ES17</f>
        <v>0</v>
      </c>
      <c r="PZ25" s="97" t="n">
        <f aca="false">PZ24-PY25+PX25</f>
        <v>0</v>
      </c>
      <c r="QA25" s="95" t="n">
        <f aca="false">[1]НАДІЙШЛО2!ET17</f>
        <v>0</v>
      </c>
      <c r="QB25" s="96" t="n">
        <f aca="false">[1]ВИБУЛО2!ET17</f>
        <v>0</v>
      </c>
      <c r="QC25" s="97" t="n">
        <f aca="false">QC24-QB25+QA25</f>
        <v>0</v>
      </c>
      <c r="QD25" s="95" t="n">
        <f aca="false">[1]НАДІЙШЛО2!EU17</f>
        <v>0</v>
      </c>
      <c r="QE25" s="96" t="n">
        <f aca="false">[1]ВИБУЛО2!EU17</f>
        <v>0</v>
      </c>
      <c r="QF25" s="97" t="n">
        <f aca="false">QF24-QE25+QD25</f>
        <v>0</v>
      </c>
      <c r="QG25" s="95" t="n">
        <f aca="false">[1]НАДІЙШЛО2!EV17</f>
        <v>0</v>
      </c>
      <c r="QH25" s="96" t="n">
        <f aca="false">[1]ВИБУЛО2!EV17</f>
        <v>0</v>
      </c>
      <c r="QI25" s="97" t="n">
        <f aca="false">QI24-QH25+QG25</f>
        <v>0</v>
      </c>
      <c r="QJ25" s="95" t="n">
        <f aca="false">[1]НАДІЙШЛО2!EW17</f>
        <v>0</v>
      </c>
      <c r="QK25" s="96" t="n">
        <f aca="false">[1]ВИБУЛО2!EW17</f>
        <v>0</v>
      </c>
      <c r="QL25" s="97" t="n">
        <f aca="false">QL24-QK25+QJ25</f>
        <v>0</v>
      </c>
      <c r="QM25" s="95" t="n">
        <f aca="false">[1]НАДІЙШЛО2!EX17</f>
        <v>0</v>
      </c>
      <c r="QN25" s="96" t="n">
        <f aca="false">[1]ВИБУЛО2!EX17</f>
        <v>0</v>
      </c>
      <c r="QO25" s="97" t="n">
        <f aca="false">QO24-QN25+QM25</f>
        <v>0</v>
      </c>
      <c r="QP25" s="95" t="n">
        <f aca="false">[1]НАДІЙШЛО2!EY17</f>
        <v>0</v>
      </c>
      <c r="QQ25" s="96" t="n">
        <f aca="false">[1]ВИБУЛО2!EY17</f>
        <v>0</v>
      </c>
      <c r="QR25" s="97" t="n">
        <f aca="false">QR24-QQ25+QP25</f>
        <v>0</v>
      </c>
      <c r="QS25" s="95" t="n">
        <f aca="false">[1]НАДІЙШЛО2!EZ17</f>
        <v>0</v>
      </c>
      <c r="QT25" s="96" t="n">
        <f aca="false">[1]ВИБУЛО2!EZ17</f>
        <v>0</v>
      </c>
      <c r="QU25" s="97" t="n">
        <f aca="false">QU24-QT25+QS25</f>
        <v>0</v>
      </c>
      <c r="QV25" s="95" t="n">
        <f aca="false">[1]НАДІЙШЛО2!FA17</f>
        <v>0</v>
      </c>
      <c r="QW25" s="96" t="n">
        <f aca="false">[1]ВИБУЛО2!FA17</f>
        <v>0</v>
      </c>
      <c r="QX25" s="97" t="n">
        <f aca="false">QX24-QW25+QV25</f>
        <v>0</v>
      </c>
      <c r="QY25" s="95" t="n">
        <f aca="false">[1]НАДІЙШЛО2!FB17</f>
        <v>0</v>
      </c>
      <c r="QZ25" s="96" t="n">
        <f aca="false">[1]ВИБУЛО2!FB17</f>
        <v>0</v>
      </c>
      <c r="RA25" s="97" t="n">
        <f aca="false">RA24-QZ25+QY25</f>
        <v>0</v>
      </c>
      <c r="RB25" s="95" t="n">
        <f aca="false">[1]НАДІЙШЛО2!FC17</f>
        <v>0</v>
      </c>
      <c r="RC25" s="96" t="n">
        <f aca="false">[1]ВИБУЛО2!FC17</f>
        <v>0</v>
      </c>
      <c r="RD25" s="97" t="n">
        <f aca="false">RD24-RC25+RB25</f>
        <v>0</v>
      </c>
      <c r="RE25" s="95" t="n">
        <f aca="false">[1]НАДІЙШЛО2!FD17</f>
        <v>0</v>
      </c>
      <c r="RF25" s="96" t="n">
        <f aca="false">[1]ВИБУЛО2!FD17</f>
        <v>0</v>
      </c>
      <c r="RG25" s="97" t="n">
        <f aca="false">RG24-RF25+RE25</f>
        <v>0</v>
      </c>
      <c r="RH25" s="95" t="n">
        <f aca="false">[1]НАДІЙШЛО2!FE17</f>
        <v>0</v>
      </c>
      <c r="RI25" s="96" t="n">
        <f aca="false">[1]ВИБУЛО2!FE17</f>
        <v>0</v>
      </c>
      <c r="RJ25" s="97" t="n">
        <f aca="false">RJ24-RI25+RH25</f>
        <v>0</v>
      </c>
      <c r="RK25" s="95" t="n">
        <f aca="false">[1]НАДІЙШЛО2!FF17</f>
        <v>0</v>
      </c>
      <c r="RL25" s="96" t="n">
        <f aca="false">[1]ВИБУЛО2!FF17</f>
        <v>0</v>
      </c>
      <c r="RM25" s="97" t="n">
        <f aca="false">RM24-RL25+RK25</f>
        <v>0</v>
      </c>
      <c r="RN25" s="95" t="n">
        <f aca="false">[1]НАДІЙШЛО2!FG17</f>
        <v>0</v>
      </c>
      <c r="RO25" s="96" t="n">
        <f aca="false">[1]ВИБУЛО2!FG17</f>
        <v>0</v>
      </c>
      <c r="RP25" s="97" t="n">
        <f aca="false">RP24-RO25+RN25</f>
        <v>0</v>
      </c>
      <c r="RQ25" s="95" t="n">
        <f aca="false">[1]НАДІЙШЛО2!FH17</f>
        <v>0</v>
      </c>
      <c r="RR25" s="96" t="n">
        <f aca="false">[1]ВИБУЛО2!FH17</f>
        <v>0</v>
      </c>
      <c r="RS25" s="97" t="n">
        <f aca="false">RS24-RR25+RQ25</f>
        <v>0</v>
      </c>
      <c r="RT25" s="95" t="n">
        <f aca="false">[1]НАДІЙШЛО2!FI17</f>
        <v>0</v>
      </c>
      <c r="RU25" s="96" t="n">
        <f aca="false">[1]ВИБУЛО2!FI17</f>
        <v>0</v>
      </c>
      <c r="RV25" s="97" t="n">
        <f aca="false">RV24-RU25+RT25</f>
        <v>0</v>
      </c>
      <c r="RW25" s="95" t="n">
        <f aca="false">[1]НАДІЙШЛО2!FJ17</f>
        <v>0</v>
      </c>
      <c r="RX25" s="96" t="n">
        <f aca="false">[1]ВИБУЛО2!FJ17</f>
        <v>0</v>
      </c>
      <c r="RY25" s="97" t="n">
        <f aca="false">RY24-RX25+RW25</f>
        <v>0</v>
      </c>
      <c r="RZ25" s="95" t="n">
        <f aca="false">[1]НАДІЙШЛО2!FK17</f>
        <v>0</v>
      </c>
      <c r="SA25" s="96" t="n">
        <f aca="false">[1]ВИБУЛО2!FK17</f>
        <v>0</v>
      </c>
      <c r="SB25" s="97" t="n">
        <f aca="false">SB24-SA25+RZ25</f>
        <v>0</v>
      </c>
      <c r="SC25" s="95" t="n">
        <f aca="false">[1]НАДІЙШЛО2!FL17</f>
        <v>0</v>
      </c>
      <c r="SD25" s="96" t="n">
        <f aca="false">[1]ВИБУЛО2!FL17</f>
        <v>0</v>
      </c>
      <c r="SE25" s="97" t="n">
        <f aca="false">SE24-SD25+SC25</f>
        <v>0</v>
      </c>
      <c r="SF25" s="95" t="n">
        <f aca="false">[1]НАДІЙШЛО2!FM17</f>
        <v>0</v>
      </c>
      <c r="SG25" s="96" t="n">
        <f aca="false">[1]ВИБУЛО2!FM17</f>
        <v>0</v>
      </c>
      <c r="SH25" s="97" t="n">
        <f aca="false">SH24-SG25+SF25</f>
        <v>0</v>
      </c>
      <c r="SI25" s="95" t="n">
        <f aca="false">[1]НАДІЙШЛО2!FN17</f>
        <v>0</v>
      </c>
      <c r="SJ25" s="96" t="n">
        <f aca="false">[1]ВИБУЛО2!FN17</f>
        <v>0</v>
      </c>
      <c r="SK25" s="97" t="n">
        <f aca="false">SK24-SJ25+SI25</f>
        <v>0</v>
      </c>
      <c r="SL25" s="95" t="n">
        <f aca="false">[1]НАДІЙШЛО2!FO17</f>
        <v>0</v>
      </c>
      <c r="SM25" s="96" t="n">
        <f aca="false">[1]ВИБУЛО2!FO17</f>
        <v>0</v>
      </c>
      <c r="SN25" s="97" t="n">
        <f aca="false">SN24-SM25+SL25</f>
        <v>0</v>
      </c>
      <c r="SO25" s="95" t="n">
        <f aca="false">[1]НАДІЙШЛО2!FP17</f>
        <v>0</v>
      </c>
      <c r="SP25" s="96" t="n">
        <f aca="false">[1]ВИБУЛО2!FP17</f>
        <v>0</v>
      </c>
      <c r="SQ25" s="97" t="n">
        <f aca="false">SQ24-SP25+SO25</f>
        <v>0</v>
      </c>
      <c r="SR25" s="95" t="n">
        <f aca="false">[1]НАДІЙШЛО2!FQ17</f>
        <v>0</v>
      </c>
      <c r="SS25" s="96" t="n">
        <f aca="false">[1]ВИБУЛО2!FQ17</f>
        <v>0</v>
      </c>
      <c r="ST25" s="97" t="n">
        <f aca="false">ST24-SS25+SR25</f>
        <v>0</v>
      </c>
      <c r="SU25" s="95" t="n">
        <f aca="false">[1]НАДІЙШЛО2!FR17</f>
        <v>0</v>
      </c>
      <c r="SV25" s="96" t="n">
        <f aca="false">[1]ВИБУЛО2!FR17</f>
        <v>0</v>
      </c>
      <c r="SW25" s="97" t="n">
        <f aca="false">SW24-SV25+SU25</f>
        <v>0</v>
      </c>
      <c r="SX25" s="95" t="n">
        <f aca="false">[1]НАДІЙШЛО2!FS17</f>
        <v>0</v>
      </c>
      <c r="SY25" s="96" t="n">
        <f aca="false">[1]ВИБУЛО2!FS17</f>
        <v>0</v>
      </c>
      <c r="SZ25" s="97" t="n">
        <f aca="false">SZ24-SY25+SX25</f>
        <v>0</v>
      </c>
      <c r="TA25" s="95" t="n">
        <f aca="false">[1]НАДІЙШЛО2!FT17</f>
        <v>0</v>
      </c>
      <c r="TB25" s="96" t="n">
        <f aca="false">[1]ВИБУЛО2!FT17</f>
        <v>0</v>
      </c>
      <c r="TC25" s="97" t="n">
        <f aca="false">TC24-TB25+TA25</f>
        <v>0</v>
      </c>
      <c r="TD25" s="95" t="n">
        <f aca="false">[1]НАДІЙШЛО2!FU17</f>
        <v>0</v>
      </c>
      <c r="TE25" s="96" t="n">
        <f aca="false">[1]ВИБУЛО2!FU17</f>
        <v>0</v>
      </c>
      <c r="TF25" s="97" t="n">
        <f aca="false">TF24-TE25+TD25</f>
        <v>0</v>
      </c>
      <c r="TG25" s="95" t="n">
        <f aca="false">[1]НАДІЙШЛО2!FV17</f>
        <v>0</v>
      </c>
      <c r="TH25" s="96" t="n">
        <f aca="false">[1]ВИБУЛО2!FV17</f>
        <v>0</v>
      </c>
      <c r="TI25" s="97" t="n">
        <f aca="false">TI24-TH25+TG25</f>
        <v>0</v>
      </c>
      <c r="TJ25" s="95" t="n">
        <f aca="false">[1]НАДІЙШЛО2!FW17</f>
        <v>0</v>
      </c>
      <c r="TK25" s="96" t="n">
        <f aca="false">[1]ВИБУЛО2!FW17</f>
        <v>0</v>
      </c>
      <c r="TL25" s="97" t="n">
        <f aca="false">TL24-TK25+TJ25</f>
        <v>0</v>
      </c>
      <c r="TM25" s="95" t="n">
        <f aca="false">[1]НАДІЙШЛО2!FX17</f>
        <v>0</v>
      </c>
      <c r="TN25" s="96" t="n">
        <f aca="false">[1]ВИБУЛО2!FX17</f>
        <v>0</v>
      </c>
      <c r="TO25" s="97" t="n">
        <f aca="false">TO24-TN25+TM25</f>
        <v>0</v>
      </c>
      <c r="TP25" s="95" t="n">
        <f aca="false">[1]НАДІЙШЛО2!FY17</f>
        <v>0</v>
      </c>
      <c r="TQ25" s="96" t="n">
        <f aca="false">[1]ВИБУЛО2!FY17</f>
        <v>0</v>
      </c>
      <c r="TR25" s="97" t="n">
        <f aca="false">TR24-TQ25+TP25</f>
        <v>0</v>
      </c>
      <c r="TS25" s="95" t="n">
        <f aca="false">[1]НАДІЙШЛО2!FZ17</f>
        <v>0</v>
      </c>
      <c r="TT25" s="96" t="n">
        <f aca="false">[1]ВИБУЛО2!FZ17</f>
        <v>0</v>
      </c>
      <c r="TU25" s="97" t="n">
        <f aca="false">TU24-TT25+TS25</f>
        <v>0</v>
      </c>
      <c r="TV25" s="95" t="n">
        <f aca="false">[1]НАДІЙШЛО2!GA17</f>
        <v>0</v>
      </c>
      <c r="TW25" s="96" t="n">
        <f aca="false">[1]ВИБУЛО2!GA17</f>
        <v>0</v>
      </c>
      <c r="TX25" s="97" t="n">
        <f aca="false">TX24-TW25+TV25</f>
        <v>0</v>
      </c>
      <c r="TY25" s="95" t="n">
        <f aca="false">[1]НАДІЙШЛО2!GB17</f>
        <v>0</v>
      </c>
      <c r="TZ25" s="96" t="n">
        <f aca="false">[1]ВИБУЛО2!GB17</f>
        <v>0</v>
      </c>
      <c r="UA25" s="97" t="n">
        <f aca="false">UA24-TZ25+TY25</f>
        <v>0</v>
      </c>
      <c r="UB25" s="95" t="n">
        <f aca="false">[1]НАДІЙШЛО2!GC17</f>
        <v>0</v>
      </c>
      <c r="UC25" s="96" t="n">
        <f aca="false">[1]ВИБУЛО2!GC17</f>
        <v>0</v>
      </c>
      <c r="UD25" s="97" t="n">
        <f aca="false">UD24-UC25+UB25</f>
        <v>0</v>
      </c>
      <c r="UE25" s="95" t="n">
        <f aca="false">[1]НАДІЙШЛО2!GD17</f>
        <v>0</v>
      </c>
      <c r="UF25" s="96" t="n">
        <f aca="false">[1]ВИБУЛО2!GD17</f>
        <v>0</v>
      </c>
      <c r="UG25" s="97" t="n">
        <f aca="false">UG24-UF25+UE25</f>
        <v>0</v>
      </c>
      <c r="UH25" s="95" t="n">
        <f aca="false">[1]НАДІЙШЛО2!GE17</f>
        <v>0</v>
      </c>
      <c r="UI25" s="96" t="n">
        <f aca="false">[1]ВИБУЛО2!GE17</f>
        <v>0</v>
      </c>
      <c r="UJ25" s="97" t="n">
        <f aca="false">UJ24-UI25+UH25</f>
        <v>0</v>
      </c>
      <c r="UK25" s="95" t="n">
        <f aca="false">[1]НАДІЙШЛО2!GF17</f>
        <v>0</v>
      </c>
      <c r="UL25" s="96" t="n">
        <f aca="false">[1]ВИБУЛО2!GF17</f>
        <v>0</v>
      </c>
      <c r="UM25" s="97" t="n">
        <f aca="false">UM24-UL25+UK25</f>
        <v>0</v>
      </c>
      <c r="UN25" s="95" t="n">
        <f aca="false">[1]НАДІЙШЛО2!GG17</f>
        <v>0</v>
      </c>
      <c r="UO25" s="96" t="n">
        <f aca="false">[1]ВИБУЛО2!GG17</f>
        <v>0</v>
      </c>
      <c r="UP25" s="97" t="n">
        <f aca="false">UP24-UO25+UN25</f>
        <v>0</v>
      </c>
      <c r="UQ25" s="95" t="n">
        <f aca="false">[1]НАДІЙШЛО2!GH17</f>
        <v>0</v>
      </c>
      <c r="UR25" s="96" t="n">
        <f aca="false">[1]ВИБУЛО2!GH17</f>
        <v>0</v>
      </c>
      <c r="US25" s="97" t="n">
        <f aca="false">US24-UR25+UQ25</f>
        <v>0</v>
      </c>
      <c r="UT25" s="95" t="n">
        <f aca="false">[1]НАДІЙШЛО2!GI17</f>
        <v>0</v>
      </c>
      <c r="UU25" s="96" t="n">
        <f aca="false">[1]ВИБУЛО2!GI17</f>
        <v>0</v>
      </c>
      <c r="UV25" s="97" t="n">
        <f aca="false">UV24-UU25+UT25</f>
        <v>0</v>
      </c>
      <c r="UW25" s="95" t="n">
        <f aca="false">[1]НАДІЙШЛО2!GJ17</f>
        <v>0</v>
      </c>
      <c r="UX25" s="96" t="n">
        <f aca="false">[1]ВИБУЛО2!GJ17</f>
        <v>0</v>
      </c>
      <c r="UY25" s="97" t="n">
        <f aca="false">UY24-UX25+UW25</f>
        <v>0</v>
      </c>
      <c r="UZ25" s="95" t="n">
        <f aca="false">[1]НАДІЙШЛО2!GK17</f>
        <v>0</v>
      </c>
      <c r="VA25" s="96" t="n">
        <f aca="false">[1]ВИБУЛО2!GK17</f>
        <v>0</v>
      </c>
      <c r="VB25" s="97" t="n">
        <f aca="false">VB24-VA25+UZ25</f>
        <v>0</v>
      </c>
      <c r="VC25" s="95" t="n">
        <f aca="false">[1]НАДІЙШЛО2!GL17</f>
        <v>0</v>
      </c>
      <c r="VD25" s="96" t="n">
        <f aca="false">[1]ВИБУЛО2!GL17</f>
        <v>0</v>
      </c>
      <c r="VE25" s="97" t="n">
        <f aca="false">VE24-VD25+VC25</f>
        <v>0</v>
      </c>
      <c r="VF25" s="95" t="n">
        <f aca="false">[1]НАДІЙШЛО2!GM17</f>
        <v>0</v>
      </c>
      <c r="VG25" s="96" t="n">
        <f aca="false">[1]ВИБУЛО2!GM17</f>
        <v>0</v>
      </c>
      <c r="VH25" s="97" t="n">
        <f aca="false">VH24-VG25+VF25</f>
        <v>0</v>
      </c>
      <c r="VI25" s="95" t="n">
        <f aca="false">[1]НАДІЙШЛО2!GN17</f>
        <v>0</v>
      </c>
      <c r="VJ25" s="96" t="n">
        <f aca="false">[1]ВИБУЛО2!GN17</f>
        <v>0</v>
      </c>
      <c r="VK25" s="97" t="n">
        <f aca="false">VK24-VJ25+VI25</f>
        <v>0</v>
      </c>
      <c r="VL25" s="95" t="n">
        <f aca="false">[1]НАДІЙШЛО2!GO17</f>
        <v>0</v>
      </c>
      <c r="VM25" s="96" t="n">
        <f aca="false">[1]ВИБУЛО2!GO17</f>
        <v>0</v>
      </c>
      <c r="VN25" s="97" t="n">
        <f aca="false">VN24-VM25+VL25</f>
        <v>0</v>
      </c>
      <c r="VO25" s="95" t="n">
        <f aca="false">[1]НАДІЙШЛО2!GP17</f>
        <v>0</v>
      </c>
      <c r="VP25" s="96" t="n">
        <f aca="false">[1]ВИБУЛО2!GP17</f>
        <v>0</v>
      </c>
      <c r="VQ25" s="97" t="n">
        <f aca="false">VQ24-VP25+VO25</f>
        <v>0</v>
      </c>
      <c r="VR25" s="95" t="n">
        <f aca="false">[1]НАДІЙШЛО2!GQ17</f>
        <v>0</v>
      </c>
      <c r="VS25" s="96" t="n">
        <f aca="false">[1]ВИБУЛО2!GQ17</f>
        <v>0</v>
      </c>
      <c r="VT25" s="97" t="n">
        <f aca="false">VT24-VS25+VR25</f>
        <v>0</v>
      </c>
      <c r="VU25" s="95" t="n">
        <f aca="false">[1]НАДІЙШЛО2!GR17</f>
        <v>0</v>
      </c>
      <c r="VV25" s="96" t="n">
        <f aca="false">[1]ВИБУЛО2!GR17</f>
        <v>0</v>
      </c>
      <c r="VW25" s="97" t="n">
        <f aca="false">VW24-VV25+VU25</f>
        <v>0</v>
      </c>
      <c r="VX25" s="95" t="n">
        <f aca="false">[1]НАДІЙШЛО2!GS17</f>
        <v>0</v>
      </c>
      <c r="VY25" s="96" t="n">
        <f aca="false">[1]ВИБУЛО2!GS17</f>
        <v>0</v>
      </c>
      <c r="VZ25" s="97" t="n">
        <f aca="false">VZ24-VY25+VX25</f>
        <v>0</v>
      </c>
      <c r="WA25" s="95" t="n">
        <f aca="false">[1]НАДІЙШЛО2!GT17</f>
        <v>0</v>
      </c>
      <c r="WB25" s="96" t="n">
        <f aca="false">[1]ВИБУЛО2!GT17</f>
        <v>0</v>
      </c>
      <c r="WC25" s="97" t="n">
        <f aca="false">WC24-WB25+WA25</f>
        <v>0</v>
      </c>
      <c r="WD25" s="95" t="n">
        <f aca="false">[1]НАДІЙШЛО2!GU17</f>
        <v>0</v>
      </c>
      <c r="WE25" s="96" t="n">
        <f aca="false">[1]ВИБУЛО2!GU17</f>
        <v>0</v>
      </c>
      <c r="WF25" s="97" t="n">
        <f aca="false">WF24-WE25+WD25</f>
        <v>0</v>
      </c>
      <c r="WG25" s="95" t="n">
        <f aca="false">[1]НАДІЙШЛО2!GV17</f>
        <v>0</v>
      </c>
      <c r="WH25" s="96" t="n">
        <f aca="false">[1]ВИБУЛО2!GV17</f>
        <v>0</v>
      </c>
      <c r="WI25" s="97" t="n">
        <f aca="false">WI24-WH25+WG25</f>
        <v>0</v>
      </c>
      <c r="WJ25" s="95" t="n">
        <f aca="false">[1]НАДІЙШЛО2!GW17</f>
        <v>0</v>
      </c>
      <c r="WK25" s="96" t="n">
        <f aca="false">[1]ВИБУЛО2!GW17</f>
        <v>0</v>
      </c>
      <c r="WL25" s="97" t="n">
        <f aca="false">WL24-WK25+WJ25</f>
        <v>0</v>
      </c>
      <c r="WM25" s="95" t="n">
        <f aca="false">[1]НАДІЙШЛО2!GX17</f>
        <v>0</v>
      </c>
      <c r="WN25" s="96" t="n">
        <f aca="false">[1]ВИБУЛО2!GX17</f>
        <v>0</v>
      </c>
      <c r="WO25" s="97" t="n">
        <f aca="false">WO24-WN25+WM25</f>
        <v>0</v>
      </c>
      <c r="WP25" s="95" t="n">
        <f aca="false">[1]НАДІЙШЛО2!GY17</f>
        <v>0</v>
      </c>
      <c r="WQ25" s="96" t="n">
        <f aca="false">[1]ВИБУЛО2!GY17</f>
        <v>0</v>
      </c>
      <c r="WR25" s="97" t="n">
        <f aca="false">WR24-WQ25+WP25</f>
        <v>0</v>
      </c>
      <c r="WS25" s="95" t="n">
        <f aca="false">[1]НАДІЙШЛО2!GZ17</f>
        <v>0</v>
      </c>
      <c r="WT25" s="96" t="n">
        <f aca="false">[1]ВИБУЛО2!GZ17</f>
        <v>0</v>
      </c>
      <c r="WU25" s="97" t="n">
        <f aca="false">WU24-WT25+WS25</f>
        <v>0</v>
      </c>
      <c r="WV25" s="95" t="n">
        <f aca="false">[1]НАДІЙШЛО2!HA17</f>
        <v>0</v>
      </c>
      <c r="WW25" s="96" t="n">
        <f aca="false">[1]ВИБУЛО2!HA17</f>
        <v>0</v>
      </c>
      <c r="WX25" s="97" t="n">
        <f aca="false">WX24-WW25+WV25</f>
        <v>0</v>
      </c>
      <c r="WY25" s="95" t="n">
        <f aca="false">[1]НАДІЙШЛО2!HB17</f>
        <v>0</v>
      </c>
      <c r="WZ25" s="96" t="n">
        <f aca="false">[1]ВИБУЛО2!HB17</f>
        <v>0</v>
      </c>
      <c r="XA25" s="97" t="n">
        <f aca="false">XA24-WZ25+WY25</f>
        <v>0</v>
      </c>
      <c r="XB25" s="95" t="n">
        <f aca="false">[1]НАДІЙШЛО2!HC17</f>
        <v>0</v>
      </c>
      <c r="XC25" s="96" t="n">
        <f aca="false">[1]ВИБУЛО2!HC17</f>
        <v>0</v>
      </c>
      <c r="XD25" s="97" t="n">
        <f aca="false">XD24-XC25+XB25</f>
        <v>0</v>
      </c>
      <c r="XE25" s="95" t="n">
        <f aca="false">[1]НАДІЙШЛО2!HD17</f>
        <v>0</v>
      </c>
      <c r="XF25" s="96" t="n">
        <f aca="false">[1]ВИБУЛО2!HD17</f>
        <v>0</v>
      </c>
      <c r="XG25" s="97" t="n">
        <f aca="false">XG24-XF25+XE25</f>
        <v>0</v>
      </c>
      <c r="XH25" s="95" t="n">
        <f aca="false">[1]НАДІЙШЛО2!HE17</f>
        <v>0</v>
      </c>
      <c r="XI25" s="96" t="n">
        <f aca="false">[1]ВИБУЛО2!HE17</f>
        <v>0</v>
      </c>
      <c r="XJ25" s="97" t="n">
        <f aca="false">XJ24-XI25+XH25</f>
        <v>0</v>
      </c>
      <c r="XK25" s="95" t="n">
        <f aca="false">[1]НАДІЙШЛО2!HF17</f>
        <v>0</v>
      </c>
      <c r="XL25" s="96" t="n">
        <f aca="false">[1]ВИБУЛО2!HF17</f>
        <v>0</v>
      </c>
      <c r="XM25" s="97" t="n">
        <f aca="false">XM24-XL25+XK25</f>
        <v>0</v>
      </c>
      <c r="XN25" s="95" t="n">
        <f aca="false">[1]НАДІЙШЛО2!HG17</f>
        <v>0</v>
      </c>
      <c r="XO25" s="96" t="n">
        <f aca="false">[1]ВИБУЛО2!HG17</f>
        <v>0</v>
      </c>
      <c r="XP25" s="97" t="n">
        <f aca="false">XP24-XO25+XN25</f>
        <v>0</v>
      </c>
      <c r="XQ25" s="95" t="n">
        <f aca="false">[1]НАДІЙШЛО2!HH17</f>
        <v>0</v>
      </c>
      <c r="XR25" s="96" t="n">
        <f aca="false">[1]ВИБУЛО2!HH17</f>
        <v>0</v>
      </c>
      <c r="XS25" s="97" t="n">
        <f aca="false">XS24-XR25+XQ25</f>
        <v>0</v>
      </c>
      <c r="XT25" s="95" t="n">
        <f aca="false">[1]НАДІЙШЛО2!HI17</f>
        <v>0</v>
      </c>
      <c r="XU25" s="96" t="n">
        <f aca="false">[1]ВИБУЛО2!HI17</f>
        <v>0</v>
      </c>
      <c r="XV25" s="97" t="n">
        <f aca="false">XV24-XU25+XT25</f>
        <v>0</v>
      </c>
      <c r="XW25" s="95" t="n">
        <f aca="false">[1]НАДІЙШЛО2!HJ17</f>
        <v>0</v>
      </c>
      <c r="XX25" s="96" t="n">
        <f aca="false">[1]ВИБУЛО2!HJ17</f>
        <v>0</v>
      </c>
      <c r="XY25" s="97" t="n">
        <f aca="false">XY24-XX25+XW25</f>
        <v>0</v>
      </c>
      <c r="XZ25" s="95" t="n">
        <f aca="false">[1]НАДІЙШЛО2!HK17</f>
        <v>0</v>
      </c>
      <c r="YA25" s="96" t="n">
        <f aca="false">[1]ВИБУЛО2!HK17</f>
        <v>0</v>
      </c>
      <c r="YB25" s="97" t="n">
        <f aca="false">YB24-YA25+XZ25</f>
        <v>0</v>
      </c>
      <c r="YC25" s="95" t="n">
        <f aca="false">[1]НАДІЙШЛО2!HL17</f>
        <v>0</v>
      </c>
      <c r="YD25" s="96" t="n">
        <f aca="false">[1]ВИБУЛО2!HL17</f>
        <v>0</v>
      </c>
      <c r="YE25" s="97" t="n">
        <f aca="false">YE24-YD25+YC25</f>
        <v>0</v>
      </c>
      <c r="YF25" s="95" t="n">
        <f aca="false">[1]НАДІЙШЛО2!HM17</f>
        <v>0</v>
      </c>
      <c r="YG25" s="96" t="n">
        <f aca="false">[1]ВИБУЛО2!HM17</f>
        <v>0</v>
      </c>
      <c r="YH25" s="97" t="n">
        <f aca="false">YH24-YG25+YF25</f>
        <v>0</v>
      </c>
      <c r="YI25" s="95" t="n">
        <f aca="false">[1]НАДІЙШЛО2!HN17</f>
        <v>0</v>
      </c>
      <c r="YJ25" s="96" t="n">
        <f aca="false">[1]ВИБУЛО2!HN17</f>
        <v>0</v>
      </c>
      <c r="YK25" s="97" t="n">
        <f aca="false">YK24-YJ25+YI25</f>
        <v>0</v>
      </c>
      <c r="YL25" s="95" t="n">
        <f aca="false">[1]НАДІЙШЛО2!HO17</f>
        <v>0</v>
      </c>
      <c r="YM25" s="96" t="n">
        <f aca="false">[1]ВИБУЛО2!HO17</f>
        <v>0</v>
      </c>
      <c r="YN25" s="97" t="n">
        <f aca="false">YN24-YM25+YL25</f>
        <v>0</v>
      </c>
      <c r="YO25" s="95" t="n">
        <f aca="false">[1]НАДІЙШЛО2!HP17</f>
        <v>0</v>
      </c>
      <c r="YP25" s="96" t="n">
        <f aca="false">[1]ВИБУЛО2!HP17</f>
        <v>0</v>
      </c>
      <c r="YQ25" s="97" t="n">
        <f aca="false">YQ24-YP25+YO25</f>
        <v>0</v>
      </c>
      <c r="YR25" s="95" t="n">
        <f aca="false">[1]НАДІЙШЛО2!HQ17</f>
        <v>0</v>
      </c>
      <c r="YS25" s="96" t="n">
        <f aca="false">[1]ВИБУЛО2!HQ17</f>
        <v>0</v>
      </c>
      <c r="YT25" s="97" t="n">
        <f aca="false">YT24-YS25+YR25</f>
        <v>0</v>
      </c>
      <c r="YU25" s="95" t="n">
        <f aca="false">[1]НАДІЙШЛО2!HR17</f>
        <v>0</v>
      </c>
      <c r="YV25" s="96" t="n">
        <f aca="false">[1]ВИБУЛО2!HR17</f>
        <v>0</v>
      </c>
      <c r="YW25" s="97" t="n">
        <f aca="false">YW24-YV25+YU25</f>
        <v>0</v>
      </c>
      <c r="YX25" s="95" t="n">
        <f aca="false">[1]НАДІЙШЛО2!HS17</f>
        <v>0</v>
      </c>
      <c r="YY25" s="96" t="n">
        <f aca="false">[1]ВИБУЛО2!HS17</f>
        <v>0</v>
      </c>
      <c r="YZ25" s="97" t="n">
        <f aca="false">YZ24-YY25+YX25</f>
        <v>0</v>
      </c>
      <c r="ZA25" s="95" t="n">
        <f aca="false">[1]НАДІЙШЛО2!HT17</f>
        <v>0</v>
      </c>
      <c r="ZB25" s="96" t="n">
        <f aca="false">[1]ВИБУЛО2!HT17</f>
        <v>0</v>
      </c>
      <c r="ZC25" s="97" t="n">
        <f aca="false">ZC24-ZB25+ZA25</f>
        <v>0</v>
      </c>
      <c r="ZD25" s="95" t="n">
        <f aca="false">[1]НАДІЙШЛО2!HU17</f>
        <v>0</v>
      </c>
      <c r="ZE25" s="96" t="n">
        <f aca="false">[1]ВИБУЛО2!HU17</f>
        <v>0</v>
      </c>
      <c r="ZF25" s="97" t="n">
        <f aca="false">ZF24-ZE25+ZD25</f>
        <v>0</v>
      </c>
      <c r="ZG25" s="95" t="n">
        <f aca="false">[1]НАДІЙШЛО2!HV17</f>
        <v>0</v>
      </c>
      <c r="ZH25" s="96" t="n">
        <f aca="false">[1]ВИБУЛО2!HV17</f>
        <v>0</v>
      </c>
      <c r="ZI25" s="97" t="n">
        <f aca="false">ZI24-ZH25+ZG25</f>
        <v>0</v>
      </c>
      <c r="ZJ25" s="95" t="n">
        <f aca="false">[1]НАДІЙШЛО2!HW17</f>
        <v>0</v>
      </c>
      <c r="ZK25" s="96" t="n">
        <f aca="false">[1]ВИБУЛО2!HW17</f>
        <v>0</v>
      </c>
      <c r="ZL25" s="97" t="n">
        <f aca="false">ZL24-ZK25+ZJ25</f>
        <v>0</v>
      </c>
      <c r="ZM25" s="95" t="n">
        <f aca="false">[1]НАДІЙШЛО2!HX17</f>
        <v>0</v>
      </c>
      <c r="ZN25" s="96" t="n">
        <f aca="false">[1]ВИБУЛО2!HX17</f>
        <v>0</v>
      </c>
      <c r="ZO25" s="97" t="n">
        <f aca="false">ZO24-ZN25+ZM25</f>
        <v>0</v>
      </c>
      <c r="ZP25" s="95" t="n">
        <f aca="false">[1]НАДІЙШЛО2!HY17</f>
        <v>0</v>
      </c>
      <c r="ZQ25" s="96" t="n">
        <f aca="false">[1]ВИБУЛО2!HY17</f>
        <v>0</v>
      </c>
      <c r="ZR25" s="97" t="n">
        <f aca="false">ZR24-ZQ25+ZP25</f>
        <v>0</v>
      </c>
      <c r="ZS25" s="95" t="n">
        <f aca="false">[1]НАДІЙШЛО2!HZ17</f>
        <v>0</v>
      </c>
      <c r="ZT25" s="96" t="n">
        <f aca="false">[1]ВИБУЛО2!HZ17</f>
        <v>0</v>
      </c>
      <c r="ZU25" s="97" t="n">
        <f aca="false">ZU24-ZT25+ZS25</f>
        <v>0</v>
      </c>
      <c r="ZV25" s="95" t="n">
        <f aca="false">[1]НАДІЙШЛО2!IA17</f>
        <v>0</v>
      </c>
      <c r="ZW25" s="96" t="n">
        <f aca="false">[1]ВИБУЛО2!IA17</f>
        <v>0</v>
      </c>
      <c r="ZX25" s="97" t="n">
        <f aca="false">ZX24-ZW25+ZV25</f>
        <v>0</v>
      </c>
      <c r="ZY25" s="95" t="n">
        <f aca="false">[1]НАДІЙШЛО2!IB17</f>
        <v>0</v>
      </c>
      <c r="ZZ25" s="96" t="n">
        <f aca="false">[1]ВИБУЛО2!IB17</f>
        <v>0</v>
      </c>
      <c r="AAA25" s="97" t="n">
        <f aca="false">AAA24-ZZ25+ZY25</f>
        <v>0</v>
      </c>
      <c r="AAB25" s="95" t="n">
        <f aca="false">[1]НАДІЙШЛО2!IC17</f>
        <v>0</v>
      </c>
      <c r="AAC25" s="96" t="n">
        <f aca="false">[1]ВИБУЛО2!IC17</f>
        <v>0</v>
      </c>
      <c r="AAD25" s="97" t="n">
        <f aca="false">AAD24-AAC25+AAB25</f>
        <v>0</v>
      </c>
      <c r="AAE25" s="95" t="n">
        <f aca="false">[1]НАДІЙШЛО2!ID17</f>
        <v>0</v>
      </c>
      <c r="AAF25" s="96" t="n">
        <f aca="false">[1]ВИБУЛО2!ID17</f>
        <v>0</v>
      </c>
      <c r="AAG25" s="97" t="n">
        <f aca="false">AAG24-AAF25+AAE25</f>
        <v>0</v>
      </c>
      <c r="AAH25" s="95" t="n">
        <f aca="false">[1]НАДІЙШЛО2!IE17</f>
        <v>0</v>
      </c>
      <c r="AAI25" s="96" t="n">
        <f aca="false">[1]ВИБУЛО2!IE17</f>
        <v>0</v>
      </c>
      <c r="AAJ25" s="97" t="n">
        <f aca="false">AAJ24-AAI25+AAH25</f>
        <v>0</v>
      </c>
      <c r="AAK25" s="95" t="n">
        <f aca="false">[1]НАДІЙШЛО2!IF17</f>
        <v>0</v>
      </c>
      <c r="AAL25" s="96" t="n">
        <f aca="false">[1]ВИБУЛО2!IF17</f>
        <v>0</v>
      </c>
      <c r="AAM25" s="97" t="n">
        <f aca="false">AAM24-AAL25+AAK25</f>
        <v>0</v>
      </c>
      <c r="AAN25" s="95" t="n">
        <f aca="false">[1]НАДІЙШЛО2!IG17</f>
        <v>0</v>
      </c>
      <c r="AAO25" s="96" t="n">
        <f aca="false">[1]ВИБУЛО2!IG17</f>
        <v>0</v>
      </c>
      <c r="AAP25" s="97" t="n">
        <f aca="false">AAP24-AAO25+AAN25</f>
        <v>0</v>
      </c>
      <c r="AAQ25" s="95" t="n">
        <f aca="false">[1]НАДІЙШЛО2!IH17</f>
        <v>0</v>
      </c>
      <c r="AAR25" s="96" t="n">
        <f aca="false">[1]ВИБУЛО2!IH17</f>
        <v>0</v>
      </c>
      <c r="AAS25" s="97" t="n">
        <f aca="false">AAS24-AAR25+AAQ25</f>
        <v>0</v>
      </c>
      <c r="AAT25" s="95" t="n">
        <f aca="false">[1]НАДІЙШЛО2!II17</f>
        <v>0</v>
      </c>
      <c r="AAU25" s="96" t="n">
        <f aca="false">[1]ВИБУЛО2!II17</f>
        <v>0</v>
      </c>
      <c r="AAV25" s="97" t="n">
        <f aca="false">AAV24-AAU25+AAT25</f>
        <v>0</v>
      </c>
      <c r="AAW25" s="95" t="n">
        <f aca="false">[1]НАДІЙШЛО2!IJ17</f>
        <v>0</v>
      </c>
      <c r="AAX25" s="96" t="n">
        <f aca="false">[1]ВИБУЛО2!IJ17</f>
        <v>0</v>
      </c>
      <c r="AAY25" s="97" t="n">
        <f aca="false">AAY24-AAX25+AAW25</f>
        <v>0</v>
      </c>
      <c r="AAZ25" s="95" t="n">
        <f aca="false">[1]НАДІЙШЛО2!IK17</f>
        <v>0</v>
      </c>
      <c r="ABA25" s="96" t="n">
        <f aca="false">[1]ВИБУЛО2!IK17</f>
        <v>0</v>
      </c>
      <c r="ABB25" s="97" t="n">
        <f aca="false">ABB24-ABA25+AAZ25</f>
        <v>0</v>
      </c>
      <c r="ABC25" s="95" t="n">
        <f aca="false">[1]НАДІЙШЛО2!IL17</f>
        <v>0</v>
      </c>
      <c r="ABD25" s="96" t="n">
        <f aca="false">[1]ВИБУЛО2!IL17</f>
        <v>0</v>
      </c>
      <c r="ABE25" s="97" t="n">
        <f aca="false">ABE24-ABD25+ABC25</f>
        <v>0</v>
      </c>
      <c r="ABF25" s="95" t="n">
        <f aca="false">[1]НАДІЙШЛО2!IM17</f>
        <v>0</v>
      </c>
      <c r="ABG25" s="96" t="n">
        <f aca="false">[1]ВИБУЛО2!IM17</f>
        <v>0</v>
      </c>
      <c r="ABH25" s="97" t="n">
        <f aca="false">ABH24-ABG25+ABF25</f>
        <v>0</v>
      </c>
      <c r="ABI25" s="95" t="n">
        <f aca="false">[1]НАДІЙШЛО2!IN17</f>
        <v>0</v>
      </c>
      <c r="ABJ25" s="96" t="n">
        <f aca="false">[1]ВИБУЛО2!IN17</f>
        <v>0</v>
      </c>
      <c r="ABK25" s="97" t="n">
        <f aca="false">ABK24-ABJ25+ABI25</f>
        <v>0</v>
      </c>
      <c r="ABL25" s="95" t="n">
        <f aca="false">[1]НАДІЙШЛО2!IO17</f>
        <v>0</v>
      </c>
      <c r="ABM25" s="96" t="n">
        <f aca="false">[1]ВИБУЛО2!IO17</f>
        <v>0</v>
      </c>
      <c r="ABN25" s="97" t="n">
        <f aca="false">ABN24-ABM25+ABL25</f>
        <v>0</v>
      </c>
      <c r="ABO25" s="95" t="n">
        <f aca="false">[1]НАДІЙШЛО2!IP17</f>
        <v>0</v>
      </c>
      <c r="ABP25" s="96" t="n">
        <f aca="false">[1]ВИБУЛО2!IP17</f>
        <v>0</v>
      </c>
      <c r="ABQ25" s="97" t="n">
        <f aca="false">ABQ24-ABP25+ABO25</f>
        <v>0</v>
      </c>
      <c r="ABR25" s="95" t="n">
        <f aca="false">[1]НАДІЙШЛО2!IQ17</f>
        <v>0</v>
      </c>
      <c r="ABS25" s="96" t="n">
        <f aca="false">[1]ВИБУЛО2!IQ17</f>
        <v>0</v>
      </c>
      <c r="ABT25" s="97" t="n">
        <f aca="false">ABT24-ABS25+ABR25</f>
        <v>0</v>
      </c>
      <c r="ABU25" s="95" t="n">
        <f aca="false">[1]НАДІЙШЛО2!IR17</f>
        <v>0</v>
      </c>
      <c r="ABV25" s="96" t="n">
        <f aca="false">[1]ВИБУЛО2!IR17</f>
        <v>0</v>
      </c>
      <c r="ABW25" s="97" t="n">
        <f aca="false">ABW24-ABV25+ABU25</f>
        <v>0</v>
      </c>
      <c r="ABX25" s="95" t="n">
        <f aca="false">[1]НАДІЙШЛО2!IS17</f>
        <v>0</v>
      </c>
      <c r="ABY25" s="96" t="n">
        <f aca="false">[1]ВИБУЛО2!IS17</f>
        <v>0</v>
      </c>
      <c r="ABZ25" s="97" t="n">
        <f aca="false">ABZ24-ABY25+ABX25</f>
        <v>0</v>
      </c>
      <c r="ACA25" s="95" t="n">
        <f aca="false">[1]НАДІЙШЛО2!IT17</f>
        <v>0</v>
      </c>
      <c r="ACB25" s="96" t="n">
        <f aca="false">[1]ВИБУЛО2!IT17</f>
        <v>0</v>
      </c>
      <c r="ACC25" s="97" t="n">
        <f aca="false">ACC24-ACB25+ACA25</f>
        <v>0</v>
      </c>
      <c r="ACD25" s="95" t="n">
        <f aca="false">[1]НАДІЙШЛО2!IU17</f>
        <v>0</v>
      </c>
      <c r="ACE25" s="96" t="n">
        <f aca="false">[1]ВИБУЛО2!IU17</f>
        <v>0</v>
      </c>
      <c r="ACF25" s="97" t="n">
        <f aca="false">ACF24-ACE25+ACD25</f>
        <v>0</v>
      </c>
      <c r="ACG25" s="95" t="n">
        <f aca="false">[1]НАДІЙШЛО2!IV17</f>
        <v>0</v>
      </c>
      <c r="ACH25" s="96" t="n">
        <f aca="false">[1]ВИБУЛО2!IV17</f>
        <v>0</v>
      </c>
      <c r="ACI25" s="97" t="n">
        <f aca="false">ACI24-ACH25+ACG25</f>
        <v>0</v>
      </c>
      <c r="ACJ25" s="95" t="n">
        <f aca="false">[1]НАДІЙШЛО2!IW17</f>
        <v>0</v>
      </c>
      <c r="ACK25" s="96" t="n">
        <f aca="false">[1]ВИБУЛО2!IW17</f>
        <v>0</v>
      </c>
      <c r="ACL25" s="97" t="n">
        <f aca="false">ACL24-ACK25+ACJ25</f>
        <v>0</v>
      </c>
      <c r="ACM25" s="95" t="n">
        <f aca="false">[1]НАДІЙШЛО2!IX17</f>
        <v>0</v>
      </c>
      <c r="ACN25" s="96" t="n">
        <f aca="false">[1]ВИБУЛО2!IX17</f>
        <v>0</v>
      </c>
      <c r="ACO25" s="97" t="n">
        <f aca="false">ACO24-ACN25+ACM25</f>
        <v>0</v>
      </c>
      <c r="ACP25" s="95" t="n">
        <f aca="false">[1]НАДІЙШЛО2!IY17</f>
        <v>0</v>
      </c>
      <c r="ACQ25" s="96" t="n">
        <f aca="false">[1]ВИБУЛО2!IY17</f>
        <v>0</v>
      </c>
      <c r="ACR25" s="97" t="n">
        <f aca="false">ACR24-ACQ25+ACP25</f>
        <v>0</v>
      </c>
      <c r="ACS25" s="95" t="n">
        <f aca="false">[1]НАДІЙШЛО2!IZ17</f>
        <v>0</v>
      </c>
      <c r="ACT25" s="96" t="n">
        <f aca="false">[1]ВИБУЛО2!IZ17</f>
        <v>0</v>
      </c>
      <c r="ACU25" s="97" t="n">
        <f aca="false">ACU24-ACT25+ACS25</f>
        <v>0</v>
      </c>
      <c r="ACV25" s="95" t="n">
        <f aca="false">[1]НАДІЙШЛО2!JA17</f>
        <v>0</v>
      </c>
      <c r="ACW25" s="96" t="n">
        <f aca="false">[1]ВИБУЛО2!JA17</f>
        <v>0</v>
      </c>
      <c r="ACX25" s="97" t="n">
        <f aca="false">ACX24-ACW25+ACV25</f>
        <v>0</v>
      </c>
      <c r="ACY25" s="95" t="n">
        <f aca="false">[1]НАДІЙШЛО2!JB17</f>
        <v>0</v>
      </c>
      <c r="ACZ25" s="96" t="n">
        <f aca="false">[1]ВИБУЛО2!JB17</f>
        <v>0</v>
      </c>
      <c r="ADA25" s="97" t="n">
        <f aca="false">ADA24-ACZ25+ACY25</f>
        <v>0</v>
      </c>
      <c r="ADB25" s="95" t="n">
        <f aca="false">[1]НАДІЙШЛО2!JC17</f>
        <v>0</v>
      </c>
      <c r="ADC25" s="96" t="n">
        <f aca="false">[1]ВИБУЛО2!JC17</f>
        <v>0</v>
      </c>
      <c r="ADD25" s="97" t="n">
        <f aca="false">ADD24-ADC25+ADB25</f>
        <v>0</v>
      </c>
      <c r="ADE25" s="95" t="n">
        <f aca="false">[1]НАДІЙШЛО2!JD17</f>
        <v>0</v>
      </c>
      <c r="ADF25" s="96" t="n">
        <f aca="false">[1]ВИБУЛО2!JD17</f>
        <v>0</v>
      </c>
      <c r="ADG25" s="97" t="n">
        <f aca="false">ADG24-ADF25+ADE25</f>
        <v>0</v>
      </c>
      <c r="ADH25" s="95" t="n">
        <f aca="false">[1]НАДІЙШЛО2!JE17</f>
        <v>0</v>
      </c>
      <c r="ADI25" s="96" t="n">
        <f aca="false">[1]ВИБУЛО2!JE17</f>
        <v>0</v>
      </c>
      <c r="ADJ25" s="97" t="n">
        <f aca="false">ADJ24-ADI25+ADH25</f>
        <v>0</v>
      </c>
      <c r="ADK25" s="95" t="n">
        <f aca="false">[1]НАДІЙШЛО2!JF17</f>
        <v>0</v>
      </c>
      <c r="ADL25" s="96" t="n">
        <f aca="false">[1]ВИБУЛО2!JF17</f>
        <v>0</v>
      </c>
      <c r="ADM25" s="97" t="n">
        <f aca="false">ADM24-ADL25+ADK25</f>
        <v>0</v>
      </c>
      <c r="ADN25" s="95" t="n">
        <f aca="false">[1]НАДІЙШЛО2!JG17</f>
        <v>0</v>
      </c>
      <c r="ADO25" s="96" t="n">
        <f aca="false">[1]ВИБУЛО2!JG17</f>
        <v>0</v>
      </c>
      <c r="ADP25" s="97" t="n">
        <f aca="false">ADP24-ADO25+ADN25</f>
        <v>0</v>
      </c>
      <c r="ADQ25" s="95" t="n">
        <f aca="false">[1]НАДІЙШЛО2!JH17</f>
        <v>0</v>
      </c>
      <c r="ADR25" s="96" t="n">
        <f aca="false">[1]ВИБУЛО2!JH17</f>
        <v>0</v>
      </c>
      <c r="ADS25" s="97" t="n">
        <f aca="false">ADS24-ADR25+ADQ25</f>
        <v>0</v>
      </c>
      <c r="ADT25" s="95" t="n">
        <f aca="false">[1]НАДІЙШЛО2!JI17</f>
        <v>0</v>
      </c>
      <c r="ADU25" s="96" t="n">
        <f aca="false">[1]ВИБУЛО2!JI17</f>
        <v>0</v>
      </c>
      <c r="ADV25" s="97" t="n">
        <f aca="false">ADV24-ADU25+ADT25</f>
        <v>0</v>
      </c>
      <c r="ADW25" s="95" t="n">
        <f aca="false">[1]НАДІЙШЛО2!JJ17</f>
        <v>0</v>
      </c>
      <c r="ADX25" s="96" t="n">
        <f aca="false">[1]ВИБУЛО2!JJ17</f>
        <v>0</v>
      </c>
      <c r="ADY25" s="97" t="n">
        <f aca="false">ADY24-ADX25+ADW25</f>
        <v>0</v>
      </c>
      <c r="ADZ25" s="95" t="n">
        <f aca="false">[1]НАДІЙШЛО2!JK17</f>
        <v>0</v>
      </c>
      <c r="AEA25" s="96" t="n">
        <f aca="false">[1]ВИБУЛО2!JK17</f>
        <v>0</v>
      </c>
      <c r="AEB25" s="97" t="n">
        <f aca="false">AEB24-AEA25+ADZ25</f>
        <v>0</v>
      </c>
      <c r="AEC25" s="95" t="n">
        <f aca="false">[1]НАДІЙШЛО2!JL17</f>
        <v>0</v>
      </c>
      <c r="AED25" s="96" t="n">
        <f aca="false">[1]ВИБУЛО2!JL17</f>
        <v>0</v>
      </c>
      <c r="AEE25" s="97" t="n">
        <f aca="false">AEE24-AED25+AEC25</f>
        <v>0</v>
      </c>
      <c r="AEF25" s="95" t="n">
        <f aca="false">[1]НАДІЙШЛО2!JM17</f>
        <v>0</v>
      </c>
      <c r="AEG25" s="96" t="n">
        <f aca="false">[1]ВИБУЛО2!JM17</f>
        <v>0</v>
      </c>
      <c r="AEH25" s="97" t="n">
        <f aca="false">AEH24-AEG25+AEF25</f>
        <v>0</v>
      </c>
      <c r="AEI25" s="95" t="n">
        <f aca="false">[1]НАДІЙШЛО2!JN17</f>
        <v>0</v>
      </c>
      <c r="AEJ25" s="96" t="n">
        <f aca="false">[1]ВИБУЛО2!JN17</f>
        <v>0</v>
      </c>
      <c r="AEK25" s="97" t="n">
        <f aca="false">AEK24-AEJ25+AEI25</f>
        <v>0</v>
      </c>
      <c r="AEL25" s="95" t="n">
        <f aca="false">[1]НАДІЙШЛО2!JO17</f>
        <v>0</v>
      </c>
      <c r="AEM25" s="96" t="n">
        <f aca="false">[1]ВИБУЛО2!JO17</f>
        <v>0</v>
      </c>
      <c r="AEN25" s="97" t="n">
        <f aca="false">AEN24-AEM25+AEL25</f>
        <v>0</v>
      </c>
      <c r="AEO25" s="95" t="n">
        <f aca="false">[1]НАДІЙШЛО2!JP17</f>
        <v>0</v>
      </c>
      <c r="AEP25" s="96" t="n">
        <f aca="false">[1]ВИБУЛО2!JP17</f>
        <v>0</v>
      </c>
      <c r="AEQ25" s="97" t="n">
        <f aca="false">AEQ24-AEP25+AEO25</f>
        <v>0</v>
      </c>
      <c r="AER25" s="95" t="n">
        <f aca="false">[1]НАДІЙШЛО2!JQ17</f>
        <v>0</v>
      </c>
      <c r="AES25" s="96" t="n">
        <f aca="false">[1]ВИБУЛО2!JQ17</f>
        <v>0</v>
      </c>
      <c r="AET25" s="97" t="n">
        <f aca="false">AET24-AES25+AER25</f>
        <v>0</v>
      </c>
      <c r="AEU25" s="95" t="n">
        <f aca="false">[1]НАДІЙШЛО2!JR17</f>
        <v>0</v>
      </c>
      <c r="AEV25" s="96" t="n">
        <f aca="false">[1]ВИБУЛО2!JR17</f>
        <v>0</v>
      </c>
      <c r="AEW25" s="97" t="n">
        <f aca="false">AEW24-AEV25+AEU25</f>
        <v>0</v>
      </c>
      <c r="AEX25" s="95" t="n">
        <f aca="false">[1]НАДІЙШЛО2!JS17</f>
        <v>0</v>
      </c>
      <c r="AEY25" s="96" t="n">
        <f aca="false">[1]ВИБУЛО2!JS17</f>
        <v>0</v>
      </c>
      <c r="AEZ25" s="97" t="n">
        <f aca="false">AEZ24-AEY25+AEX25</f>
        <v>0</v>
      </c>
      <c r="AFA25" s="95" t="n">
        <f aca="false">[1]НАДІЙШЛО2!JT17</f>
        <v>0</v>
      </c>
      <c r="AFB25" s="96" t="n">
        <f aca="false">[1]ВИБУЛО2!JT17</f>
        <v>0</v>
      </c>
      <c r="AFC25" s="97" t="n">
        <f aca="false">AFC24-AFB25+AFA25</f>
        <v>0</v>
      </c>
      <c r="AFD25" s="95" t="n">
        <f aca="false">[1]НАДІЙШЛО2!JU17</f>
        <v>0</v>
      </c>
      <c r="AFE25" s="96" t="n">
        <f aca="false">[1]ВИБУЛО2!JU17</f>
        <v>0</v>
      </c>
      <c r="AFF25" s="97" t="n">
        <f aca="false">AFF24-AFE25+AFD25</f>
        <v>0</v>
      </c>
      <c r="AFG25" s="95" t="n">
        <f aca="false">[1]НАДІЙШЛО2!JV17</f>
        <v>0</v>
      </c>
      <c r="AFH25" s="96" t="n">
        <f aca="false">[1]ВИБУЛО2!JV17</f>
        <v>0</v>
      </c>
      <c r="AFI25" s="97" t="n">
        <f aca="false">AFI24-AFH25+AFG25</f>
        <v>0</v>
      </c>
      <c r="AFJ25" s="95" t="n">
        <f aca="false">[1]НАДІЙШЛО2!JW17</f>
        <v>0</v>
      </c>
      <c r="AFK25" s="96" t="n">
        <f aca="false">[1]ВИБУЛО2!JW17</f>
        <v>0</v>
      </c>
      <c r="AFL25" s="97" t="n">
        <f aca="false">AFL24-AFK25+AFJ25</f>
        <v>0</v>
      </c>
      <c r="AFM25" s="95" t="n">
        <f aca="false">[1]НАДІЙШЛО2!JX17</f>
        <v>0</v>
      </c>
      <c r="AFN25" s="96" t="n">
        <f aca="false">[1]ВИБУЛО2!JX17</f>
        <v>0</v>
      </c>
      <c r="AFO25" s="97" t="n">
        <f aca="false">AFO24-AFN25+AFM25</f>
        <v>0</v>
      </c>
      <c r="AFP25" s="95" t="n">
        <f aca="false">[1]НАДІЙШЛО2!JY17</f>
        <v>0</v>
      </c>
      <c r="AFQ25" s="96" t="n">
        <f aca="false">[1]ВИБУЛО2!JY17</f>
        <v>0</v>
      </c>
      <c r="AFR25" s="97" t="n">
        <f aca="false">AFR24-AFQ25+AFP25</f>
        <v>0</v>
      </c>
      <c r="AFS25" s="95" t="n">
        <f aca="false">[1]НАДІЙШЛО2!JZ17</f>
        <v>0</v>
      </c>
      <c r="AFT25" s="96" t="n">
        <f aca="false">[1]ВИБУЛО2!JZ17</f>
        <v>0</v>
      </c>
      <c r="AFU25" s="97" t="n">
        <f aca="false">AFU24-AFT25+AFS25</f>
        <v>0</v>
      </c>
      <c r="AFV25" s="95" t="n">
        <f aca="false">[1]НАДІЙШЛО2!KA17</f>
        <v>0</v>
      </c>
      <c r="AFW25" s="96" t="n">
        <f aca="false">[1]ВИБУЛО2!KA17</f>
        <v>0</v>
      </c>
      <c r="AFX25" s="97" t="n">
        <f aca="false">AFX24-AFW25+AFV25</f>
        <v>0</v>
      </c>
      <c r="AFY25" s="95" t="n">
        <f aca="false">[1]НАДІЙШЛО2!KB17</f>
        <v>0</v>
      </c>
      <c r="AFZ25" s="96" t="n">
        <f aca="false">[1]ВИБУЛО2!KB17</f>
        <v>0</v>
      </c>
      <c r="AGA25" s="97" t="n">
        <f aca="false">AGA24-AFZ25+AFY25</f>
        <v>0</v>
      </c>
      <c r="AGB25" s="95" t="n">
        <f aca="false">[1]НАДІЙШЛО2!KC17</f>
        <v>0</v>
      </c>
      <c r="AGC25" s="96" t="n">
        <f aca="false">[1]ВИБУЛО2!KC17</f>
        <v>0</v>
      </c>
      <c r="AGD25" s="97" t="n">
        <f aca="false">AGD24-AGC25+AGB25</f>
        <v>0</v>
      </c>
      <c r="AGE25" s="95" t="n">
        <f aca="false">[1]НАДІЙШЛО2!KD17</f>
        <v>0</v>
      </c>
      <c r="AGF25" s="96" t="n">
        <f aca="false">[1]ВИБУЛО2!KD17</f>
        <v>0</v>
      </c>
      <c r="AGG25" s="97" t="n">
        <f aca="false">AGG24-AGF25+AGE25</f>
        <v>0</v>
      </c>
      <c r="AGH25" s="95" t="n">
        <f aca="false">[1]НАДІЙШЛО2!KE17</f>
        <v>0</v>
      </c>
      <c r="AGI25" s="96" t="n">
        <f aca="false">[1]ВИБУЛО2!KE17</f>
        <v>0</v>
      </c>
      <c r="AGJ25" s="97" t="n">
        <f aca="false">AGJ24-AGI25+AGH25</f>
        <v>0</v>
      </c>
      <c r="AGK25" s="95" t="n">
        <f aca="false">[1]НАДІЙШЛО2!KF17</f>
        <v>0</v>
      </c>
      <c r="AGL25" s="96" t="n">
        <f aca="false">[1]ВИБУЛО2!KF17</f>
        <v>0</v>
      </c>
      <c r="AGM25" s="97" t="n">
        <f aca="false">AGM24-AGL25+AGK25</f>
        <v>0</v>
      </c>
      <c r="AGN25" s="95" t="n">
        <f aca="false">[1]НАДІЙШЛО2!KG17</f>
        <v>0</v>
      </c>
      <c r="AGO25" s="96" t="n">
        <f aca="false">[1]ВИБУЛО2!KG17</f>
        <v>0</v>
      </c>
      <c r="AGP25" s="97" t="n">
        <f aca="false">AGP24-AGO25+AGN25</f>
        <v>0</v>
      </c>
      <c r="AGQ25" s="95" t="n">
        <f aca="false">[1]НАДІЙШЛО2!KH17</f>
        <v>0</v>
      </c>
      <c r="AGR25" s="96" t="n">
        <f aca="false">[1]ВИБУЛО2!KH17</f>
        <v>0</v>
      </c>
      <c r="AGS25" s="97" t="n">
        <f aca="false">AGS24-AGR25+AGQ25</f>
        <v>0</v>
      </c>
      <c r="AGT25" s="95" t="n">
        <f aca="false">[1]НАДІЙШЛО2!KI17</f>
        <v>0</v>
      </c>
      <c r="AGU25" s="96" t="n">
        <f aca="false">[1]ВИБУЛО2!KI17</f>
        <v>0</v>
      </c>
      <c r="AGV25" s="97" t="n">
        <f aca="false">AGV24-AGU25+AGT25</f>
        <v>0</v>
      </c>
      <c r="AGW25" s="95" t="n">
        <f aca="false">[1]НАДІЙШЛО2!KJ17</f>
        <v>0</v>
      </c>
      <c r="AGX25" s="96" t="n">
        <f aca="false">[1]ВИБУЛО2!KJ17</f>
        <v>0</v>
      </c>
      <c r="AGY25" s="97" t="n">
        <f aca="false">AGY24-AGX25+AGW25</f>
        <v>0</v>
      </c>
      <c r="AGZ25" s="95" t="n">
        <f aca="false">[1]НАДІЙШЛО2!KK17</f>
        <v>0</v>
      </c>
      <c r="AHA25" s="96" t="n">
        <f aca="false">[1]ВИБУЛО2!KK17</f>
        <v>0</v>
      </c>
      <c r="AHB25" s="97" t="n">
        <f aca="false">AHB24-AHA25+AGZ25</f>
        <v>0</v>
      </c>
      <c r="AHC25" s="95" t="n">
        <f aca="false">[1]НАДІЙШЛО2!KL17</f>
        <v>0</v>
      </c>
      <c r="AHD25" s="96" t="n">
        <f aca="false">[1]ВИБУЛО2!KL17</f>
        <v>0</v>
      </c>
      <c r="AHE25" s="97" t="n">
        <f aca="false">AHE24-AHD25+AHC25</f>
        <v>0</v>
      </c>
      <c r="AHF25" s="95" t="n">
        <f aca="false">[1]НАДІЙШЛО2!KM17</f>
        <v>0</v>
      </c>
      <c r="AHG25" s="96" t="n">
        <f aca="false">[1]ВИБУЛО2!KM17</f>
        <v>0</v>
      </c>
      <c r="AHH25" s="97" t="n">
        <f aca="false">AHH24-AHG25+AHF25</f>
        <v>0</v>
      </c>
      <c r="AHI25" s="95" t="n">
        <f aca="false">[1]НАДІЙШЛО2!KN17</f>
        <v>0</v>
      </c>
      <c r="AHJ25" s="96" t="n">
        <f aca="false">[1]ВИБУЛО2!KN17</f>
        <v>0</v>
      </c>
      <c r="AHK25" s="97" t="n">
        <f aca="false">AHK24-AHJ25+AHI25</f>
        <v>0</v>
      </c>
      <c r="AHL25" s="95" t="n">
        <f aca="false">[1]НАДІЙШЛО2!KO17</f>
        <v>0</v>
      </c>
      <c r="AHM25" s="96" t="n">
        <f aca="false">[1]ВИБУЛО2!KO17</f>
        <v>0</v>
      </c>
      <c r="AHN25" s="97" t="n">
        <f aca="false">AHN24-AHM25+AHL25</f>
        <v>0</v>
      </c>
      <c r="AHO25" s="95" t="n">
        <f aca="false">[1]НАДІЙШЛО2!KP17</f>
        <v>0</v>
      </c>
      <c r="AHP25" s="96" t="n">
        <f aca="false">[1]ВИБУЛО2!KP17</f>
        <v>0</v>
      </c>
      <c r="AHQ25" s="97" t="n">
        <f aca="false">AHQ24-AHP25+AHO25</f>
        <v>0</v>
      </c>
      <c r="AHR25" s="95" t="n">
        <f aca="false">[1]НАДІЙШЛО2!KQ17</f>
        <v>0</v>
      </c>
      <c r="AHS25" s="96" t="n">
        <f aca="false">[1]ВИБУЛО2!KQ17</f>
        <v>0</v>
      </c>
      <c r="AHT25" s="97" t="n">
        <f aca="false">AHT24-AHS25+AHR25</f>
        <v>0</v>
      </c>
      <c r="AHU25" s="95" t="n">
        <f aca="false">[1]НАДІЙШЛО2!KR17</f>
        <v>0</v>
      </c>
      <c r="AHV25" s="96" t="n">
        <f aca="false">[1]ВИБУЛО2!KR17</f>
        <v>0</v>
      </c>
      <c r="AHW25" s="97" t="n">
        <f aca="false">AHW24-AHV25+AHU25</f>
        <v>0</v>
      </c>
      <c r="AHX25" s="95" t="n">
        <f aca="false">[1]НАДІЙШЛО2!KS17</f>
        <v>0</v>
      </c>
      <c r="AHY25" s="96" t="n">
        <f aca="false">[1]ВИБУЛО2!KS17</f>
        <v>0</v>
      </c>
      <c r="AHZ25" s="97" t="n">
        <f aca="false">AHZ24-AHY25+AHX25</f>
        <v>0</v>
      </c>
      <c r="AIA25" s="95" t="n">
        <f aca="false">[1]НАДІЙШЛО2!KT17</f>
        <v>0</v>
      </c>
      <c r="AIB25" s="96" t="n">
        <f aca="false">[1]ВИБУЛО2!KT17</f>
        <v>0</v>
      </c>
      <c r="AIC25" s="97" t="n">
        <f aca="false">AIC24-AIB25+AIA25</f>
        <v>0</v>
      </c>
      <c r="AID25" s="95" t="n">
        <f aca="false">[1]НАДІЙШЛО2!KU17</f>
        <v>0</v>
      </c>
      <c r="AIE25" s="96" t="n">
        <f aca="false">[1]ВИБУЛО2!KU17</f>
        <v>0</v>
      </c>
      <c r="AIF25" s="97" t="n">
        <f aca="false">AIF24-AIE25+AID25</f>
        <v>0</v>
      </c>
      <c r="AIG25" s="95" t="n">
        <f aca="false">[1]НАДІЙШЛО2!KV17</f>
        <v>0</v>
      </c>
      <c r="AIH25" s="96" t="n">
        <f aca="false">[1]ВИБУЛО2!KV17</f>
        <v>0</v>
      </c>
      <c r="AII25" s="97" t="n">
        <f aca="false">AII24-AIH25+AIG25</f>
        <v>0</v>
      </c>
      <c r="AIJ25" s="95" t="n">
        <f aca="false">[1]НАДІЙШЛО2!KW17</f>
        <v>0</v>
      </c>
      <c r="AIK25" s="96" t="n">
        <f aca="false">[1]ВИБУЛО2!KW17</f>
        <v>0</v>
      </c>
      <c r="AIL25" s="97" t="n">
        <f aca="false">AIL24-AIK25+AIJ25</f>
        <v>0</v>
      </c>
      <c r="AIM25" s="95" t="n">
        <f aca="false">[1]НАДІЙШЛО2!KX17</f>
        <v>0</v>
      </c>
      <c r="AIN25" s="96" t="n">
        <f aca="false">[1]ВИБУЛО2!KX17</f>
        <v>0</v>
      </c>
      <c r="AIO25" s="97" t="n">
        <f aca="false">AIO24-AIN25+AIM25</f>
        <v>0</v>
      </c>
      <c r="AIP25" s="95" t="n">
        <f aca="false">[1]НАДІЙШЛО2!KY17</f>
        <v>0</v>
      </c>
      <c r="AIQ25" s="96" t="n">
        <f aca="false">[1]ВИБУЛО2!KY17</f>
        <v>0</v>
      </c>
      <c r="AIR25" s="97" t="n">
        <f aca="false">AIR24-AIQ25+AIP25</f>
        <v>0</v>
      </c>
      <c r="AIS25" s="95" t="n">
        <f aca="false">[1]НАДІЙШЛО2!KZ17</f>
        <v>0</v>
      </c>
      <c r="AIT25" s="96" t="n">
        <f aca="false">[1]ВИБУЛО2!KZ17</f>
        <v>0</v>
      </c>
      <c r="AIU25" s="97" t="n">
        <f aca="false">AIU24-AIT25+AIS25</f>
        <v>0</v>
      </c>
      <c r="AIV25" s="95" t="n">
        <f aca="false">[1]НАДІЙШЛО2!LA17</f>
        <v>0</v>
      </c>
      <c r="AIW25" s="96" t="n">
        <f aca="false">[1]ВИБУЛО2!LA17</f>
        <v>0</v>
      </c>
      <c r="AIX25" s="97" t="n">
        <f aca="false">AIX24-AIW25+AIV25</f>
        <v>0</v>
      </c>
      <c r="AIY25" s="95" t="n">
        <f aca="false">[1]НАДІЙШЛО2!LB17</f>
        <v>0</v>
      </c>
      <c r="AIZ25" s="96" t="n">
        <f aca="false">[1]ВИБУЛО2!LB17</f>
        <v>0</v>
      </c>
      <c r="AJA25" s="97" t="n">
        <f aca="false">AJA24-AIZ25+AIY25</f>
        <v>0</v>
      </c>
      <c r="AJB25" s="95" t="n">
        <f aca="false">[1]НАДІЙШЛО2!LC17</f>
        <v>0</v>
      </c>
      <c r="AJC25" s="96" t="n">
        <f aca="false">[1]ВИБУЛО2!LC17</f>
        <v>0</v>
      </c>
      <c r="AJD25" s="97" t="n">
        <f aca="false">AJD24-AJC25+AJB25</f>
        <v>0</v>
      </c>
      <c r="AJE25" s="95" t="n">
        <f aca="false">[1]НАДІЙШЛО2!LD17</f>
        <v>0</v>
      </c>
      <c r="AJF25" s="96" t="n">
        <f aca="false">[1]ВИБУЛО2!LD17</f>
        <v>0</v>
      </c>
      <c r="AJG25" s="97" t="n">
        <f aca="false">AJG24-AJF25+AJE25</f>
        <v>0</v>
      </c>
      <c r="AJH25" s="95" t="n">
        <f aca="false">[1]НАДІЙШЛО2!LE17</f>
        <v>0</v>
      </c>
      <c r="AJI25" s="96" t="n">
        <f aca="false">[1]ВИБУЛО2!LE17</f>
        <v>0</v>
      </c>
      <c r="AJJ25" s="97" t="n">
        <f aca="false">AJJ24-AJI25+AJH25</f>
        <v>0</v>
      </c>
      <c r="AJK25" s="95" t="n">
        <f aca="false">[1]НАДІЙШЛО2!LF17</f>
        <v>0</v>
      </c>
      <c r="AJL25" s="96" t="n">
        <f aca="false">[1]ВИБУЛО2!LF17</f>
        <v>0</v>
      </c>
      <c r="AJM25" s="97" t="n">
        <f aca="false">AJM24-AJL25+AJK25</f>
        <v>0</v>
      </c>
      <c r="AJN25" s="95" t="n">
        <f aca="false">[1]НАДІЙШЛО2!LG17</f>
        <v>0</v>
      </c>
      <c r="AJO25" s="96" t="n">
        <f aca="false">[1]ВИБУЛО2!LG17</f>
        <v>0</v>
      </c>
      <c r="AJP25" s="97" t="n">
        <f aca="false">AJP24-AJO25+AJN25</f>
        <v>0</v>
      </c>
      <c r="AJQ25" s="95" t="n">
        <f aca="false">[1]НАДІЙШЛО2!LH17</f>
        <v>0</v>
      </c>
      <c r="AJR25" s="96" t="n">
        <f aca="false">[1]ВИБУЛО2!LH17</f>
        <v>0</v>
      </c>
      <c r="AJS25" s="97" t="n">
        <f aca="false">AJS24-AJR25+AJQ25</f>
        <v>0</v>
      </c>
      <c r="AJT25" s="95" t="n">
        <f aca="false">[1]НАДІЙШЛО2!LI17</f>
        <v>0</v>
      </c>
      <c r="AJU25" s="96" t="n">
        <f aca="false">[1]ВИБУЛО2!LI17</f>
        <v>0</v>
      </c>
      <c r="AJV25" s="97" t="n">
        <f aca="false">AJV24-AJU25+AJT25</f>
        <v>0</v>
      </c>
      <c r="AJW25" s="95" t="n">
        <f aca="false">[1]НАДІЙШЛО2!LJ17</f>
        <v>0</v>
      </c>
      <c r="AJX25" s="96" t="n">
        <f aca="false">[1]ВИБУЛО2!LJ17</f>
        <v>0</v>
      </c>
      <c r="AJY25" s="97" t="n">
        <f aca="false">AJY24-AJX25+AJW25</f>
        <v>0</v>
      </c>
      <c r="AJZ25" s="95" t="n">
        <f aca="false">[1]НАДІЙШЛО2!LK17</f>
        <v>0</v>
      </c>
      <c r="AKA25" s="96" t="n">
        <f aca="false">[1]ВИБУЛО2!LK17</f>
        <v>0</v>
      </c>
      <c r="AKB25" s="97" t="n">
        <f aca="false">AKB24-AKA25+AJZ25</f>
        <v>0</v>
      </c>
      <c r="AKC25" s="95" t="n">
        <f aca="false">[1]НАДІЙШЛО2!LL17</f>
        <v>0</v>
      </c>
      <c r="AKD25" s="96" t="n">
        <f aca="false">[1]ВИБУЛО2!LL17</f>
        <v>0</v>
      </c>
      <c r="AKE25" s="97" t="n">
        <f aca="false">AKE24-AKD25+AKC25</f>
        <v>0</v>
      </c>
      <c r="AKF25" s="95" t="n">
        <f aca="false">[1]НАДІЙШЛО2!LM17</f>
        <v>0</v>
      </c>
      <c r="AKG25" s="96" t="n">
        <f aca="false">[1]ВИБУЛО2!LM17</f>
        <v>0</v>
      </c>
      <c r="AKH25" s="97" t="n">
        <f aca="false">AKH24-AKG25+AKF25</f>
        <v>0</v>
      </c>
      <c r="AKI25" s="95" t="n">
        <f aca="false">[1]НАДІЙШЛО2!LN17</f>
        <v>0</v>
      </c>
      <c r="AKJ25" s="96" t="n">
        <f aca="false">[1]ВИБУЛО2!LN17</f>
        <v>0</v>
      </c>
      <c r="AKK25" s="97" t="n">
        <f aca="false">AKK24-AKJ25+AKI25</f>
        <v>0</v>
      </c>
      <c r="AKL25" s="95" t="n">
        <f aca="false">[1]НАДІЙШЛО2!LO17</f>
        <v>0</v>
      </c>
      <c r="AKM25" s="96" t="n">
        <f aca="false">[1]ВИБУЛО2!LO17</f>
        <v>0</v>
      </c>
      <c r="AKN25" s="97" t="n">
        <f aca="false">AKN24-AKM25+AKL25</f>
        <v>0</v>
      </c>
      <c r="AKO25" s="95" t="n">
        <f aca="false">[1]НАДІЙШЛО2!LP17</f>
        <v>0</v>
      </c>
      <c r="AKP25" s="96" t="n">
        <f aca="false">[1]ВИБУЛО2!LP17</f>
        <v>0</v>
      </c>
      <c r="AKQ25" s="97" t="n">
        <f aca="false">AKQ24-AKP25+AKO25</f>
        <v>0</v>
      </c>
      <c r="AKR25" s="95" t="n">
        <f aca="false">[1]НАДІЙШЛО2!LQ17</f>
        <v>0</v>
      </c>
      <c r="AKS25" s="96" t="n">
        <f aca="false">[1]ВИБУЛО2!LQ17</f>
        <v>0</v>
      </c>
      <c r="AKT25" s="97" t="n">
        <f aca="false">AKT24-AKS25+AKR25</f>
        <v>0</v>
      </c>
      <c r="AKU25" s="95" t="n">
        <f aca="false">[1]НАДІЙШЛО2!LR17</f>
        <v>0</v>
      </c>
      <c r="AKV25" s="96" t="n">
        <f aca="false">[1]ВИБУЛО2!LR17</f>
        <v>0</v>
      </c>
      <c r="AKW25" s="97" t="n">
        <f aca="false">AKW24-AKV25+AKU25</f>
        <v>0</v>
      </c>
      <c r="AKX25" s="95" t="n">
        <f aca="false">[1]НАДІЙШЛО2!LS17</f>
        <v>0</v>
      </c>
      <c r="AKY25" s="96" t="n">
        <f aca="false">[1]ВИБУЛО2!LS17</f>
        <v>0</v>
      </c>
      <c r="AKZ25" s="97" t="n">
        <f aca="false">AKZ24-AKY25+AKX25</f>
        <v>0</v>
      </c>
      <c r="ALA25" s="95" t="n">
        <f aca="false">[1]НАДІЙШЛО2!LT17</f>
        <v>0</v>
      </c>
      <c r="ALB25" s="96" t="n">
        <f aca="false">[1]ВИБУЛО2!LT17</f>
        <v>0</v>
      </c>
      <c r="ALC25" s="97" t="n">
        <f aca="false">ALC24-ALB25+ALA25</f>
        <v>0</v>
      </c>
      <c r="ALD25" s="95" t="n">
        <f aca="false">[1]НАДІЙШЛО2!LU17</f>
        <v>0</v>
      </c>
      <c r="ALE25" s="96" t="n">
        <f aca="false">[1]ВИБУЛО2!LU17</f>
        <v>0</v>
      </c>
      <c r="ALF25" s="97" t="n">
        <f aca="false">ALF24-ALE25+ALD25</f>
        <v>0</v>
      </c>
      <c r="ALG25" s="95" t="n">
        <f aca="false">[1]НАДІЙШЛО2!LV17</f>
        <v>0</v>
      </c>
      <c r="ALH25" s="96" t="n">
        <f aca="false">[1]ВИБУЛО2!LV17</f>
        <v>0</v>
      </c>
      <c r="ALI25" s="97" t="n">
        <f aca="false">ALI24-ALH25+ALG25</f>
        <v>0</v>
      </c>
      <c r="ALJ25" s="95" t="n">
        <f aca="false">[1]НАДІЙШЛО2!LW17</f>
        <v>0</v>
      </c>
      <c r="ALK25" s="96" t="n">
        <f aca="false">[1]ВИБУЛО2!LW17</f>
        <v>0</v>
      </c>
      <c r="ALL25" s="97" t="n">
        <f aca="false">ALL24-ALK25+ALJ25</f>
        <v>0</v>
      </c>
      <c r="ALM25" s="95" t="n">
        <f aca="false">[1]НАДІЙШЛО2!LX17</f>
        <v>0</v>
      </c>
      <c r="ALN25" s="96" t="n">
        <f aca="false">[1]ВИБУЛО2!LX17</f>
        <v>0</v>
      </c>
      <c r="ALO25" s="97" t="n">
        <f aca="false">ALO24-ALN25+ALM25</f>
        <v>0</v>
      </c>
      <c r="ALP25" s="95" t="n">
        <f aca="false">[1]НАДІЙШЛО2!LY17</f>
        <v>0</v>
      </c>
      <c r="ALQ25" s="96" t="n">
        <f aca="false">[1]ВИБУЛО2!LY17</f>
        <v>0</v>
      </c>
      <c r="ALR25" s="97" t="n">
        <f aca="false">ALR24-ALQ25+ALP25</f>
        <v>0</v>
      </c>
      <c r="ALS25" s="95" t="n">
        <f aca="false">[1]НАДІЙШЛО2!LZ17</f>
        <v>0</v>
      </c>
      <c r="ALT25" s="96" t="n">
        <f aca="false">[1]ВИБУЛО2!LZ17</f>
        <v>0</v>
      </c>
      <c r="ALU25" s="97" t="n">
        <f aca="false">ALU24-ALT25+ALS25</f>
        <v>0</v>
      </c>
      <c r="ALV25" s="95" t="n">
        <f aca="false">[1]НАДІЙШЛО2!MA17</f>
        <v>0</v>
      </c>
      <c r="ALW25" s="96" t="n">
        <f aca="false">[1]ВИБУЛО2!MA17</f>
        <v>0</v>
      </c>
      <c r="ALX25" s="97" t="n">
        <f aca="false">ALX24-ALW25+ALV25</f>
        <v>0</v>
      </c>
      <c r="ALY25" s="95" t="n">
        <f aca="false">[1]НАДІЙШЛО2!MB17</f>
        <v>0</v>
      </c>
      <c r="ALZ25" s="96" t="n">
        <f aca="false">[1]ВИБУЛО2!MB17</f>
        <v>0</v>
      </c>
      <c r="AMA25" s="97" t="n">
        <f aca="false">AMA24-ALZ25+ALY25</f>
        <v>0</v>
      </c>
      <c r="AMB25" s="95" t="n">
        <f aca="false">[1]НАДІЙШЛО2!MC17</f>
        <v>0</v>
      </c>
      <c r="AMC25" s="96" t="n">
        <f aca="false">[1]ВИБУЛО2!MC17</f>
        <v>0</v>
      </c>
      <c r="AMD25" s="97" t="n">
        <f aca="false">AMD24-AMC25+AMB25</f>
        <v>0</v>
      </c>
      <c r="AME25" s="95" t="n">
        <f aca="false">[1]НАДІЙШЛО2!MD17</f>
        <v>0</v>
      </c>
      <c r="AMF25" s="96" t="n">
        <f aca="false">[1]ВИБУЛО2!MD17</f>
        <v>0</v>
      </c>
      <c r="AMG25" s="97" t="n">
        <f aca="false">AMG24-AMF25+AME25</f>
        <v>0</v>
      </c>
      <c r="AMH25" s="95" t="n">
        <f aca="false">[1]НАДІЙШЛО2!ME17</f>
        <v>0</v>
      </c>
      <c r="AMI25" s="96" t="n">
        <f aca="false">[1]ВИБУЛО2!ME17</f>
        <v>0</v>
      </c>
      <c r="AMJ25" s="97" t="n">
        <f aca="false">AMJ24-AMI25+AMH25</f>
        <v>0</v>
      </c>
    </row>
    <row r="26" s="99" customFormat="true" ht="16.5" hidden="false" customHeight="false" outlineLevel="0" collapsed="false">
      <c r="A26" s="98"/>
      <c r="D26" s="103"/>
      <c r="E26" s="95" t="n">
        <f aca="false">[1]НАДІЙШЛО2!D18</f>
        <v>0</v>
      </c>
      <c r="F26" s="96" t="n">
        <f aca="false">[1]ВИБУЛО2!D18</f>
        <v>0</v>
      </c>
      <c r="G26" s="97" t="n">
        <f aca="false">G25-F26+E26</f>
        <v>0</v>
      </c>
      <c r="H26" s="95" t="n">
        <f aca="false">[1]НАДІЙШЛО2!E18</f>
        <v>0</v>
      </c>
      <c r="I26" s="96" t="n">
        <f aca="false">[1]ВИБУЛО2!E18</f>
        <v>0</v>
      </c>
      <c r="J26" s="97" t="n">
        <f aca="false">J25-I26+H26</f>
        <v>0</v>
      </c>
      <c r="K26" s="95" t="n">
        <f aca="false">[1]НАДІЙШЛО2!F18</f>
        <v>0</v>
      </c>
      <c r="L26" s="96" t="n">
        <f aca="false">[1]ВИБУЛО2!F18</f>
        <v>0</v>
      </c>
      <c r="M26" s="97" t="n">
        <f aca="false">M25-L26+K26</f>
        <v>2.06</v>
      </c>
      <c r="N26" s="95" t="n">
        <f aca="false">[1]НАДІЙШЛО2!G18</f>
        <v>0</v>
      </c>
      <c r="O26" s="96" t="n">
        <f aca="false">[1]ВИБУЛО2!G18</f>
        <v>0</v>
      </c>
      <c r="P26" s="97" t="n">
        <f aca="false">P25-O26+N26</f>
        <v>0</v>
      </c>
      <c r="Q26" s="95" t="n">
        <f aca="false">[1]НАДІЙШЛО2!H18</f>
        <v>0</v>
      </c>
      <c r="R26" s="96" t="n">
        <f aca="false">[1]ВИБУЛО2!H18</f>
        <v>0</v>
      </c>
      <c r="S26" s="97" t="n">
        <f aca="false">S25-R26+Q26</f>
        <v>0</v>
      </c>
      <c r="T26" s="95" t="n">
        <f aca="false">[1]НАДІЙШЛО2!I18</f>
        <v>0</v>
      </c>
      <c r="U26" s="96" t="n">
        <f aca="false">[1]ВИБУЛО2!I18</f>
        <v>0</v>
      </c>
      <c r="V26" s="97" t="n">
        <f aca="false">V25-U26+T26</f>
        <v>0</v>
      </c>
      <c r="W26" s="95" t="n">
        <f aca="false">[1]НАДІЙШЛО2!J18</f>
        <v>0</v>
      </c>
      <c r="X26" s="96" t="n">
        <f aca="false">[1]ВИБУЛО2!J18</f>
        <v>0</v>
      </c>
      <c r="Y26" s="97" t="n">
        <f aca="false">Y25-X26+W26</f>
        <v>0</v>
      </c>
      <c r="Z26" s="95" t="n">
        <f aca="false">[1]НАДІЙШЛО2!K18</f>
        <v>0</v>
      </c>
      <c r="AA26" s="96" t="n">
        <f aca="false">[1]ВИБУЛО2!K18</f>
        <v>0</v>
      </c>
      <c r="AB26" s="97" t="n">
        <f aca="false">AB25-AA26+Z26</f>
        <v>0</v>
      </c>
      <c r="AC26" s="95" t="n">
        <f aca="false">[1]НАДІЙШЛО2!L18</f>
        <v>0</v>
      </c>
      <c r="AD26" s="96" t="n">
        <f aca="false">[1]ВИБУЛО2!L18</f>
        <v>0</v>
      </c>
      <c r="AE26" s="97" t="n">
        <f aca="false">AE25-AD26+AC26</f>
        <v>0</v>
      </c>
      <c r="AF26" s="95" t="n">
        <f aca="false">[1]НАДІЙШЛО2!M18</f>
        <v>0</v>
      </c>
      <c r="AG26" s="96" t="n">
        <f aca="false">[1]ВИБУЛО2!M18</f>
        <v>0</v>
      </c>
      <c r="AH26" s="97" t="n">
        <f aca="false">AH25-AG26+AF26</f>
        <v>0</v>
      </c>
      <c r="AI26" s="95" t="n">
        <f aca="false">[1]НАДІЙШЛО2!N18</f>
        <v>0</v>
      </c>
      <c r="AJ26" s="96" t="n">
        <f aca="false">[1]ВИБУЛО2!N18</f>
        <v>0</v>
      </c>
      <c r="AK26" s="97" t="n">
        <f aca="false">AK25-AJ26+AI26</f>
        <v>0</v>
      </c>
      <c r="AL26" s="95" t="n">
        <f aca="false">[1]НАДІЙШЛО2!O18</f>
        <v>0</v>
      </c>
      <c r="AM26" s="96" t="n">
        <f aca="false">[1]ВИБУЛО2!O18</f>
        <v>0</v>
      </c>
      <c r="AN26" s="97" t="n">
        <f aca="false">AN25-AM26+AL26</f>
        <v>0</v>
      </c>
      <c r="AO26" s="95" t="n">
        <f aca="false">[1]НАДІЙШЛО2!P18</f>
        <v>0</v>
      </c>
      <c r="AP26" s="96" t="n">
        <f aca="false">[1]ВИБУЛО2!P18</f>
        <v>0</v>
      </c>
      <c r="AQ26" s="97" t="n">
        <f aca="false">AQ25-AP26+AO26</f>
        <v>0</v>
      </c>
      <c r="AR26" s="95" t="n">
        <f aca="false">[1]НАДІЙШЛО2!Q18</f>
        <v>0</v>
      </c>
      <c r="AS26" s="96" t="n">
        <f aca="false">[1]ВИБУЛО2!Q18</f>
        <v>0</v>
      </c>
      <c r="AT26" s="97" t="n">
        <f aca="false">AT25-AS26+AR26</f>
        <v>0</v>
      </c>
      <c r="AU26" s="95" t="n">
        <f aca="false">[1]НАДІЙШЛО2!R18</f>
        <v>0</v>
      </c>
      <c r="AV26" s="96" t="n">
        <f aca="false">[1]ВИБУЛО2!R18</f>
        <v>0</v>
      </c>
      <c r="AW26" s="97" t="n">
        <f aca="false">AW25-AV26+AU26</f>
        <v>0</v>
      </c>
      <c r="AX26" s="95" t="n">
        <f aca="false">[1]НАДІЙШЛО2!S18</f>
        <v>0</v>
      </c>
      <c r="AY26" s="96" t="n">
        <f aca="false">[1]ВИБУЛО2!S18</f>
        <v>0</v>
      </c>
      <c r="AZ26" s="97" t="n">
        <f aca="false">AZ25-AY26+AX26</f>
        <v>0</v>
      </c>
      <c r="BA26" s="95" t="n">
        <f aca="false">[1]НАДІЙШЛО2!T18</f>
        <v>0</v>
      </c>
      <c r="BB26" s="96" t="n">
        <f aca="false">[1]ВИБУЛО2!T18</f>
        <v>0</v>
      </c>
      <c r="BC26" s="97" t="n">
        <f aca="false">BC25-BB26+BA26</f>
        <v>0</v>
      </c>
      <c r="BD26" s="95" t="n">
        <f aca="false">[1]НАДІЙШЛО2!U18</f>
        <v>0</v>
      </c>
      <c r="BE26" s="96" t="n">
        <f aca="false">[1]ВИБУЛО2!U18</f>
        <v>0</v>
      </c>
      <c r="BF26" s="97" t="n">
        <f aca="false">BF25-BE26+BD26</f>
        <v>0</v>
      </c>
      <c r="BG26" s="95" t="n">
        <f aca="false">[1]НАДІЙШЛО2!V18</f>
        <v>0</v>
      </c>
      <c r="BH26" s="96" t="n">
        <f aca="false">[1]ВИБУЛО2!V18</f>
        <v>0</v>
      </c>
      <c r="BI26" s="97" t="n">
        <f aca="false">BI25-BH26+BG26</f>
        <v>0</v>
      </c>
      <c r="BJ26" s="95" t="n">
        <f aca="false">[1]НАДІЙШЛО2!W18</f>
        <v>0</v>
      </c>
      <c r="BK26" s="96" t="n">
        <f aca="false">[1]ВИБУЛО2!W18</f>
        <v>0</v>
      </c>
      <c r="BL26" s="97" t="n">
        <f aca="false">BL25-BK26+BJ26</f>
        <v>0</v>
      </c>
      <c r="BM26" s="95" t="n">
        <f aca="false">[1]НАДІЙШЛО2!X18</f>
        <v>0</v>
      </c>
      <c r="BN26" s="96" t="n">
        <f aca="false">[1]ВИБУЛО2!X18</f>
        <v>0</v>
      </c>
      <c r="BO26" s="97" t="n">
        <f aca="false">BO25-BN26+BM26</f>
        <v>0</v>
      </c>
      <c r="BP26" s="95" t="n">
        <f aca="false">[1]НАДІЙШЛО2!Y18</f>
        <v>0</v>
      </c>
      <c r="BQ26" s="96" t="n">
        <f aca="false">[1]ВИБУЛО2!Y18</f>
        <v>0</v>
      </c>
      <c r="BR26" s="97" t="n">
        <f aca="false">BR25-BQ26+BP26</f>
        <v>0</v>
      </c>
      <c r="BS26" s="95" t="n">
        <f aca="false">[1]НАДІЙШЛО2!Z18</f>
        <v>0</v>
      </c>
      <c r="BT26" s="96" t="n">
        <f aca="false">[1]ВИБУЛО2!Z18</f>
        <v>0</v>
      </c>
      <c r="BU26" s="97" t="n">
        <f aca="false">BU25-BT26+BS26</f>
        <v>0</v>
      </c>
      <c r="BV26" s="95" t="n">
        <f aca="false">[1]НАДІЙШЛО2!AA18</f>
        <v>0</v>
      </c>
      <c r="BW26" s="96" t="n">
        <f aca="false">[1]ВИБУЛО2!AA18</f>
        <v>0</v>
      </c>
      <c r="BX26" s="97" t="n">
        <f aca="false">BX25-BW26+BV26</f>
        <v>0</v>
      </c>
      <c r="BY26" s="95" t="n">
        <f aca="false">[1]НАДІЙШЛО2!AB18</f>
        <v>0</v>
      </c>
      <c r="BZ26" s="96" t="n">
        <f aca="false">[1]ВИБУЛО2!AB18</f>
        <v>0</v>
      </c>
      <c r="CA26" s="97" t="n">
        <f aca="false">CA25-BZ26+BY26</f>
        <v>0</v>
      </c>
      <c r="CB26" s="95" t="n">
        <f aca="false">[1]НАДІЙШЛО2!AC18</f>
        <v>0</v>
      </c>
      <c r="CC26" s="96" t="n">
        <f aca="false">[1]ВИБУЛО2!AC18</f>
        <v>0</v>
      </c>
      <c r="CD26" s="97" t="n">
        <f aca="false">CD25-CC26+CB26</f>
        <v>0</v>
      </c>
      <c r="CE26" s="95" t="n">
        <f aca="false">[1]НАДІЙШЛО2!AD18</f>
        <v>0</v>
      </c>
      <c r="CF26" s="96" t="n">
        <f aca="false">[1]ВИБУЛО2!AD18</f>
        <v>0</v>
      </c>
      <c r="CG26" s="97" t="n">
        <f aca="false">CG25-CF26+CE26</f>
        <v>0</v>
      </c>
      <c r="CH26" s="95" t="n">
        <f aca="false">[1]НАДІЙШЛО2!AE18</f>
        <v>0</v>
      </c>
      <c r="CI26" s="96" t="n">
        <f aca="false">[1]ВИБУЛО2!AE18</f>
        <v>0</v>
      </c>
      <c r="CJ26" s="97" t="n">
        <f aca="false">CJ25-CI26+CH26</f>
        <v>0</v>
      </c>
      <c r="CK26" s="95" t="n">
        <f aca="false">[1]НАДІЙШЛО2!AF18</f>
        <v>0</v>
      </c>
      <c r="CL26" s="96" t="n">
        <f aca="false">[1]ВИБУЛО2!AF18</f>
        <v>0</v>
      </c>
      <c r="CM26" s="97" t="n">
        <f aca="false">CM25-CL26+CK26</f>
        <v>0</v>
      </c>
      <c r="CN26" s="95" t="n">
        <f aca="false">[1]НАДІЙШЛО2!AG18</f>
        <v>0</v>
      </c>
      <c r="CO26" s="96" t="n">
        <f aca="false">[1]ВИБУЛО2!AG18</f>
        <v>0</v>
      </c>
      <c r="CP26" s="97" t="n">
        <f aca="false">CP25-CO26+CN26</f>
        <v>0</v>
      </c>
      <c r="CQ26" s="95" t="n">
        <f aca="false">[1]НАДІЙШЛО2!AH18</f>
        <v>0</v>
      </c>
      <c r="CR26" s="96" t="n">
        <f aca="false">[1]ВИБУЛО2!AH18</f>
        <v>0</v>
      </c>
      <c r="CS26" s="97" t="n">
        <f aca="false">CS25-CR26+CQ26</f>
        <v>0</v>
      </c>
      <c r="CT26" s="95" t="n">
        <f aca="false">[1]НАДІЙШЛО2!AI18</f>
        <v>0</v>
      </c>
      <c r="CU26" s="96" t="n">
        <f aca="false">[1]ВИБУЛО2!AI18</f>
        <v>0</v>
      </c>
      <c r="CV26" s="97" t="n">
        <f aca="false">CV25-CU26+CT26</f>
        <v>0</v>
      </c>
      <c r="CW26" s="95" t="n">
        <f aca="false">[1]НАДІЙШЛО2!AJ18</f>
        <v>0</v>
      </c>
      <c r="CX26" s="96" t="n">
        <f aca="false">[1]ВИБУЛО2!AJ18</f>
        <v>0</v>
      </c>
      <c r="CY26" s="97" t="n">
        <f aca="false">CY25-CX26+CW26</f>
        <v>0</v>
      </c>
      <c r="CZ26" s="95" t="n">
        <f aca="false">[1]НАДІЙШЛО2!AK18</f>
        <v>0</v>
      </c>
      <c r="DA26" s="96" t="n">
        <f aca="false">[1]ВИБУЛО2!AK18</f>
        <v>0</v>
      </c>
      <c r="DB26" s="97" t="n">
        <f aca="false">DB25-DA26+CZ26</f>
        <v>0</v>
      </c>
      <c r="DC26" s="95" t="n">
        <f aca="false">[1]НАДІЙШЛО2!AL18</f>
        <v>0</v>
      </c>
      <c r="DD26" s="96" t="n">
        <f aca="false">[1]ВИБУЛО2!AL18</f>
        <v>0</v>
      </c>
      <c r="DE26" s="97" t="n">
        <f aca="false">DE25-DD26+DC26</f>
        <v>0</v>
      </c>
      <c r="DF26" s="95" t="n">
        <f aca="false">[1]НАДІЙШЛО2!AM18</f>
        <v>0</v>
      </c>
      <c r="DG26" s="96" t="n">
        <f aca="false">[1]ВИБУЛО2!AM18</f>
        <v>0</v>
      </c>
      <c r="DH26" s="97" t="n">
        <f aca="false">DH25-DG26+DF26</f>
        <v>0</v>
      </c>
      <c r="DI26" s="95" t="n">
        <f aca="false">[1]НАДІЙШЛО2!AN18</f>
        <v>0</v>
      </c>
      <c r="DJ26" s="96" t="n">
        <f aca="false">[1]ВИБУЛО2!AN18</f>
        <v>0</v>
      </c>
      <c r="DK26" s="97" t="n">
        <f aca="false">DK25-DJ26+DI26</f>
        <v>0</v>
      </c>
      <c r="DL26" s="95" t="n">
        <f aca="false">[1]НАДІЙШЛО2!AO18</f>
        <v>0</v>
      </c>
      <c r="DM26" s="96" t="n">
        <f aca="false">[1]ВИБУЛО2!AO18</f>
        <v>0</v>
      </c>
      <c r="DN26" s="97" t="n">
        <f aca="false">DN25-DM26+DL26</f>
        <v>0</v>
      </c>
      <c r="DO26" s="95" t="n">
        <f aca="false">[1]НАДІЙШЛО2!AP18</f>
        <v>0</v>
      </c>
      <c r="DP26" s="96" t="n">
        <f aca="false">[1]ВИБУЛО2!AP18</f>
        <v>0</v>
      </c>
      <c r="DQ26" s="97" t="n">
        <f aca="false">DQ25-DP26+DO26</f>
        <v>0</v>
      </c>
      <c r="DR26" s="95" t="n">
        <f aca="false">[1]НАДІЙШЛО2!AQ18</f>
        <v>0</v>
      </c>
      <c r="DS26" s="96" t="n">
        <f aca="false">[1]ВИБУЛО2!AQ18</f>
        <v>0</v>
      </c>
      <c r="DT26" s="97" t="n">
        <f aca="false">DT25-DS26+DR26</f>
        <v>0</v>
      </c>
      <c r="DU26" s="95" t="n">
        <f aca="false">[1]НАДІЙШЛО2!AR18</f>
        <v>0</v>
      </c>
      <c r="DV26" s="96" t="n">
        <f aca="false">[1]ВИБУЛО2!AR18</f>
        <v>0</v>
      </c>
      <c r="DW26" s="97" t="n">
        <f aca="false">DW25-DV26+DU26</f>
        <v>0</v>
      </c>
      <c r="DX26" s="95" t="n">
        <f aca="false">[1]НАДІЙШЛО2!AS18</f>
        <v>0</v>
      </c>
      <c r="DY26" s="96" t="n">
        <f aca="false">[1]ВИБУЛО2!AS18</f>
        <v>0</v>
      </c>
      <c r="DZ26" s="97" t="n">
        <f aca="false">DZ25-DY26+DX26</f>
        <v>0</v>
      </c>
      <c r="EA26" s="95" t="n">
        <f aca="false">[1]НАДІЙШЛО2!AT18</f>
        <v>0</v>
      </c>
      <c r="EB26" s="96" t="n">
        <f aca="false">[1]ВИБУЛО2!AT18</f>
        <v>0</v>
      </c>
      <c r="EC26" s="97" t="n">
        <f aca="false">EC25-EB26+EA26</f>
        <v>0</v>
      </c>
      <c r="ED26" s="95" t="n">
        <f aca="false">[1]НАДІЙШЛО2!AU18</f>
        <v>0</v>
      </c>
      <c r="EE26" s="96" t="n">
        <f aca="false">[1]ВИБУЛО2!AU18</f>
        <v>0</v>
      </c>
      <c r="EF26" s="97" t="n">
        <f aca="false">EF25-EE26+ED26</f>
        <v>0</v>
      </c>
      <c r="EG26" s="95" t="n">
        <f aca="false">[1]НАДІЙШЛО2!AV18</f>
        <v>0</v>
      </c>
      <c r="EH26" s="96" t="n">
        <f aca="false">[1]ВИБУЛО2!AV18</f>
        <v>0</v>
      </c>
      <c r="EI26" s="97" t="n">
        <f aca="false">EI25-EH26+EG26</f>
        <v>0</v>
      </c>
      <c r="EJ26" s="95" t="n">
        <f aca="false">[1]НАДІЙШЛО2!AW18</f>
        <v>0</v>
      </c>
      <c r="EK26" s="96" t="n">
        <f aca="false">[1]ВИБУЛО2!AW18</f>
        <v>0</v>
      </c>
      <c r="EL26" s="97" t="n">
        <f aca="false">EL25-EK26+EJ26</f>
        <v>0</v>
      </c>
      <c r="EM26" s="95" t="n">
        <f aca="false">[1]НАДІЙШЛО2!AX18</f>
        <v>0</v>
      </c>
      <c r="EN26" s="96" t="n">
        <f aca="false">[1]ВИБУЛО2!AX18</f>
        <v>0</v>
      </c>
      <c r="EO26" s="97" t="n">
        <f aca="false">EO25-EN26+EM26</f>
        <v>0</v>
      </c>
      <c r="EP26" s="95" t="n">
        <f aca="false">[1]НАДІЙШЛО2!AY18</f>
        <v>0</v>
      </c>
      <c r="EQ26" s="96" t="n">
        <f aca="false">[1]ВИБУЛО2!AY18</f>
        <v>0</v>
      </c>
      <c r="ER26" s="97" t="n">
        <f aca="false">ER25-EQ26+EP26</f>
        <v>0</v>
      </c>
      <c r="ES26" s="95" t="n">
        <f aca="false">[1]НАДІЙШЛО2!AZ18</f>
        <v>0</v>
      </c>
      <c r="ET26" s="96" t="n">
        <f aca="false">[1]ВИБУЛО2!AZ18</f>
        <v>0</v>
      </c>
      <c r="EU26" s="97" t="n">
        <f aca="false">EU25-ET26+ES26</f>
        <v>0</v>
      </c>
      <c r="EV26" s="95" t="n">
        <f aca="false">[1]НАДІЙШЛО2!BA18</f>
        <v>0</v>
      </c>
      <c r="EW26" s="96" t="n">
        <f aca="false">[1]ВИБУЛО2!BA18</f>
        <v>0</v>
      </c>
      <c r="EX26" s="97" t="n">
        <f aca="false">EX25-EW26+EV26</f>
        <v>0</v>
      </c>
      <c r="EY26" s="95" t="n">
        <f aca="false">[1]НАДІЙШЛО2!BB18</f>
        <v>0</v>
      </c>
      <c r="EZ26" s="96" t="n">
        <f aca="false">[1]ВИБУЛО2!BB18</f>
        <v>0</v>
      </c>
      <c r="FA26" s="97" t="n">
        <f aca="false">FA25-EZ26+EY26</f>
        <v>0</v>
      </c>
      <c r="FB26" s="95" t="n">
        <f aca="false">[1]НАДІЙШЛО2!BC18</f>
        <v>0</v>
      </c>
      <c r="FC26" s="96" t="n">
        <f aca="false">[1]ВИБУЛО2!BC18</f>
        <v>0</v>
      </c>
      <c r="FD26" s="97" t="n">
        <f aca="false">FD25-FC26+FB26</f>
        <v>0</v>
      </c>
      <c r="FE26" s="95" t="n">
        <f aca="false">[1]НАДІЙШЛО2!BD18</f>
        <v>0</v>
      </c>
      <c r="FF26" s="96" t="n">
        <f aca="false">[1]ВИБУЛО2!BD18</f>
        <v>0</v>
      </c>
      <c r="FG26" s="97" t="n">
        <f aca="false">FG25-FF26+FE26</f>
        <v>0</v>
      </c>
      <c r="FH26" s="95" t="n">
        <f aca="false">[1]НАДІЙШЛО2!BE18</f>
        <v>0</v>
      </c>
      <c r="FI26" s="96" t="n">
        <f aca="false">[1]ВИБУЛО2!BE18</f>
        <v>0</v>
      </c>
      <c r="FJ26" s="97" t="n">
        <f aca="false">FJ25-FI26+FH26</f>
        <v>0</v>
      </c>
      <c r="FK26" s="95" t="n">
        <f aca="false">[1]НАДІЙШЛО2!BF18</f>
        <v>0</v>
      </c>
      <c r="FL26" s="96" t="n">
        <f aca="false">[1]ВИБУЛО2!BF18</f>
        <v>0</v>
      </c>
      <c r="FM26" s="97" t="n">
        <f aca="false">FM25-FL26+FK26</f>
        <v>0</v>
      </c>
      <c r="FN26" s="95" t="n">
        <f aca="false">[1]НАДІЙШЛО2!BG18</f>
        <v>0</v>
      </c>
      <c r="FO26" s="96" t="n">
        <f aca="false">[1]ВИБУЛО2!BG18</f>
        <v>0</v>
      </c>
      <c r="FP26" s="97" t="n">
        <f aca="false">FP25-FO26+FN26</f>
        <v>0</v>
      </c>
      <c r="FQ26" s="95" t="n">
        <f aca="false">[1]НАДІЙШЛО2!BH18</f>
        <v>0</v>
      </c>
      <c r="FR26" s="96" t="n">
        <f aca="false">[1]ВИБУЛО2!BH18</f>
        <v>0</v>
      </c>
      <c r="FS26" s="97" t="n">
        <f aca="false">FS25-FR26+FQ26</f>
        <v>0</v>
      </c>
      <c r="FT26" s="95" t="n">
        <f aca="false">[1]НАДІЙШЛО2!BI18</f>
        <v>0</v>
      </c>
      <c r="FU26" s="96" t="n">
        <f aca="false">[1]ВИБУЛО2!BI18</f>
        <v>0</v>
      </c>
      <c r="FV26" s="97" t="n">
        <f aca="false">FV25-FU26+FT26</f>
        <v>0</v>
      </c>
      <c r="FW26" s="95" t="n">
        <f aca="false">[1]НАДІЙШЛО2!BJ18</f>
        <v>0</v>
      </c>
      <c r="FX26" s="96" t="n">
        <f aca="false">[1]ВИБУЛО2!BJ18</f>
        <v>0</v>
      </c>
      <c r="FY26" s="97" t="n">
        <f aca="false">FY25-FX26+FW26</f>
        <v>0</v>
      </c>
      <c r="FZ26" s="95" t="n">
        <f aca="false">[1]НАДІЙШЛО2!BK18</f>
        <v>0</v>
      </c>
      <c r="GA26" s="96" t="n">
        <f aca="false">[1]ВИБУЛО2!BK18</f>
        <v>0</v>
      </c>
      <c r="GB26" s="97" t="n">
        <f aca="false">GB25-GA26+FZ26</f>
        <v>0</v>
      </c>
      <c r="GC26" s="95" t="n">
        <f aca="false">[1]НАДІЙШЛО2!BL18</f>
        <v>0</v>
      </c>
      <c r="GD26" s="96" t="n">
        <f aca="false">[1]ВИБУЛО2!BL18</f>
        <v>0</v>
      </c>
      <c r="GE26" s="97" t="n">
        <f aca="false">GE25-GD26+GC26</f>
        <v>0</v>
      </c>
      <c r="GF26" s="95" t="n">
        <f aca="false">[1]НАДІЙШЛО2!BM18</f>
        <v>0</v>
      </c>
      <c r="GG26" s="96" t="n">
        <f aca="false">[1]ВИБУЛО2!BM18</f>
        <v>0</v>
      </c>
      <c r="GH26" s="97" t="n">
        <f aca="false">GH25-GG26+GF26</f>
        <v>0</v>
      </c>
      <c r="GI26" s="95" t="n">
        <f aca="false">[1]НАДІЙШЛО2!BN18</f>
        <v>0</v>
      </c>
      <c r="GJ26" s="96" t="n">
        <f aca="false">[1]ВИБУЛО2!BN18</f>
        <v>0</v>
      </c>
      <c r="GK26" s="97" t="n">
        <f aca="false">GK25-GJ26+GI26</f>
        <v>0</v>
      </c>
      <c r="GL26" s="95" t="n">
        <f aca="false">[1]НАДІЙШЛО2!BO18</f>
        <v>0</v>
      </c>
      <c r="GM26" s="96" t="n">
        <f aca="false">[1]ВИБУЛО2!BO18</f>
        <v>0</v>
      </c>
      <c r="GN26" s="97" t="n">
        <f aca="false">GN25-GM26+GL26</f>
        <v>0</v>
      </c>
      <c r="GO26" s="95" t="n">
        <f aca="false">[1]НАДІЙШЛО2!BP18</f>
        <v>0</v>
      </c>
      <c r="GP26" s="96" t="n">
        <f aca="false">[1]ВИБУЛО2!BP18</f>
        <v>0</v>
      </c>
      <c r="GQ26" s="97" t="n">
        <f aca="false">GQ25-GP26+GO26</f>
        <v>0</v>
      </c>
      <c r="GR26" s="95" t="n">
        <f aca="false">[1]НАДІЙШЛО2!BQ18</f>
        <v>0</v>
      </c>
      <c r="GS26" s="96" t="n">
        <f aca="false">[1]ВИБУЛО2!BQ18</f>
        <v>0</v>
      </c>
      <c r="GT26" s="97" t="n">
        <f aca="false">GT25-GS26+GR26</f>
        <v>0</v>
      </c>
      <c r="GU26" s="95" t="n">
        <f aca="false">[1]НАДІЙШЛО2!BR18</f>
        <v>0</v>
      </c>
      <c r="GV26" s="96" t="n">
        <f aca="false">[1]ВИБУЛО2!BR18</f>
        <v>0</v>
      </c>
      <c r="GW26" s="97" t="n">
        <f aca="false">GW25-GV26+GU26</f>
        <v>0</v>
      </c>
      <c r="GX26" s="95" t="n">
        <f aca="false">[1]НАДІЙШЛО2!BS18</f>
        <v>0</v>
      </c>
      <c r="GY26" s="96" t="n">
        <f aca="false">[1]ВИБУЛО2!BS18</f>
        <v>0</v>
      </c>
      <c r="GZ26" s="97" t="n">
        <f aca="false">GZ25-GY26+GX26</f>
        <v>0</v>
      </c>
      <c r="HA26" s="95" t="n">
        <f aca="false">[1]НАДІЙШЛО2!BT18</f>
        <v>0</v>
      </c>
      <c r="HB26" s="96" t="n">
        <f aca="false">[1]ВИБУЛО2!BT18</f>
        <v>0</v>
      </c>
      <c r="HC26" s="97" t="n">
        <f aca="false">HC25-HB26+HA26</f>
        <v>0</v>
      </c>
      <c r="HD26" s="95" t="n">
        <f aca="false">[1]НАДІЙШЛО2!BU18</f>
        <v>0</v>
      </c>
      <c r="HE26" s="96" t="n">
        <f aca="false">[1]ВИБУЛО2!BU18</f>
        <v>0</v>
      </c>
      <c r="HF26" s="97" t="n">
        <f aca="false">HF25-HE26+HD26</f>
        <v>0</v>
      </c>
      <c r="HG26" s="95" t="n">
        <f aca="false">[1]НАДІЙШЛО2!BV18</f>
        <v>0</v>
      </c>
      <c r="HH26" s="96" t="n">
        <f aca="false">[1]ВИБУЛО2!BV18</f>
        <v>0</v>
      </c>
      <c r="HI26" s="97" t="n">
        <f aca="false">HI25-HH26+HG26</f>
        <v>0</v>
      </c>
      <c r="HJ26" s="95" t="n">
        <f aca="false">[1]НАДІЙШЛО2!BW18</f>
        <v>0</v>
      </c>
      <c r="HK26" s="96" t="n">
        <f aca="false">[1]ВИБУЛО2!BW18</f>
        <v>0</v>
      </c>
      <c r="HL26" s="97" t="n">
        <f aca="false">HL25-HK26+HJ26</f>
        <v>0</v>
      </c>
      <c r="HM26" s="95" t="n">
        <f aca="false">[1]НАДІЙШЛО2!BX18</f>
        <v>0</v>
      </c>
      <c r="HN26" s="96" t="n">
        <f aca="false">[1]ВИБУЛО2!BX18</f>
        <v>0</v>
      </c>
      <c r="HO26" s="97" t="n">
        <f aca="false">HO25-HN26+HM26</f>
        <v>0</v>
      </c>
      <c r="HP26" s="95" t="n">
        <f aca="false">[1]НАДІЙШЛО2!BY18</f>
        <v>0</v>
      </c>
      <c r="HQ26" s="96" t="n">
        <f aca="false">[1]ВИБУЛО2!BY18</f>
        <v>0</v>
      </c>
      <c r="HR26" s="97" t="n">
        <f aca="false">HR25-HQ26+HP26</f>
        <v>0</v>
      </c>
      <c r="HS26" s="95" t="n">
        <f aca="false">[1]НАДІЙШЛО2!BZ18</f>
        <v>0</v>
      </c>
      <c r="HT26" s="96" t="n">
        <f aca="false">[1]ВИБУЛО2!BZ18</f>
        <v>0</v>
      </c>
      <c r="HU26" s="97" t="n">
        <f aca="false">HU25-HT26+HS26</f>
        <v>0</v>
      </c>
      <c r="HV26" s="95" t="n">
        <f aca="false">[1]НАДІЙШЛО2!CA18</f>
        <v>0</v>
      </c>
      <c r="HW26" s="96" t="n">
        <f aca="false">[1]ВИБУЛО2!CA18</f>
        <v>0</v>
      </c>
      <c r="HX26" s="97" t="n">
        <f aca="false">HX25-HW26+HV26</f>
        <v>0</v>
      </c>
      <c r="HY26" s="95" t="n">
        <f aca="false">[1]НАДІЙШЛО2!CB18</f>
        <v>0</v>
      </c>
      <c r="HZ26" s="96" t="n">
        <f aca="false">[1]ВИБУЛО2!CB18</f>
        <v>0</v>
      </c>
      <c r="IA26" s="97" t="n">
        <f aca="false">IA25-HZ26+HY26</f>
        <v>0</v>
      </c>
      <c r="IB26" s="95" t="n">
        <f aca="false">[1]НАДІЙШЛО2!CC18</f>
        <v>0</v>
      </c>
      <c r="IC26" s="96" t="n">
        <f aca="false">[1]ВИБУЛО2!CC18</f>
        <v>0</v>
      </c>
      <c r="ID26" s="97" t="n">
        <f aca="false">ID25-IC26+IB26</f>
        <v>0</v>
      </c>
      <c r="IE26" s="95" t="n">
        <f aca="false">[1]НАДІЙШЛО2!CD18</f>
        <v>0</v>
      </c>
      <c r="IF26" s="96" t="n">
        <f aca="false">[1]ВИБУЛО2!CD18</f>
        <v>0</v>
      </c>
      <c r="IG26" s="97" t="n">
        <f aca="false">IG25-IF26+IE26</f>
        <v>0</v>
      </c>
      <c r="IH26" s="95" t="n">
        <f aca="false">[1]НАДІЙШЛО2!CE18</f>
        <v>0</v>
      </c>
      <c r="II26" s="96" t="n">
        <f aca="false">[1]ВИБУЛО2!CE18</f>
        <v>0</v>
      </c>
      <c r="IJ26" s="97" t="n">
        <f aca="false">IJ25-II26+IH26</f>
        <v>0</v>
      </c>
      <c r="IK26" s="95" t="n">
        <f aca="false">[1]НАДІЙШЛО2!CF18</f>
        <v>0</v>
      </c>
      <c r="IL26" s="96" t="n">
        <f aca="false">[1]ВИБУЛО2!CF18</f>
        <v>0</v>
      </c>
      <c r="IM26" s="97" t="n">
        <f aca="false">IM25-IL26+IK26</f>
        <v>0</v>
      </c>
      <c r="IN26" s="95" t="n">
        <f aca="false">[1]НАДІЙШЛО2!CG18</f>
        <v>0</v>
      </c>
      <c r="IO26" s="96" t="n">
        <f aca="false">[1]ВИБУЛО2!CG18</f>
        <v>0</v>
      </c>
      <c r="IP26" s="97" t="n">
        <f aca="false">IP25-IO26+IN26</f>
        <v>0</v>
      </c>
      <c r="IQ26" s="95" t="n">
        <f aca="false">[1]НАДІЙШЛО2!CH18</f>
        <v>0</v>
      </c>
      <c r="IR26" s="96" t="n">
        <f aca="false">[1]ВИБУЛО2!CH18</f>
        <v>0</v>
      </c>
      <c r="IS26" s="97" t="n">
        <f aca="false">IS25-IR26+IQ26</f>
        <v>0</v>
      </c>
      <c r="IT26" s="95" t="n">
        <f aca="false">[1]НАДІЙШЛО2!CI18</f>
        <v>0</v>
      </c>
      <c r="IU26" s="96" t="n">
        <f aca="false">[1]ВИБУЛО2!CI18</f>
        <v>0</v>
      </c>
      <c r="IV26" s="97" t="n">
        <f aca="false">IV25-IU26+IT26</f>
        <v>0</v>
      </c>
      <c r="IW26" s="95" t="n">
        <f aca="false">[1]НАДІЙШЛО2!CJ18</f>
        <v>0</v>
      </c>
      <c r="IX26" s="96" t="n">
        <f aca="false">[1]ВИБУЛО2!CJ18</f>
        <v>0</v>
      </c>
      <c r="IY26" s="97" t="n">
        <f aca="false">IY25-IX26+IW26</f>
        <v>0</v>
      </c>
      <c r="IZ26" s="95" t="n">
        <f aca="false">[1]НАДІЙШЛО2!CK18</f>
        <v>0</v>
      </c>
      <c r="JA26" s="96" t="n">
        <f aca="false">[1]ВИБУЛО2!CK18</f>
        <v>0</v>
      </c>
      <c r="JB26" s="97" t="n">
        <f aca="false">JB25-JA26+IZ26</f>
        <v>0</v>
      </c>
      <c r="JC26" s="95" t="n">
        <f aca="false">[1]НАДІЙШЛО2!CL18</f>
        <v>0</v>
      </c>
      <c r="JD26" s="96" t="n">
        <f aca="false">[1]ВИБУЛО2!CL18</f>
        <v>0</v>
      </c>
      <c r="JE26" s="97" t="n">
        <f aca="false">JE25-JD26+JC26</f>
        <v>0</v>
      </c>
      <c r="JF26" s="95" t="n">
        <f aca="false">[1]НАДІЙШЛО2!CM18</f>
        <v>0</v>
      </c>
      <c r="JG26" s="96" t="n">
        <f aca="false">[1]ВИБУЛО2!CM18</f>
        <v>0</v>
      </c>
      <c r="JH26" s="97" t="n">
        <f aca="false">JH25-JG26+JF26</f>
        <v>0</v>
      </c>
      <c r="JI26" s="95" t="n">
        <f aca="false">[1]НАДІЙШЛО2!CN18</f>
        <v>0</v>
      </c>
      <c r="JJ26" s="96" t="n">
        <f aca="false">[1]ВИБУЛО2!CN18</f>
        <v>0</v>
      </c>
      <c r="JK26" s="97" t="n">
        <f aca="false">JK25-JJ26+JI26</f>
        <v>0</v>
      </c>
      <c r="JL26" s="95" t="n">
        <f aca="false">[1]НАДІЙШЛО2!CO18</f>
        <v>0</v>
      </c>
      <c r="JM26" s="96" t="n">
        <f aca="false">[1]ВИБУЛО2!CO18</f>
        <v>0</v>
      </c>
      <c r="JN26" s="97" t="n">
        <f aca="false">JN25-JM26+JL26</f>
        <v>0</v>
      </c>
      <c r="JO26" s="95" t="n">
        <f aca="false">[1]НАДІЙШЛО2!CP18</f>
        <v>0</v>
      </c>
      <c r="JP26" s="96" t="n">
        <f aca="false">[1]ВИБУЛО2!CP18</f>
        <v>0</v>
      </c>
      <c r="JQ26" s="97" t="n">
        <f aca="false">JQ25-JP26+JO26</f>
        <v>0</v>
      </c>
      <c r="JR26" s="95" t="n">
        <f aca="false">[1]НАДІЙШЛО2!CQ18</f>
        <v>0</v>
      </c>
      <c r="JS26" s="96" t="n">
        <f aca="false">[1]ВИБУЛО2!CQ18</f>
        <v>0</v>
      </c>
      <c r="JT26" s="97" t="n">
        <f aca="false">JT25-JS26+JR26</f>
        <v>0</v>
      </c>
      <c r="JU26" s="95" t="n">
        <f aca="false">[1]НАДІЙШЛО2!CR18</f>
        <v>0</v>
      </c>
      <c r="JV26" s="96" t="n">
        <f aca="false">[1]ВИБУЛО2!CR18</f>
        <v>0</v>
      </c>
      <c r="JW26" s="97" t="n">
        <f aca="false">JW25-JV26+JU26</f>
        <v>0</v>
      </c>
      <c r="JX26" s="95" t="n">
        <f aca="false">[1]НАДІЙШЛО2!CS18</f>
        <v>0</v>
      </c>
      <c r="JY26" s="96" t="n">
        <f aca="false">[1]ВИБУЛО2!CS18</f>
        <v>0</v>
      </c>
      <c r="JZ26" s="97" t="n">
        <f aca="false">JZ25-JY26+JX26</f>
        <v>0</v>
      </c>
      <c r="KA26" s="95" t="n">
        <f aca="false">[1]НАДІЙШЛО2!CT18</f>
        <v>0</v>
      </c>
      <c r="KB26" s="96" t="n">
        <f aca="false">[1]ВИБУЛО2!CT18</f>
        <v>0</v>
      </c>
      <c r="KC26" s="97" t="n">
        <f aca="false">KC25-KB26+KA26</f>
        <v>0</v>
      </c>
      <c r="KD26" s="95" t="n">
        <f aca="false">[1]НАДІЙШЛО2!CU18</f>
        <v>0</v>
      </c>
      <c r="KE26" s="96" t="n">
        <f aca="false">[1]ВИБУЛО2!CU18</f>
        <v>0</v>
      </c>
      <c r="KF26" s="97" t="n">
        <f aca="false">KF25-KE26+KD26</f>
        <v>0</v>
      </c>
      <c r="KG26" s="95" t="n">
        <f aca="false">[1]НАДІЙШЛО2!CV18</f>
        <v>0</v>
      </c>
      <c r="KH26" s="96" t="n">
        <f aca="false">[1]ВИБУЛО2!CV18</f>
        <v>0</v>
      </c>
      <c r="KI26" s="97" t="n">
        <f aca="false">KI25-KH26+KG26</f>
        <v>0</v>
      </c>
      <c r="KJ26" s="95" t="n">
        <f aca="false">[1]НАДІЙШЛО2!CW18</f>
        <v>0</v>
      </c>
      <c r="KK26" s="96" t="n">
        <f aca="false">[1]ВИБУЛО2!CW18</f>
        <v>0</v>
      </c>
      <c r="KL26" s="97" t="n">
        <f aca="false">KL25-KK26+KJ26</f>
        <v>0</v>
      </c>
      <c r="KM26" s="95" t="n">
        <f aca="false">[1]НАДІЙШЛО2!CX18</f>
        <v>0</v>
      </c>
      <c r="KN26" s="96" t="n">
        <f aca="false">[1]ВИБУЛО2!CX18</f>
        <v>0</v>
      </c>
      <c r="KO26" s="97" t="n">
        <f aca="false">KO25-KN26+KM26</f>
        <v>0</v>
      </c>
      <c r="KP26" s="95" t="n">
        <f aca="false">[1]НАДІЙШЛО2!CY18</f>
        <v>0</v>
      </c>
      <c r="KQ26" s="96" t="n">
        <f aca="false">[1]ВИБУЛО2!CY18</f>
        <v>0</v>
      </c>
      <c r="KR26" s="97" t="n">
        <f aca="false">KR25-KQ26+KP26</f>
        <v>0</v>
      </c>
      <c r="KS26" s="95" t="n">
        <f aca="false">[1]НАДІЙШЛО2!CZ18</f>
        <v>0</v>
      </c>
      <c r="KT26" s="96" t="n">
        <f aca="false">[1]ВИБУЛО2!CZ18</f>
        <v>0</v>
      </c>
      <c r="KU26" s="97" t="n">
        <f aca="false">KU25-KT26+KS26</f>
        <v>0</v>
      </c>
      <c r="KV26" s="95" t="n">
        <f aca="false">[1]НАДІЙШЛО2!DA18</f>
        <v>0</v>
      </c>
      <c r="KW26" s="96" t="n">
        <f aca="false">[1]ВИБУЛО2!DA18</f>
        <v>0</v>
      </c>
      <c r="KX26" s="97" t="n">
        <f aca="false">KX25-KW26+KV26</f>
        <v>0</v>
      </c>
      <c r="KY26" s="95" t="n">
        <f aca="false">[1]НАДІЙШЛО2!DB18</f>
        <v>0</v>
      </c>
      <c r="KZ26" s="96" t="n">
        <f aca="false">[1]ВИБУЛО2!DB18</f>
        <v>0</v>
      </c>
      <c r="LA26" s="97" t="n">
        <f aca="false">LA25-KZ26+KY26</f>
        <v>0</v>
      </c>
      <c r="LB26" s="95" t="n">
        <f aca="false">[1]НАДІЙШЛО2!DC18</f>
        <v>0</v>
      </c>
      <c r="LC26" s="96" t="n">
        <f aca="false">[1]ВИБУЛО2!DC18</f>
        <v>0</v>
      </c>
      <c r="LD26" s="97" t="n">
        <f aca="false">LD25-LC26+LB26</f>
        <v>0</v>
      </c>
      <c r="LE26" s="95" t="n">
        <f aca="false">[1]НАДІЙШЛО2!DD18</f>
        <v>0</v>
      </c>
      <c r="LF26" s="96" t="n">
        <f aca="false">[1]ВИБУЛО2!DD18</f>
        <v>0</v>
      </c>
      <c r="LG26" s="97" t="n">
        <f aca="false">LG25-LF26+LE26</f>
        <v>0</v>
      </c>
      <c r="LH26" s="95" t="n">
        <f aca="false">[1]НАДІЙШЛО2!DE18</f>
        <v>0</v>
      </c>
      <c r="LI26" s="96" t="n">
        <f aca="false">[1]ВИБУЛО2!DE18</f>
        <v>0</v>
      </c>
      <c r="LJ26" s="97" t="n">
        <f aca="false">LJ25-LI26+LH26</f>
        <v>0</v>
      </c>
      <c r="LK26" s="95" t="n">
        <f aca="false">[1]НАДІЙШЛО2!DF18</f>
        <v>0</v>
      </c>
      <c r="LL26" s="96" t="n">
        <f aca="false">[1]ВИБУЛО2!DF18</f>
        <v>0</v>
      </c>
      <c r="LM26" s="97" t="n">
        <f aca="false">LM25-LL26+LK26</f>
        <v>0</v>
      </c>
      <c r="LN26" s="95" t="n">
        <f aca="false">[1]НАДІЙШЛО2!DG18</f>
        <v>0</v>
      </c>
      <c r="LO26" s="96" t="n">
        <f aca="false">[1]ВИБУЛО2!DG18</f>
        <v>0</v>
      </c>
      <c r="LP26" s="97" t="n">
        <f aca="false">LP25-LO26+LN26</f>
        <v>0</v>
      </c>
      <c r="LQ26" s="95" t="n">
        <f aca="false">[1]НАДІЙШЛО2!DH18</f>
        <v>0</v>
      </c>
      <c r="LR26" s="96" t="n">
        <f aca="false">[1]ВИБУЛО2!DH18</f>
        <v>0</v>
      </c>
      <c r="LS26" s="97" t="n">
        <f aca="false">LS25-LR26+LQ26</f>
        <v>0</v>
      </c>
      <c r="LT26" s="95" t="n">
        <f aca="false">[1]НАДІЙШЛО2!DI18</f>
        <v>0</v>
      </c>
      <c r="LU26" s="96" t="n">
        <f aca="false">[1]ВИБУЛО2!DI18</f>
        <v>0</v>
      </c>
      <c r="LV26" s="97" t="n">
        <f aca="false">LV25-LU26+LT26</f>
        <v>0</v>
      </c>
      <c r="LW26" s="95" t="n">
        <f aca="false">[1]НАДІЙШЛО2!DJ18</f>
        <v>0</v>
      </c>
      <c r="LX26" s="96" t="n">
        <f aca="false">[1]ВИБУЛО2!DJ18</f>
        <v>0</v>
      </c>
      <c r="LY26" s="97" t="n">
        <f aca="false">LY25-LX26+LW26</f>
        <v>0</v>
      </c>
      <c r="LZ26" s="95" t="n">
        <f aca="false">[1]НАДІЙШЛО2!DK18</f>
        <v>0</v>
      </c>
      <c r="MA26" s="96" t="n">
        <f aca="false">[1]ВИБУЛО2!DK18</f>
        <v>0</v>
      </c>
      <c r="MB26" s="97" t="n">
        <f aca="false">MB25-MA26+LZ26</f>
        <v>0</v>
      </c>
      <c r="MC26" s="95" t="n">
        <f aca="false">[1]НАДІЙШЛО2!DL18</f>
        <v>0</v>
      </c>
      <c r="MD26" s="96" t="n">
        <f aca="false">[1]ВИБУЛО2!DL18</f>
        <v>0</v>
      </c>
      <c r="ME26" s="97" t="n">
        <f aca="false">ME25-MD26+MC26</f>
        <v>0</v>
      </c>
      <c r="MF26" s="95" t="n">
        <f aca="false">[1]НАДІЙШЛО2!DM18</f>
        <v>0</v>
      </c>
      <c r="MG26" s="96" t="n">
        <f aca="false">[1]ВИБУЛО2!DM18</f>
        <v>0</v>
      </c>
      <c r="MH26" s="97" t="n">
        <f aca="false">MH25-MG26+MF26</f>
        <v>0</v>
      </c>
      <c r="MI26" s="95" t="n">
        <f aca="false">[1]НАДІЙШЛО2!DN18</f>
        <v>0</v>
      </c>
      <c r="MJ26" s="96" t="n">
        <f aca="false">[1]ВИБУЛО2!DN18</f>
        <v>0</v>
      </c>
      <c r="MK26" s="97" t="n">
        <f aca="false">MK25-MJ26+MI26</f>
        <v>0</v>
      </c>
      <c r="ML26" s="95" t="n">
        <f aca="false">[1]НАДІЙШЛО2!DO18</f>
        <v>0</v>
      </c>
      <c r="MM26" s="96" t="n">
        <f aca="false">[1]ВИБУЛО2!DO18</f>
        <v>0</v>
      </c>
      <c r="MN26" s="97" t="n">
        <f aca="false">MN25-MM26+ML26</f>
        <v>0</v>
      </c>
      <c r="MO26" s="95" t="n">
        <f aca="false">[1]НАДІЙШЛО2!DP18</f>
        <v>0</v>
      </c>
      <c r="MP26" s="96" t="n">
        <f aca="false">[1]ВИБУЛО2!DP18</f>
        <v>0</v>
      </c>
      <c r="MQ26" s="97" t="n">
        <f aca="false">MQ25-MP26+MO26</f>
        <v>0</v>
      </c>
      <c r="MR26" s="95" t="n">
        <f aca="false">[1]НАДІЙШЛО2!DQ18</f>
        <v>0</v>
      </c>
      <c r="MS26" s="96" t="n">
        <f aca="false">[1]ВИБУЛО2!DQ18</f>
        <v>0</v>
      </c>
      <c r="MT26" s="97" t="n">
        <f aca="false">MT25-MS26+MR26</f>
        <v>0</v>
      </c>
      <c r="MU26" s="95" t="n">
        <f aca="false">[1]НАДІЙШЛО2!DR18</f>
        <v>0</v>
      </c>
      <c r="MV26" s="96" t="n">
        <f aca="false">[1]ВИБУЛО2!DR18</f>
        <v>0</v>
      </c>
      <c r="MW26" s="97" t="n">
        <f aca="false">MW25-MV26+MU26</f>
        <v>0</v>
      </c>
      <c r="MX26" s="95" t="n">
        <f aca="false">[1]НАДІЙШЛО2!DS18</f>
        <v>0</v>
      </c>
      <c r="MY26" s="96" t="n">
        <f aca="false">[1]ВИБУЛО2!DS18</f>
        <v>0</v>
      </c>
      <c r="MZ26" s="97" t="n">
        <f aca="false">MZ25-MY26+MX26</f>
        <v>0</v>
      </c>
      <c r="NA26" s="95" t="n">
        <f aca="false">[1]НАДІЙШЛО2!DT18</f>
        <v>0</v>
      </c>
      <c r="NB26" s="96" t="n">
        <f aca="false">[1]ВИБУЛО2!DT18</f>
        <v>0</v>
      </c>
      <c r="NC26" s="97" t="n">
        <f aca="false">NC25-NB26+NA26</f>
        <v>0</v>
      </c>
      <c r="ND26" s="95" t="n">
        <f aca="false">[1]НАДІЙШЛО2!DU18</f>
        <v>0</v>
      </c>
      <c r="NE26" s="96" t="n">
        <f aca="false">[1]ВИБУЛО2!DU18</f>
        <v>0</v>
      </c>
      <c r="NF26" s="97" t="n">
        <f aca="false">NF25-NE26+ND26</f>
        <v>0</v>
      </c>
      <c r="NG26" s="95" t="n">
        <f aca="false">[1]НАДІЙШЛО2!DV18</f>
        <v>0</v>
      </c>
      <c r="NH26" s="96" t="n">
        <f aca="false">[1]ВИБУЛО2!DV18</f>
        <v>0</v>
      </c>
      <c r="NI26" s="97" t="n">
        <f aca="false">NI25-NH26+NG26</f>
        <v>0</v>
      </c>
      <c r="NJ26" s="95" t="n">
        <f aca="false">[1]НАДІЙШЛО2!DW18</f>
        <v>0</v>
      </c>
      <c r="NK26" s="96" t="n">
        <f aca="false">[1]ВИБУЛО2!DW18</f>
        <v>0</v>
      </c>
      <c r="NL26" s="97" t="n">
        <f aca="false">NL25-NK26+NJ26</f>
        <v>0</v>
      </c>
      <c r="NM26" s="95" t="n">
        <f aca="false">[1]НАДІЙШЛО2!DX18</f>
        <v>0</v>
      </c>
      <c r="NN26" s="96" t="n">
        <f aca="false">[1]ВИБУЛО2!DX18</f>
        <v>0</v>
      </c>
      <c r="NO26" s="97" t="n">
        <f aca="false">NO25-NN26+NM26</f>
        <v>0</v>
      </c>
      <c r="NP26" s="95" t="n">
        <f aca="false">[1]НАДІЙШЛО2!DY18</f>
        <v>0</v>
      </c>
      <c r="NQ26" s="96" t="n">
        <f aca="false">[1]ВИБУЛО2!DY18</f>
        <v>0</v>
      </c>
      <c r="NR26" s="97" t="n">
        <f aca="false">NR25-NQ26+NP26</f>
        <v>0</v>
      </c>
      <c r="NS26" s="95" t="n">
        <f aca="false">[1]НАДІЙШЛО2!DZ18</f>
        <v>0</v>
      </c>
      <c r="NT26" s="96" t="n">
        <f aca="false">[1]ВИБУЛО2!DZ18</f>
        <v>0</v>
      </c>
      <c r="NU26" s="97" t="n">
        <f aca="false">NU25-NT26+NS26</f>
        <v>0</v>
      </c>
      <c r="NV26" s="95" t="n">
        <f aca="false">[1]НАДІЙШЛО2!EA18</f>
        <v>0</v>
      </c>
      <c r="NW26" s="96" t="n">
        <f aca="false">[1]ВИБУЛО2!EA18</f>
        <v>0</v>
      </c>
      <c r="NX26" s="97" t="n">
        <f aca="false">NX25-NW26+NV26</f>
        <v>0</v>
      </c>
      <c r="NY26" s="95" t="n">
        <f aca="false">[1]НАДІЙШЛО2!EB18</f>
        <v>0</v>
      </c>
      <c r="NZ26" s="96" t="n">
        <f aca="false">[1]ВИБУЛО2!EB18</f>
        <v>0</v>
      </c>
      <c r="OA26" s="97" t="n">
        <f aca="false">OA25-NZ26+NY26</f>
        <v>0</v>
      </c>
      <c r="OB26" s="95" t="n">
        <f aca="false">[1]НАДІЙШЛО2!EC18</f>
        <v>0</v>
      </c>
      <c r="OC26" s="96" t="n">
        <f aca="false">[1]ВИБУЛО2!EC18</f>
        <v>0</v>
      </c>
      <c r="OD26" s="97" t="n">
        <f aca="false">OD25-OC26+OB26</f>
        <v>0</v>
      </c>
      <c r="OE26" s="95" t="n">
        <f aca="false">[1]НАДІЙШЛО2!ED18</f>
        <v>0</v>
      </c>
      <c r="OF26" s="96" t="n">
        <f aca="false">[1]ВИБУЛО2!ED18</f>
        <v>0</v>
      </c>
      <c r="OG26" s="97" t="n">
        <f aca="false">OG25-OF26+OE26</f>
        <v>0</v>
      </c>
      <c r="OH26" s="95" t="n">
        <f aca="false">[1]НАДІЙШЛО2!EE18</f>
        <v>0</v>
      </c>
      <c r="OI26" s="96" t="n">
        <f aca="false">[1]ВИБУЛО2!EE18</f>
        <v>0</v>
      </c>
      <c r="OJ26" s="97" t="n">
        <f aca="false">OJ25-OI26+OH26</f>
        <v>0</v>
      </c>
      <c r="OK26" s="95" t="n">
        <f aca="false">[1]НАДІЙШЛО2!EF18</f>
        <v>0</v>
      </c>
      <c r="OL26" s="96" t="n">
        <f aca="false">[1]ВИБУЛО2!EF18</f>
        <v>0</v>
      </c>
      <c r="OM26" s="97" t="n">
        <f aca="false">OM25-OL26+OK26</f>
        <v>0</v>
      </c>
      <c r="ON26" s="95" t="n">
        <f aca="false">[1]НАДІЙШЛО2!EG18</f>
        <v>0</v>
      </c>
      <c r="OO26" s="96" t="n">
        <f aca="false">[1]ВИБУЛО2!EG18</f>
        <v>0</v>
      </c>
      <c r="OP26" s="97" t="n">
        <f aca="false">OP25-OO26+ON26</f>
        <v>0</v>
      </c>
      <c r="OQ26" s="95" t="n">
        <f aca="false">[1]НАДІЙШЛО2!EH18</f>
        <v>0</v>
      </c>
      <c r="OR26" s="96" t="n">
        <f aca="false">[1]ВИБУЛО2!EH18</f>
        <v>0</v>
      </c>
      <c r="OS26" s="97" t="n">
        <f aca="false">OS25-OR26+OQ26</f>
        <v>0</v>
      </c>
      <c r="OT26" s="95" t="n">
        <f aca="false">[1]НАДІЙШЛО2!EI18</f>
        <v>0</v>
      </c>
      <c r="OU26" s="96" t="n">
        <f aca="false">[1]ВИБУЛО2!EI18</f>
        <v>0</v>
      </c>
      <c r="OV26" s="97" t="n">
        <f aca="false">OV25-OU26+OT26</f>
        <v>0</v>
      </c>
      <c r="OW26" s="95" t="n">
        <f aca="false">[1]НАДІЙШЛО2!EJ18</f>
        <v>0</v>
      </c>
      <c r="OX26" s="96" t="n">
        <f aca="false">[1]ВИБУЛО2!EJ18</f>
        <v>0</v>
      </c>
      <c r="OY26" s="97" t="n">
        <f aca="false">OY25-OX26+OW26</f>
        <v>0</v>
      </c>
      <c r="OZ26" s="95" t="n">
        <f aca="false">[1]НАДІЙШЛО2!EK18</f>
        <v>0</v>
      </c>
      <c r="PA26" s="96" t="n">
        <f aca="false">[1]ВИБУЛО2!EK18</f>
        <v>0</v>
      </c>
      <c r="PB26" s="97" t="n">
        <f aca="false">PB25-PA26+OZ26</f>
        <v>0</v>
      </c>
      <c r="PC26" s="95" t="n">
        <f aca="false">[1]НАДІЙШЛО2!EL18</f>
        <v>0</v>
      </c>
      <c r="PD26" s="96" t="n">
        <f aca="false">[1]ВИБУЛО2!EL18</f>
        <v>0</v>
      </c>
      <c r="PE26" s="97" t="n">
        <f aca="false">PE25-PD26+PC26</f>
        <v>0</v>
      </c>
      <c r="PF26" s="95" t="n">
        <f aca="false">[1]НАДІЙШЛО2!EM18</f>
        <v>0</v>
      </c>
      <c r="PG26" s="96" t="n">
        <f aca="false">[1]ВИБУЛО2!EM18</f>
        <v>0</v>
      </c>
      <c r="PH26" s="97" t="n">
        <f aca="false">PH25-PG26+PF26</f>
        <v>0</v>
      </c>
      <c r="PI26" s="95" t="n">
        <f aca="false">[1]НАДІЙШЛО2!EN18</f>
        <v>0</v>
      </c>
      <c r="PJ26" s="96" t="n">
        <f aca="false">[1]ВИБУЛО2!EN18</f>
        <v>0</v>
      </c>
      <c r="PK26" s="97" t="n">
        <f aca="false">PK25-PJ26+PI26</f>
        <v>0</v>
      </c>
      <c r="PL26" s="95" t="n">
        <f aca="false">[1]НАДІЙШЛО2!EO18</f>
        <v>0</v>
      </c>
      <c r="PM26" s="96" t="n">
        <f aca="false">[1]ВИБУЛО2!EO18</f>
        <v>0</v>
      </c>
      <c r="PN26" s="97" t="n">
        <f aca="false">PN25-PM26+PL26</f>
        <v>0</v>
      </c>
      <c r="PO26" s="95" t="n">
        <f aca="false">[1]НАДІЙШЛО2!EP18</f>
        <v>0</v>
      </c>
      <c r="PP26" s="96" t="n">
        <f aca="false">[1]ВИБУЛО2!EP18</f>
        <v>0</v>
      </c>
      <c r="PQ26" s="97" t="n">
        <f aca="false">PQ25-PP26+PO26</f>
        <v>0</v>
      </c>
      <c r="PR26" s="95" t="n">
        <f aca="false">[1]НАДІЙШЛО2!EQ18</f>
        <v>0</v>
      </c>
      <c r="PS26" s="96" t="n">
        <f aca="false">[1]ВИБУЛО2!EQ18</f>
        <v>0</v>
      </c>
      <c r="PT26" s="97" t="n">
        <f aca="false">PT25-PS26+PR26</f>
        <v>0</v>
      </c>
      <c r="PU26" s="95" t="n">
        <f aca="false">[1]НАДІЙШЛО2!ER18</f>
        <v>0</v>
      </c>
      <c r="PV26" s="96" t="n">
        <f aca="false">[1]ВИБУЛО2!ER18</f>
        <v>0</v>
      </c>
      <c r="PW26" s="97" t="n">
        <f aca="false">PW25-PV26+PU26</f>
        <v>0</v>
      </c>
      <c r="PX26" s="95" t="n">
        <f aca="false">[1]НАДІЙШЛО2!ES18</f>
        <v>0</v>
      </c>
      <c r="PY26" s="96" t="n">
        <f aca="false">[1]ВИБУЛО2!ES18</f>
        <v>0</v>
      </c>
      <c r="PZ26" s="97" t="n">
        <f aca="false">PZ25-PY26+PX26</f>
        <v>0</v>
      </c>
      <c r="QA26" s="95" t="n">
        <f aca="false">[1]НАДІЙШЛО2!ET18</f>
        <v>0</v>
      </c>
      <c r="QB26" s="96" t="n">
        <f aca="false">[1]ВИБУЛО2!ET18</f>
        <v>0</v>
      </c>
      <c r="QC26" s="97" t="n">
        <f aca="false">QC25-QB26+QA26</f>
        <v>0</v>
      </c>
      <c r="QD26" s="95" t="n">
        <f aca="false">[1]НАДІЙШЛО2!EU18</f>
        <v>0</v>
      </c>
      <c r="QE26" s="96" t="n">
        <f aca="false">[1]ВИБУЛО2!EU18</f>
        <v>0</v>
      </c>
      <c r="QF26" s="97" t="n">
        <f aca="false">QF25-QE26+QD26</f>
        <v>0</v>
      </c>
      <c r="QG26" s="95" t="n">
        <f aca="false">[1]НАДІЙШЛО2!EV18</f>
        <v>0</v>
      </c>
      <c r="QH26" s="96" t="n">
        <f aca="false">[1]ВИБУЛО2!EV18</f>
        <v>0</v>
      </c>
      <c r="QI26" s="97" t="n">
        <f aca="false">QI25-QH26+QG26</f>
        <v>0</v>
      </c>
      <c r="QJ26" s="95" t="n">
        <f aca="false">[1]НАДІЙШЛО2!EW18</f>
        <v>0</v>
      </c>
      <c r="QK26" s="96" t="n">
        <f aca="false">[1]ВИБУЛО2!EW18</f>
        <v>0</v>
      </c>
      <c r="QL26" s="97" t="n">
        <f aca="false">QL25-QK26+QJ26</f>
        <v>0</v>
      </c>
      <c r="QM26" s="95" t="n">
        <f aca="false">[1]НАДІЙШЛО2!EX18</f>
        <v>0</v>
      </c>
      <c r="QN26" s="96" t="n">
        <f aca="false">[1]ВИБУЛО2!EX18</f>
        <v>0</v>
      </c>
      <c r="QO26" s="97" t="n">
        <f aca="false">QO25-QN26+QM26</f>
        <v>0</v>
      </c>
      <c r="QP26" s="95" t="n">
        <f aca="false">[1]НАДІЙШЛО2!EY18</f>
        <v>0</v>
      </c>
      <c r="QQ26" s="96" t="n">
        <f aca="false">[1]ВИБУЛО2!EY18</f>
        <v>0</v>
      </c>
      <c r="QR26" s="97" t="n">
        <f aca="false">QR25-QQ26+QP26</f>
        <v>0</v>
      </c>
      <c r="QS26" s="95" t="n">
        <f aca="false">[1]НАДІЙШЛО2!EZ18</f>
        <v>0</v>
      </c>
      <c r="QT26" s="96" t="n">
        <f aca="false">[1]ВИБУЛО2!EZ18</f>
        <v>0</v>
      </c>
      <c r="QU26" s="97" t="n">
        <f aca="false">QU25-QT26+QS26</f>
        <v>0</v>
      </c>
      <c r="QV26" s="95" t="n">
        <f aca="false">[1]НАДІЙШЛО2!FA18</f>
        <v>0</v>
      </c>
      <c r="QW26" s="96" t="n">
        <f aca="false">[1]ВИБУЛО2!FA18</f>
        <v>0</v>
      </c>
      <c r="QX26" s="97" t="n">
        <f aca="false">QX25-QW26+QV26</f>
        <v>0</v>
      </c>
      <c r="QY26" s="95" t="n">
        <f aca="false">[1]НАДІЙШЛО2!FB18</f>
        <v>0</v>
      </c>
      <c r="QZ26" s="96" t="n">
        <f aca="false">[1]ВИБУЛО2!FB18</f>
        <v>0</v>
      </c>
      <c r="RA26" s="97" t="n">
        <f aca="false">RA25-QZ26+QY26</f>
        <v>0</v>
      </c>
      <c r="RB26" s="95" t="n">
        <f aca="false">[1]НАДІЙШЛО2!FC18</f>
        <v>0</v>
      </c>
      <c r="RC26" s="96" t="n">
        <f aca="false">[1]ВИБУЛО2!FC18</f>
        <v>0</v>
      </c>
      <c r="RD26" s="97" t="n">
        <f aca="false">RD25-RC26+RB26</f>
        <v>0</v>
      </c>
      <c r="RE26" s="95" t="n">
        <f aca="false">[1]НАДІЙШЛО2!FD18</f>
        <v>0</v>
      </c>
      <c r="RF26" s="96" t="n">
        <f aca="false">[1]ВИБУЛО2!FD18</f>
        <v>0</v>
      </c>
      <c r="RG26" s="97" t="n">
        <f aca="false">RG25-RF26+RE26</f>
        <v>0</v>
      </c>
      <c r="RH26" s="95" t="n">
        <f aca="false">[1]НАДІЙШЛО2!FE18</f>
        <v>0</v>
      </c>
      <c r="RI26" s="96" t="n">
        <f aca="false">[1]ВИБУЛО2!FE18</f>
        <v>0</v>
      </c>
      <c r="RJ26" s="97" t="n">
        <f aca="false">RJ25-RI26+RH26</f>
        <v>0</v>
      </c>
      <c r="RK26" s="95" t="n">
        <f aca="false">[1]НАДІЙШЛО2!FF18</f>
        <v>0</v>
      </c>
      <c r="RL26" s="96" t="n">
        <f aca="false">[1]ВИБУЛО2!FF18</f>
        <v>0</v>
      </c>
      <c r="RM26" s="97" t="n">
        <f aca="false">RM25-RL26+RK26</f>
        <v>0</v>
      </c>
      <c r="RN26" s="95" t="n">
        <f aca="false">[1]НАДІЙШЛО2!FG18</f>
        <v>0</v>
      </c>
      <c r="RO26" s="96" t="n">
        <f aca="false">[1]ВИБУЛО2!FG18</f>
        <v>0</v>
      </c>
      <c r="RP26" s="97" t="n">
        <f aca="false">RP25-RO26+RN26</f>
        <v>0</v>
      </c>
      <c r="RQ26" s="95" t="n">
        <f aca="false">[1]НАДІЙШЛО2!FH18</f>
        <v>0</v>
      </c>
      <c r="RR26" s="96" t="n">
        <f aca="false">[1]ВИБУЛО2!FH18</f>
        <v>0</v>
      </c>
      <c r="RS26" s="97" t="n">
        <f aca="false">RS25-RR26+RQ26</f>
        <v>0</v>
      </c>
      <c r="RT26" s="95" t="n">
        <f aca="false">[1]НАДІЙШЛО2!FI18</f>
        <v>0</v>
      </c>
      <c r="RU26" s="96" t="n">
        <f aca="false">[1]ВИБУЛО2!FI18</f>
        <v>0</v>
      </c>
      <c r="RV26" s="97" t="n">
        <f aca="false">RV25-RU26+RT26</f>
        <v>0</v>
      </c>
      <c r="RW26" s="95" t="n">
        <f aca="false">[1]НАДІЙШЛО2!FJ18</f>
        <v>0</v>
      </c>
      <c r="RX26" s="96" t="n">
        <f aca="false">[1]ВИБУЛО2!FJ18</f>
        <v>0</v>
      </c>
      <c r="RY26" s="97" t="n">
        <f aca="false">RY25-RX26+RW26</f>
        <v>0</v>
      </c>
      <c r="RZ26" s="95" t="n">
        <f aca="false">[1]НАДІЙШЛО2!FK18</f>
        <v>0</v>
      </c>
      <c r="SA26" s="96" t="n">
        <f aca="false">[1]ВИБУЛО2!FK18</f>
        <v>0</v>
      </c>
      <c r="SB26" s="97" t="n">
        <f aca="false">SB25-SA26+RZ26</f>
        <v>0</v>
      </c>
      <c r="SC26" s="95" t="n">
        <f aca="false">[1]НАДІЙШЛО2!FL18</f>
        <v>0</v>
      </c>
      <c r="SD26" s="96" t="n">
        <f aca="false">[1]ВИБУЛО2!FL18</f>
        <v>0</v>
      </c>
      <c r="SE26" s="97" t="n">
        <f aca="false">SE25-SD26+SC26</f>
        <v>0</v>
      </c>
      <c r="SF26" s="95" t="n">
        <f aca="false">[1]НАДІЙШЛО2!FM18</f>
        <v>0</v>
      </c>
      <c r="SG26" s="96" t="n">
        <f aca="false">[1]ВИБУЛО2!FM18</f>
        <v>0</v>
      </c>
      <c r="SH26" s="97" t="n">
        <f aca="false">SH25-SG26+SF26</f>
        <v>0</v>
      </c>
      <c r="SI26" s="95" t="n">
        <f aca="false">[1]НАДІЙШЛО2!FN18</f>
        <v>0</v>
      </c>
      <c r="SJ26" s="96" t="n">
        <f aca="false">[1]ВИБУЛО2!FN18</f>
        <v>0</v>
      </c>
      <c r="SK26" s="97" t="n">
        <f aca="false">SK25-SJ26+SI26</f>
        <v>0</v>
      </c>
      <c r="SL26" s="95" t="n">
        <f aca="false">[1]НАДІЙШЛО2!FO18</f>
        <v>0</v>
      </c>
      <c r="SM26" s="96" t="n">
        <f aca="false">[1]ВИБУЛО2!FO18</f>
        <v>0</v>
      </c>
      <c r="SN26" s="97" t="n">
        <f aca="false">SN25-SM26+SL26</f>
        <v>0</v>
      </c>
      <c r="SO26" s="95" t="n">
        <f aca="false">[1]НАДІЙШЛО2!FP18</f>
        <v>0</v>
      </c>
      <c r="SP26" s="96" t="n">
        <f aca="false">[1]ВИБУЛО2!FP18</f>
        <v>0</v>
      </c>
      <c r="SQ26" s="97" t="n">
        <f aca="false">SQ25-SP26+SO26</f>
        <v>0</v>
      </c>
      <c r="SR26" s="95" t="n">
        <f aca="false">[1]НАДІЙШЛО2!FQ18</f>
        <v>0</v>
      </c>
      <c r="SS26" s="96" t="n">
        <f aca="false">[1]ВИБУЛО2!FQ18</f>
        <v>0</v>
      </c>
      <c r="ST26" s="97" t="n">
        <f aca="false">ST25-SS26+SR26</f>
        <v>0</v>
      </c>
      <c r="SU26" s="95" t="n">
        <f aca="false">[1]НАДІЙШЛО2!FR18</f>
        <v>0</v>
      </c>
      <c r="SV26" s="96" t="n">
        <f aca="false">[1]ВИБУЛО2!FR18</f>
        <v>0</v>
      </c>
      <c r="SW26" s="97" t="n">
        <f aca="false">SW25-SV26+SU26</f>
        <v>0</v>
      </c>
      <c r="SX26" s="95" t="n">
        <f aca="false">[1]НАДІЙШЛО2!FS18</f>
        <v>0</v>
      </c>
      <c r="SY26" s="96" t="n">
        <f aca="false">[1]ВИБУЛО2!FS18</f>
        <v>0</v>
      </c>
      <c r="SZ26" s="97" t="n">
        <f aca="false">SZ25-SY26+SX26</f>
        <v>0</v>
      </c>
      <c r="TA26" s="95" t="n">
        <f aca="false">[1]НАДІЙШЛО2!FT18</f>
        <v>0</v>
      </c>
      <c r="TB26" s="96" t="n">
        <f aca="false">[1]ВИБУЛО2!FT18</f>
        <v>0</v>
      </c>
      <c r="TC26" s="97" t="n">
        <f aca="false">TC25-TB26+TA26</f>
        <v>0</v>
      </c>
      <c r="TD26" s="95" t="n">
        <f aca="false">[1]НАДІЙШЛО2!FU18</f>
        <v>0</v>
      </c>
      <c r="TE26" s="96" t="n">
        <f aca="false">[1]ВИБУЛО2!FU18</f>
        <v>0</v>
      </c>
      <c r="TF26" s="97" t="n">
        <f aca="false">TF25-TE26+TD26</f>
        <v>0</v>
      </c>
      <c r="TG26" s="95" t="n">
        <f aca="false">[1]НАДІЙШЛО2!FV18</f>
        <v>0</v>
      </c>
      <c r="TH26" s="96" t="n">
        <f aca="false">[1]ВИБУЛО2!FV18</f>
        <v>0</v>
      </c>
      <c r="TI26" s="97" t="n">
        <f aca="false">TI25-TH26+TG26</f>
        <v>0</v>
      </c>
      <c r="TJ26" s="95" t="n">
        <f aca="false">[1]НАДІЙШЛО2!FW18</f>
        <v>0</v>
      </c>
      <c r="TK26" s="96" t="n">
        <f aca="false">[1]ВИБУЛО2!FW18</f>
        <v>0</v>
      </c>
      <c r="TL26" s="97" t="n">
        <f aca="false">TL25-TK26+TJ26</f>
        <v>0</v>
      </c>
      <c r="TM26" s="95" t="n">
        <f aca="false">[1]НАДІЙШЛО2!FX18</f>
        <v>0</v>
      </c>
      <c r="TN26" s="96" t="n">
        <f aca="false">[1]ВИБУЛО2!FX18</f>
        <v>0</v>
      </c>
      <c r="TO26" s="97" t="n">
        <f aca="false">TO25-TN26+TM26</f>
        <v>0</v>
      </c>
      <c r="TP26" s="95" t="n">
        <f aca="false">[1]НАДІЙШЛО2!FY18</f>
        <v>0</v>
      </c>
      <c r="TQ26" s="96" t="n">
        <f aca="false">[1]ВИБУЛО2!FY18</f>
        <v>0</v>
      </c>
      <c r="TR26" s="97" t="n">
        <f aca="false">TR25-TQ26+TP26</f>
        <v>0</v>
      </c>
      <c r="TS26" s="95" t="n">
        <f aca="false">[1]НАДІЙШЛО2!FZ18</f>
        <v>0</v>
      </c>
      <c r="TT26" s="96" t="n">
        <f aca="false">[1]ВИБУЛО2!FZ18</f>
        <v>0</v>
      </c>
      <c r="TU26" s="97" t="n">
        <f aca="false">TU25-TT26+TS26</f>
        <v>0</v>
      </c>
      <c r="TV26" s="95" t="n">
        <f aca="false">[1]НАДІЙШЛО2!GA18</f>
        <v>0</v>
      </c>
      <c r="TW26" s="96" t="n">
        <f aca="false">[1]ВИБУЛО2!GA18</f>
        <v>0</v>
      </c>
      <c r="TX26" s="97" t="n">
        <f aca="false">TX25-TW26+TV26</f>
        <v>0</v>
      </c>
      <c r="TY26" s="95" t="n">
        <f aca="false">[1]НАДІЙШЛО2!GB18</f>
        <v>0</v>
      </c>
      <c r="TZ26" s="96" t="n">
        <f aca="false">[1]ВИБУЛО2!GB18</f>
        <v>0</v>
      </c>
      <c r="UA26" s="97" t="n">
        <f aca="false">UA25-TZ26+TY26</f>
        <v>0</v>
      </c>
      <c r="UB26" s="95" t="n">
        <f aca="false">[1]НАДІЙШЛО2!GC18</f>
        <v>0</v>
      </c>
      <c r="UC26" s="96" t="n">
        <f aca="false">[1]ВИБУЛО2!GC18</f>
        <v>0</v>
      </c>
      <c r="UD26" s="97" t="n">
        <f aca="false">UD25-UC26+UB26</f>
        <v>0</v>
      </c>
      <c r="UE26" s="95" t="n">
        <f aca="false">[1]НАДІЙШЛО2!GD18</f>
        <v>0</v>
      </c>
      <c r="UF26" s="96" t="n">
        <f aca="false">[1]ВИБУЛО2!GD18</f>
        <v>0</v>
      </c>
      <c r="UG26" s="97" t="n">
        <f aca="false">UG25-UF26+UE26</f>
        <v>0</v>
      </c>
      <c r="UH26" s="95" t="n">
        <f aca="false">[1]НАДІЙШЛО2!GE18</f>
        <v>0</v>
      </c>
      <c r="UI26" s="96" t="n">
        <f aca="false">[1]ВИБУЛО2!GE18</f>
        <v>0</v>
      </c>
      <c r="UJ26" s="97" t="n">
        <f aca="false">UJ25-UI26+UH26</f>
        <v>0</v>
      </c>
      <c r="UK26" s="95" t="n">
        <f aca="false">[1]НАДІЙШЛО2!GF18</f>
        <v>0</v>
      </c>
      <c r="UL26" s="96" t="n">
        <f aca="false">[1]ВИБУЛО2!GF18</f>
        <v>0</v>
      </c>
      <c r="UM26" s="97" t="n">
        <f aca="false">UM25-UL26+UK26</f>
        <v>0</v>
      </c>
      <c r="UN26" s="95" t="n">
        <f aca="false">[1]НАДІЙШЛО2!GG18</f>
        <v>0</v>
      </c>
      <c r="UO26" s="96" t="n">
        <f aca="false">[1]ВИБУЛО2!GG18</f>
        <v>0</v>
      </c>
      <c r="UP26" s="97" t="n">
        <f aca="false">UP25-UO26+UN26</f>
        <v>0</v>
      </c>
      <c r="UQ26" s="95" t="n">
        <f aca="false">[1]НАДІЙШЛО2!GH18</f>
        <v>0</v>
      </c>
      <c r="UR26" s="96" t="n">
        <f aca="false">[1]ВИБУЛО2!GH18</f>
        <v>0</v>
      </c>
      <c r="US26" s="97" t="n">
        <f aca="false">US25-UR26+UQ26</f>
        <v>0</v>
      </c>
      <c r="UT26" s="95" t="n">
        <f aca="false">[1]НАДІЙШЛО2!GI18</f>
        <v>0</v>
      </c>
      <c r="UU26" s="96" t="n">
        <f aca="false">[1]ВИБУЛО2!GI18</f>
        <v>0</v>
      </c>
      <c r="UV26" s="97" t="n">
        <f aca="false">UV25-UU26+UT26</f>
        <v>0</v>
      </c>
      <c r="UW26" s="95" t="n">
        <f aca="false">[1]НАДІЙШЛО2!GJ18</f>
        <v>0</v>
      </c>
      <c r="UX26" s="96" t="n">
        <f aca="false">[1]ВИБУЛО2!GJ18</f>
        <v>0</v>
      </c>
      <c r="UY26" s="97" t="n">
        <f aca="false">UY25-UX26+UW26</f>
        <v>0</v>
      </c>
      <c r="UZ26" s="95" t="n">
        <f aca="false">[1]НАДІЙШЛО2!GK18</f>
        <v>0</v>
      </c>
      <c r="VA26" s="96" t="n">
        <f aca="false">[1]ВИБУЛО2!GK18</f>
        <v>0</v>
      </c>
      <c r="VB26" s="97" t="n">
        <f aca="false">VB25-VA26+UZ26</f>
        <v>0</v>
      </c>
      <c r="VC26" s="95" t="n">
        <f aca="false">[1]НАДІЙШЛО2!GL18</f>
        <v>0</v>
      </c>
      <c r="VD26" s="96" t="n">
        <f aca="false">[1]ВИБУЛО2!GL18</f>
        <v>0</v>
      </c>
      <c r="VE26" s="97" t="n">
        <f aca="false">VE25-VD26+VC26</f>
        <v>0</v>
      </c>
      <c r="VF26" s="95" t="n">
        <f aca="false">[1]НАДІЙШЛО2!GM18</f>
        <v>0</v>
      </c>
      <c r="VG26" s="96" t="n">
        <f aca="false">[1]ВИБУЛО2!GM18</f>
        <v>0</v>
      </c>
      <c r="VH26" s="97" t="n">
        <f aca="false">VH25-VG26+VF26</f>
        <v>0</v>
      </c>
      <c r="VI26" s="95" t="n">
        <f aca="false">[1]НАДІЙШЛО2!GN18</f>
        <v>0</v>
      </c>
      <c r="VJ26" s="96" t="n">
        <f aca="false">[1]ВИБУЛО2!GN18</f>
        <v>0</v>
      </c>
      <c r="VK26" s="97" t="n">
        <f aca="false">VK25-VJ26+VI26</f>
        <v>0</v>
      </c>
      <c r="VL26" s="95" t="n">
        <f aca="false">[1]НАДІЙШЛО2!GO18</f>
        <v>0</v>
      </c>
      <c r="VM26" s="96" t="n">
        <f aca="false">[1]ВИБУЛО2!GO18</f>
        <v>0</v>
      </c>
      <c r="VN26" s="97" t="n">
        <f aca="false">VN25-VM26+VL26</f>
        <v>0</v>
      </c>
      <c r="VO26" s="95" t="n">
        <f aca="false">[1]НАДІЙШЛО2!GP18</f>
        <v>0</v>
      </c>
      <c r="VP26" s="96" t="n">
        <f aca="false">[1]ВИБУЛО2!GP18</f>
        <v>0</v>
      </c>
      <c r="VQ26" s="97" t="n">
        <f aca="false">VQ25-VP26+VO26</f>
        <v>0</v>
      </c>
      <c r="VR26" s="95" t="n">
        <f aca="false">[1]НАДІЙШЛО2!GQ18</f>
        <v>0</v>
      </c>
      <c r="VS26" s="96" t="n">
        <f aca="false">[1]ВИБУЛО2!GQ18</f>
        <v>0</v>
      </c>
      <c r="VT26" s="97" t="n">
        <f aca="false">VT25-VS26+VR26</f>
        <v>0</v>
      </c>
      <c r="VU26" s="95" t="n">
        <f aca="false">[1]НАДІЙШЛО2!GR18</f>
        <v>0</v>
      </c>
      <c r="VV26" s="96" t="n">
        <f aca="false">[1]ВИБУЛО2!GR18</f>
        <v>0</v>
      </c>
      <c r="VW26" s="97" t="n">
        <f aca="false">VW25-VV26+VU26</f>
        <v>0</v>
      </c>
      <c r="VX26" s="95" t="n">
        <f aca="false">[1]НАДІЙШЛО2!GS18</f>
        <v>0</v>
      </c>
      <c r="VY26" s="96" t="n">
        <f aca="false">[1]ВИБУЛО2!GS18</f>
        <v>0</v>
      </c>
      <c r="VZ26" s="97" t="n">
        <f aca="false">VZ25-VY26+VX26</f>
        <v>0</v>
      </c>
      <c r="WA26" s="95" t="n">
        <f aca="false">[1]НАДІЙШЛО2!GT18</f>
        <v>0</v>
      </c>
      <c r="WB26" s="96" t="n">
        <f aca="false">[1]ВИБУЛО2!GT18</f>
        <v>0</v>
      </c>
      <c r="WC26" s="97" t="n">
        <f aca="false">WC25-WB26+WA26</f>
        <v>0</v>
      </c>
      <c r="WD26" s="95" t="n">
        <f aca="false">[1]НАДІЙШЛО2!GU18</f>
        <v>0</v>
      </c>
      <c r="WE26" s="96" t="n">
        <f aca="false">[1]ВИБУЛО2!GU18</f>
        <v>0</v>
      </c>
      <c r="WF26" s="97" t="n">
        <f aca="false">WF25-WE26+WD26</f>
        <v>0</v>
      </c>
      <c r="WG26" s="95" t="n">
        <f aca="false">[1]НАДІЙШЛО2!GV18</f>
        <v>0</v>
      </c>
      <c r="WH26" s="96" t="n">
        <f aca="false">[1]ВИБУЛО2!GV18</f>
        <v>0</v>
      </c>
      <c r="WI26" s="97" t="n">
        <f aca="false">WI25-WH26+WG26</f>
        <v>0</v>
      </c>
      <c r="WJ26" s="95" t="n">
        <f aca="false">[1]НАДІЙШЛО2!GW18</f>
        <v>0</v>
      </c>
      <c r="WK26" s="96" t="n">
        <f aca="false">[1]ВИБУЛО2!GW18</f>
        <v>0</v>
      </c>
      <c r="WL26" s="97" t="n">
        <f aca="false">WL25-WK26+WJ26</f>
        <v>0</v>
      </c>
      <c r="WM26" s="95" t="n">
        <f aca="false">[1]НАДІЙШЛО2!GX18</f>
        <v>0</v>
      </c>
      <c r="WN26" s="96" t="n">
        <f aca="false">[1]ВИБУЛО2!GX18</f>
        <v>0</v>
      </c>
      <c r="WO26" s="97" t="n">
        <f aca="false">WO25-WN26+WM26</f>
        <v>0</v>
      </c>
      <c r="WP26" s="95" t="n">
        <f aca="false">[1]НАДІЙШЛО2!GY18</f>
        <v>0</v>
      </c>
      <c r="WQ26" s="96" t="n">
        <f aca="false">[1]ВИБУЛО2!GY18</f>
        <v>0</v>
      </c>
      <c r="WR26" s="97" t="n">
        <f aca="false">WR25-WQ26+WP26</f>
        <v>0</v>
      </c>
      <c r="WS26" s="95" t="n">
        <f aca="false">[1]НАДІЙШЛО2!GZ18</f>
        <v>0</v>
      </c>
      <c r="WT26" s="96" t="n">
        <f aca="false">[1]ВИБУЛО2!GZ18</f>
        <v>0</v>
      </c>
      <c r="WU26" s="97" t="n">
        <f aca="false">WU25-WT26+WS26</f>
        <v>0</v>
      </c>
      <c r="WV26" s="95" t="n">
        <f aca="false">[1]НАДІЙШЛО2!HA18</f>
        <v>0</v>
      </c>
      <c r="WW26" s="96" t="n">
        <f aca="false">[1]ВИБУЛО2!HA18</f>
        <v>0</v>
      </c>
      <c r="WX26" s="97" t="n">
        <f aca="false">WX25-WW26+WV26</f>
        <v>0</v>
      </c>
      <c r="WY26" s="95" t="n">
        <f aca="false">[1]НАДІЙШЛО2!HB18</f>
        <v>0</v>
      </c>
      <c r="WZ26" s="96" t="n">
        <f aca="false">[1]ВИБУЛО2!HB18</f>
        <v>0</v>
      </c>
      <c r="XA26" s="97" t="n">
        <f aca="false">XA25-WZ26+WY26</f>
        <v>0</v>
      </c>
      <c r="XB26" s="95" t="n">
        <f aca="false">[1]НАДІЙШЛО2!HC18</f>
        <v>0</v>
      </c>
      <c r="XC26" s="96" t="n">
        <f aca="false">[1]ВИБУЛО2!HC18</f>
        <v>0</v>
      </c>
      <c r="XD26" s="97" t="n">
        <f aca="false">XD25-XC26+XB26</f>
        <v>0</v>
      </c>
      <c r="XE26" s="95" t="n">
        <f aca="false">[1]НАДІЙШЛО2!HD18</f>
        <v>0</v>
      </c>
      <c r="XF26" s="96" t="n">
        <f aca="false">[1]ВИБУЛО2!HD18</f>
        <v>0</v>
      </c>
      <c r="XG26" s="97" t="n">
        <f aca="false">XG25-XF26+XE26</f>
        <v>0</v>
      </c>
      <c r="XH26" s="95" t="n">
        <f aca="false">[1]НАДІЙШЛО2!HE18</f>
        <v>0</v>
      </c>
      <c r="XI26" s="96" t="n">
        <f aca="false">[1]ВИБУЛО2!HE18</f>
        <v>0</v>
      </c>
      <c r="XJ26" s="97" t="n">
        <f aca="false">XJ25-XI26+XH26</f>
        <v>0</v>
      </c>
      <c r="XK26" s="95" t="n">
        <f aca="false">[1]НАДІЙШЛО2!HF18</f>
        <v>0</v>
      </c>
      <c r="XL26" s="96" t="n">
        <f aca="false">[1]ВИБУЛО2!HF18</f>
        <v>0</v>
      </c>
      <c r="XM26" s="97" t="n">
        <f aca="false">XM25-XL26+XK26</f>
        <v>0</v>
      </c>
      <c r="XN26" s="95" t="n">
        <f aca="false">[1]НАДІЙШЛО2!HG18</f>
        <v>0</v>
      </c>
      <c r="XO26" s="96" t="n">
        <f aca="false">[1]ВИБУЛО2!HG18</f>
        <v>0</v>
      </c>
      <c r="XP26" s="97" t="n">
        <f aca="false">XP25-XO26+XN26</f>
        <v>0</v>
      </c>
      <c r="XQ26" s="95" t="n">
        <f aca="false">[1]НАДІЙШЛО2!HH18</f>
        <v>0</v>
      </c>
      <c r="XR26" s="96" t="n">
        <f aca="false">[1]ВИБУЛО2!HH18</f>
        <v>0</v>
      </c>
      <c r="XS26" s="97" t="n">
        <f aca="false">XS25-XR26+XQ26</f>
        <v>0</v>
      </c>
      <c r="XT26" s="95" t="n">
        <f aca="false">[1]НАДІЙШЛО2!HI18</f>
        <v>0</v>
      </c>
      <c r="XU26" s="96" t="n">
        <f aca="false">[1]ВИБУЛО2!HI18</f>
        <v>0</v>
      </c>
      <c r="XV26" s="97" t="n">
        <f aca="false">XV25-XU26+XT26</f>
        <v>0</v>
      </c>
      <c r="XW26" s="95" t="n">
        <f aca="false">[1]НАДІЙШЛО2!HJ18</f>
        <v>0</v>
      </c>
      <c r="XX26" s="96" t="n">
        <f aca="false">[1]ВИБУЛО2!HJ18</f>
        <v>0</v>
      </c>
      <c r="XY26" s="97" t="n">
        <f aca="false">XY25-XX26+XW26</f>
        <v>0</v>
      </c>
      <c r="XZ26" s="95" t="n">
        <f aca="false">[1]НАДІЙШЛО2!HK18</f>
        <v>0</v>
      </c>
      <c r="YA26" s="96" t="n">
        <f aca="false">[1]ВИБУЛО2!HK18</f>
        <v>0</v>
      </c>
      <c r="YB26" s="97" t="n">
        <f aca="false">YB25-YA26+XZ26</f>
        <v>0</v>
      </c>
      <c r="YC26" s="95" t="n">
        <f aca="false">[1]НАДІЙШЛО2!HL18</f>
        <v>0</v>
      </c>
      <c r="YD26" s="96" t="n">
        <f aca="false">[1]ВИБУЛО2!HL18</f>
        <v>0</v>
      </c>
      <c r="YE26" s="97" t="n">
        <f aca="false">YE25-YD26+YC26</f>
        <v>0</v>
      </c>
      <c r="YF26" s="95" t="n">
        <f aca="false">[1]НАДІЙШЛО2!HM18</f>
        <v>0</v>
      </c>
      <c r="YG26" s="96" t="n">
        <f aca="false">[1]ВИБУЛО2!HM18</f>
        <v>0</v>
      </c>
      <c r="YH26" s="97" t="n">
        <f aca="false">YH25-YG26+YF26</f>
        <v>0</v>
      </c>
      <c r="YI26" s="95" t="n">
        <f aca="false">[1]НАДІЙШЛО2!HN18</f>
        <v>0</v>
      </c>
      <c r="YJ26" s="96" t="n">
        <f aca="false">[1]ВИБУЛО2!HN18</f>
        <v>0</v>
      </c>
      <c r="YK26" s="97" t="n">
        <f aca="false">YK25-YJ26+YI26</f>
        <v>0</v>
      </c>
      <c r="YL26" s="95" t="n">
        <f aca="false">[1]НАДІЙШЛО2!HO18</f>
        <v>0</v>
      </c>
      <c r="YM26" s="96" t="n">
        <f aca="false">[1]ВИБУЛО2!HO18</f>
        <v>0</v>
      </c>
      <c r="YN26" s="97" t="n">
        <f aca="false">YN25-YM26+YL26</f>
        <v>0</v>
      </c>
      <c r="YO26" s="95" t="n">
        <f aca="false">[1]НАДІЙШЛО2!HP18</f>
        <v>0</v>
      </c>
      <c r="YP26" s="96" t="n">
        <f aca="false">[1]ВИБУЛО2!HP18</f>
        <v>0</v>
      </c>
      <c r="YQ26" s="97" t="n">
        <f aca="false">YQ25-YP26+YO26</f>
        <v>0</v>
      </c>
      <c r="YR26" s="95" t="n">
        <f aca="false">[1]НАДІЙШЛО2!HQ18</f>
        <v>0</v>
      </c>
      <c r="YS26" s="96" t="n">
        <f aca="false">[1]ВИБУЛО2!HQ18</f>
        <v>0</v>
      </c>
      <c r="YT26" s="97" t="n">
        <f aca="false">YT25-YS26+YR26</f>
        <v>0</v>
      </c>
      <c r="YU26" s="95" t="n">
        <f aca="false">[1]НАДІЙШЛО2!HR18</f>
        <v>0</v>
      </c>
      <c r="YV26" s="96" t="n">
        <f aca="false">[1]ВИБУЛО2!HR18</f>
        <v>0</v>
      </c>
      <c r="YW26" s="97" t="n">
        <f aca="false">YW25-YV26+YU26</f>
        <v>0</v>
      </c>
      <c r="YX26" s="95" t="n">
        <f aca="false">[1]НАДІЙШЛО2!HS18</f>
        <v>0</v>
      </c>
      <c r="YY26" s="96" t="n">
        <f aca="false">[1]ВИБУЛО2!HS18</f>
        <v>0</v>
      </c>
      <c r="YZ26" s="97" t="n">
        <f aca="false">YZ25-YY26+YX26</f>
        <v>0</v>
      </c>
      <c r="ZA26" s="95" t="n">
        <f aca="false">[1]НАДІЙШЛО2!HT18</f>
        <v>0</v>
      </c>
      <c r="ZB26" s="96" t="n">
        <f aca="false">[1]ВИБУЛО2!HT18</f>
        <v>0</v>
      </c>
      <c r="ZC26" s="97" t="n">
        <f aca="false">ZC25-ZB26+ZA26</f>
        <v>0</v>
      </c>
      <c r="ZD26" s="95" t="n">
        <f aca="false">[1]НАДІЙШЛО2!HU18</f>
        <v>0</v>
      </c>
      <c r="ZE26" s="96" t="n">
        <f aca="false">[1]ВИБУЛО2!HU18</f>
        <v>0</v>
      </c>
      <c r="ZF26" s="97" t="n">
        <f aca="false">ZF25-ZE26+ZD26</f>
        <v>0</v>
      </c>
      <c r="ZG26" s="95" t="n">
        <f aca="false">[1]НАДІЙШЛО2!HV18</f>
        <v>0</v>
      </c>
      <c r="ZH26" s="96" t="n">
        <f aca="false">[1]ВИБУЛО2!HV18</f>
        <v>0</v>
      </c>
      <c r="ZI26" s="97" t="n">
        <f aca="false">ZI25-ZH26+ZG26</f>
        <v>0</v>
      </c>
      <c r="ZJ26" s="95" t="n">
        <f aca="false">[1]НАДІЙШЛО2!HW18</f>
        <v>0</v>
      </c>
      <c r="ZK26" s="96" t="n">
        <f aca="false">[1]ВИБУЛО2!HW18</f>
        <v>0</v>
      </c>
      <c r="ZL26" s="97" t="n">
        <f aca="false">ZL25-ZK26+ZJ26</f>
        <v>0</v>
      </c>
      <c r="ZM26" s="95" t="n">
        <f aca="false">[1]НАДІЙШЛО2!HX18</f>
        <v>0</v>
      </c>
      <c r="ZN26" s="96" t="n">
        <f aca="false">[1]ВИБУЛО2!HX18</f>
        <v>0</v>
      </c>
      <c r="ZO26" s="97" t="n">
        <f aca="false">ZO25-ZN26+ZM26</f>
        <v>0</v>
      </c>
      <c r="ZP26" s="95" t="n">
        <f aca="false">[1]НАДІЙШЛО2!HY18</f>
        <v>0</v>
      </c>
      <c r="ZQ26" s="96" t="n">
        <f aca="false">[1]ВИБУЛО2!HY18</f>
        <v>0</v>
      </c>
      <c r="ZR26" s="97" t="n">
        <f aca="false">ZR25-ZQ26+ZP26</f>
        <v>0</v>
      </c>
      <c r="ZS26" s="95" t="n">
        <f aca="false">[1]НАДІЙШЛО2!HZ18</f>
        <v>0</v>
      </c>
      <c r="ZT26" s="96" t="n">
        <f aca="false">[1]ВИБУЛО2!HZ18</f>
        <v>0</v>
      </c>
      <c r="ZU26" s="97" t="n">
        <f aca="false">ZU25-ZT26+ZS26</f>
        <v>0</v>
      </c>
      <c r="ZV26" s="95" t="n">
        <f aca="false">[1]НАДІЙШЛО2!IA18</f>
        <v>0</v>
      </c>
      <c r="ZW26" s="96" t="n">
        <f aca="false">[1]ВИБУЛО2!IA18</f>
        <v>0</v>
      </c>
      <c r="ZX26" s="97" t="n">
        <f aca="false">ZX25-ZW26+ZV26</f>
        <v>0</v>
      </c>
      <c r="ZY26" s="95" t="n">
        <f aca="false">[1]НАДІЙШЛО2!IB18</f>
        <v>0</v>
      </c>
      <c r="ZZ26" s="96" t="n">
        <f aca="false">[1]ВИБУЛО2!IB18</f>
        <v>0</v>
      </c>
      <c r="AAA26" s="97" t="n">
        <f aca="false">AAA25-ZZ26+ZY26</f>
        <v>0</v>
      </c>
      <c r="AAB26" s="95" t="n">
        <f aca="false">[1]НАДІЙШЛО2!IC18</f>
        <v>0</v>
      </c>
      <c r="AAC26" s="96" t="n">
        <f aca="false">[1]ВИБУЛО2!IC18</f>
        <v>0</v>
      </c>
      <c r="AAD26" s="97" t="n">
        <f aca="false">AAD25-AAC26+AAB26</f>
        <v>0</v>
      </c>
      <c r="AAE26" s="95" t="n">
        <f aca="false">[1]НАДІЙШЛО2!ID18</f>
        <v>0</v>
      </c>
      <c r="AAF26" s="96" t="n">
        <f aca="false">[1]ВИБУЛО2!ID18</f>
        <v>0</v>
      </c>
      <c r="AAG26" s="97" t="n">
        <f aca="false">AAG25-AAF26+AAE26</f>
        <v>0</v>
      </c>
      <c r="AAH26" s="95" t="n">
        <f aca="false">[1]НАДІЙШЛО2!IE18</f>
        <v>0</v>
      </c>
      <c r="AAI26" s="96" t="n">
        <f aca="false">[1]ВИБУЛО2!IE18</f>
        <v>0</v>
      </c>
      <c r="AAJ26" s="97" t="n">
        <f aca="false">AAJ25-AAI26+AAH26</f>
        <v>0</v>
      </c>
      <c r="AAK26" s="95" t="n">
        <f aca="false">[1]НАДІЙШЛО2!IF18</f>
        <v>0</v>
      </c>
      <c r="AAL26" s="96" t="n">
        <f aca="false">[1]ВИБУЛО2!IF18</f>
        <v>0</v>
      </c>
      <c r="AAM26" s="97" t="n">
        <f aca="false">AAM25-AAL26+AAK26</f>
        <v>0</v>
      </c>
      <c r="AAN26" s="95" t="n">
        <f aca="false">[1]НАДІЙШЛО2!IG18</f>
        <v>0</v>
      </c>
      <c r="AAO26" s="96" t="n">
        <f aca="false">[1]ВИБУЛО2!IG18</f>
        <v>0</v>
      </c>
      <c r="AAP26" s="97" t="n">
        <f aca="false">AAP25-AAO26+AAN26</f>
        <v>0</v>
      </c>
      <c r="AAQ26" s="95" t="n">
        <f aca="false">[1]НАДІЙШЛО2!IH18</f>
        <v>0</v>
      </c>
      <c r="AAR26" s="96" t="n">
        <f aca="false">[1]ВИБУЛО2!IH18</f>
        <v>0</v>
      </c>
      <c r="AAS26" s="97" t="n">
        <f aca="false">AAS25-AAR26+AAQ26</f>
        <v>0</v>
      </c>
      <c r="AAT26" s="95" t="n">
        <f aca="false">[1]НАДІЙШЛО2!II18</f>
        <v>0</v>
      </c>
      <c r="AAU26" s="96" t="n">
        <f aca="false">[1]ВИБУЛО2!II18</f>
        <v>0</v>
      </c>
      <c r="AAV26" s="97" t="n">
        <f aca="false">AAV25-AAU26+AAT26</f>
        <v>0</v>
      </c>
      <c r="AAW26" s="95" t="n">
        <f aca="false">[1]НАДІЙШЛО2!IJ18</f>
        <v>0</v>
      </c>
      <c r="AAX26" s="96" t="n">
        <f aca="false">[1]ВИБУЛО2!IJ18</f>
        <v>0</v>
      </c>
      <c r="AAY26" s="97" t="n">
        <f aca="false">AAY25-AAX26+AAW26</f>
        <v>0</v>
      </c>
      <c r="AAZ26" s="95" t="n">
        <f aca="false">[1]НАДІЙШЛО2!IK18</f>
        <v>0</v>
      </c>
      <c r="ABA26" s="96" t="n">
        <f aca="false">[1]ВИБУЛО2!IK18</f>
        <v>0</v>
      </c>
      <c r="ABB26" s="97" t="n">
        <f aca="false">ABB25-ABA26+AAZ26</f>
        <v>0</v>
      </c>
      <c r="ABC26" s="95" t="n">
        <f aca="false">[1]НАДІЙШЛО2!IL18</f>
        <v>0</v>
      </c>
      <c r="ABD26" s="96" t="n">
        <f aca="false">[1]ВИБУЛО2!IL18</f>
        <v>0</v>
      </c>
      <c r="ABE26" s="97" t="n">
        <f aca="false">ABE25-ABD26+ABC26</f>
        <v>0</v>
      </c>
      <c r="ABF26" s="95" t="n">
        <f aca="false">[1]НАДІЙШЛО2!IM18</f>
        <v>0</v>
      </c>
      <c r="ABG26" s="96" t="n">
        <f aca="false">[1]ВИБУЛО2!IM18</f>
        <v>0</v>
      </c>
      <c r="ABH26" s="97" t="n">
        <f aca="false">ABH25-ABG26+ABF26</f>
        <v>0</v>
      </c>
      <c r="ABI26" s="95" t="n">
        <f aca="false">[1]НАДІЙШЛО2!IN18</f>
        <v>0</v>
      </c>
      <c r="ABJ26" s="96" t="n">
        <f aca="false">[1]ВИБУЛО2!IN18</f>
        <v>0</v>
      </c>
      <c r="ABK26" s="97" t="n">
        <f aca="false">ABK25-ABJ26+ABI26</f>
        <v>0</v>
      </c>
      <c r="ABL26" s="95" t="n">
        <f aca="false">[1]НАДІЙШЛО2!IO18</f>
        <v>0</v>
      </c>
      <c r="ABM26" s="96" t="n">
        <f aca="false">[1]ВИБУЛО2!IO18</f>
        <v>0</v>
      </c>
      <c r="ABN26" s="97" t="n">
        <f aca="false">ABN25-ABM26+ABL26</f>
        <v>0</v>
      </c>
      <c r="ABO26" s="95" t="n">
        <f aca="false">[1]НАДІЙШЛО2!IP18</f>
        <v>0</v>
      </c>
      <c r="ABP26" s="96" t="n">
        <f aca="false">[1]ВИБУЛО2!IP18</f>
        <v>0</v>
      </c>
      <c r="ABQ26" s="97" t="n">
        <f aca="false">ABQ25-ABP26+ABO26</f>
        <v>0</v>
      </c>
      <c r="ABR26" s="95" t="n">
        <f aca="false">[1]НАДІЙШЛО2!IQ18</f>
        <v>0</v>
      </c>
      <c r="ABS26" s="96" t="n">
        <f aca="false">[1]ВИБУЛО2!IQ18</f>
        <v>0</v>
      </c>
      <c r="ABT26" s="97" t="n">
        <f aca="false">ABT25-ABS26+ABR26</f>
        <v>0</v>
      </c>
      <c r="ABU26" s="95" t="n">
        <f aca="false">[1]НАДІЙШЛО2!IR18</f>
        <v>0</v>
      </c>
      <c r="ABV26" s="96" t="n">
        <f aca="false">[1]ВИБУЛО2!IR18</f>
        <v>0</v>
      </c>
      <c r="ABW26" s="97" t="n">
        <f aca="false">ABW25-ABV26+ABU26</f>
        <v>0</v>
      </c>
      <c r="ABX26" s="95" t="n">
        <f aca="false">[1]НАДІЙШЛО2!IS18</f>
        <v>0</v>
      </c>
      <c r="ABY26" s="96" t="n">
        <f aca="false">[1]ВИБУЛО2!IS18</f>
        <v>0</v>
      </c>
      <c r="ABZ26" s="97" t="n">
        <f aca="false">ABZ25-ABY26+ABX26</f>
        <v>0</v>
      </c>
      <c r="ACA26" s="95" t="n">
        <f aca="false">[1]НАДІЙШЛО2!IT18</f>
        <v>0</v>
      </c>
      <c r="ACB26" s="96" t="n">
        <f aca="false">[1]ВИБУЛО2!IT18</f>
        <v>0</v>
      </c>
      <c r="ACC26" s="97" t="n">
        <f aca="false">ACC25-ACB26+ACA26</f>
        <v>0</v>
      </c>
      <c r="ACD26" s="95" t="n">
        <f aca="false">[1]НАДІЙШЛО2!IU18</f>
        <v>0</v>
      </c>
      <c r="ACE26" s="96" t="n">
        <f aca="false">[1]ВИБУЛО2!IU18</f>
        <v>0</v>
      </c>
      <c r="ACF26" s="97" t="n">
        <f aca="false">ACF25-ACE26+ACD26</f>
        <v>0</v>
      </c>
      <c r="ACG26" s="95" t="n">
        <f aca="false">[1]НАДІЙШЛО2!IV18</f>
        <v>0</v>
      </c>
      <c r="ACH26" s="96" t="n">
        <f aca="false">[1]ВИБУЛО2!IV18</f>
        <v>0</v>
      </c>
      <c r="ACI26" s="97" t="n">
        <f aca="false">ACI25-ACH26+ACG26</f>
        <v>0</v>
      </c>
      <c r="ACJ26" s="95" t="n">
        <f aca="false">[1]НАДІЙШЛО2!IW18</f>
        <v>0</v>
      </c>
      <c r="ACK26" s="96" t="n">
        <f aca="false">[1]ВИБУЛО2!IW18</f>
        <v>0</v>
      </c>
      <c r="ACL26" s="97" t="n">
        <f aca="false">ACL25-ACK26+ACJ26</f>
        <v>0</v>
      </c>
      <c r="ACM26" s="95" t="n">
        <f aca="false">[1]НАДІЙШЛО2!IX18</f>
        <v>0</v>
      </c>
      <c r="ACN26" s="96" t="n">
        <f aca="false">[1]ВИБУЛО2!IX18</f>
        <v>0</v>
      </c>
      <c r="ACO26" s="97" t="n">
        <f aca="false">ACO25-ACN26+ACM26</f>
        <v>0</v>
      </c>
      <c r="ACP26" s="95" t="n">
        <f aca="false">[1]НАДІЙШЛО2!IY18</f>
        <v>0</v>
      </c>
      <c r="ACQ26" s="96" t="n">
        <f aca="false">[1]ВИБУЛО2!IY18</f>
        <v>0</v>
      </c>
      <c r="ACR26" s="97" t="n">
        <f aca="false">ACR25-ACQ26+ACP26</f>
        <v>0</v>
      </c>
      <c r="ACS26" s="95" t="n">
        <f aca="false">[1]НАДІЙШЛО2!IZ18</f>
        <v>0</v>
      </c>
      <c r="ACT26" s="96" t="n">
        <f aca="false">[1]ВИБУЛО2!IZ18</f>
        <v>0</v>
      </c>
      <c r="ACU26" s="97" t="n">
        <f aca="false">ACU25-ACT26+ACS26</f>
        <v>0</v>
      </c>
      <c r="ACV26" s="95" t="n">
        <f aca="false">[1]НАДІЙШЛО2!JA18</f>
        <v>0</v>
      </c>
      <c r="ACW26" s="96" t="n">
        <f aca="false">[1]ВИБУЛО2!JA18</f>
        <v>0</v>
      </c>
      <c r="ACX26" s="97" t="n">
        <f aca="false">ACX25-ACW26+ACV26</f>
        <v>0</v>
      </c>
      <c r="ACY26" s="95" t="n">
        <f aca="false">[1]НАДІЙШЛО2!JB18</f>
        <v>0</v>
      </c>
      <c r="ACZ26" s="96" t="n">
        <f aca="false">[1]ВИБУЛО2!JB18</f>
        <v>0</v>
      </c>
      <c r="ADA26" s="97" t="n">
        <f aca="false">ADA25-ACZ26+ACY26</f>
        <v>0</v>
      </c>
      <c r="ADB26" s="95" t="n">
        <f aca="false">[1]НАДІЙШЛО2!JC18</f>
        <v>0</v>
      </c>
      <c r="ADC26" s="96" t="n">
        <f aca="false">[1]ВИБУЛО2!JC18</f>
        <v>0</v>
      </c>
      <c r="ADD26" s="97" t="n">
        <f aca="false">ADD25-ADC26+ADB26</f>
        <v>0</v>
      </c>
      <c r="ADE26" s="95" t="n">
        <f aca="false">[1]НАДІЙШЛО2!JD18</f>
        <v>0</v>
      </c>
      <c r="ADF26" s="96" t="n">
        <f aca="false">[1]ВИБУЛО2!JD18</f>
        <v>0</v>
      </c>
      <c r="ADG26" s="97" t="n">
        <f aca="false">ADG25-ADF26+ADE26</f>
        <v>0</v>
      </c>
      <c r="ADH26" s="95" t="n">
        <f aca="false">[1]НАДІЙШЛО2!JE18</f>
        <v>0</v>
      </c>
      <c r="ADI26" s="96" t="n">
        <f aca="false">[1]ВИБУЛО2!JE18</f>
        <v>0</v>
      </c>
      <c r="ADJ26" s="97" t="n">
        <f aca="false">ADJ25-ADI26+ADH26</f>
        <v>0</v>
      </c>
      <c r="ADK26" s="95" t="n">
        <f aca="false">[1]НАДІЙШЛО2!JF18</f>
        <v>0</v>
      </c>
      <c r="ADL26" s="96" t="n">
        <f aca="false">[1]ВИБУЛО2!JF18</f>
        <v>0</v>
      </c>
      <c r="ADM26" s="97" t="n">
        <f aca="false">ADM25-ADL26+ADK26</f>
        <v>0</v>
      </c>
      <c r="ADN26" s="95" t="n">
        <f aca="false">[1]НАДІЙШЛО2!JG18</f>
        <v>0</v>
      </c>
      <c r="ADO26" s="96" t="n">
        <f aca="false">[1]ВИБУЛО2!JG18</f>
        <v>0</v>
      </c>
      <c r="ADP26" s="97" t="n">
        <f aca="false">ADP25-ADO26+ADN26</f>
        <v>0</v>
      </c>
      <c r="ADQ26" s="95" t="n">
        <f aca="false">[1]НАДІЙШЛО2!JH18</f>
        <v>0</v>
      </c>
      <c r="ADR26" s="96" t="n">
        <f aca="false">[1]ВИБУЛО2!JH18</f>
        <v>0</v>
      </c>
      <c r="ADS26" s="97" t="n">
        <f aca="false">ADS25-ADR26+ADQ26</f>
        <v>0</v>
      </c>
      <c r="ADT26" s="95" t="n">
        <f aca="false">[1]НАДІЙШЛО2!JI18</f>
        <v>0</v>
      </c>
      <c r="ADU26" s="96" t="n">
        <f aca="false">[1]ВИБУЛО2!JI18</f>
        <v>0</v>
      </c>
      <c r="ADV26" s="97" t="n">
        <f aca="false">ADV25-ADU26+ADT26</f>
        <v>0</v>
      </c>
      <c r="ADW26" s="95" t="n">
        <f aca="false">[1]НАДІЙШЛО2!JJ18</f>
        <v>0</v>
      </c>
      <c r="ADX26" s="96" t="n">
        <f aca="false">[1]ВИБУЛО2!JJ18</f>
        <v>0</v>
      </c>
      <c r="ADY26" s="97" t="n">
        <f aca="false">ADY25-ADX26+ADW26</f>
        <v>0</v>
      </c>
      <c r="ADZ26" s="95" t="n">
        <f aca="false">[1]НАДІЙШЛО2!JK18</f>
        <v>0</v>
      </c>
      <c r="AEA26" s="96" t="n">
        <f aca="false">[1]ВИБУЛО2!JK18</f>
        <v>0</v>
      </c>
      <c r="AEB26" s="97" t="n">
        <f aca="false">AEB25-AEA26+ADZ26</f>
        <v>0</v>
      </c>
      <c r="AEC26" s="95" t="n">
        <f aca="false">[1]НАДІЙШЛО2!JL18</f>
        <v>0</v>
      </c>
      <c r="AED26" s="96" t="n">
        <f aca="false">[1]ВИБУЛО2!JL18</f>
        <v>0</v>
      </c>
      <c r="AEE26" s="97" t="n">
        <f aca="false">AEE25-AED26+AEC26</f>
        <v>0</v>
      </c>
      <c r="AEF26" s="95" t="n">
        <f aca="false">[1]НАДІЙШЛО2!JM18</f>
        <v>0</v>
      </c>
      <c r="AEG26" s="96" t="n">
        <f aca="false">[1]ВИБУЛО2!JM18</f>
        <v>0</v>
      </c>
      <c r="AEH26" s="97" t="n">
        <f aca="false">AEH25-AEG26+AEF26</f>
        <v>0</v>
      </c>
      <c r="AEI26" s="95" t="n">
        <f aca="false">[1]НАДІЙШЛО2!JN18</f>
        <v>0</v>
      </c>
      <c r="AEJ26" s="96" t="n">
        <f aca="false">[1]ВИБУЛО2!JN18</f>
        <v>0</v>
      </c>
      <c r="AEK26" s="97" t="n">
        <f aca="false">AEK25-AEJ26+AEI26</f>
        <v>0</v>
      </c>
      <c r="AEL26" s="95" t="n">
        <f aca="false">[1]НАДІЙШЛО2!JO18</f>
        <v>0</v>
      </c>
      <c r="AEM26" s="96" t="n">
        <f aca="false">[1]ВИБУЛО2!JO18</f>
        <v>0</v>
      </c>
      <c r="AEN26" s="97" t="n">
        <f aca="false">AEN25-AEM26+AEL26</f>
        <v>0</v>
      </c>
      <c r="AEO26" s="95" t="n">
        <f aca="false">[1]НАДІЙШЛО2!JP18</f>
        <v>0</v>
      </c>
      <c r="AEP26" s="96" t="n">
        <f aca="false">[1]ВИБУЛО2!JP18</f>
        <v>0</v>
      </c>
      <c r="AEQ26" s="97" t="n">
        <f aca="false">AEQ25-AEP26+AEO26</f>
        <v>0</v>
      </c>
      <c r="AER26" s="95" t="n">
        <f aca="false">[1]НАДІЙШЛО2!JQ18</f>
        <v>0</v>
      </c>
      <c r="AES26" s="96" t="n">
        <f aca="false">[1]ВИБУЛО2!JQ18</f>
        <v>0</v>
      </c>
      <c r="AET26" s="97" t="n">
        <f aca="false">AET25-AES26+AER26</f>
        <v>0</v>
      </c>
      <c r="AEU26" s="95" t="n">
        <f aca="false">[1]НАДІЙШЛО2!JR18</f>
        <v>0</v>
      </c>
      <c r="AEV26" s="96" t="n">
        <f aca="false">[1]ВИБУЛО2!JR18</f>
        <v>0</v>
      </c>
      <c r="AEW26" s="97" t="n">
        <f aca="false">AEW25-AEV26+AEU26</f>
        <v>0</v>
      </c>
      <c r="AEX26" s="95" t="n">
        <f aca="false">[1]НАДІЙШЛО2!JS18</f>
        <v>0</v>
      </c>
      <c r="AEY26" s="96" t="n">
        <f aca="false">[1]ВИБУЛО2!JS18</f>
        <v>0</v>
      </c>
      <c r="AEZ26" s="97" t="n">
        <f aca="false">AEZ25-AEY26+AEX26</f>
        <v>0</v>
      </c>
      <c r="AFA26" s="95" t="n">
        <f aca="false">[1]НАДІЙШЛО2!JT18</f>
        <v>0</v>
      </c>
      <c r="AFB26" s="96" t="n">
        <f aca="false">[1]ВИБУЛО2!JT18</f>
        <v>0</v>
      </c>
      <c r="AFC26" s="97" t="n">
        <f aca="false">AFC25-AFB26+AFA26</f>
        <v>0</v>
      </c>
      <c r="AFD26" s="95" t="n">
        <f aca="false">[1]НАДІЙШЛО2!JU18</f>
        <v>0</v>
      </c>
      <c r="AFE26" s="96" t="n">
        <f aca="false">[1]ВИБУЛО2!JU18</f>
        <v>0</v>
      </c>
      <c r="AFF26" s="97" t="n">
        <f aca="false">AFF25-AFE26+AFD26</f>
        <v>0</v>
      </c>
      <c r="AFG26" s="95" t="n">
        <f aca="false">[1]НАДІЙШЛО2!JV18</f>
        <v>0</v>
      </c>
      <c r="AFH26" s="96" t="n">
        <f aca="false">[1]ВИБУЛО2!JV18</f>
        <v>0</v>
      </c>
      <c r="AFI26" s="97" t="n">
        <f aca="false">AFI25-AFH26+AFG26</f>
        <v>0</v>
      </c>
      <c r="AFJ26" s="95" t="n">
        <f aca="false">[1]НАДІЙШЛО2!JW18</f>
        <v>0</v>
      </c>
      <c r="AFK26" s="96" t="n">
        <f aca="false">[1]ВИБУЛО2!JW18</f>
        <v>0</v>
      </c>
      <c r="AFL26" s="97" t="n">
        <f aca="false">AFL25-AFK26+AFJ26</f>
        <v>0</v>
      </c>
      <c r="AFM26" s="95" t="n">
        <f aca="false">[1]НАДІЙШЛО2!JX18</f>
        <v>0</v>
      </c>
      <c r="AFN26" s="96" t="n">
        <f aca="false">[1]ВИБУЛО2!JX18</f>
        <v>0</v>
      </c>
      <c r="AFO26" s="97" t="n">
        <f aca="false">AFO25-AFN26+AFM26</f>
        <v>0</v>
      </c>
      <c r="AFP26" s="95" t="n">
        <f aca="false">[1]НАДІЙШЛО2!JY18</f>
        <v>0</v>
      </c>
      <c r="AFQ26" s="96" t="n">
        <f aca="false">[1]ВИБУЛО2!JY18</f>
        <v>0</v>
      </c>
      <c r="AFR26" s="97" t="n">
        <f aca="false">AFR25-AFQ26+AFP26</f>
        <v>0</v>
      </c>
      <c r="AFS26" s="95" t="n">
        <f aca="false">[1]НАДІЙШЛО2!JZ18</f>
        <v>0</v>
      </c>
      <c r="AFT26" s="96" t="n">
        <f aca="false">[1]ВИБУЛО2!JZ18</f>
        <v>0</v>
      </c>
      <c r="AFU26" s="97" t="n">
        <f aca="false">AFU25-AFT26+AFS26</f>
        <v>0</v>
      </c>
      <c r="AFV26" s="95" t="n">
        <f aca="false">[1]НАДІЙШЛО2!KA18</f>
        <v>0</v>
      </c>
      <c r="AFW26" s="96" t="n">
        <f aca="false">[1]ВИБУЛО2!KA18</f>
        <v>0</v>
      </c>
      <c r="AFX26" s="97" t="n">
        <f aca="false">AFX25-AFW26+AFV26</f>
        <v>0</v>
      </c>
      <c r="AFY26" s="95" t="n">
        <f aca="false">[1]НАДІЙШЛО2!KB18</f>
        <v>0</v>
      </c>
      <c r="AFZ26" s="96" t="n">
        <f aca="false">[1]ВИБУЛО2!KB18</f>
        <v>0</v>
      </c>
      <c r="AGA26" s="97" t="n">
        <f aca="false">AGA25-AFZ26+AFY26</f>
        <v>0</v>
      </c>
      <c r="AGB26" s="95" t="n">
        <f aca="false">[1]НАДІЙШЛО2!KC18</f>
        <v>0</v>
      </c>
      <c r="AGC26" s="96" t="n">
        <f aca="false">[1]ВИБУЛО2!KC18</f>
        <v>0</v>
      </c>
      <c r="AGD26" s="97" t="n">
        <f aca="false">AGD25-AGC26+AGB26</f>
        <v>0</v>
      </c>
      <c r="AGE26" s="95" t="n">
        <f aca="false">[1]НАДІЙШЛО2!KD18</f>
        <v>0</v>
      </c>
      <c r="AGF26" s="96" t="n">
        <f aca="false">[1]ВИБУЛО2!KD18</f>
        <v>0</v>
      </c>
      <c r="AGG26" s="97" t="n">
        <f aca="false">AGG25-AGF26+AGE26</f>
        <v>0</v>
      </c>
      <c r="AGH26" s="95" t="n">
        <f aca="false">[1]НАДІЙШЛО2!KE18</f>
        <v>0</v>
      </c>
      <c r="AGI26" s="96" t="n">
        <f aca="false">[1]ВИБУЛО2!KE18</f>
        <v>0</v>
      </c>
      <c r="AGJ26" s="97" t="n">
        <f aca="false">AGJ25-AGI26+AGH26</f>
        <v>0</v>
      </c>
      <c r="AGK26" s="95" t="n">
        <f aca="false">[1]НАДІЙШЛО2!KF18</f>
        <v>0</v>
      </c>
      <c r="AGL26" s="96" t="n">
        <f aca="false">[1]ВИБУЛО2!KF18</f>
        <v>0</v>
      </c>
      <c r="AGM26" s="97" t="n">
        <f aca="false">AGM25-AGL26+AGK26</f>
        <v>0</v>
      </c>
      <c r="AGN26" s="95" t="n">
        <f aca="false">[1]НАДІЙШЛО2!KG18</f>
        <v>0</v>
      </c>
      <c r="AGO26" s="96" t="n">
        <f aca="false">[1]ВИБУЛО2!KG18</f>
        <v>0</v>
      </c>
      <c r="AGP26" s="97" t="n">
        <f aca="false">AGP25-AGO26+AGN26</f>
        <v>0</v>
      </c>
      <c r="AGQ26" s="95" t="n">
        <f aca="false">[1]НАДІЙШЛО2!KH18</f>
        <v>0</v>
      </c>
      <c r="AGR26" s="96" t="n">
        <f aca="false">[1]ВИБУЛО2!KH18</f>
        <v>0</v>
      </c>
      <c r="AGS26" s="97" t="n">
        <f aca="false">AGS25-AGR26+AGQ26</f>
        <v>0</v>
      </c>
      <c r="AGT26" s="95" t="n">
        <f aca="false">[1]НАДІЙШЛО2!KI18</f>
        <v>0</v>
      </c>
      <c r="AGU26" s="96" t="n">
        <f aca="false">[1]ВИБУЛО2!KI18</f>
        <v>0</v>
      </c>
      <c r="AGV26" s="97" t="n">
        <f aca="false">AGV25-AGU26+AGT26</f>
        <v>0</v>
      </c>
      <c r="AGW26" s="95" t="n">
        <f aca="false">[1]НАДІЙШЛО2!KJ18</f>
        <v>0</v>
      </c>
      <c r="AGX26" s="96" t="n">
        <f aca="false">[1]ВИБУЛО2!KJ18</f>
        <v>0</v>
      </c>
      <c r="AGY26" s="97" t="n">
        <f aca="false">AGY25-AGX26+AGW26</f>
        <v>0</v>
      </c>
      <c r="AGZ26" s="95" t="n">
        <f aca="false">[1]НАДІЙШЛО2!KK18</f>
        <v>0</v>
      </c>
      <c r="AHA26" s="96" t="n">
        <f aca="false">[1]ВИБУЛО2!KK18</f>
        <v>0</v>
      </c>
      <c r="AHB26" s="97" t="n">
        <f aca="false">AHB25-AHA26+AGZ26</f>
        <v>0</v>
      </c>
      <c r="AHC26" s="95" t="n">
        <f aca="false">[1]НАДІЙШЛО2!KL18</f>
        <v>0</v>
      </c>
      <c r="AHD26" s="96" t="n">
        <f aca="false">[1]ВИБУЛО2!KL18</f>
        <v>0</v>
      </c>
      <c r="AHE26" s="97" t="n">
        <f aca="false">AHE25-AHD26+AHC26</f>
        <v>0</v>
      </c>
      <c r="AHF26" s="95" t="n">
        <f aca="false">[1]НАДІЙШЛО2!KM18</f>
        <v>0</v>
      </c>
      <c r="AHG26" s="96" t="n">
        <f aca="false">[1]ВИБУЛО2!KM18</f>
        <v>0</v>
      </c>
      <c r="AHH26" s="97" t="n">
        <f aca="false">AHH25-AHG26+AHF26</f>
        <v>0</v>
      </c>
      <c r="AHI26" s="95" t="n">
        <f aca="false">[1]НАДІЙШЛО2!KN18</f>
        <v>0</v>
      </c>
      <c r="AHJ26" s="96" t="n">
        <f aca="false">[1]ВИБУЛО2!KN18</f>
        <v>0</v>
      </c>
      <c r="AHK26" s="97" t="n">
        <f aca="false">AHK25-AHJ26+AHI26</f>
        <v>0</v>
      </c>
      <c r="AHL26" s="95" t="n">
        <f aca="false">[1]НАДІЙШЛО2!KO18</f>
        <v>0</v>
      </c>
      <c r="AHM26" s="96" t="n">
        <f aca="false">[1]ВИБУЛО2!KO18</f>
        <v>0</v>
      </c>
      <c r="AHN26" s="97" t="n">
        <f aca="false">AHN25-AHM26+AHL26</f>
        <v>0</v>
      </c>
      <c r="AHO26" s="95" t="n">
        <f aca="false">[1]НАДІЙШЛО2!KP18</f>
        <v>0</v>
      </c>
      <c r="AHP26" s="96" t="n">
        <f aca="false">[1]ВИБУЛО2!KP18</f>
        <v>0</v>
      </c>
      <c r="AHQ26" s="97" t="n">
        <f aca="false">AHQ25-AHP26+AHO26</f>
        <v>0</v>
      </c>
      <c r="AHR26" s="95" t="n">
        <f aca="false">[1]НАДІЙШЛО2!KQ18</f>
        <v>0</v>
      </c>
      <c r="AHS26" s="96" t="n">
        <f aca="false">[1]ВИБУЛО2!KQ18</f>
        <v>0</v>
      </c>
      <c r="AHT26" s="97" t="n">
        <f aca="false">AHT25-AHS26+AHR26</f>
        <v>0</v>
      </c>
      <c r="AHU26" s="95" t="n">
        <f aca="false">[1]НАДІЙШЛО2!KR18</f>
        <v>0</v>
      </c>
      <c r="AHV26" s="96" t="n">
        <f aca="false">[1]ВИБУЛО2!KR18</f>
        <v>0</v>
      </c>
      <c r="AHW26" s="97" t="n">
        <f aca="false">AHW25-AHV26+AHU26</f>
        <v>0</v>
      </c>
      <c r="AHX26" s="95" t="n">
        <f aca="false">[1]НАДІЙШЛО2!KS18</f>
        <v>0</v>
      </c>
      <c r="AHY26" s="96" t="n">
        <f aca="false">[1]ВИБУЛО2!KS18</f>
        <v>0</v>
      </c>
      <c r="AHZ26" s="97" t="n">
        <f aca="false">AHZ25-AHY26+AHX26</f>
        <v>0</v>
      </c>
      <c r="AIA26" s="95" t="n">
        <f aca="false">[1]НАДІЙШЛО2!KT18</f>
        <v>0</v>
      </c>
      <c r="AIB26" s="96" t="n">
        <f aca="false">[1]ВИБУЛО2!KT18</f>
        <v>0</v>
      </c>
      <c r="AIC26" s="97" t="n">
        <f aca="false">AIC25-AIB26+AIA26</f>
        <v>0</v>
      </c>
      <c r="AID26" s="95" t="n">
        <f aca="false">[1]НАДІЙШЛО2!KU18</f>
        <v>0</v>
      </c>
      <c r="AIE26" s="96" t="n">
        <f aca="false">[1]ВИБУЛО2!KU18</f>
        <v>0</v>
      </c>
      <c r="AIF26" s="97" t="n">
        <f aca="false">AIF25-AIE26+AID26</f>
        <v>0</v>
      </c>
      <c r="AIG26" s="95" t="n">
        <f aca="false">[1]НАДІЙШЛО2!KV18</f>
        <v>0</v>
      </c>
      <c r="AIH26" s="96" t="n">
        <f aca="false">[1]ВИБУЛО2!KV18</f>
        <v>0</v>
      </c>
      <c r="AII26" s="97" t="n">
        <f aca="false">AII25-AIH26+AIG26</f>
        <v>0</v>
      </c>
      <c r="AIJ26" s="95" t="n">
        <f aca="false">[1]НАДІЙШЛО2!KW18</f>
        <v>0</v>
      </c>
      <c r="AIK26" s="96" t="n">
        <f aca="false">[1]ВИБУЛО2!KW18</f>
        <v>0</v>
      </c>
      <c r="AIL26" s="97" t="n">
        <f aca="false">AIL25-AIK26+AIJ26</f>
        <v>0</v>
      </c>
      <c r="AIM26" s="95" t="n">
        <f aca="false">[1]НАДІЙШЛО2!KX18</f>
        <v>0</v>
      </c>
      <c r="AIN26" s="96" t="n">
        <f aca="false">[1]ВИБУЛО2!KX18</f>
        <v>0</v>
      </c>
      <c r="AIO26" s="97" t="n">
        <f aca="false">AIO25-AIN26+AIM26</f>
        <v>0</v>
      </c>
      <c r="AIP26" s="95" t="n">
        <f aca="false">[1]НАДІЙШЛО2!KY18</f>
        <v>0</v>
      </c>
      <c r="AIQ26" s="96" t="n">
        <f aca="false">[1]ВИБУЛО2!KY18</f>
        <v>0</v>
      </c>
      <c r="AIR26" s="97" t="n">
        <f aca="false">AIR25-AIQ26+AIP26</f>
        <v>0</v>
      </c>
      <c r="AIS26" s="95" t="n">
        <f aca="false">[1]НАДІЙШЛО2!KZ18</f>
        <v>0</v>
      </c>
      <c r="AIT26" s="96" t="n">
        <f aca="false">[1]ВИБУЛО2!KZ18</f>
        <v>0</v>
      </c>
      <c r="AIU26" s="97" t="n">
        <f aca="false">AIU25-AIT26+AIS26</f>
        <v>0</v>
      </c>
      <c r="AIV26" s="95" t="n">
        <f aca="false">[1]НАДІЙШЛО2!LA18</f>
        <v>0</v>
      </c>
      <c r="AIW26" s="96" t="n">
        <f aca="false">[1]ВИБУЛО2!LA18</f>
        <v>0</v>
      </c>
      <c r="AIX26" s="97" t="n">
        <f aca="false">AIX25-AIW26+AIV26</f>
        <v>0</v>
      </c>
      <c r="AIY26" s="95" t="n">
        <f aca="false">[1]НАДІЙШЛО2!LB18</f>
        <v>0</v>
      </c>
      <c r="AIZ26" s="96" t="n">
        <f aca="false">[1]ВИБУЛО2!LB18</f>
        <v>0</v>
      </c>
      <c r="AJA26" s="97" t="n">
        <f aca="false">AJA25-AIZ26+AIY26</f>
        <v>0</v>
      </c>
      <c r="AJB26" s="95" t="n">
        <f aca="false">[1]НАДІЙШЛО2!LC18</f>
        <v>0</v>
      </c>
      <c r="AJC26" s="96" t="n">
        <f aca="false">[1]ВИБУЛО2!LC18</f>
        <v>0</v>
      </c>
      <c r="AJD26" s="97" t="n">
        <f aca="false">AJD25-AJC26+AJB26</f>
        <v>0</v>
      </c>
      <c r="AJE26" s="95" t="n">
        <f aca="false">[1]НАДІЙШЛО2!LD18</f>
        <v>0</v>
      </c>
      <c r="AJF26" s="96" t="n">
        <f aca="false">[1]ВИБУЛО2!LD18</f>
        <v>0</v>
      </c>
      <c r="AJG26" s="97" t="n">
        <f aca="false">AJG25-AJF26+AJE26</f>
        <v>0</v>
      </c>
      <c r="AJH26" s="95" t="n">
        <f aca="false">[1]НАДІЙШЛО2!LE18</f>
        <v>0</v>
      </c>
      <c r="AJI26" s="96" t="n">
        <f aca="false">[1]ВИБУЛО2!LE18</f>
        <v>0</v>
      </c>
      <c r="AJJ26" s="97" t="n">
        <f aca="false">AJJ25-AJI26+AJH26</f>
        <v>0</v>
      </c>
      <c r="AJK26" s="95" t="n">
        <f aca="false">[1]НАДІЙШЛО2!LF18</f>
        <v>0</v>
      </c>
      <c r="AJL26" s="96" t="n">
        <f aca="false">[1]ВИБУЛО2!LF18</f>
        <v>0</v>
      </c>
      <c r="AJM26" s="97" t="n">
        <f aca="false">AJM25-AJL26+AJK26</f>
        <v>0</v>
      </c>
      <c r="AJN26" s="95" t="n">
        <f aca="false">[1]НАДІЙШЛО2!LG18</f>
        <v>0</v>
      </c>
      <c r="AJO26" s="96" t="n">
        <f aca="false">[1]ВИБУЛО2!LG18</f>
        <v>0</v>
      </c>
      <c r="AJP26" s="97" t="n">
        <f aca="false">AJP25-AJO26+AJN26</f>
        <v>0</v>
      </c>
      <c r="AJQ26" s="95" t="n">
        <f aca="false">[1]НАДІЙШЛО2!LH18</f>
        <v>0</v>
      </c>
      <c r="AJR26" s="96" t="n">
        <f aca="false">[1]ВИБУЛО2!LH18</f>
        <v>0</v>
      </c>
      <c r="AJS26" s="97" t="n">
        <f aca="false">AJS25-AJR26+AJQ26</f>
        <v>0</v>
      </c>
      <c r="AJT26" s="95" t="n">
        <f aca="false">[1]НАДІЙШЛО2!LI18</f>
        <v>0</v>
      </c>
      <c r="AJU26" s="96" t="n">
        <f aca="false">[1]ВИБУЛО2!LI18</f>
        <v>0</v>
      </c>
      <c r="AJV26" s="97" t="n">
        <f aca="false">AJV25-AJU26+AJT26</f>
        <v>0</v>
      </c>
      <c r="AJW26" s="95" t="n">
        <f aca="false">[1]НАДІЙШЛО2!LJ18</f>
        <v>0</v>
      </c>
      <c r="AJX26" s="96" t="n">
        <f aca="false">[1]ВИБУЛО2!LJ18</f>
        <v>0</v>
      </c>
      <c r="AJY26" s="97" t="n">
        <f aca="false">AJY25-AJX26+AJW26</f>
        <v>0</v>
      </c>
      <c r="AJZ26" s="95" t="n">
        <f aca="false">[1]НАДІЙШЛО2!LK18</f>
        <v>0</v>
      </c>
      <c r="AKA26" s="96" t="n">
        <f aca="false">[1]ВИБУЛО2!LK18</f>
        <v>0</v>
      </c>
      <c r="AKB26" s="97" t="n">
        <f aca="false">AKB25-AKA26+AJZ26</f>
        <v>0</v>
      </c>
      <c r="AKC26" s="95" t="n">
        <f aca="false">[1]НАДІЙШЛО2!LL18</f>
        <v>0</v>
      </c>
      <c r="AKD26" s="96" t="n">
        <f aca="false">[1]ВИБУЛО2!LL18</f>
        <v>0</v>
      </c>
      <c r="AKE26" s="97" t="n">
        <f aca="false">AKE25-AKD26+AKC26</f>
        <v>0</v>
      </c>
      <c r="AKF26" s="95" t="n">
        <f aca="false">[1]НАДІЙШЛО2!LM18</f>
        <v>0</v>
      </c>
      <c r="AKG26" s="96" t="n">
        <f aca="false">[1]ВИБУЛО2!LM18</f>
        <v>0</v>
      </c>
      <c r="AKH26" s="97" t="n">
        <f aca="false">AKH25-AKG26+AKF26</f>
        <v>0</v>
      </c>
      <c r="AKI26" s="95" t="n">
        <f aca="false">[1]НАДІЙШЛО2!LN18</f>
        <v>0</v>
      </c>
      <c r="AKJ26" s="96" t="n">
        <f aca="false">[1]ВИБУЛО2!LN18</f>
        <v>0</v>
      </c>
      <c r="AKK26" s="97" t="n">
        <f aca="false">AKK25-AKJ26+AKI26</f>
        <v>0</v>
      </c>
      <c r="AKL26" s="95" t="n">
        <f aca="false">[1]НАДІЙШЛО2!LO18</f>
        <v>0</v>
      </c>
      <c r="AKM26" s="96" t="n">
        <f aca="false">[1]ВИБУЛО2!LO18</f>
        <v>0</v>
      </c>
      <c r="AKN26" s="97" t="n">
        <f aca="false">AKN25-AKM26+AKL26</f>
        <v>0</v>
      </c>
      <c r="AKO26" s="95" t="n">
        <f aca="false">[1]НАДІЙШЛО2!LP18</f>
        <v>0</v>
      </c>
      <c r="AKP26" s="96" t="n">
        <f aca="false">[1]ВИБУЛО2!LP18</f>
        <v>0</v>
      </c>
      <c r="AKQ26" s="97" t="n">
        <f aca="false">AKQ25-AKP26+AKO26</f>
        <v>0</v>
      </c>
      <c r="AKR26" s="95" t="n">
        <f aca="false">[1]НАДІЙШЛО2!LQ18</f>
        <v>0</v>
      </c>
      <c r="AKS26" s="96" t="n">
        <f aca="false">[1]ВИБУЛО2!LQ18</f>
        <v>0</v>
      </c>
      <c r="AKT26" s="97" t="n">
        <f aca="false">AKT25-AKS26+AKR26</f>
        <v>0</v>
      </c>
      <c r="AKU26" s="95" t="n">
        <f aca="false">[1]НАДІЙШЛО2!LR18</f>
        <v>0</v>
      </c>
      <c r="AKV26" s="96" t="n">
        <f aca="false">[1]ВИБУЛО2!LR18</f>
        <v>0</v>
      </c>
      <c r="AKW26" s="97" t="n">
        <f aca="false">AKW25-AKV26+AKU26</f>
        <v>0</v>
      </c>
      <c r="AKX26" s="95" t="n">
        <f aca="false">[1]НАДІЙШЛО2!LS18</f>
        <v>0</v>
      </c>
      <c r="AKY26" s="96" t="n">
        <f aca="false">[1]ВИБУЛО2!LS18</f>
        <v>0</v>
      </c>
      <c r="AKZ26" s="97" t="n">
        <f aca="false">AKZ25-AKY26+AKX26</f>
        <v>0</v>
      </c>
      <c r="ALA26" s="95" t="n">
        <f aca="false">[1]НАДІЙШЛО2!LT18</f>
        <v>0</v>
      </c>
      <c r="ALB26" s="96" t="n">
        <f aca="false">[1]ВИБУЛО2!LT18</f>
        <v>0</v>
      </c>
      <c r="ALC26" s="97" t="n">
        <f aca="false">ALC25-ALB26+ALA26</f>
        <v>0</v>
      </c>
      <c r="ALD26" s="95" t="n">
        <f aca="false">[1]НАДІЙШЛО2!LU18</f>
        <v>0</v>
      </c>
      <c r="ALE26" s="96" t="n">
        <f aca="false">[1]ВИБУЛО2!LU18</f>
        <v>0</v>
      </c>
      <c r="ALF26" s="97" t="n">
        <f aca="false">ALF25-ALE26+ALD26</f>
        <v>0</v>
      </c>
      <c r="ALG26" s="95" t="n">
        <f aca="false">[1]НАДІЙШЛО2!LV18</f>
        <v>0</v>
      </c>
      <c r="ALH26" s="96" t="n">
        <f aca="false">[1]ВИБУЛО2!LV18</f>
        <v>0</v>
      </c>
      <c r="ALI26" s="97" t="n">
        <f aca="false">ALI25-ALH26+ALG26</f>
        <v>0</v>
      </c>
      <c r="ALJ26" s="95" t="n">
        <f aca="false">[1]НАДІЙШЛО2!LW18</f>
        <v>0</v>
      </c>
      <c r="ALK26" s="96" t="n">
        <f aca="false">[1]ВИБУЛО2!LW18</f>
        <v>0</v>
      </c>
      <c r="ALL26" s="97" t="n">
        <f aca="false">ALL25-ALK26+ALJ26</f>
        <v>0</v>
      </c>
      <c r="ALM26" s="95" t="n">
        <f aca="false">[1]НАДІЙШЛО2!LX18</f>
        <v>0</v>
      </c>
      <c r="ALN26" s="96" t="n">
        <f aca="false">[1]ВИБУЛО2!LX18</f>
        <v>0</v>
      </c>
      <c r="ALO26" s="97" t="n">
        <f aca="false">ALO25-ALN26+ALM26</f>
        <v>0</v>
      </c>
      <c r="ALP26" s="95" t="n">
        <f aca="false">[1]НАДІЙШЛО2!LY18</f>
        <v>0</v>
      </c>
      <c r="ALQ26" s="96" t="n">
        <f aca="false">[1]ВИБУЛО2!LY18</f>
        <v>0</v>
      </c>
      <c r="ALR26" s="97" t="n">
        <f aca="false">ALR25-ALQ26+ALP26</f>
        <v>0</v>
      </c>
      <c r="ALS26" s="95" t="n">
        <f aca="false">[1]НАДІЙШЛО2!LZ18</f>
        <v>0</v>
      </c>
      <c r="ALT26" s="96" t="n">
        <f aca="false">[1]ВИБУЛО2!LZ18</f>
        <v>0</v>
      </c>
      <c r="ALU26" s="97" t="n">
        <f aca="false">ALU25-ALT26+ALS26</f>
        <v>0</v>
      </c>
      <c r="ALV26" s="95" t="n">
        <f aca="false">[1]НАДІЙШЛО2!MA18</f>
        <v>0</v>
      </c>
      <c r="ALW26" s="96" t="n">
        <f aca="false">[1]ВИБУЛО2!MA18</f>
        <v>0</v>
      </c>
      <c r="ALX26" s="97" t="n">
        <f aca="false">ALX25-ALW26+ALV26</f>
        <v>0</v>
      </c>
      <c r="ALY26" s="95" t="n">
        <f aca="false">[1]НАДІЙШЛО2!MB18</f>
        <v>0</v>
      </c>
      <c r="ALZ26" s="96" t="n">
        <f aca="false">[1]ВИБУЛО2!MB18</f>
        <v>0</v>
      </c>
      <c r="AMA26" s="97" t="n">
        <f aca="false">AMA25-ALZ26+ALY26</f>
        <v>0</v>
      </c>
      <c r="AMB26" s="95" t="n">
        <f aca="false">[1]НАДІЙШЛО2!MC18</f>
        <v>0</v>
      </c>
      <c r="AMC26" s="96" t="n">
        <f aca="false">[1]ВИБУЛО2!MC18</f>
        <v>0</v>
      </c>
      <c r="AMD26" s="97" t="n">
        <f aca="false">AMD25-AMC26+AMB26</f>
        <v>0</v>
      </c>
      <c r="AME26" s="95" t="n">
        <f aca="false">[1]НАДІЙШЛО2!MD18</f>
        <v>0</v>
      </c>
      <c r="AMF26" s="96" t="n">
        <f aca="false">[1]ВИБУЛО2!MD18</f>
        <v>0</v>
      </c>
      <c r="AMG26" s="97" t="n">
        <f aca="false">AMG25-AMF26+AME26</f>
        <v>0</v>
      </c>
      <c r="AMH26" s="95" t="n">
        <f aca="false">[1]НАДІЙШЛО2!ME18</f>
        <v>0</v>
      </c>
      <c r="AMI26" s="96" t="n">
        <f aca="false">[1]ВИБУЛО2!ME18</f>
        <v>0</v>
      </c>
      <c r="AMJ26" s="97" t="n">
        <f aca="false">AMJ25-AMI26+AMH26</f>
        <v>0</v>
      </c>
    </row>
    <row r="27" s="99" customFormat="true" ht="16.5" hidden="false" customHeight="false" outlineLevel="0" collapsed="false">
      <c r="A27" s="98"/>
      <c r="D27" s="103"/>
      <c r="E27" s="95" t="n">
        <f aca="false">[1]НАДІЙШЛО2!D19</f>
        <v>0</v>
      </c>
      <c r="F27" s="96" t="n">
        <f aca="false">[1]ВИБУЛО2!D19</f>
        <v>0</v>
      </c>
      <c r="G27" s="97" t="n">
        <f aca="false">G26-F27+E27</f>
        <v>0</v>
      </c>
      <c r="H27" s="95" t="n">
        <f aca="false">[1]НАДІЙШЛО2!E19</f>
        <v>0</v>
      </c>
      <c r="I27" s="96" t="n">
        <f aca="false">[1]ВИБУЛО2!E19</f>
        <v>0</v>
      </c>
      <c r="J27" s="97" t="n">
        <f aca="false">J26-I27+H27</f>
        <v>0</v>
      </c>
      <c r="K27" s="95" t="n">
        <f aca="false">[1]НАДІЙШЛО2!F19</f>
        <v>0</v>
      </c>
      <c r="L27" s="96" t="n">
        <f aca="false">[1]ВИБУЛО2!F19</f>
        <v>0</v>
      </c>
      <c r="M27" s="97" t="n">
        <f aca="false">M26-L27+K27</f>
        <v>2.06</v>
      </c>
      <c r="N27" s="95" t="n">
        <f aca="false">[1]НАДІЙШЛО2!G19</f>
        <v>0</v>
      </c>
      <c r="O27" s="96" t="n">
        <f aca="false">[1]ВИБУЛО2!G19</f>
        <v>0</v>
      </c>
      <c r="P27" s="97" t="n">
        <f aca="false">P26-O27+N27</f>
        <v>0</v>
      </c>
      <c r="Q27" s="95" t="n">
        <f aca="false">[1]НАДІЙШЛО2!H19</f>
        <v>0</v>
      </c>
      <c r="R27" s="96" t="n">
        <f aca="false">[1]ВИБУЛО2!H19</f>
        <v>0</v>
      </c>
      <c r="S27" s="97" t="n">
        <f aca="false">S26-R27+Q27</f>
        <v>0</v>
      </c>
      <c r="T27" s="95" t="n">
        <f aca="false">[1]НАДІЙШЛО2!I19</f>
        <v>0</v>
      </c>
      <c r="U27" s="96" t="n">
        <f aca="false">[1]ВИБУЛО2!I19</f>
        <v>0</v>
      </c>
      <c r="V27" s="97" t="n">
        <f aca="false">V26-U27+T27</f>
        <v>0</v>
      </c>
      <c r="W27" s="95" t="n">
        <f aca="false">[1]НАДІЙШЛО2!J19</f>
        <v>0</v>
      </c>
      <c r="X27" s="96" t="n">
        <f aca="false">[1]ВИБУЛО2!J19</f>
        <v>0</v>
      </c>
      <c r="Y27" s="97" t="n">
        <f aca="false">Y26-X27+W27</f>
        <v>0</v>
      </c>
      <c r="Z27" s="95" t="n">
        <f aca="false">[1]НАДІЙШЛО2!K19</f>
        <v>0</v>
      </c>
      <c r="AA27" s="96" t="n">
        <f aca="false">[1]ВИБУЛО2!K19</f>
        <v>0</v>
      </c>
      <c r="AB27" s="97" t="n">
        <f aca="false">AB26-AA27+Z27</f>
        <v>0</v>
      </c>
      <c r="AC27" s="95" t="n">
        <f aca="false">[1]НАДІЙШЛО2!L19</f>
        <v>0</v>
      </c>
      <c r="AD27" s="96" t="n">
        <f aca="false">[1]ВИБУЛО2!L19</f>
        <v>0</v>
      </c>
      <c r="AE27" s="97" t="n">
        <f aca="false">AE26-AD27+AC27</f>
        <v>0</v>
      </c>
      <c r="AF27" s="95" t="n">
        <f aca="false">[1]НАДІЙШЛО2!M19</f>
        <v>0</v>
      </c>
      <c r="AG27" s="96" t="n">
        <f aca="false">[1]ВИБУЛО2!M19</f>
        <v>0</v>
      </c>
      <c r="AH27" s="97" t="n">
        <f aca="false">AH26-AG27+AF27</f>
        <v>0</v>
      </c>
      <c r="AI27" s="95" t="n">
        <f aca="false">[1]НАДІЙШЛО2!N19</f>
        <v>0</v>
      </c>
      <c r="AJ27" s="96" t="n">
        <f aca="false">[1]ВИБУЛО2!N19</f>
        <v>0</v>
      </c>
      <c r="AK27" s="97" t="n">
        <f aca="false">AK26-AJ27+AI27</f>
        <v>0</v>
      </c>
      <c r="AL27" s="95" t="n">
        <f aca="false">[1]НАДІЙШЛО2!O19</f>
        <v>0</v>
      </c>
      <c r="AM27" s="96" t="n">
        <f aca="false">[1]ВИБУЛО2!O19</f>
        <v>0</v>
      </c>
      <c r="AN27" s="97" t="n">
        <f aca="false">AN26-AM27+AL27</f>
        <v>0</v>
      </c>
      <c r="AO27" s="95" t="n">
        <f aca="false">[1]НАДІЙШЛО2!P19</f>
        <v>0</v>
      </c>
      <c r="AP27" s="96" t="n">
        <f aca="false">[1]ВИБУЛО2!P19</f>
        <v>0</v>
      </c>
      <c r="AQ27" s="97" t="n">
        <f aca="false">AQ26-AP27+AO27</f>
        <v>0</v>
      </c>
      <c r="AR27" s="95" t="n">
        <f aca="false">[1]НАДІЙШЛО2!Q19</f>
        <v>0</v>
      </c>
      <c r="AS27" s="96" t="n">
        <f aca="false">[1]ВИБУЛО2!Q19</f>
        <v>0</v>
      </c>
      <c r="AT27" s="97" t="n">
        <f aca="false">AT26-AS27+AR27</f>
        <v>0</v>
      </c>
      <c r="AU27" s="95" t="n">
        <f aca="false">[1]НАДІЙШЛО2!R19</f>
        <v>0</v>
      </c>
      <c r="AV27" s="96" t="n">
        <f aca="false">[1]ВИБУЛО2!R19</f>
        <v>0</v>
      </c>
      <c r="AW27" s="97" t="n">
        <f aca="false">AW26-AV27+AU27</f>
        <v>0</v>
      </c>
      <c r="AX27" s="95" t="n">
        <f aca="false">[1]НАДІЙШЛО2!S19</f>
        <v>0</v>
      </c>
      <c r="AY27" s="96" t="n">
        <f aca="false">[1]ВИБУЛО2!S19</f>
        <v>0</v>
      </c>
      <c r="AZ27" s="97" t="n">
        <f aca="false">AZ26-AY27+AX27</f>
        <v>0</v>
      </c>
      <c r="BA27" s="95" t="n">
        <f aca="false">[1]НАДІЙШЛО2!T19</f>
        <v>0</v>
      </c>
      <c r="BB27" s="96" t="n">
        <f aca="false">[1]ВИБУЛО2!T19</f>
        <v>0</v>
      </c>
      <c r="BC27" s="97" t="n">
        <f aca="false">BC26-BB27+BA27</f>
        <v>0</v>
      </c>
      <c r="BD27" s="95" t="n">
        <f aca="false">[1]НАДІЙШЛО2!U19</f>
        <v>0</v>
      </c>
      <c r="BE27" s="96" t="n">
        <f aca="false">[1]ВИБУЛО2!U19</f>
        <v>0</v>
      </c>
      <c r="BF27" s="97" t="n">
        <f aca="false">BF26-BE27+BD27</f>
        <v>0</v>
      </c>
      <c r="BG27" s="95" t="n">
        <f aca="false">[1]НАДІЙШЛО2!V19</f>
        <v>0</v>
      </c>
      <c r="BH27" s="96" t="n">
        <f aca="false">[1]ВИБУЛО2!V19</f>
        <v>0</v>
      </c>
      <c r="BI27" s="97" t="n">
        <f aca="false">BI26-BH27+BG27</f>
        <v>0</v>
      </c>
      <c r="BJ27" s="95" t="n">
        <f aca="false">[1]НАДІЙШЛО2!W19</f>
        <v>0</v>
      </c>
      <c r="BK27" s="96" t="n">
        <f aca="false">[1]ВИБУЛО2!W19</f>
        <v>0</v>
      </c>
      <c r="BL27" s="97" t="n">
        <f aca="false">BL26-BK27+BJ27</f>
        <v>0</v>
      </c>
      <c r="BM27" s="95" t="n">
        <f aca="false">[1]НАДІЙШЛО2!X19</f>
        <v>0</v>
      </c>
      <c r="BN27" s="96" t="n">
        <f aca="false">[1]ВИБУЛО2!X19</f>
        <v>0</v>
      </c>
      <c r="BO27" s="97" t="n">
        <f aca="false">BO26-BN27+BM27</f>
        <v>0</v>
      </c>
      <c r="BP27" s="95" t="n">
        <f aca="false">[1]НАДІЙШЛО2!Y19</f>
        <v>0</v>
      </c>
      <c r="BQ27" s="96" t="n">
        <f aca="false">[1]ВИБУЛО2!Y19</f>
        <v>0</v>
      </c>
      <c r="BR27" s="97" t="n">
        <f aca="false">BR26-BQ27+BP27</f>
        <v>0</v>
      </c>
      <c r="BS27" s="95" t="n">
        <f aca="false">[1]НАДІЙШЛО2!Z19</f>
        <v>0</v>
      </c>
      <c r="BT27" s="96" t="n">
        <f aca="false">[1]ВИБУЛО2!Z19</f>
        <v>0</v>
      </c>
      <c r="BU27" s="97" t="n">
        <f aca="false">BU26-BT27+BS27</f>
        <v>0</v>
      </c>
      <c r="BV27" s="95" t="n">
        <f aca="false">[1]НАДІЙШЛО2!AA19</f>
        <v>0</v>
      </c>
      <c r="BW27" s="96" t="n">
        <f aca="false">[1]ВИБУЛО2!AA19</f>
        <v>0</v>
      </c>
      <c r="BX27" s="97" t="n">
        <f aca="false">BX26-BW27+BV27</f>
        <v>0</v>
      </c>
      <c r="BY27" s="95" t="n">
        <f aca="false">[1]НАДІЙШЛО2!AB19</f>
        <v>0</v>
      </c>
      <c r="BZ27" s="96" t="n">
        <f aca="false">[1]ВИБУЛО2!AB19</f>
        <v>0</v>
      </c>
      <c r="CA27" s="97" t="n">
        <f aca="false">CA26-BZ27+BY27</f>
        <v>0</v>
      </c>
      <c r="CB27" s="95" t="n">
        <f aca="false">[1]НАДІЙШЛО2!AC19</f>
        <v>0</v>
      </c>
      <c r="CC27" s="96" t="n">
        <f aca="false">[1]ВИБУЛО2!AC19</f>
        <v>0</v>
      </c>
      <c r="CD27" s="97" t="n">
        <f aca="false">CD26-CC27+CB27</f>
        <v>0</v>
      </c>
      <c r="CE27" s="95" t="n">
        <f aca="false">[1]НАДІЙШЛО2!AD19</f>
        <v>0</v>
      </c>
      <c r="CF27" s="96" t="n">
        <f aca="false">[1]ВИБУЛО2!AD19</f>
        <v>0</v>
      </c>
      <c r="CG27" s="97" t="n">
        <f aca="false">CG26-CF27+CE27</f>
        <v>0</v>
      </c>
      <c r="CH27" s="95" t="n">
        <f aca="false">[1]НАДІЙШЛО2!AE19</f>
        <v>0</v>
      </c>
      <c r="CI27" s="96" t="n">
        <f aca="false">[1]ВИБУЛО2!AE19</f>
        <v>0</v>
      </c>
      <c r="CJ27" s="97" t="n">
        <f aca="false">CJ26-CI27+CH27</f>
        <v>0</v>
      </c>
      <c r="CK27" s="95" t="n">
        <f aca="false">[1]НАДІЙШЛО2!AF19</f>
        <v>0</v>
      </c>
      <c r="CL27" s="96" t="n">
        <f aca="false">[1]ВИБУЛО2!AF19</f>
        <v>0</v>
      </c>
      <c r="CM27" s="97" t="n">
        <f aca="false">CM26-CL27+CK27</f>
        <v>0</v>
      </c>
      <c r="CN27" s="95" t="n">
        <f aca="false">[1]НАДІЙШЛО2!AG19</f>
        <v>0</v>
      </c>
      <c r="CO27" s="96" t="n">
        <f aca="false">[1]ВИБУЛО2!AG19</f>
        <v>0</v>
      </c>
      <c r="CP27" s="97" t="n">
        <f aca="false">CP26-CO27+CN27</f>
        <v>0</v>
      </c>
      <c r="CQ27" s="95" t="n">
        <f aca="false">[1]НАДІЙШЛО2!AH19</f>
        <v>0</v>
      </c>
      <c r="CR27" s="96" t="n">
        <f aca="false">[1]ВИБУЛО2!AH19</f>
        <v>0</v>
      </c>
      <c r="CS27" s="97" t="n">
        <f aca="false">CS26-CR27+CQ27</f>
        <v>0</v>
      </c>
      <c r="CT27" s="95" t="n">
        <f aca="false">[1]НАДІЙШЛО2!AI19</f>
        <v>0</v>
      </c>
      <c r="CU27" s="96" t="n">
        <f aca="false">[1]ВИБУЛО2!AI19</f>
        <v>0</v>
      </c>
      <c r="CV27" s="97" t="n">
        <f aca="false">CV26-CU27+CT27</f>
        <v>0</v>
      </c>
      <c r="CW27" s="95" t="n">
        <f aca="false">[1]НАДІЙШЛО2!AJ19</f>
        <v>0</v>
      </c>
      <c r="CX27" s="96" t="n">
        <f aca="false">[1]ВИБУЛО2!AJ19</f>
        <v>0</v>
      </c>
      <c r="CY27" s="97" t="n">
        <f aca="false">CY26-CX27+CW27</f>
        <v>0</v>
      </c>
      <c r="CZ27" s="95" t="n">
        <f aca="false">[1]НАДІЙШЛО2!AK19</f>
        <v>0</v>
      </c>
      <c r="DA27" s="96" t="n">
        <f aca="false">[1]ВИБУЛО2!AK19</f>
        <v>0</v>
      </c>
      <c r="DB27" s="97" t="n">
        <f aca="false">DB26-DA27+CZ27</f>
        <v>0</v>
      </c>
      <c r="DC27" s="95" t="n">
        <f aca="false">[1]НАДІЙШЛО2!AL19</f>
        <v>0</v>
      </c>
      <c r="DD27" s="96" t="n">
        <f aca="false">[1]ВИБУЛО2!AL19</f>
        <v>0</v>
      </c>
      <c r="DE27" s="97" t="n">
        <f aca="false">DE26-DD27+DC27</f>
        <v>0</v>
      </c>
      <c r="DF27" s="95" t="n">
        <f aca="false">[1]НАДІЙШЛО2!AM19</f>
        <v>0</v>
      </c>
      <c r="DG27" s="96" t="n">
        <f aca="false">[1]ВИБУЛО2!AM19</f>
        <v>0</v>
      </c>
      <c r="DH27" s="97" t="n">
        <f aca="false">DH26-DG27+DF27</f>
        <v>0</v>
      </c>
      <c r="DI27" s="95" t="n">
        <f aca="false">[1]НАДІЙШЛО2!AN19</f>
        <v>0</v>
      </c>
      <c r="DJ27" s="96" t="n">
        <f aca="false">[1]ВИБУЛО2!AN19</f>
        <v>0</v>
      </c>
      <c r="DK27" s="97" t="n">
        <f aca="false">DK26-DJ27+DI27</f>
        <v>0</v>
      </c>
      <c r="DL27" s="95" t="n">
        <f aca="false">[1]НАДІЙШЛО2!AO19</f>
        <v>0</v>
      </c>
      <c r="DM27" s="96" t="n">
        <f aca="false">[1]ВИБУЛО2!AO19</f>
        <v>0</v>
      </c>
      <c r="DN27" s="97" t="n">
        <f aca="false">DN26-DM27+DL27</f>
        <v>0</v>
      </c>
      <c r="DO27" s="95" t="n">
        <f aca="false">[1]НАДІЙШЛО2!AP19</f>
        <v>0</v>
      </c>
      <c r="DP27" s="96" t="n">
        <f aca="false">[1]ВИБУЛО2!AP19</f>
        <v>0</v>
      </c>
      <c r="DQ27" s="97" t="n">
        <f aca="false">DQ26-DP27+DO27</f>
        <v>0</v>
      </c>
      <c r="DR27" s="95" t="n">
        <f aca="false">[1]НАДІЙШЛО2!AQ19</f>
        <v>0</v>
      </c>
      <c r="DS27" s="96" t="n">
        <f aca="false">[1]ВИБУЛО2!AQ19</f>
        <v>0</v>
      </c>
      <c r="DT27" s="97" t="n">
        <f aca="false">DT26-DS27+DR27</f>
        <v>0</v>
      </c>
      <c r="DU27" s="95" t="n">
        <f aca="false">[1]НАДІЙШЛО2!AR19</f>
        <v>0</v>
      </c>
      <c r="DV27" s="96" t="n">
        <f aca="false">[1]ВИБУЛО2!AR19</f>
        <v>0</v>
      </c>
      <c r="DW27" s="97" t="n">
        <f aca="false">DW26-DV27+DU27</f>
        <v>0</v>
      </c>
      <c r="DX27" s="95" t="n">
        <f aca="false">[1]НАДІЙШЛО2!AS19</f>
        <v>0</v>
      </c>
      <c r="DY27" s="96" t="n">
        <f aca="false">[1]ВИБУЛО2!AS19</f>
        <v>0</v>
      </c>
      <c r="DZ27" s="97" t="n">
        <f aca="false">DZ26-DY27+DX27</f>
        <v>0</v>
      </c>
      <c r="EA27" s="95" t="n">
        <f aca="false">[1]НАДІЙШЛО2!AT19</f>
        <v>0</v>
      </c>
      <c r="EB27" s="96" t="n">
        <f aca="false">[1]ВИБУЛО2!AT19</f>
        <v>0</v>
      </c>
      <c r="EC27" s="97" t="n">
        <f aca="false">EC26-EB27+EA27</f>
        <v>0</v>
      </c>
      <c r="ED27" s="95" t="n">
        <f aca="false">[1]НАДІЙШЛО2!AU19</f>
        <v>0</v>
      </c>
      <c r="EE27" s="96" t="n">
        <f aca="false">[1]ВИБУЛО2!AU19</f>
        <v>0</v>
      </c>
      <c r="EF27" s="97" t="n">
        <f aca="false">EF26-EE27+ED27</f>
        <v>0</v>
      </c>
      <c r="EG27" s="95" t="n">
        <f aca="false">[1]НАДІЙШЛО2!AV19</f>
        <v>0</v>
      </c>
      <c r="EH27" s="96" t="n">
        <f aca="false">[1]ВИБУЛО2!AV19</f>
        <v>0</v>
      </c>
      <c r="EI27" s="97" t="n">
        <f aca="false">EI26-EH27+EG27</f>
        <v>0</v>
      </c>
      <c r="EJ27" s="95" t="n">
        <f aca="false">[1]НАДІЙШЛО2!AW19</f>
        <v>0</v>
      </c>
      <c r="EK27" s="96" t="n">
        <f aca="false">[1]ВИБУЛО2!AW19</f>
        <v>0</v>
      </c>
      <c r="EL27" s="97" t="n">
        <f aca="false">EL26-EK27+EJ27</f>
        <v>0</v>
      </c>
      <c r="EM27" s="95" t="n">
        <f aca="false">[1]НАДІЙШЛО2!AX19</f>
        <v>0</v>
      </c>
      <c r="EN27" s="96" t="n">
        <f aca="false">[1]ВИБУЛО2!AX19</f>
        <v>0</v>
      </c>
      <c r="EO27" s="97" t="n">
        <f aca="false">EO26-EN27+EM27</f>
        <v>0</v>
      </c>
      <c r="EP27" s="95" t="n">
        <f aca="false">[1]НАДІЙШЛО2!AY19</f>
        <v>0</v>
      </c>
      <c r="EQ27" s="96" t="n">
        <f aca="false">[1]ВИБУЛО2!AY19</f>
        <v>0</v>
      </c>
      <c r="ER27" s="97" t="n">
        <f aca="false">ER26-EQ27+EP27</f>
        <v>0</v>
      </c>
      <c r="ES27" s="95" t="n">
        <f aca="false">[1]НАДІЙШЛО2!AZ19</f>
        <v>0</v>
      </c>
      <c r="ET27" s="96" t="n">
        <f aca="false">[1]ВИБУЛО2!AZ19</f>
        <v>0</v>
      </c>
      <c r="EU27" s="97" t="n">
        <f aca="false">EU26-ET27+ES27</f>
        <v>0</v>
      </c>
      <c r="EV27" s="95" t="n">
        <f aca="false">[1]НАДІЙШЛО2!BA19</f>
        <v>0</v>
      </c>
      <c r="EW27" s="96" t="n">
        <f aca="false">[1]ВИБУЛО2!BA19</f>
        <v>0</v>
      </c>
      <c r="EX27" s="97" t="n">
        <f aca="false">EX26-EW27+EV27</f>
        <v>0</v>
      </c>
      <c r="EY27" s="95" t="n">
        <f aca="false">[1]НАДІЙШЛО2!BB19</f>
        <v>0</v>
      </c>
      <c r="EZ27" s="96" t="n">
        <f aca="false">[1]ВИБУЛО2!BB19</f>
        <v>0</v>
      </c>
      <c r="FA27" s="97" t="n">
        <f aca="false">FA26-EZ27+EY27</f>
        <v>0</v>
      </c>
      <c r="FB27" s="95" t="n">
        <f aca="false">[1]НАДІЙШЛО2!BC19</f>
        <v>0</v>
      </c>
      <c r="FC27" s="96" t="n">
        <f aca="false">[1]ВИБУЛО2!BC19</f>
        <v>0</v>
      </c>
      <c r="FD27" s="97" t="n">
        <f aca="false">FD26-FC27+FB27</f>
        <v>0</v>
      </c>
      <c r="FE27" s="95" t="n">
        <f aca="false">[1]НАДІЙШЛО2!BD19</f>
        <v>0</v>
      </c>
      <c r="FF27" s="96" t="n">
        <f aca="false">[1]ВИБУЛО2!BD19</f>
        <v>0</v>
      </c>
      <c r="FG27" s="97" t="n">
        <f aca="false">FG26-FF27+FE27</f>
        <v>0</v>
      </c>
      <c r="FH27" s="95" t="n">
        <f aca="false">[1]НАДІЙШЛО2!BE19</f>
        <v>0</v>
      </c>
      <c r="FI27" s="96" t="n">
        <f aca="false">[1]ВИБУЛО2!BE19</f>
        <v>0</v>
      </c>
      <c r="FJ27" s="97" t="n">
        <f aca="false">FJ26-FI27+FH27</f>
        <v>0</v>
      </c>
      <c r="FK27" s="95" t="n">
        <f aca="false">[1]НАДІЙШЛО2!BF19</f>
        <v>0</v>
      </c>
      <c r="FL27" s="96" t="n">
        <f aca="false">[1]ВИБУЛО2!BF19</f>
        <v>0</v>
      </c>
      <c r="FM27" s="97" t="n">
        <f aca="false">FM26-FL27+FK27</f>
        <v>0</v>
      </c>
      <c r="FN27" s="95" t="n">
        <f aca="false">[1]НАДІЙШЛО2!BG19</f>
        <v>0</v>
      </c>
      <c r="FO27" s="96" t="n">
        <f aca="false">[1]ВИБУЛО2!BG19</f>
        <v>0</v>
      </c>
      <c r="FP27" s="97" t="n">
        <f aca="false">FP26-FO27+FN27</f>
        <v>0</v>
      </c>
      <c r="FQ27" s="95" t="n">
        <f aca="false">[1]НАДІЙШЛО2!BH19</f>
        <v>0</v>
      </c>
      <c r="FR27" s="96" t="n">
        <f aca="false">[1]ВИБУЛО2!BH19</f>
        <v>0</v>
      </c>
      <c r="FS27" s="97" t="n">
        <f aca="false">FS26-FR27+FQ27</f>
        <v>0</v>
      </c>
      <c r="FT27" s="95" t="n">
        <f aca="false">[1]НАДІЙШЛО2!BI19</f>
        <v>0</v>
      </c>
      <c r="FU27" s="96" t="n">
        <f aca="false">[1]ВИБУЛО2!BI19</f>
        <v>0</v>
      </c>
      <c r="FV27" s="97" t="n">
        <f aca="false">FV26-FU27+FT27</f>
        <v>0</v>
      </c>
      <c r="FW27" s="95" t="n">
        <f aca="false">[1]НАДІЙШЛО2!BJ19</f>
        <v>0</v>
      </c>
      <c r="FX27" s="96" t="n">
        <f aca="false">[1]ВИБУЛО2!BJ19</f>
        <v>0</v>
      </c>
      <c r="FY27" s="97" t="n">
        <f aca="false">FY26-FX27+FW27</f>
        <v>0</v>
      </c>
      <c r="FZ27" s="95" t="n">
        <f aca="false">[1]НАДІЙШЛО2!BK19</f>
        <v>0</v>
      </c>
      <c r="GA27" s="96" t="n">
        <f aca="false">[1]ВИБУЛО2!BK19</f>
        <v>0</v>
      </c>
      <c r="GB27" s="97" t="n">
        <f aca="false">GB26-GA27+FZ27</f>
        <v>0</v>
      </c>
      <c r="GC27" s="95" t="n">
        <f aca="false">[1]НАДІЙШЛО2!BL19</f>
        <v>0</v>
      </c>
      <c r="GD27" s="96" t="n">
        <f aca="false">[1]ВИБУЛО2!BL19</f>
        <v>0</v>
      </c>
      <c r="GE27" s="97" t="n">
        <f aca="false">GE26-GD27+GC27</f>
        <v>0</v>
      </c>
      <c r="GF27" s="95" t="n">
        <f aca="false">[1]НАДІЙШЛО2!BM19</f>
        <v>0</v>
      </c>
      <c r="GG27" s="96" t="n">
        <f aca="false">[1]ВИБУЛО2!BM19</f>
        <v>0</v>
      </c>
      <c r="GH27" s="97" t="n">
        <f aca="false">GH26-GG27+GF27</f>
        <v>0</v>
      </c>
      <c r="GI27" s="95" t="n">
        <f aca="false">[1]НАДІЙШЛО2!BN19</f>
        <v>0</v>
      </c>
      <c r="GJ27" s="96" t="n">
        <f aca="false">[1]ВИБУЛО2!BN19</f>
        <v>0</v>
      </c>
      <c r="GK27" s="97" t="n">
        <f aca="false">GK26-GJ27+GI27</f>
        <v>0</v>
      </c>
      <c r="GL27" s="95" t="n">
        <f aca="false">[1]НАДІЙШЛО2!BO19</f>
        <v>0</v>
      </c>
      <c r="GM27" s="96" t="n">
        <f aca="false">[1]ВИБУЛО2!BO19</f>
        <v>0</v>
      </c>
      <c r="GN27" s="97" t="n">
        <f aca="false">GN26-GM27+GL27</f>
        <v>0</v>
      </c>
      <c r="GO27" s="95" t="n">
        <f aca="false">[1]НАДІЙШЛО2!BP19</f>
        <v>0</v>
      </c>
      <c r="GP27" s="96" t="n">
        <f aca="false">[1]ВИБУЛО2!BP19</f>
        <v>0</v>
      </c>
      <c r="GQ27" s="97" t="n">
        <f aca="false">GQ26-GP27+GO27</f>
        <v>0</v>
      </c>
      <c r="GR27" s="95" t="n">
        <f aca="false">[1]НАДІЙШЛО2!BQ19</f>
        <v>0</v>
      </c>
      <c r="GS27" s="96" t="n">
        <f aca="false">[1]ВИБУЛО2!BQ19</f>
        <v>0</v>
      </c>
      <c r="GT27" s="97" t="n">
        <f aca="false">GT26-GS27+GR27</f>
        <v>0</v>
      </c>
      <c r="GU27" s="95" t="n">
        <f aca="false">[1]НАДІЙШЛО2!BR19</f>
        <v>0</v>
      </c>
      <c r="GV27" s="96" t="n">
        <f aca="false">[1]ВИБУЛО2!BR19</f>
        <v>0</v>
      </c>
      <c r="GW27" s="97" t="n">
        <f aca="false">GW26-GV27+GU27</f>
        <v>0</v>
      </c>
      <c r="GX27" s="95" t="n">
        <f aca="false">[1]НАДІЙШЛО2!BS19</f>
        <v>0</v>
      </c>
      <c r="GY27" s="96" t="n">
        <f aca="false">[1]ВИБУЛО2!BS19</f>
        <v>0</v>
      </c>
      <c r="GZ27" s="97" t="n">
        <f aca="false">GZ26-GY27+GX27</f>
        <v>0</v>
      </c>
      <c r="HA27" s="95" t="n">
        <f aca="false">[1]НАДІЙШЛО2!BT19</f>
        <v>0</v>
      </c>
      <c r="HB27" s="96" t="n">
        <f aca="false">[1]ВИБУЛО2!BT19</f>
        <v>0</v>
      </c>
      <c r="HC27" s="97" t="n">
        <f aca="false">HC26-HB27+HA27</f>
        <v>0</v>
      </c>
      <c r="HD27" s="95" t="n">
        <f aca="false">[1]НАДІЙШЛО2!BU19</f>
        <v>0</v>
      </c>
      <c r="HE27" s="96" t="n">
        <f aca="false">[1]ВИБУЛО2!BU19</f>
        <v>0</v>
      </c>
      <c r="HF27" s="97" t="n">
        <f aca="false">HF26-HE27+HD27</f>
        <v>0</v>
      </c>
      <c r="HG27" s="95" t="n">
        <f aca="false">[1]НАДІЙШЛО2!BV19</f>
        <v>0</v>
      </c>
      <c r="HH27" s="96" t="n">
        <f aca="false">[1]ВИБУЛО2!BV19</f>
        <v>0</v>
      </c>
      <c r="HI27" s="97" t="n">
        <f aca="false">HI26-HH27+HG27</f>
        <v>0</v>
      </c>
      <c r="HJ27" s="95" t="n">
        <f aca="false">[1]НАДІЙШЛО2!BW19</f>
        <v>0</v>
      </c>
      <c r="HK27" s="96" t="n">
        <f aca="false">[1]ВИБУЛО2!BW19</f>
        <v>0</v>
      </c>
      <c r="HL27" s="97" t="n">
        <f aca="false">HL26-HK27+HJ27</f>
        <v>0</v>
      </c>
      <c r="HM27" s="95" t="n">
        <f aca="false">[1]НАДІЙШЛО2!BX19</f>
        <v>0</v>
      </c>
      <c r="HN27" s="96" t="n">
        <f aca="false">[1]ВИБУЛО2!BX19</f>
        <v>0</v>
      </c>
      <c r="HO27" s="97" t="n">
        <f aca="false">HO26-HN27+HM27</f>
        <v>0</v>
      </c>
      <c r="HP27" s="95" t="n">
        <f aca="false">[1]НАДІЙШЛО2!BY19</f>
        <v>0</v>
      </c>
      <c r="HQ27" s="96" t="n">
        <f aca="false">[1]ВИБУЛО2!BY19</f>
        <v>0</v>
      </c>
      <c r="HR27" s="97" t="n">
        <f aca="false">HR26-HQ27+HP27</f>
        <v>0</v>
      </c>
      <c r="HS27" s="95" t="n">
        <f aca="false">[1]НАДІЙШЛО2!BZ19</f>
        <v>0</v>
      </c>
      <c r="HT27" s="96" t="n">
        <f aca="false">[1]ВИБУЛО2!BZ19</f>
        <v>0</v>
      </c>
      <c r="HU27" s="97" t="n">
        <f aca="false">HU26-HT27+HS27</f>
        <v>0</v>
      </c>
      <c r="HV27" s="95" t="n">
        <f aca="false">[1]НАДІЙШЛО2!CA19</f>
        <v>0</v>
      </c>
      <c r="HW27" s="96" t="n">
        <f aca="false">[1]ВИБУЛО2!CA19</f>
        <v>0</v>
      </c>
      <c r="HX27" s="97" t="n">
        <f aca="false">HX26-HW27+HV27</f>
        <v>0</v>
      </c>
      <c r="HY27" s="95" t="n">
        <f aca="false">[1]НАДІЙШЛО2!CB19</f>
        <v>0</v>
      </c>
      <c r="HZ27" s="96" t="n">
        <f aca="false">[1]ВИБУЛО2!CB19</f>
        <v>0</v>
      </c>
      <c r="IA27" s="97" t="n">
        <f aca="false">IA26-HZ27+HY27</f>
        <v>0</v>
      </c>
      <c r="IB27" s="95" t="n">
        <f aca="false">[1]НАДІЙШЛО2!CC19</f>
        <v>0</v>
      </c>
      <c r="IC27" s="96" t="n">
        <f aca="false">[1]ВИБУЛО2!CC19</f>
        <v>0</v>
      </c>
      <c r="ID27" s="97" t="n">
        <f aca="false">ID26-IC27+IB27</f>
        <v>0</v>
      </c>
      <c r="IE27" s="95" t="n">
        <f aca="false">[1]НАДІЙШЛО2!CD19</f>
        <v>0</v>
      </c>
      <c r="IF27" s="96" t="n">
        <f aca="false">[1]ВИБУЛО2!CD19</f>
        <v>0</v>
      </c>
      <c r="IG27" s="97" t="n">
        <f aca="false">IG26-IF27+IE27</f>
        <v>0</v>
      </c>
      <c r="IH27" s="95" t="n">
        <f aca="false">[1]НАДІЙШЛО2!CE19</f>
        <v>0</v>
      </c>
      <c r="II27" s="96" t="n">
        <f aca="false">[1]ВИБУЛО2!CE19</f>
        <v>0</v>
      </c>
      <c r="IJ27" s="97" t="n">
        <f aca="false">IJ26-II27+IH27</f>
        <v>0</v>
      </c>
      <c r="IK27" s="95" t="n">
        <f aca="false">[1]НАДІЙШЛО2!CF19</f>
        <v>0</v>
      </c>
      <c r="IL27" s="96" t="n">
        <f aca="false">[1]ВИБУЛО2!CF19</f>
        <v>0</v>
      </c>
      <c r="IM27" s="97" t="n">
        <f aca="false">IM26-IL27+IK27</f>
        <v>0</v>
      </c>
      <c r="IN27" s="95" t="n">
        <f aca="false">[1]НАДІЙШЛО2!CG19</f>
        <v>0</v>
      </c>
      <c r="IO27" s="96" t="n">
        <f aca="false">[1]ВИБУЛО2!CG19</f>
        <v>0</v>
      </c>
      <c r="IP27" s="97" t="n">
        <f aca="false">IP26-IO27+IN27</f>
        <v>0</v>
      </c>
      <c r="IQ27" s="95" t="n">
        <f aca="false">[1]НАДІЙШЛО2!CH19</f>
        <v>0</v>
      </c>
      <c r="IR27" s="96" t="n">
        <f aca="false">[1]ВИБУЛО2!CH19</f>
        <v>0</v>
      </c>
      <c r="IS27" s="97" t="n">
        <f aca="false">IS26-IR27+IQ27</f>
        <v>0</v>
      </c>
      <c r="IT27" s="95" t="n">
        <f aca="false">[1]НАДІЙШЛО2!CI19</f>
        <v>0</v>
      </c>
      <c r="IU27" s="96" t="n">
        <f aca="false">[1]ВИБУЛО2!CI19</f>
        <v>0</v>
      </c>
      <c r="IV27" s="97" t="n">
        <f aca="false">IV26-IU27+IT27</f>
        <v>0</v>
      </c>
      <c r="IW27" s="95" t="n">
        <f aca="false">[1]НАДІЙШЛО2!CJ19</f>
        <v>0</v>
      </c>
      <c r="IX27" s="96" t="n">
        <f aca="false">[1]ВИБУЛО2!CJ19</f>
        <v>0</v>
      </c>
      <c r="IY27" s="97" t="n">
        <f aca="false">IY26-IX27+IW27</f>
        <v>0</v>
      </c>
      <c r="IZ27" s="95" t="n">
        <f aca="false">[1]НАДІЙШЛО2!CK19</f>
        <v>0</v>
      </c>
      <c r="JA27" s="96" t="n">
        <f aca="false">[1]ВИБУЛО2!CK19</f>
        <v>0</v>
      </c>
      <c r="JB27" s="97" t="n">
        <f aca="false">JB26-JA27+IZ27</f>
        <v>0</v>
      </c>
      <c r="JC27" s="95" t="n">
        <f aca="false">[1]НАДІЙШЛО2!CL19</f>
        <v>0</v>
      </c>
      <c r="JD27" s="96" t="n">
        <f aca="false">[1]ВИБУЛО2!CL19</f>
        <v>0</v>
      </c>
      <c r="JE27" s="97" t="n">
        <f aca="false">JE26-JD27+JC27</f>
        <v>0</v>
      </c>
      <c r="JF27" s="95" t="n">
        <f aca="false">[1]НАДІЙШЛО2!CM19</f>
        <v>0</v>
      </c>
      <c r="JG27" s="96" t="n">
        <f aca="false">[1]ВИБУЛО2!CM19</f>
        <v>0</v>
      </c>
      <c r="JH27" s="97" t="n">
        <f aca="false">JH26-JG27+JF27</f>
        <v>0</v>
      </c>
      <c r="JI27" s="95" t="n">
        <f aca="false">[1]НАДІЙШЛО2!CN19</f>
        <v>0</v>
      </c>
      <c r="JJ27" s="96" t="n">
        <f aca="false">[1]ВИБУЛО2!CN19</f>
        <v>0</v>
      </c>
      <c r="JK27" s="97" t="n">
        <f aca="false">JK26-JJ27+JI27</f>
        <v>0</v>
      </c>
      <c r="JL27" s="95" t="n">
        <f aca="false">[1]НАДІЙШЛО2!CO19</f>
        <v>0</v>
      </c>
      <c r="JM27" s="96" t="n">
        <f aca="false">[1]ВИБУЛО2!CO19</f>
        <v>0</v>
      </c>
      <c r="JN27" s="97" t="n">
        <f aca="false">JN26-JM27+JL27</f>
        <v>0</v>
      </c>
      <c r="JO27" s="95" t="n">
        <f aca="false">[1]НАДІЙШЛО2!CP19</f>
        <v>0</v>
      </c>
      <c r="JP27" s="96" t="n">
        <f aca="false">[1]ВИБУЛО2!CP19</f>
        <v>0</v>
      </c>
      <c r="JQ27" s="97" t="n">
        <f aca="false">JQ26-JP27+JO27</f>
        <v>0</v>
      </c>
      <c r="JR27" s="95" t="n">
        <f aca="false">[1]НАДІЙШЛО2!CQ19</f>
        <v>0</v>
      </c>
      <c r="JS27" s="96" t="n">
        <f aca="false">[1]ВИБУЛО2!CQ19</f>
        <v>0</v>
      </c>
      <c r="JT27" s="97" t="n">
        <f aca="false">JT26-JS27+JR27</f>
        <v>0</v>
      </c>
      <c r="JU27" s="95" t="n">
        <f aca="false">[1]НАДІЙШЛО2!CR19</f>
        <v>0</v>
      </c>
      <c r="JV27" s="96" t="n">
        <f aca="false">[1]ВИБУЛО2!CR19</f>
        <v>0</v>
      </c>
      <c r="JW27" s="97" t="n">
        <f aca="false">JW26-JV27+JU27</f>
        <v>0</v>
      </c>
      <c r="JX27" s="95" t="n">
        <f aca="false">[1]НАДІЙШЛО2!CS19</f>
        <v>0</v>
      </c>
      <c r="JY27" s="96" t="n">
        <f aca="false">[1]ВИБУЛО2!CS19</f>
        <v>0</v>
      </c>
      <c r="JZ27" s="97" t="n">
        <f aca="false">JZ26-JY27+JX27</f>
        <v>0</v>
      </c>
      <c r="KA27" s="95" t="n">
        <f aca="false">[1]НАДІЙШЛО2!CT19</f>
        <v>0</v>
      </c>
      <c r="KB27" s="96" t="n">
        <f aca="false">[1]ВИБУЛО2!CT19</f>
        <v>0</v>
      </c>
      <c r="KC27" s="97" t="n">
        <f aca="false">KC26-KB27+KA27</f>
        <v>0</v>
      </c>
      <c r="KD27" s="95" t="n">
        <f aca="false">[1]НАДІЙШЛО2!CU19</f>
        <v>0</v>
      </c>
      <c r="KE27" s="96" t="n">
        <f aca="false">[1]ВИБУЛО2!CU19</f>
        <v>0</v>
      </c>
      <c r="KF27" s="97" t="n">
        <f aca="false">KF26-KE27+KD27</f>
        <v>0</v>
      </c>
      <c r="KG27" s="95" t="n">
        <f aca="false">[1]НАДІЙШЛО2!CV19</f>
        <v>0</v>
      </c>
      <c r="KH27" s="96" t="n">
        <f aca="false">[1]ВИБУЛО2!CV19</f>
        <v>0</v>
      </c>
      <c r="KI27" s="97" t="n">
        <f aca="false">KI26-KH27+KG27</f>
        <v>0</v>
      </c>
      <c r="KJ27" s="95" t="n">
        <f aca="false">[1]НАДІЙШЛО2!CW19</f>
        <v>0</v>
      </c>
      <c r="KK27" s="96" t="n">
        <f aca="false">[1]ВИБУЛО2!CW19</f>
        <v>0</v>
      </c>
      <c r="KL27" s="97" t="n">
        <f aca="false">KL26-KK27+KJ27</f>
        <v>0</v>
      </c>
      <c r="KM27" s="95" t="n">
        <f aca="false">[1]НАДІЙШЛО2!CX19</f>
        <v>0</v>
      </c>
      <c r="KN27" s="96" t="n">
        <f aca="false">[1]ВИБУЛО2!CX19</f>
        <v>0</v>
      </c>
      <c r="KO27" s="97" t="n">
        <f aca="false">KO26-KN27+KM27</f>
        <v>0</v>
      </c>
      <c r="KP27" s="95" t="n">
        <f aca="false">[1]НАДІЙШЛО2!CY19</f>
        <v>0</v>
      </c>
      <c r="KQ27" s="96" t="n">
        <f aca="false">[1]ВИБУЛО2!CY19</f>
        <v>0</v>
      </c>
      <c r="KR27" s="97" t="n">
        <f aca="false">KR26-KQ27+KP27</f>
        <v>0</v>
      </c>
      <c r="KS27" s="95" t="n">
        <f aca="false">[1]НАДІЙШЛО2!CZ19</f>
        <v>0</v>
      </c>
      <c r="KT27" s="96" t="n">
        <f aca="false">[1]ВИБУЛО2!CZ19</f>
        <v>0</v>
      </c>
      <c r="KU27" s="97" t="n">
        <f aca="false">KU26-KT27+KS27</f>
        <v>0</v>
      </c>
      <c r="KV27" s="95" t="n">
        <f aca="false">[1]НАДІЙШЛО2!DA19</f>
        <v>0</v>
      </c>
      <c r="KW27" s="96" t="n">
        <f aca="false">[1]ВИБУЛО2!DA19</f>
        <v>0</v>
      </c>
      <c r="KX27" s="97" t="n">
        <f aca="false">KX26-KW27+KV27</f>
        <v>0</v>
      </c>
      <c r="KY27" s="95" t="n">
        <f aca="false">[1]НАДІЙШЛО2!DB19</f>
        <v>0</v>
      </c>
      <c r="KZ27" s="96" t="n">
        <f aca="false">[1]ВИБУЛО2!DB19</f>
        <v>0</v>
      </c>
      <c r="LA27" s="97" t="n">
        <f aca="false">LA26-KZ27+KY27</f>
        <v>0</v>
      </c>
      <c r="LB27" s="95" t="n">
        <f aca="false">[1]НАДІЙШЛО2!DC19</f>
        <v>0</v>
      </c>
      <c r="LC27" s="96" t="n">
        <f aca="false">[1]ВИБУЛО2!DC19</f>
        <v>0</v>
      </c>
      <c r="LD27" s="97" t="n">
        <f aca="false">LD26-LC27+LB27</f>
        <v>0</v>
      </c>
      <c r="LE27" s="95" t="n">
        <f aca="false">[1]НАДІЙШЛО2!DD19</f>
        <v>0</v>
      </c>
      <c r="LF27" s="96" t="n">
        <f aca="false">[1]ВИБУЛО2!DD19</f>
        <v>0</v>
      </c>
      <c r="LG27" s="97" t="n">
        <f aca="false">LG26-LF27+LE27</f>
        <v>0</v>
      </c>
      <c r="LH27" s="95" t="n">
        <f aca="false">[1]НАДІЙШЛО2!DE19</f>
        <v>0</v>
      </c>
      <c r="LI27" s="96" t="n">
        <f aca="false">[1]ВИБУЛО2!DE19</f>
        <v>0</v>
      </c>
      <c r="LJ27" s="97" t="n">
        <f aca="false">LJ26-LI27+LH27</f>
        <v>0</v>
      </c>
      <c r="LK27" s="95" t="n">
        <f aca="false">[1]НАДІЙШЛО2!DF19</f>
        <v>0</v>
      </c>
      <c r="LL27" s="96" t="n">
        <f aca="false">[1]ВИБУЛО2!DF19</f>
        <v>0</v>
      </c>
      <c r="LM27" s="97" t="n">
        <f aca="false">LM26-LL27+LK27</f>
        <v>0</v>
      </c>
      <c r="LN27" s="95" t="n">
        <f aca="false">[1]НАДІЙШЛО2!DG19</f>
        <v>0</v>
      </c>
      <c r="LO27" s="96" t="n">
        <f aca="false">[1]ВИБУЛО2!DG19</f>
        <v>0</v>
      </c>
      <c r="LP27" s="97" t="n">
        <f aca="false">LP26-LO27+LN27</f>
        <v>0</v>
      </c>
      <c r="LQ27" s="95" t="n">
        <f aca="false">[1]НАДІЙШЛО2!DH19</f>
        <v>0</v>
      </c>
      <c r="LR27" s="96" t="n">
        <f aca="false">[1]ВИБУЛО2!DH19</f>
        <v>0</v>
      </c>
      <c r="LS27" s="97" t="n">
        <f aca="false">LS26-LR27+LQ27</f>
        <v>0</v>
      </c>
      <c r="LT27" s="95" t="n">
        <f aca="false">[1]НАДІЙШЛО2!DI19</f>
        <v>0</v>
      </c>
      <c r="LU27" s="96" t="n">
        <f aca="false">[1]ВИБУЛО2!DI19</f>
        <v>0</v>
      </c>
      <c r="LV27" s="97" t="n">
        <f aca="false">LV26-LU27+LT27</f>
        <v>0</v>
      </c>
      <c r="LW27" s="95" t="n">
        <f aca="false">[1]НАДІЙШЛО2!DJ19</f>
        <v>0</v>
      </c>
      <c r="LX27" s="96" t="n">
        <f aca="false">[1]ВИБУЛО2!DJ19</f>
        <v>0</v>
      </c>
      <c r="LY27" s="97" t="n">
        <f aca="false">LY26-LX27+LW27</f>
        <v>0</v>
      </c>
      <c r="LZ27" s="95" t="n">
        <f aca="false">[1]НАДІЙШЛО2!DK19</f>
        <v>0</v>
      </c>
      <c r="MA27" s="96" t="n">
        <f aca="false">[1]ВИБУЛО2!DK19</f>
        <v>0</v>
      </c>
      <c r="MB27" s="97" t="n">
        <f aca="false">MB26-MA27+LZ27</f>
        <v>0</v>
      </c>
      <c r="MC27" s="95" t="n">
        <f aca="false">[1]НАДІЙШЛО2!DL19</f>
        <v>0</v>
      </c>
      <c r="MD27" s="96" t="n">
        <f aca="false">[1]ВИБУЛО2!DL19</f>
        <v>0</v>
      </c>
      <c r="ME27" s="97" t="n">
        <f aca="false">ME26-MD27+MC27</f>
        <v>0</v>
      </c>
      <c r="MF27" s="95" t="n">
        <f aca="false">[1]НАДІЙШЛО2!DM19</f>
        <v>0</v>
      </c>
      <c r="MG27" s="96" t="n">
        <f aca="false">[1]ВИБУЛО2!DM19</f>
        <v>0</v>
      </c>
      <c r="MH27" s="97" t="n">
        <f aca="false">MH26-MG27+MF27</f>
        <v>0</v>
      </c>
      <c r="MI27" s="95" t="n">
        <f aca="false">[1]НАДІЙШЛО2!DN19</f>
        <v>0</v>
      </c>
      <c r="MJ27" s="96" t="n">
        <f aca="false">[1]ВИБУЛО2!DN19</f>
        <v>0</v>
      </c>
      <c r="MK27" s="97" t="n">
        <f aca="false">MK26-MJ27+MI27</f>
        <v>0</v>
      </c>
      <c r="ML27" s="95" t="n">
        <f aca="false">[1]НАДІЙШЛО2!DO19</f>
        <v>0</v>
      </c>
      <c r="MM27" s="96" t="n">
        <f aca="false">[1]ВИБУЛО2!DO19</f>
        <v>0</v>
      </c>
      <c r="MN27" s="97" t="n">
        <f aca="false">MN26-MM27+ML27</f>
        <v>0</v>
      </c>
      <c r="MO27" s="95" t="n">
        <f aca="false">[1]НАДІЙШЛО2!DP19</f>
        <v>0</v>
      </c>
      <c r="MP27" s="96" t="n">
        <f aca="false">[1]ВИБУЛО2!DP19</f>
        <v>0</v>
      </c>
      <c r="MQ27" s="97" t="n">
        <f aca="false">MQ26-MP27+MO27</f>
        <v>0</v>
      </c>
      <c r="MR27" s="95" t="n">
        <f aca="false">[1]НАДІЙШЛО2!DQ19</f>
        <v>0</v>
      </c>
      <c r="MS27" s="96" t="n">
        <f aca="false">[1]ВИБУЛО2!DQ19</f>
        <v>0</v>
      </c>
      <c r="MT27" s="97" t="n">
        <f aca="false">MT26-MS27+MR27</f>
        <v>0</v>
      </c>
      <c r="MU27" s="95" t="n">
        <f aca="false">[1]НАДІЙШЛО2!DR19</f>
        <v>0</v>
      </c>
      <c r="MV27" s="96" t="n">
        <f aca="false">[1]ВИБУЛО2!DR19</f>
        <v>0</v>
      </c>
      <c r="MW27" s="97" t="n">
        <f aca="false">MW26-MV27+MU27</f>
        <v>0</v>
      </c>
      <c r="MX27" s="95" t="n">
        <f aca="false">[1]НАДІЙШЛО2!DS19</f>
        <v>0</v>
      </c>
      <c r="MY27" s="96" t="n">
        <f aca="false">[1]ВИБУЛО2!DS19</f>
        <v>0</v>
      </c>
      <c r="MZ27" s="97" t="n">
        <f aca="false">MZ26-MY27+MX27</f>
        <v>0</v>
      </c>
      <c r="NA27" s="95" t="n">
        <f aca="false">[1]НАДІЙШЛО2!DT19</f>
        <v>0</v>
      </c>
      <c r="NB27" s="96" t="n">
        <f aca="false">[1]ВИБУЛО2!DT19</f>
        <v>0</v>
      </c>
      <c r="NC27" s="97" t="n">
        <f aca="false">NC26-NB27+NA27</f>
        <v>0</v>
      </c>
      <c r="ND27" s="95" t="n">
        <f aca="false">[1]НАДІЙШЛО2!DU19</f>
        <v>0</v>
      </c>
      <c r="NE27" s="96" t="n">
        <f aca="false">[1]ВИБУЛО2!DU19</f>
        <v>0</v>
      </c>
      <c r="NF27" s="97" t="n">
        <f aca="false">NF26-NE27+ND27</f>
        <v>0</v>
      </c>
      <c r="NG27" s="95" t="n">
        <f aca="false">[1]НАДІЙШЛО2!DV19</f>
        <v>0</v>
      </c>
      <c r="NH27" s="96" t="n">
        <f aca="false">[1]ВИБУЛО2!DV19</f>
        <v>0</v>
      </c>
      <c r="NI27" s="97" t="n">
        <f aca="false">NI26-NH27+NG27</f>
        <v>0</v>
      </c>
      <c r="NJ27" s="95" t="n">
        <f aca="false">[1]НАДІЙШЛО2!DW19</f>
        <v>0</v>
      </c>
      <c r="NK27" s="96" t="n">
        <f aca="false">[1]ВИБУЛО2!DW19</f>
        <v>0</v>
      </c>
      <c r="NL27" s="97" t="n">
        <f aca="false">NL26-NK27+NJ27</f>
        <v>0</v>
      </c>
      <c r="NM27" s="95" t="n">
        <f aca="false">[1]НАДІЙШЛО2!DX19</f>
        <v>0</v>
      </c>
      <c r="NN27" s="96" t="n">
        <f aca="false">[1]ВИБУЛО2!DX19</f>
        <v>0</v>
      </c>
      <c r="NO27" s="97" t="n">
        <f aca="false">NO26-NN27+NM27</f>
        <v>0</v>
      </c>
      <c r="NP27" s="95" t="n">
        <f aca="false">[1]НАДІЙШЛО2!DY19</f>
        <v>0</v>
      </c>
      <c r="NQ27" s="96" t="n">
        <f aca="false">[1]ВИБУЛО2!DY19</f>
        <v>0</v>
      </c>
      <c r="NR27" s="97" t="n">
        <f aca="false">NR26-NQ27+NP27</f>
        <v>0</v>
      </c>
      <c r="NS27" s="95" t="n">
        <f aca="false">[1]НАДІЙШЛО2!DZ19</f>
        <v>0</v>
      </c>
      <c r="NT27" s="96" t="n">
        <f aca="false">[1]ВИБУЛО2!DZ19</f>
        <v>0</v>
      </c>
      <c r="NU27" s="97" t="n">
        <f aca="false">NU26-NT27+NS27</f>
        <v>0</v>
      </c>
      <c r="NV27" s="95" t="n">
        <f aca="false">[1]НАДІЙШЛО2!EA19</f>
        <v>0</v>
      </c>
      <c r="NW27" s="96" t="n">
        <f aca="false">[1]ВИБУЛО2!EA19</f>
        <v>0</v>
      </c>
      <c r="NX27" s="97" t="n">
        <f aca="false">NX26-NW27+NV27</f>
        <v>0</v>
      </c>
      <c r="NY27" s="95" t="n">
        <f aca="false">[1]НАДІЙШЛО2!EB19</f>
        <v>0</v>
      </c>
      <c r="NZ27" s="96" t="n">
        <f aca="false">[1]ВИБУЛО2!EB19</f>
        <v>0</v>
      </c>
      <c r="OA27" s="97" t="n">
        <f aca="false">OA26-NZ27+NY27</f>
        <v>0</v>
      </c>
      <c r="OB27" s="95" t="n">
        <f aca="false">[1]НАДІЙШЛО2!EC19</f>
        <v>0</v>
      </c>
      <c r="OC27" s="96" t="n">
        <f aca="false">[1]ВИБУЛО2!EC19</f>
        <v>0</v>
      </c>
      <c r="OD27" s="97" t="n">
        <f aca="false">OD26-OC27+OB27</f>
        <v>0</v>
      </c>
      <c r="OE27" s="95" t="n">
        <f aca="false">[1]НАДІЙШЛО2!ED19</f>
        <v>0</v>
      </c>
      <c r="OF27" s="96" t="n">
        <f aca="false">[1]ВИБУЛО2!ED19</f>
        <v>0</v>
      </c>
      <c r="OG27" s="97" t="n">
        <f aca="false">OG26-OF27+OE27</f>
        <v>0</v>
      </c>
      <c r="OH27" s="95" t="n">
        <f aca="false">[1]НАДІЙШЛО2!EE19</f>
        <v>0</v>
      </c>
      <c r="OI27" s="96" t="n">
        <f aca="false">[1]ВИБУЛО2!EE19</f>
        <v>0</v>
      </c>
      <c r="OJ27" s="97" t="n">
        <f aca="false">OJ26-OI27+OH27</f>
        <v>0</v>
      </c>
      <c r="OK27" s="95" t="n">
        <f aca="false">[1]НАДІЙШЛО2!EF19</f>
        <v>0</v>
      </c>
      <c r="OL27" s="96" t="n">
        <f aca="false">[1]ВИБУЛО2!EF19</f>
        <v>0</v>
      </c>
      <c r="OM27" s="97" t="n">
        <f aca="false">OM26-OL27+OK27</f>
        <v>0</v>
      </c>
      <c r="ON27" s="95" t="n">
        <f aca="false">[1]НАДІЙШЛО2!EG19</f>
        <v>0</v>
      </c>
      <c r="OO27" s="96" t="n">
        <f aca="false">[1]ВИБУЛО2!EG19</f>
        <v>0</v>
      </c>
      <c r="OP27" s="97" t="n">
        <f aca="false">OP26-OO27+ON27</f>
        <v>0</v>
      </c>
      <c r="OQ27" s="95" t="n">
        <f aca="false">[1]НАДІЙШЛО2!EH19</f>
        <v>0</v>
      </c>
      <c r="OR27" s="96" t="n">
        <f aca="false">[1]ВИБУЛО2!EH19</f>
        <v>0</v>
      </c>
      <c r="OS27" s="97" t="n">
        <f aca="false">OS26-OR27+OQ27</f>
        <v>0</v>
      </c>
      <c r="OT27" s="95" t="n">
        <f aca="false">[1]НАДІЙШЛО2!EI19</f>
        <v>0</v>
      </c>
      <c r="OU27" s="96" t="n">
        <f aca="false">[1]ВИБУЛО2!EI19</f>
        <v>0</v>
      </c>
      <c r="OV27" s="97" t="n">
        <f aca="false">OV26-OU27+OT27</f>
        <v>0</v>
      </c>
      <c r="OW27" s="95" t="n">
        <f aca="false">[1]НАДІЙШЛО2!EJ19</f>
        <v>0</v>
      </c>
      <c r="OX27" s="96" t="n">
        <f aca="false">[1]ВИБУЛО2!EJ19</f>
        <v>0</v>
      </c>
      <c r="OY27" s="97" t="n">
        <f aca="false">OY26-OX27+OW27</f>
        <v>0</v>
      </c>
      <c r="OZ27" s="95" t="n">
        <f aca="false">[1]НАДІЙШЛО2!EK19</f>
        <v>0</v>
      </c>
      <c r="PA27" s="96" t="n">
        <f aca="false">[1]ВИБУЛО2!EK19</f>
        <v>0</v>
      </c>
      <c r="PB27" s="97" t="n">
        <f aca="false">PB26-PA27+OZ27</f>
        <v>0</v>
      </c>
      <c r="PC27" s="95" t="n">
        <f aca="false">[1]НАДІЙШЛО2!EL19</f>
        <v>0</v>
      </c>
      <c r="PD27" s="96" t="n">
        <f aca="false">[1]ВИБУЛО2!EL19</f>
        <v>0</v>
      </c>
      <c r="PE27" s="97" t="n">
        <f aca="false">PE26-PD27+PC27</f>
        <v>0</v>
      </c>
      <c r="PF27" s="95" t="n">
        <f aca="false">[1]НАДІЙШЛО2!EM19</f>
        <v>0</v>
      </c>
      <c r="PG27" s="96" t="n">
        <f aca="false">[1]ВИБУЛО2!EM19</f>
        <v>0</v>
      </c>
      <c r="PH27" s="97" t="n">
        <f aca="false">PH26-PG27+PF27</f>
        <v>0</v>
      </c>
      <c r="PI27" s="95" t="n">
        <f aca="false">[1]НАДІЙШЛО2!EN19</f>
        <v>0</v>
      </c>
      <c r="PJ27" s="96" t="n">
        <f aca="false">[1]ВИБУЛО2!EN19</f>
        <v>0</v>
      </c>
      <c r="PK27" s="97" t="n">
        <f aca="false">PK26-PJ27+PI27</f>
        <v>0</v>
      </c>
      <c r="PL27" s="95" t="n">
        <f aca="false">[1]НАДІЙШЛО2!EO19</f>
        <v>0</v>
      </c>
      <c r="PM27" s="96" t="n">
        <f aca="false">[1]ВИБУЛО2!EO19</f>
        <v>0</v>
      </c>
      <c r="PN27" s="97" t="n">
        <f aca="false">PN26-PM27+PL27</f>
        <v>0</v>
      </c>
      <c r="PO27" s="95" t="n">
        <f aca="false">[1]НАДІЙШЛО2!EP19</f>
        <v>0</v>
      </c>
      <c r="PP27" s="96" t="n">
        <f aca="false">[1]ВИБУЛО2!EP19</f>
        <v>0</v>
      </c>
      <c r="PQ27" s="97" t="n">
        <f aca="false">PQ26-PP27+PO27</f>
        <v>0</v>
      </c>
      <c r="PR27" s="95" t="n">
        <f aca="false">[1]НАДІЙШЛО2!EQ19</f>
        <v>0</v>
      </c>
      <c r="PS27" s="96" t="n">
        <f aca="false">[1]ВИБУЛО2!EQ19</f>
        <v>0</v>
      </c>
      <c r="PT27" s="97" t="n">
        <f aca="false">PT26-PS27+PR27</f>
        <v>0</v>
      </c>
      <c r="PU27" s="95" t="n">
        <f aca="false">[1]НАДІЙШЛО2!ER19</f>
        <v>0</v>
      </c>
      <c r="PV27" s="96" t="n">
        <f aca="false">[1]ВИБУЛО2!ER19</f>
        <v>0</v>
      </c>
      <c r="PW27" s="97" t="n">
        <f aca="false">PW26-PV27+PU27</f>
        <v>0</v>
      </c>
      <c r="PX27" s="95" t="n">
        <f aca="false">[1]НАДІЙШЛО2!ES19</f>
        <v>0</v>
      </c>
      <c r="PY27" s="96" t="n">
        <f aca="false">[1]ВИБУЛО2!ES19</f>
        <v>0</v>
      </c>
      <c r="PZ27" s="97" t="n">
        <f aca="false">PZ26-PY27+PX27</f>
        <v>0</v>
      </c>
      <c r="QA27" s="95" t="n">
        <f aca="false">[1]НАДІЙШЛО2!ET19</f>
        <v>0</v>
      </c>
      <c r="QB27" s="96" t="n">
        <f aca="false">[1]ВИБУЛО2!ET19</f>
        <v>0</v>
      </c>
      <c r="QC27" s="97" t="n">
        <f aca="false">QC26-QB27+QA27</f>
        <v>0</v>
      </c>
      <c r="QD27" s="95" t="n">
        <f aca="false">[1]НАДІЙШЛО2!EU19</f>
        <v>0</v>
      </c>
      <c r="QE27" s="96" t="n">
        <f aca="false">[1]ВИБУЛО2!EU19</f>
        <v>0</v>
      </c>
      <c r="QF27" s="97" t="n">
        <f aca="false">QF26-QE27+QD27</f>
        <v>0</v>
      </c>
      <c r="QG27" s="95" t="n">
        <f aca="false">[1]НАДІЙШЛО2!EV19</f>
        <v>0</v>
      </c>
      <c r="QH27" s="96" t="n">
        <f aca="false">[1]ВИБУЛО2!EV19</f>
        <v>0</v>
      </c>
      <c r="QI27" s="97" t="n">
        <f aca="false">QI26-QH27+QG27</f>
        <v>0</v>
      </c>
      <c r="QJ27" s="95" t="n">
        <f aca="false">[1]НАДІЙШЛО2!EW19</f>
        <v>0</v>
      </c>
      <c r="QK27" s="96" t="n">
        <f aca="false">[1]ВИБУЛО2!EW19</f>
        <v>0</v>
      </c>
      <c r="QL27" s="97" t="n">
        <f aca="false">QL26-QK27+QJ27</f>
        <v>0</v>
      </c>
      <c r="QM27" s="95" t="n">
        <f aca="false">[1]НАДІЙШЛО2!EX19</f>
        <v>0</v>
      </c>
      <c r="QN27" s="96" t="n">
        <f aca="false">[1]ВИБУЛО2!EX19</f>
        <v>0</v>
      </c>
      <c r="QO27" s="97" t="n">
        <f aca="false">QO26-QN27+QM27</f>
        <v>0</v>
      </c>
      <c r="QP27" s="95" t="n">
        <f aca="false">[1]НАДІЙШЛО2!EY19</f>
        <v>0</v>
      </c>
      <c r="QQ27" s="96" t="n">
        <f aca="false">[1]ВИБУЛО2!EY19</f>
        <v>0</v>
      </c>
      <c r="QR27" s="97" t="n">
        <f aca="false">QR26-QQ27+QP27</f>
        <v>0</v>
      </c>
      <c r="QS27" s="95" t="n">
        <f aca="false">[1]НАДІЙШЛО2!EZ19</f>
        <v>0</v>
      </c>
      <c r="QT27" s="96" t="n">
        <f aca="false">[1]ВИБУЛО2!EZ19</f>
        <v>0</v>
      </c>
      <c r="QU27" s="97" t="n">
        <f aca="false">QU26-QT27+QS27</f>
        <v>0</v>
      </c>
      <c r="QV27" s="95" t="n">
        <f aca="false">[1]НАДІЙШЛО2!FA19</f>
        <v>0</v>
      </c>
      <c r="QW27" s="96" t="n">
        <f aca="false">[1]ВИБУЛО2!FA19</f>
        <v>0</v>
      </c>
      <c r="QX27" s="97" t="n">
        <f aca="false">QX26-QW27+QV27</f>
        <v>0</v>
      </c>
      <c r="QY27" s="95" t="n">
        <f aca="false">[1]НАДІЙШЛО2!FB19</f>
        <v>0</v>
      </c>
      <c r="QZ27" s="96" t="n">
        <f aca="false">[1]ВИБУЛО2!FB19</f>
        <v>0</v>
      </c>
      <c r="RA27" s="97" t="n">
        <f aca="false">RA26-QZ27+QY27</f>
        <v>0</v>
      </c>
      <c r="RB27" s="95" t="n">
        <f aca="false">[1]НАДІЙШЛО2!FC19</f>
        <v>0</v>
      </c>
      <c r="RC27" s="96" t="n">
        <f aca="false">[1]ВИБУЛО2!FC19</f>
        <v>0</v>
      </c>
      <c r="RD27" s="97" t="n">
        <f aca="false">RD26-RC27+RB27</f>
        <v>0</v>
      </c>
      <c r="RE27" s="95" t="n">
        <f aca="false">[1]НАДІЙШЛО2!FD19</f>
        <v>0</v>
      </c>
      <c r="RF27" s="96" t="n">
        <f aca="false">[1]ВИБУЛО2!FD19</f>
        <v>0</v>
      </c>
      <c r="RG27" s="97" t="n">
        <f aca="false">RG26-RF27+RE27</f>
        <v>0</v>
      </c>
      <c r="RH27" s="95" t="n">
        <f aca="false">[1]НАДІЙШЛО2!FE19</f>
        <v>0</v>
      </c>
      <c r="RI27" s="96" t="n">
        <f aca="false">[1]ВИБУЛО2!FE19</f>
        <v>0</v>
      </c>
      <c r="RJ27" s="97" t="n">
        <f aca="false">RJ26-RI27+RH27</f>
        <v>0</v>
      </c>
      <c r="RK27" s="95" t="n">
        <f aca="false">[1]НАДІЙШЛО2!FF19</f>
        <v>0</v>
      </c>
      <c r="RL27" s="96" t="n">
        <f aca="false">[1]ВИБУЛО2!FF19</f>
        <v>0</v>
      </c>
      <c r="RM27" s="97" t="n">
        <f aca="false">RM26-RL27+RK27</f>
        <v>0</v>
      </c>
      <c r="RN27" s="95" t="n">
        <f aca="false">[1]НАДІЙШЛО2!FG19</f>
        <v>0</v>
      </c>
      <c r="RO27" s="96" t="n">
        <f aca="false">[1]ВИБУЛО2!FG19</f>
        <v>0</v>
      </c>
      <c r="RP27" s="97" t="n">
        <f aca="false">RP26-RO27+RN27</f>
        <v>0</v>
      </c>
      <c r="RQ27" s="95" t="n">
        <f aca="false">[1]НАДІЙШЛО2!FH19</f>
        <v>0</v>
      </c>
      <c r="RR27" s="96" t="n">
        <f aca="false">[1]ВИБУЛО2!FH19</f>
        <v>0</v>
      </c>
      <c r="RS27" s="97" t="n">
        <f aca="false">RS26-RR27+RQ27</f>
        <v>0</v>
      </c>
      <c r="RT27" s="95" t="n">
        <f aca="false">[1]НАДІЙШЛО2!FI19</f>
        <v>0</v>
      </c>
      <c r="RU27" s="96" t="n">
        <f aca="false">[1]ВИБУЛО2!FI19</f>
        <v>0</v>
      </c>
      <c r="RV27" s="97" t="n">
        <f aca="false">RV26-RU27+RT27</f>
        <v>0</v>
      </c>
      <c r="RW27" s="95" t="n">
        <f aca="false">[1]НАДІЙШЛО2!FJ19</f>
        <v>0</v>
      </c>
      <c r="RX27" s="96" t="n">
        <f aca="false">[1]ВИБУЛО2!FJ19</f>
        <v>0</v>
      </c>
      <c r="RY27" s="97" t="n">
        <f aca="false">RY26-RX27+RW27</f>
        <v>0</v>
      </c>
      <c r="RZ27" s="95" t="n">
        <f aca="false">[1]НАДІЙШЛО2!FK19</f>
        <v>0</v>
      </c>
      <c r="SA27" s="96" t="n">
        <f aca="false">[1]ВИБУЛО2!FK19</f>
        <v>0</v>
      </c>
      <c r="SB27" s="97" t="n">
        <f aca="false">SB26-SA27+RZ27</f>
        <v>0</v>
      </c>
      <c r="SC27" s="95" t="n">
        <f aca="false">[1]НАДІЙШЛО2!FL19</f>
        <v>0</v>
      </c>
      <c r="SD27" s="96" t="n">
        <f aca="false">[1]ВИБУЛО2!FL19</f>
        <v>0</v>
      </c>
      <c r="SE27" s="97" t="n">
        <f aca="false">SE26-SD27+SC27</f>
        <v>0</v>
      </c>
      <c r="SF27" s="95" t="n">
        <f aca="false">[1]НАДІЙШЛО2!FM19</f>
        <v>0</v>
      </c>
      <c r="SG27" s="96" t="n">
        <f aca="false">[1]ВИБУЛО2!FM19</f>
        <v>0</v>
      </c>
      <c r="SH27" s="97" t="n">
        <f aca="false">SH26-SG27+SF27</f>
        <v>0</v>
      </c>
      <c r="SI27" s="95" t="n">
        <f aca="false">[1]НАДІЙШЛО2!FN19</f>
        <v>0</v>
      </c>
      <c r="SJ27" s="96" t="n">
        <f aca="false">[1]ВИБУЛО2!FN19</f>
        <v>0</v>
      </c>
      <c r="SK27" s="97" t="n">
        <f aca="false">SK26-SJ27+SI27</f>
        <v>0</v>
      </c>
      <c r="SL27" s="95" t="n">
        <f aca="false">[1]НАДІЙШЛО2!FO19</f>
        <v>0</v>
      </c>
      <c r="SM27" s="96" t="n">
        <f aca="false">[1]ВИБУЛО2!FO19</f>
        <v>0</v>
      </c>
      <c r="SN27" s="97" t="n">
        <f aca="false">SN26-SM27+SL27</f>
        <v>0</v>
      </c>
      <c r="SO27" s="95" t="n">
        <f aca="false">[1]НАДІЙШЛО2!FP19</f>
        <v>0</v>
      </c>
      <c r="SP27" s="96" t="n">
        <f aca="false">[1]ВИБУЛО2!FP19</f>
        <v>0</v>
      </c>
      <c r="SQ27" s="97" t="n">
        <f aca="false">SQ26-SP27+SO27</f>
        <v>0</v>
      </c>
      <c r="SR27" s="95" t="n">
        <f aca="false">[1]НАДІЙШЛО2!FQ19</f>
        <v>0</v>
      </c>
      <c r="SS27" s="96" t="n">
        <f aca="false">[1]ВИБУЛО2!FQ19</f>
        <v>0</v>
      </c>
      <c r="ST27" s="97" t="n">
        <f aca="false">ST26-SS27+SR27</f>
        <v>0</v>
      </c>
      <c r="SU27" s="95" t="n">
        <f aca="false">[1]НАДІЙШЛО2!FR19</f>
        <v>0</v>
      </c>
      <c r="SV27" s="96" t="n">
        <f aca="false">[1]ВИБУЛО2!FR19</f>
        <v>0</v>
      </c>
      <c r="SW27" s="97" t="n">
        <f aca="false">SW26-SV27+SU27</f>
        <v>0</v>
      </c>
      <c r="SX27" s="95" t="n">
        <f aca="false">[1]НАДІЙШЛО2!FS19</f>
        <v>0</v>
      </c>
      <c r="SY27" s="96" t="n">
        <f aca="false">[1]ВИБУЛО2!FS19</f>
        <v>0</v>
      </c>
      <c r="SZ27" s="97" t="n">
        <f aca="false">SZ26-SY27+SX27</f>
        <v>0</v>
      </c>
      <c r="TA27" s="95" t="n">
        <f aca="false">[1]НАДІЙШЛО2!FT19</f>
        <v>0</v>
      </c>
      <c r="TB27" s="96" t="n">
        <f aca="false">[1]ВИБУЛО2!FT19</f>
        <v>0</v>
      </c>
      <c r="TC27" s="97" t="n">
        <f aca="false">TC26-TB27+TA27</f>
        <v>0</v>
      </c>
      <c r="TD27" s="95" t="n">
        <f aca="false">[1]НАДІЙШЛО2!FU19</f>
        <v>0</v>
      </c>
      <c r="TE27" s="96" t="n">
        <f aca="false">[1]ВИБУЛО2!FU19</f>
        <v>0</v>
      </c>
      <c r="TF27" s="97" t="n">
        <f aca="false">TF26-TE27+TD27</f>
        <v>0</v>
      </c>
      <c r="TG27" s="95" t="n">
        <f aca="false">[1]НАДІЙШЛО2!FV19</f>
        <v>0</v>
      </c>
      <c r="TH27" s="96" t="n">
        <f aca="false">[1]ВИБУЛО2!FV19</f>
        <v>0</v>
      </c>
      <c r="TI27" s="97" t="n">
        <f aca="false">TI26-TH27+TG27</f>
        <v>0</v>
      </c>
      <c r="TJ27" s="95" t="n">
        <f aca="false">[1]НАДІЙШЛО2!FW19</f>
        <v>0</v>
      </c>
      <c r="TK27" s="96" t="n">
        <f aca="false">[1]ВИБУЛО2!FW19</f>
        <v>0</v>
      </c>
      <c r="TL27" s="97" t="n">
        <f aca="false">TL26-TK27+TJ27</f>
        <v>0</v>
      </c>
      <c r="TM27" s="95" t="n">
        <f aca="false">[1]НАДІЙШЛО2!FX19</f>
        <v>0</v>
      </c>
      <c r="TN27" s="96" t="n">
        <f aca="false">[1]ВИБУЛО2!FX19</f>
        <v>0</v>
      </c>
      <c r="TO27" s="97" t="n">
        <f aca="false">TO26-TN27+TM27</f>
        <v>0</v>
      </c>
      <c r="TP27" s="95" t="n">
        <f aca="false">[1]НАДІЙШЛО2!FY19</f>
        <v>0</v>
      </c>
      <c r="TQ27" s="96" t="n">
        <f aca="false">[1]ВИБУЛО2!FY19</f>
        <v>0</v>
      </c>
      <c r="TR27" s="97" t="n">
        <f aca="false">TR26-TQ27+TP27</f>
        <v>0</v>
      </c>
      <c r="TS27" s="95" t="n">
        <f aca="false">[1]НАДІЙШЛО2!FZ19</f>
        <v>0</v>
      </c>
      <c r="TT27" s="96" t="n">
        <f aca="false">[1]ВИБУЛО2!FZ19</f>
        <v>0</v>
      </c>
      <c r="TU27" s="97" t="n">
        <f aca="false">TU26-TT27+TS27</f>
        <v>0</v>
      </c>
      <c r="TV27" s="95" t="n">
        <f aca="false">[1]НАДІЙШЛО2!GA19</f>
        <v>0</v>
      </c>
      <c r="TW27" s="96" t="n">
        <f aca="false">[1]ВИБУЛО2!GA19</f>
        <v>0</v>
      </c>
      <c r="TX27" s="97" t="n">
        <f aca="false">TX26-TW27+TV27</f>
        <v>0</v>
      </c>
      <c r="TY27" s="95" t="n">
        <f aca="false">[1]НАДІЙШЛО2!GB19</f>
        <v>0</v>
      </c>
      <c r="TZ27" s="96" t="n">
        <f aca="false">[1]ВИБУЛО2!GB19</f>
        <v>0</v>
      </c>
      <c r="UA27" s="97" t="n">
        <f aca="false">UA26-TZ27+TY27</f>
        <v>0</v>
      </c>
      <c r="UB27" s="95" t="n">
        <f aca="false">[1]НАДІЙШЛО2!GC19</f>
        <v>0</v>
      </c>
      <c r="UC27" s="96" t="n">
        <f aca="false">[1]ВИБУЛО2!GC19</f>
        <v>0</v>
      </c>
      <c r="UD27" s="97" t="n">
        <f aca="false">UD26-UC27+UB27</f>
        <v>0</v>
      </c>
      <c r="UE27" s="95" t="n">
        <f aca="false">[1]НАДІЙШЛО2!GD19</f>
        <v>0</v>
      </c>
      <c r="UF27" s="96" t="n">
        <f aca="false">[1]ВИБУЛО2!GD19</f>
        <v>0</v>
      </c>
      <c r="UG27" s="97" t="n">
        <f aca="false">UG26-UF27+UE27</f>
        <v>0</v>
      </c>
      <c r="UH27" s="95" t="n">
        <f aca="false">[1]НАДІЙШЛО2!GE19</f>
        <v>0</v>
      </c>
      <c r="UI27" s="96" t="n">
        <f aca="false">[1]ВИБУЛО2!GE19</f>
        <v>0</v>
      </c>
      <c r="UJ27" s="97" t="n">
        <f aca="false">UJ26-UI27+UH27</f>
        <v>0</v>
      </c>
      <c r="UK27" s="95" t="n">
        <f aca="false">[1]НАДІЙШЛО2!GF19</f>
        <v>0</v>
      </c>
      <c r="UL27" s="96" t="n">
        <f aca="false">[1]ВИБУЛО2!GF19</f>
        <v>0</v>
      </c>
      <c r="UM27" s="97" t="n">
        <f aca="false">UM26-UL27+UK27</f>
        <v>0</v>
      </c>
      <c r="UN27" s="95" t="n">
        <f aca="false">[1]НАДІЙШЛО2!GG19</f>
        <v>0</v>
      </c>
      <c r="UO27" s="96" t="n">
        <f aca="false">[1]ВИБУЛО2!GG19</f>
        <v>0</v>
      </c>
      <c r="UP27" s="97" t="n">
        <f aca="false">UP26-UO27+UN27</f>
        <v>0</v>
      </c>
      <c r="UQ27" s="95" t="n">
        <f aca="false">[1]НАДІЙШЛО2!GH19</f>
        <v>0</v>
      </c>
      <c r="UR27" s="96" t="n">
        <f aca="false">[1]ВИБУЛО2!GH19</f>
        <v>0</v>
      </c>
      <c r="US27" s="97" t="n">
        <f aca="false">US26-UR27+UQ27</f>
        <v>0</v>
      </c>
      <c r="UT27" s="95" t="n">
        <f aca="false">[1]НАДІЙШЛО2!GI19</f>
        <v>0</v>
      </c>
      <c r="UU27" s="96" t="n">
        <f aca="false">[1]ВИБУЛО2!GI19</f>
        <v>0</v>
      </c>
      <c r="UV27" s="97" t="n">
        <f aca="false">UV26-UU27+UT27</f>
        <v>0</v>
      </c>
      <c r="UW27" s="95" t="n">
        <f aca="false">[1]НАДІЙШЛО2!GJ19</f>
        <v>0</v>
      </c>
      <c r="UX27" s="96" t="n">
        <f aca="false">[1]ВИБУЛО2!GJ19</f>
        <v>0</v>
      </c>
      <c r="UY27" s="97" t="n">
        <f aca="false">UY26-UX27+UW27</f>
        <v>0</v>
      </c>
      <c r="UZ27" s="95" t="n">
        <f aca="false">[1]НАДІЙШЛО2!GK19</f>
        <v>0</v>
      </c>
      <c r="VA27" s="96" t="n">
        <f aca="false">[1]ВИБУЛО2!GK19</f>
        <v>0</v>
      </c>
      <c r="VB27" s="97" t="n">
        <f aca="false">VB26-VA27+UZ27</f>
        <v>0</v>
      </c>
      <c r="VC27" s="95" t="n">
        <f aca="false">[1]НАДІЙШЛО2!GL19</f>
        <v>0</v>
      </c>
      <c r="VD27" s="96" t="n">
        <f aca="false">[1]ВИБУЛО2!GL19</f>
        <v>0</v>
      </c>
      <c r="VE27" s="97" t="n">
        <f aca="false">VE26-VD27+VC27</f>
        <v>0</v>
      </c>
      <c r="VF27" s="95" t="n">
        <f aca="false">[1]НАДІЙШЛО2!GM19</f>
        <v>0</v>
      </c>
      <c r="VG27" s="96" t="n">
        <f aca="false">[1]ВИБУЛО2!GM19</f>
        <v>0</v>
      </c>
      <c r="VH27" s="97" t="n">
        <f aca="false">VH26-VG27+VF27</f>
        <v>0</v>
      </c>
      <c r="VI27" s="95" t="n">
        <f aca="false">[1]НАДІЙШЛО2!GN19</f>
        <v>0</v>
      </c>
      <c r="VJ27" s="96" t="n">
        <f aca="false">[1]ВИБУЛО2!GN19</f>
        <v>0</v>
      </c>
      <c r="VK27" s="97" t="n">
        <f aca="false">VK26-VJ27+VI27</f>
        <v>0</v>
      </c>
      <c r="VL27" s="95" t="n">
        <f aca="false">[1]НАДІЙШЛО2!GO19</f>
        <v>0</v>
      </c>
      <c r="VM27" s="96" t="n">
        <f aca="false">[1]ВИБУЛО2!GO19</f>
        <v>0</v>
      </c>
      <c r="VN27" s="97" t="n">
        <f aca="false">VN26-VM27+VL27</f>
        <v>0</v>
      </c>
      <c r="VO27" s="95" t="n">
        <f aca="false">[1]НАДІЙШЛО2!GP19</f>
        <v>0</v>
      </c>
      <c r="VP27" s="96" t="n">
        <f aca="false">[1]ВИБУЛО2!GP19</f>
        <v>0</v>
      </c>
      <c r="VQ27" s="97" t="n">
        <f aca="false">VQ26-VP27+VO27</f>
        <v>0</v>
      </c>
      <c r="VR27" s="95" t="n">
        <f aca="false">[1]НАДІЙШЛО2!GQ19</f>
        <v>0</v>
      </c>
      <c r="VS27" s="96" t="n">
        <f aca="false">[1]ВИБУЛО2!GQ19</f>
        <v>0</v>
      </c>
      <c r="VT27" s="97" t="n">
        <f aca="false">VT26-VS27+VR27</f>
        <v>0</v>
      </c>
      <c r="VU27" s="95" t="n">
        <f aca="false">[1]НАДІЙШЛО2!GR19</f>
        <v>0</v>
      </c>
      <c r="VV27" s="96" t="n">
        <f aca="false">[1]ВИБУЛО2!GR19</f>
        <v>0</v>
      </c>
      <c r="VW27" s="97" t="n">
        <f aca="false">VW26-VV27+VU27</f>
        <v>0</v>
      </c>
      <c r="VX27" s="95" t="n">
        <f aca="false">[1]НАДІЙШЛО2!GS19</f>
        <v>0</v>
      </c>
      <c r="VY27" s="96" t="n">
        <f aca="false">[1]ВИБУЛО2!GS19</f>
        <v>0</v>
      </c>
      <c r="VZ27" s="97" t="n">
        <f aca="false">VZ26-VY27+VX27</f>
        <v>0</v>
      </c>
      <c r="WA27" s="95" t="n">
        <f aca="false">[1]НАДІЙШЛО2!GT19</f>
        <v>0</v>
      </c>
      <c r="WB27" s="96" t="n">
        <f aca="false">[1]ВИБУЛО2!GT19</f>
        <v>0</v>
      </c>
      <c r="WC27" s="97" t="n">
        <f aca="false">WC26-WB27+WA27</f>
        <v>0</v>
      </c>
      <c r="WD27" s="95" t="n">
        <f aca="false">[1]НАДІЙШЛО2!GU19</f>
        <v>0</v>
      </c>
      <c r="WE27" s="96" t="n">
        <f aca="false">[1]ВИБУЛО2!GU19</f>
        <v>0</v>
      </c>
      <c r="WF27" s="97" t="n">
        <f aca="false">WF26-WE27+WD27</f>
        <v>0</v>
      </c>
      <c r="WG27" s="95" t="n">
        <f aca="false">[1]НАДІЙШЛО2!GV19</f>
        <v>0</v>
      </c>
      <c r="WH27" s="96" t="n">
        <f aca="false">[1]ВИБУЛО2!GV19</f>
        <v>0</v>
      </c>
      <c r="WI27" s="97" t="n">
        <f aca="false">WI26-WH27+WG27</f>
        <v>0</v>
      </c>
      <c r="WJ27" s="95" t="n">
        <f aca="false">[1]НАДІЙШЛО2!GW19</f>
        <v>0</v>
      </c>
      <c r="WK27" s="96" t="n">
        <f aca="false">[1]ВИБУЛО2!GW19</f>
        <v>0</v>
      </c>
      <c r="WL27" s="97" t="n">
        <f aca="false">WL26-WK27+WJ27</f>
        <v>0</v>
      </c>
      <c r="WM27" s="95" t="n">
        <f aca="false">[1]НАДІЙШЛО2!GX19</f>
        <v>0</v>
      </c>
      <c r="WN27" s="96" t="n">
        <f aca="false">[1]ВИБУЛО2!GX19</f>
        <v>0</v>
      </c>
      <c r="WO27" s="97" t="n">
        <f aca="false">WO26-WN27+WM27</f>
        <v>0</v>
      </c>
      <c r="WP27" s="95" t="n">
        <f aca="false">[1]НАДІЙШЛО2!GY19</f>
        <v>0</v>
      </c>
      <c r="WQ27" s="96" t="n">
        <f aca="false">[1]ВИБУЛО2!GY19</f>
        <v>0</v>
      </c>
      <c r="WR27" s="97" t="n">
        <f aca="false">WR26-WQ27+WP27</f>
        <v>0</v>
      </c>
      <c r="WS27" s="95" t="n">
        <f aca="false">[1]НАДІЙШЛО2!GZ19</f>
        <v>0</v>
      </c>
      <c r="WT27" s="96" t="n">
        <f aca="false">[1]ВИБУЛО2!GZ19</f>
        <v>0</v>
      </c>
      <c r="WU27" s="97" t="n">
        <f aca="false">WU26-WT27+WS27</f>
        <v>0</v>
      </c>
      <c r="WV27" s="95" t="n">
        <f aca="false">[1]НАДІЙШЛО2!HA19</f>
        <v>0</v>
      </c>
      <c r="WW27" s="96" t="n">
        <f aca="false">[1]ВИБУЛО2!HA19</f>
        <v>0</v>
      </c>
      <c r="WX27" s="97" t="n">
        <f aca="false">WX26-WW27+WV27</f>
        <v>0</v>
      </c>
      <c r="WY27" s="95" t="n">
        <f aca="false">[1]НАДІЙШЛО2!HB19</f>
        <v>0</v>
      </c>
      <c r="WZ27" s="96" t="n">
        <f aca="false">[1]ВИБУЛО2!HB19</f>
        <v>0</v>
      </c>
      <c r="XA27" s="97" t="n">
        <f aca="false">XA26-WZ27+WY27</f>
        <v>0</v>
      </c>
      <c r="XB27" s="95" t="n">
        <f aca="false">[1]НАДІЙШЛО2!HC19</f>
        <v>0</v>
      </c>
      <c r="XC27" s="96" t="n">
        <f aca="false">[1]ВИБУЛО2!HC19</f>
        <v>0</v>
      </c>
      <c r="XD27" s="97" t="n">
        <f aca="false">XD26-XC27+XB27</f>
        <v>0</v>
      </c>
      <c r="XE27" s="95" t="n">
        <f aca="false">[1]НАДІЙШЛО2!HD19</f>
        <v>0</v>
      </c>
      <c r="XF27" s="96" t="n">
        <f aca="false">[1]ВИБУЛО2!HD19</f>
        <v>0</v>
      </c>
      <c r="XG27" s="97" t="n">
        <f aca="false">XG26-XF27+XE27</f>
        <v>0</v>
      </c>
      <c r="XH27" s="95" t="n">
        <f aca="false">[1]НАДІЙШЛО2!HE19</f>
        <v>0</v>
      </c>
      <c r="XI27" s="96" t="n">
        <f aca="false">[1]ВИБУЛО2!HE19</f>
        <v>0</v>
      </c>
      <c r="XJ27" s="97" t="n">
        <f aca="false">XJ26-XI27+XH27</f>
        <v>0</v>
      </c>
      <c r="XK27" s="95" t="n">
        <f aca="false">[1]НАДІЙШЛО2!HF19</f>
        <v>0</v>
      </c>
      <c r="XL27" s="96" t="n">
        <f aca="false">[1]ВИБУЛО2!HF19</f>
        <v>0</v>
      </c>
      <c r="XM27" s="97" t="n">
        <f aca="false">XM26-XL27+XK27</f>
        <v>0</v>
      </c>
      <c r="XN27" s="95" t="n">
        <f aca="false">[1]НАДІЙШЛО2!HG19</f>
        <v>0</v>
      </c>
      <c r="XO27" s="96" t="n">
        <f aca="false">[1]ВИБУЛО2!HG19</f>
        <v>0</v>
      </c>
      <c r="XP27" s="97" t="n">
        <f aca="false">XP26-XO27+XN27</f>
        <v>0</v>
      </c>
      <c r="XQ27" s="95" t="n">
        <f aca="false">[1]НАДІЙШЛО2!HH19</f>
        <v>0</v>
      </c>
      <c r="XR27" s="96" t="n">
        <f aca="false">[1]ВИБУЛО2!HH19</f>
        <v>0</v>
      </c>
      <c r="XS27" s="97" t="n">
        <f aca="false">XS26-XR27+XQ27</f>
        <v>0</v>
      </c>
      <c r="XT27" s="95" t="n">
        <f aca="false">[1]НАДІЙШЛО2!HI19</f>
        <v>0</v>
      </c>
      <c r="XU27" s="96" t="n">
        <f aca="false">[1]ВИБУЛО2!HI19</f>
        <v>0</v>
      </c>
      <c r="XV27" s="97" t="n">
        <f aca="false">XV26-XU27+XT27</f>
        <v>0</v>
      </c>
      <c r="XW27" s="95" t="n">
        <f aca="false">[1]НАДІЙШЛО2!HJ19</f>
        <v>0</v>
      </c>
      <c r="XX27" s="96" t="n">
        <f aca="false">[1]ВИБУЛО2!HJ19</f>
        <v>0</v>
      </c>
      <c r="XY27" s="97" t="n">
        <f aca="false">XY26-XX27+XW27</f>
        <v>0</v>
      </c>
      <c r="XZ27" s="95" t="n">
        <f aca="false">[1]НАДІЙШЛО2!HK19</f>
        <v>0</v>
      </c>
      <c r="YA27" s="96" t="n">
        <f aca="false">[1]ВИБУЛО2!HK19</f>
        <v>0</v>
      </c>
      <c r="YB27" s="97" t="n">
        <f aca="false">YB26-YA27+XZ27</f>
        <v>0</v>
      </c>
      <c r="YC27" s="95" t="n">
        <f aca="false">[1]НАДІЙШЛО2!HL19</f>
        <v>0</v>
      </c>
      <c r="YD27" s="96" t="n">
        <f aca="false">[1]ВИБУЛО2!HL19</f>
        <v>0</v>
      </c>
      <c r="YE27" s="97" t="n">
        <f aca="false">YE26-YD27+YC27</f>
        <v>0</v>
      </c>
      <c r="YF27" s="95" t="n">
        <f aca="false">[1]НАДІЙШЛО2!HM19</f>
        <v>0</v>
      </c>
      <c r="YG27" s="96" t="n">
        <f aca="false">[1]ВИБУЛО2!HM19</f>
        <v>0</v>
      </c>
      <c r="YH27" s="97" t="n">
        <f aca="false">YH26-YG27+YF27</f>
        <v>0</v>
      </c>
      <c r="YI27" s="95" t="n">
        <f aca="false">[1]НАДІЙШЛО2!HN19</f>
        <v>0</v>
      </c>
      <c r="YJ27" s="96" t="n">
        <f aca="false">[1]ВИБУЛО2!HN19</f>
        <v>0</v>
      </c>
      <c r="YK27" s="97" t="n">
        <f aca="false">YK26-YJ27+YI27</f>
        <v>0</v>
      </c>
      <c r="YL27" s="95" t="n">
        <f aca="false">[1]НАДІЙШЛО2!HO19</f>
        <v>0</v>
      </c>
      <c r="YM27" s="96" t="n">
        <f aca="false">[1]ВИБУЛО2!HO19</f>
        <v>0</v>
      </c>
      <c r="YN27" s="97" t="n">
        <f aca="false">YN26-YM27+YL27</f>
        <v>0</v>
      </c>
      <c r="YO27" s="95" t="n">
        <f aca="false">[1]НАДІЙШЛО2!HP19</f>
        <v>0</v>
      </c>
      <c r="YP27" s="96" t="n">
        <f aca="false">[1]ВИБУЛО2!HP19</f>
        <v>0</v>
      </c>
      <c r="YQ27" s="97" t="n">
        <f aca="false">YQ26-YP27+YO27</f>
        <v>0</v>
      </c>
      <c r="YR27" s="95" t="n">
        <f aca="false">[1]НАДІЙШЛО2!HQ19</f>
        <v>0</v>
      </c>
      <c r="YS27" s="96" t="n">
        <f aca="false">[1]ВИБУЛО2!HQ19</f>
        <v>0</v>
      </c>
      <c r="YT27" s="97" t="n">
        <f aca="false">YT26-YS27+YR27</f>
        <v>0</v>
      </c>
      <c r="YU27" s="95" t="n">
        <f aca="false">[1]НАДІЙШЛО2!HR19</f>
        <v>0</v>
      </c>
      <c r="YV27" s="96" t="n">
        <f aca="false">[1]ВИБУЛО2!HR19</f>
        <v>0</v>
      </c>
      <c r="YW27" s="97" t="n">
        <f aca="false">YW26-YV27+YU27</f>
        <v>0</v>
      </c>
      <c r="YX27" s="95" t="n">
        <f aca="false">[1]НАДІЙШЛО2!HS19</f>
        <v>0</v>
      </c>
      <c r="YY27" s="96" t="n">
        <f aca="false">[1]ВИБУЛО2!HS19</f>
        <v>0</v>
      </c>
      <c r="YZ27" s="97" t="n">
        <f aca="false">YZ26-YY27+YX27</f>
        <v>0</v>
      </c>
      <c r="ZA27" s="95" t="n">
        <f aca="false">[1]НАДІЙШЛО2!HT19</f>
        <v>0</v>
      </c>
      <c r="ZB27" s="96" t="n">
        <f aca="false">[1]ВИБУЛО2!HT19</f>
        <v>0</v>
      </c>
      <c r="ZC27" s="97" t="n">
        <f aca="false">ZC26-ZB27+ZA27</f>
        <v>0</v>
      </c>
      <c r="ZD27" s="95" t="n">
        <f aca="false">[1]НАДІЙШЛО2!HU19</f>
        <v>0</v>
      </c>
      <c r="ZE27" s="96" t="n">
        <f aca="false">[1]ВИБУЛО2!HU19</f>
        <v>0</v>
      </c>
      <c r="ZF27" s="97" t="n">
        <f aca="false">ZF26-ZE27+ZD27</f>
        <v>0</v>
      </c>
      <c r="ZG27" s="95" t="n">
        <f aca="false">[1]НАДІЙШЛО2!HV19</f>
        <v>0</v>
      </c>
      <c r="ZH27" s="96" t="n">
        <f aca="false">[1]ВИБУЛО2!HV19</f>
        <v>0</v>
      </c>
      <c r="ZI27" s="97" t="n">
        <f aca="false">ZI26-ZH27+ZG27</f>
        <v>0</v>
      </c>
      <c r="ZJ27" s="95" t="n">
        <f aca="false">[1]НАДІЙШЛО2!HW19</f>
        <v>0</v>
      </c>
      <c r="ZK27" s="96" t="n">
        <f aca="false">[1]ВИБУЛО2!HW19</f>
        <v>0</v>
      </c>
      <c r="ZL27" s="97" t="n">
        <f aca="false">ZL26-ZK27+ZJ27</f>
        <v>0</v>
      </c>
      <c r="ZM27" s="95" t="n">
        <f aca="false">[1]НАДІЙШЛО2!HX19</f>
        <v>0</v>
      </c>
      <c r="ZN27" s="96" t="n">
        <f aca="false">[1]ВИБУЛО2!HX19</f>
        <v>0</v>
      </c>
      <c r="ZO27" s="97" t="n">
        <f aca="false">ZO26-ZN27+ZM27</f>
        <v>0</v>
      </c>
      <c r="ZP27" s="95" t="n">
        <f aca="false">[1]НАДІЙШЛО2!HY19</f>
        <v>0</v>
      </c>
      <c r="ZQ27" s="96" t="n">
        <f aca="false">[1]ВИБУЛО2!HY19</f>
        <v>0</v>
      </c>
      <c r="ZR27" s="97" t="n">
        <f aca="false">ZR26-ZQ27+ZP27</f>
        <v>0</v>
      </c>
      <c r="ZS27" s="95" t="n">
        <f aca="false">[1]НАДІЙШЛО2!HZ19</f>
        <v>0</v>
      </c>
      <c r="ZT27" s="96" t="n">
        <f aca="false">[1]ВИБУЛО2!HZ19</f>
        <v>0</v>
      </c>
      <c r="ZU27" s="97" t="n">
        <f aca="false">ZU26-ZT27+ZS27</f>
        <v>0</v>
      </c>
      <c r="ZV27" s="95" t="n">
        <f aca="false">[1]НАДІЙШЛО2!IA19</f>
        <v>0</v>
      </c>
      <c r="ZW27" s="96" t="n">
        <f aca="false">[1]ВИБУЛО2!IA19</f>
        <v>0</v>
      </c>
      <c r="ZX27" s="97" t="n">
        <f aca="false">ZX26-ZW27+ZV27</f>
        <v>0</v>
      </c>
      <c r="ZY27" s="95" t="n">
        <f aca="false">[1]НАДІЙШЛО2!IB19</f>
        <v>0</v>
      </c>
      <c r="ZZ27" s="96" t="n">
        <f aca="false">[1]ВИБУЛО2!IB19</f>
        <v>0</v>
      </c>
      <c r="AAA27" s="97" t="n">
        <f aca="false">AAA26-ZZ27+ZY27</f>
        <v>0</v>
      </c>
      <c r="AAB27" s="95" t="n">
        <f aca="false">[1]НАДІЙШЛО2!IC19</f>
        <v>0</v>
      </c>
      <c r="AAC27" s="96" t="n">
        <f aca="false">[1]ВИБУЛО2!IC19</f>
        <v>0</v>
      </c>
      <c r="AAD27" s="97" t="n">
        <f aca="false">AAD26-AAC27+AAB27</f>
        <v>0</v>
      </c>
      <c r="AAE27" s="95" t="n">
        <f aca="false">[1]НАДІЙШЛО2!ID19</f>
        <v>0</v>
      </c>
      <c r="AAF27" s="96" t="n">
        <f aca="false">[1]ВИБУЛО2!ID19</f>
        <v>0</v>
      </c>
      <c r="AAG27" s="97" t="n">
        <f aca="false">AAG26-AAF27+AAE27</f>
        <v>0</v>
      </c>
      <c r="AAH27" s="95" t="n">
        <f aca="false">[1]НАДІЙШЛО2!IE19</f>
        <v>0</v>
      </c>
      <c r="AAI27" s="96" t="n">
        <f aca="false">[1]ВИБУЛО2!IE19</f>
        <v>0</v>
      </c>
      <c r="AAJ27" s="97" t="n">
        <f aca="false">AAJ26-AAI27+AAH27</f>
        <v>0</v>
      </c>
      <c r="AAK27" s="95" t="n">
        <f aca="false">[1]НАДІЙШЛО2!IF19</f>
        <v>0</v>
      </c>
      <c r="AAL27" s="96" t="n">
        <f aca="false">[1]ВИБУЛО2!IF19</f>
        <v>0</v>
      </c>
      <c r="AAM27" s="97" t="n">
        <f aca="false">AAM26-AAL27+AAK27</f>
        <v>0</v>
      </c>
      <c r="AAN27" s="95" t="n">
        <f aca="false">[1]НАДІЙШЛО2!IG19</f>
        <v>0</v>
      </c>
      <c r="AAO27" s="96" t="n">
        <f aca="false">[1]ВИБУЛО2!IG19</f>
        <v>0</v>
      </c>
      <c r="AAP27" s="97" t="n">
        <f aca="false">AAP26-AAO27+AAN27</f>
        <v>0</v>
      </c>
      <c r="AAQ27" s="95" t="n">
        <f aca="false">[1]НАДІЙШЛО2!IH19</f>
        <v>0</v>
      </c>
      <c r="AAR27" s="96" t="n">
        <f aca="false">[1]ВИБУЛО2!IH19</f>
        <v>0</v>
      </c>
      <c r="AAS27" s="97" t="n">
        <f aca="false">AAS26-AAR27+AAQ27</f>
        <v>0</v>
      </c>
      <c r="AAT27" s="95" t="n">
        <f aca="false">[1]НАДІЙШЛО2!II19</f>
        <v>0</v>
      </c>
      <c r="AAU27" s="96" t="n">
        <f aca="false">[1]ВИБУЛО2!II19</f>
        <v>0</v>
      </c>
      <c r="AAV27" s="97" t="n">
        <f aca="false">AAV26-AAU27+AAT27</f>
        <v>0</v>
      </c>
      <c r="AAW27" s="95" t="n">
        <f aca="false">[1]НАДІЙШЛО2!IJ19</f>
        <v>0</v>
      </c>
      <c r="AAX27" s="96" t="n">
        <f aca="false">[1]ВИБУЛО2!IJ19</f>
        <v>0</v>
      </c>
      <c r="AAY27" s="97" t="n">
        <f aca="false">AAY26-AAX27+AAW27</f>
        <v>0</v>
      </c>
      <c r="AAZ27" s="95" t="n">
        <f aca="false">[1]НАДІЙШЛО2!IK19</f>
        <v>0</v>
      </c>
      <c r="ABA27" s="96" t="n">
        <f aca="false">[1]ВИБУЛО2!IK19</f>
        <v>0</v>
      </c>
      <c r="ABB27" s="97" t="n">
        <f aca="false">ABB26-ABA27+AAZ27</f>
        <v>0</v>
      </c>
      <c r="ABC27" s="95" t="n">
        <f aca="false">[1]НАДІЙШЛО2!IL19</f>
        <v>0</v>
      </c>
      <c r="ABD27" s="96" t="n">
        <f aca="false">[1]ВИБУЛО2!IL19</f>
        <v>0</v>
      </c>
      <c r="ABE27" s="97" t="n">
        <f aca="false">ABE26-ABD27+ABC27</f>
        <v>0</v>
      </c>
      <c r="ABF27" s="95" t="n">
        <f aca="false">[1]НАДІЙШЛО2!IM19</f>
        <v>0</v>
      </c>
      <c r="ABG27" s="96" t="n">
        <f aca="false">[1]ВИБУЛО2!IM19</f>
        <v>0</v>
      </c>
      <c r="ABH27" s="97" t="n">
        <f aca="false">ABH26-ABG27+ABF27</f>
        <v>0</v>
      </c>
      <c r="ABI27" s="95" t="n">
        <f aca="false">[1]НАДІЙШЛО2!IN19</f>
        <v>0</v>
      </c>
      <c r="ABJ27" s="96" t="n">
        <f aca="false">[1]ВИБУЛО2!IN19</f>
        <v>0</v>
      </c>
      <c r="ABK27" s="97" t="n">
        <f aca="false">ABK26-ABJ27+ABI27</f>
        <v>0</v>
      </c>
      <c r="ABL27" s="95" t="n">
        <f aca="false">[1]НАДІЙШЛО2!IO19</f>
        <v>0</v>
      </c>
      <c r="ABM27" s="96" t="n">
        <f aca="false">[1]ВИБУЛО2!IO19</f>
        <v>0</v>
      </c>
      <c r="ABN27" s="97" t="n">
        <f aca="false">ABN26-ABM27+ABL27</f>
        <v>0</v>
      </c>
      <c r="ABO27" s="95" t="n">
        <f aca="false">[1]НАДІЙШЛО2!IP19</f>
        <v>0</v>
      </c>
      <c r="ABP27" s="96" t="n">
        <f aca="false">[1]ВИБУЛО2!IP19</f>
        <v>0</v>
      </c>
      <c r="ABQ27" s="97" t="n">
        <f aca="false">ABQ26-ABP27+ABO27</f>
        <v>0</v>
      </c>
      <c r="ABR27" s="95" t="n">
        <f aca="false">[1]НАДІЙШЛО2!IQ19</f>
        <v>0</v>
      </c>
      <c r="ABS27" s="96" t="n">
        <f aca="false">[1]ВИБУЛО2!IQ19</f>
        <v>0</v>
      </c>
      <c r="ABT27" s="97" t="n">
        <f aca="false">ABT26-ABS27+ABR27</f>
        <v>0</v>
      </c>
      <c r="ABU27" s="95" t="n">
        <f aca="false">[1]НАДІЙШЛО2!IR19</f>
        <v>0</v>
      </c>
      <c r="ABV27" s="96" t="n">
        <f aca="false">[1]ВИБУЛО2!IR19</f>
        <v>0</v>
      </c>
      <c r="ABW27" s="97" t="n">
        <f aca="false">ABW26-ABV27+ABU27</f>
        <v>0</v>
      </c>
      <c r="ABX27" s="95" t="n">
        <f aca="false">[1]НАДІЙШЛО2!IS19</f>
        <v>0</v>
      </c>
      <c r="ABY27" s="96" t="n">
        <f aca="false">[1]ВИБУЛО2!IS19</f>
        <v>0</v>
      </c>
      <c r="ABZ27" s="97" t="n">
        <f aca="false">ABZ26-ABY27+ABX27</f>
        <v>0</v>
      </c>
      <c r="ACA27" s="95" t="n">
        <f aca="false">[1]НАДІЙШЛО2!IT19</f>
        <v>0</v>
      </c>
      <c r="ACB27" s="96" t="n">
        <f aca="false">[1]ВИБУЛО2!IT19</f>
        <v>0</v>
      </c>
      <c r="ACC27" s="97" t="n">
        <f aca="false">ACC26-ACB27+ACA27</f>
        <v>0</v>
      </c>
      <c r="ACD27" s="95" t="n">
        <f aca="false">[1]НАДІЙШЛО2!IU19</f>
        <v>0</v>
      </c>
      <c r="ACE27" s="96" t="n">
        <f aca="false">[1]ВИБУЛО2!IU19</f>
        <v>0</v>
      </c>
      <c r="ACF27" s="97" t="n">
        <f aca="false">ACF26-ACE27+ACD27</f>
        <v>0</v>
      </c>
      <c r="ACG27" s="95" t="n">
        <f aca="false">[1]НАДІЙШЛО2!IV19</f>
        <v>0</v>
      </c>
      <c r="ACH27" s="96" t="n">
        <f aca="false">[1]ВИБУЛО2!IV19</f>
        <v>0</v>
      </c>
      <c r="ACI27" s="97" t="n">
        <f aca="false">ACI26-ACH27+ACG27</f>
        <v>0</v>
      </c>
      <c r="ACJ27" s="95" t="n">
        <f aca="false">[1]НАДІЙШЛО2!IW19</f>
        <v>0</v>
      </c>
      <c r="ACK27" s="96" t="n">
        <f aca="false">[1]ВИБУЛО2!IW19</f>
        <v>0</v>
      </c>
      <c r="ACL27" s="97" t="n">
        <f aca="false">ACL26-ACK27+ACJ27</f>
        <v>0</v>
      </c>
      <c r="ACM27" s="95" t="n">
        <f aca="false">[1]НАДІЙШЛО2!IX19</f>
        <v>0</v>
      </c>
      <c r="ACN27" s="96" t="n">
        <f aca="false">[1]ВИБУЛО2!IX19</f>
        <v>0</v>
      </c>
      <c r="ACO27" s="97" t="n">
        <f aca="false">ACO26-ACN27+ACM27</f>
        <v>0</v>
      </c>
      <c r="ACP27" s="95" t="n">
        <f aca="false">[1]НАДІЙШЛО2!IY19</f>
        <v>0</v>
      </c>
      <c r="ACQ27" s="96" t="n">
        <f aca="false">[1]ВИБУЛО2!IY19</f>
        <v>0</v>
      </c>
      <c r="ACR27" s="97" t="n">
        <f aca="false">ACR26-ACQ27+ACP27</f>
        <v>0</v>
      </c>
      <c r="ACS27" s="95" t="n">
        <f aca="false">[1]НАДІЙШЛО2!IZ19</f>
        <v>0</v>
      </c>
      <c r="ACT27" s="96" t="n">
        <f aca="false">[1]ВИБУЛО2!IZ19</f>
        <v>0</v>
      </c>
      <c r="ACU27" s="97" t="n">
        <f aca="false">ACU26-ACT27+ACS27</f>
        <v>0</v>
      </c>
      <c r="ACV27" s="95" t="n">
        <f aca="false">[1]НАДІЙШЛО2!JA19</f>
        <v>0</v>
      </c>
      <c r="ACW27" s="96" t="n">
        <f aca="false">[1]ВИБУЛО2!JA19</f>
        <v>0</v>
      </c>
      <c r="ACX27" s="97" t="n">
        <f aca="false">ACX26-ACW27+ACV27</f>
        <v>0</v>
      </c>
      <c r="ACY27" s="95" t="n">
        <f aca="false">[1]НАДІЙШЛО2!JB19</f>
        <v>0</v>
      </c>
      <c r="ACZ27" s="96" t="n">
        <f aca="false">[1]ВИБУЛО2!JB19</f>
        <v>0</v>
      </c>
      <c r="ADA27" s="97" t="n">
        <f aca="false">ADA26-ACZ27+ACY27</f>
        <v>0</v>
      </c>
      <c r="ADB27" s="95" t="n">
        <f aca="false">[1]НАДІЙШЛО2!JC19</f>
        <v>0</v>
      </c>
      <c r="ADC27" s="96" t="n">
        <f aca="false">[1]ВИБУЛО2!JC19</f>
        <v>0</v>
      </c>
      <c r="ADD27" s="97" t="n">
        <f aca="false">ADD26-ADC27+ADB27</f>
        <v>0</v>
      </c>
      <c r="ADE27" s="95" t="n">
        <f aca="false">[1]НАДІЙШЛО2!JD19</f>
        <v>0</v>
      </c>
      <c r="ADF27" s="96" t="n">
        <f aca="false">[1]ВИБУЛО2!JD19</f>
        <v>0</v>
      </c>
      <c r="ADG27" s="97" t="n">
        <f aca="false">ADG26-ADF27+ADE27</f>
        <v>0</v>
      </c>
      <c r="ADH27" s="95" t="n">
        <f aca="false">[1]НАДІЙШЛО2!JE19</f>
        <v>0</v>
      </c>
      <c r="ADI27" s="96" t="n">
        <f aca="false">[1]ВИБУЛО2!JE19</f>
        <v>0</v>
      </c>
      <c r="ADJ27" s="97" t="n">
        <f aca="false">ADJ26-ADI27+ADH27</f>
        <v>0</v>
      </c>
      <c r="ADK27" s="95" t="n">
        <f aca="false">[1]НАДІЙШЛО2!JF19</f>
        <v>0</v>
      </c>
      <c r="ADL27" s="96" t="n">
        <f aca="false">[1]ВИБУЛО2!JF19</f>
        <v>0</v>
      </c>
      <c r="ADM27" s="97" t="n">
        <f aca="false">ADM26-ADL27+ADK27</f>
        <v>0</v>
      </c>
      <c r="ADN27" s="95" t="n">
        <f aca="false">[1]НАДІЙШЛО2!JG19</f>
        <v>0</v>
      </c>
      <c r="ADO27" s="96" t="n">
        <f aca="false">[1]ВИБУЛО2!JG19</f>
        <v>0</v>
      </c>
      <c r="ADP27" s="97" t="n">
        <f aca="false">ADP26-ADO27+ADN27</f>
        <v>0</v>
      </c>
      <c r="ADQ27" s="95" t="n">
        <f aca="false">[1]НАДІЙШЛО2!JH19</f>
        <v>0</v>
      </c>
      <c r="ADR27" s="96" t="n">
        <f aca="false">[1]ВИБУЛО2!JH19</f>
        <v>0</v>
      </c>
      <c r="ADS27" s="97" t="n">
        <f aca="false">ADS26-ADR27+ADQ27</f>
        <v>0</v>
      </c>
      <c r="ADT27" s="95" t="n">
        <f aca="false">[1]НАДІЙШЛО2!JI19</f>
        <v>0</v>
      </c>
      <c r="ADU27" s="96" t="n">
        <f aca="false">[1]ВИБУЛО2!JI19</f>
        <v>0</v>
      </c>
      <c r="ADV27" s="97" t="n">
        <f aca="false">ADV26-ADU27+ADT27</f>
        <v>0</v>
      </c>
      <c r="ADW27" s="95" t="n">
        <f aca="false">[1]НАДІЙШЛО2!JJ19</f>
        <v>0</v>
      </c>
      <c r="ADX27" s="96" t="n">
        <f aca="false">[1]ВИБУЛО2!JJ19</f>
        <v>0</v>
      </c>
      <c r="ADY27" s="97" t="n">
        <f aca="false">ADY26-ADX27+ADW27</f>
        <v>0</v>
      </c>
      <c r="ADZ27" s="95" t="n">
        <f aca="false">[1]НАДІЙШЛО2!JK19</f>
        <v>0</v>
      </c>
      <c r="AEA27" s="96" t="n">
        <f aca="false">[1]ВИБУЛО2!JK19</f>
        <v>0</v>
      </c>
      <c r="AEB27" s="97" t="n">
        <f aca="false">AEB26-AEA27+ADZ27</f>
        <v>0</v>
      </c>
      <c r="AEC27" s="95" t="n">
        <f aca="false">[1]НАДІЙШЛО2!JL19</f>
        <v>0</v>
      </c>
      <c r="AED27" s="96" t="n">
        <f aca="false">[1]ВИБУЛО2!JL19</f>
        <v>0</v>
      </c>
      <c r="AEE27" s="97" t="n">
        <f aca="false">AEE26-AED27+AEC27</f>
        <v>0</v>
      </c>
      <c r="AEF27" s="95" t="n">
        <f aca="false">[1]НАДІЙШЛО2!JM19</f>
        <v>0</v>
      </c>
      <c r="AEG27" s="96" t="n">
        <f aca="false">[1]ВИБУЛО2!JM19</f>
        <v>0</v>
      </c>
      <c r="AEH27" s="97" t="n">
        <f aca="false">AEH26-AEG27+AEF27</f>
        <v>0</v>
      </c>
      <c r="AEI27" s="95" t="n">
        <f aca="false">[1]НАДІЙШЛО2!JN19</f>
        <v>0</v>
      </c>
      <c r="AEJ27" s="96" t="n">
        <f aca="false">[1]ВИБУЛО2!JN19</f>
        <v>0</v>
      </c>
      <c r="AEK27" s="97" t="n">
        <f aca="false">AEK26-AEJ27+AEI27</f>
        <v>0</v>
      </c>
      <c r="AEL27" s="95" t="n">
        <f aca="false">[1]НАДІЙШЛО2!JO19</f>
        <v>0</v>
      </c>
      <c r="AEM27" s="96" t="n">
        <f aca="false">[1]ВИБУЛО2!JO19</f>
        <v>0</v>
      </c>
      <c r="AEN27" s="97" t="n">
        <f aca="false">AEN26-AEM27+AEL27</f>
        <v>0</v>
      </c>
      <c r="AEO27" s="95" t="n">
        <f aca="false">[1]НАДІЙШЛО2!JP19</f>
        <v>0</v>
      </c>
      <c r="AEP27" s="96" t="n">
        <f aca="false">[1]ВИБУЛО2!JP19</f>
        <v>0</v>
      </c>
      <c r="AEQ27" s="97" t="n">
        <f aca="false">AEQ26-AEP27+AEO27</f>
        <v>0</v>
      </c>
      <c r="AER27" s="95" t="n">
        <f aca="false">[1]НАДІЙШЛО2!JQ19</f>
        <v>0</v>
      </c>
      <c r="AES27" s="96" t="n">
        <f aca="false">[1]ВИБУЛО2!JQ19</f>
        <v>0</v>
      </c>
      <c r="AET27" s="97" t="n">
        <f aca="false">AET26-AES27+AER27</f>
        <v>0</v>
      </c>
      <c r="AEU27" s="95" t="n">
        <f aca="false">[1]НАДІЙШЛО2!JR19</f>
        <v>0</v>
      </c>
      <c r="AEV27" s="96" t="n">
        <f aca="false">[1]ВИБУЛО2!JR19</f>
        <v>0</v>
      </c>
      <c r="AEW27" s="97" t="n">
        <f aca="false">AEW26-AEV27+AEU27</f>
        <v>0</v>
      </c>
      <c r="AEX27" s="95" t="n">
        <f aca="false">[1]НАДІЙШЛО2!JS19</f>
        <v>0</v>
      </c>
      <c r="AEY27" s="96" t="n">
        <f aca="false">[1]ВИБУЛО2!JS19</f>
        <v>0</v>
      </c>
      <c r="AEZ27" s="97" t="n">
        <f aca="false">AEZ26-AEY27+AEX27</f>
        <v>0</v>
      </c>
      <c r="AFA27" s="95" t="n">
        <f aca="false">[1]НАДІЙШЛО2!JT19</f>
        <v>0</v>
      </c>
      <c r="AFB27" s="96" t="n">
        <f aca="false">[1]ВИБУЛО2!JT19</f>
        <v>0</v>
      </c>
      <c r="AFC27" s="97" t="n">
        <f aca="false">AFC26-AFB27+AFA27</f>
        <v>0</v>
      </c>
      <c r="AFD27" s="95" t="n">
        <f aca="false">[1]НАДІЙШЛО2!JU19</f>
        <v>0</v>
      </c>
      <c r="AFE27" s="96" t="n">
        <f aca="false">[1]ВИБУЛО2!JU19</f>
        <v>0</v>
      </c>
      <c r="AFF27" s="97" t="n">
        <f aca="false">AFF26-AFE27+AFD27</f>
        <v>0</v>
      </c>
      <c r="AFG27" s="95" t="n">
        <f aca="false">[1]НАДІЙШЛО2!JV19</f>
        <v>0</v>
      </c>
      <c r="AFH27" s="96" t="n">
        <f aca="false">[1]ВИБУЛО2!JV19</f>
        <v>0</v>
      </c>
      <c r="AFI27" s="97" t="n">
        <f aca="false">AFI26-AFH27+AFG27</f>
        <v>0</v>
      </c>
      <c r="AFJ27" s="95" t="n">
        <f aca="false">[1]НАДІЙШЛО2!JW19</f>
        <v>0</v>
      </c>
      <c r="AFK27" s="96" t="n">
        <f aca="false">[1]ВИБУЛО2!JW19</f>
        <v>0</v>
      </c>
      <c r="AFL27" s="97" t="n">
        <f aca="false">AFL26-AFK27+AFJ27</f>
        <v>0</v>
      </c>
      <c r="AFM27" s="95" t="n">
        <f aca="false">[1]НАДІЙШЛО2!JX19</f>
        <v>0</v>
      </c>
      <c r="AFN27" s="96" t="n">
        <f aca="false">[1]ВИБУЛО2!JX19</f>
        <v>0</v>
      </c>
      <c r="AFO27" s="97" t="n">
        <f aca="false">AFO26-AFN27+AFM27</f>
        <v>0</v>
      </c>
      <c r="AFP27" s="95" t="n">
        <f aca="false">[1]НАДІЙШЛО2!JY19</f>
        <v>0</v>
      </c>
      <c r="AFQ27" s="96" t="n">
        <f aca="false">[1]ВИБУЛО2!JY19</f>
        <v>0</v>
      </c>
      <c r="AFR27" s="97" t="n">
        <f aca="false">AFR26-AFQ27+AFP27</f>
        <v>0</v>
      </c>
      <c r="AFS27" s="95" t="n">
        <f aca="false">[1]НАДІЙШЛО2!JZ19</f>
        <v>0</v>
      </c>
      <c r="AFT27" s="96" t="n">
        <f aca="false">[1]ВИБУЛО2!JZ19</f>
        <v>0</v>
      </c>
      <c r="AFU27" s="97" t="n">
        <f aca="false">AFU26-AFT27+AFS27</f>
        <v>0</v>
      </c>
      <c r="AFV27" s="95" t="n">
        <f aca="false">[1]НАДІЙШЛО2!KA19</f>
        <v>0</v>
      </c>
      <c r="AFW27" s="96" t="n">
        <f aca="false">[1]ВИБУЛО2!KA19</f>
        <v>0</v>
      </c>
      <c r="AFX27" s="97" t="n">
        <f aca="false">AFX26-AFW27+AFV27</f>
        <v>0</v>
      </c>
      <c r="AFY27" s="95" t="n">
        <f aca="false">[1]НАДІЙШЛО2!KB19</f>
        <v>0</v>
      </c>
      <c r="AFZ27" s="96" t="n">
        <f aca="false">[1]ВИБУЛО2!KB19</f>
        <v>0</v>
      </c>
      <c r="AGA27" s="97" t="n">
        <f aca="false">AGA26-AFZ27+AFY27</f>
        <v>0</v>
      </c>
      <c r="AGB27" s="95" t="n">
        <f aca="false">[1]НАДІЙШЛО2!KC19</f>
        <v>0</v>
      </c>
      <c r="AGC27" s="96" t="n">
        <f aca="false">[1]ВИБУЛО2!KC19</f>
        <v>0</v>
      </c>
      <c r="AGD27" s="97" t="n">
        <f aca="false">AGD26-AGC27+AGB27</f>
        <v>0</v>
      </c>
      <c r="AGE27" s="95" t="n">
        <f aca="false">[1]НАДІЙШЛО2!KD19</f>
        <v>0</v>
      </c>
      <c r="AGF27" s="96" t="n">
        <f aca="false">[1]ВИБУЛО2!KD19</f>
        <v>0</v>
      </c>
      <c r="AGG27" s="97" t="n">
        <f aca="false">AGG26-AGF27+AGE27</f>
        <v>0</v>
      </c>
      <c r="AGH27" s="95" t="n">
        <f aca="false">[1]НАДІЙШЛО2!KE19</f>
        <v>0</v>
      </c>
      <c r="AGI27" s="96" t="n">
        <f aca="false">[1]ВИБУЛО2!KE19</f>
        <v>0</v>
      </c>
      <c r="AGJ27" s="97" t="n">
        <f aca="false">AGJ26-AGI27+AGH27</f>
        <v>0</v>
      </c>
      <c r="AGK27" s="95" t="n">
        <f aca="false">[1]НАДІЙШЛО2!KF19</f>
        <v>0</v>
      </c>
      <c r="AGL27" s="96" t="n">
        <f aca="false">[1]ВИБУЛО2!KF19</f>
        <v>0</v>
      </c>
      <c r="AGM27" s="97" t="n">
        <f aca="false">AGM26-AGL27+AGK27</f>
        <v>0</v>
      </c>
      <c r="AGN27" s="95" t="n">
        <f aca="false">[1]НАДІЙШЛО2!KG19</f>
        <v>0</v>
      </c>
      <c r="AGO27" s="96" t="n">
        <f aca="false">[1]ВИБУЛО2!KG19</f>
        <v>0</v>
      </c>
      <c r="AGP27" s="97" t="n">
        <f aca="false">AGP26-AGO27+AGN27</f>
        <v>0</v>
      </c>
      <c r="AGQ27" s="95" t="n">
        <f aca="false">[1]НАДІЙШЛО2!KH19</f>
        <v>0</v>
      </c>
      <c r="AGR27" s="96" t="n">
        <f aca="false">[1]ВИБУЛО2!KH19</f>
        <v>0</v>
      </c>
      <c r="AGS27" s="97" t="n">
        <f aca="false">AGS26-AGR27+AGQ27</f>
        <v>0</v>
      </c>
      <c r="AGT27" s="95" t="n">
        <f aca="false">[1]НАДІЙШЛО2!KI19</f>
        <v>0</v>
      </c>
      <c r="AGU27" s="96" t="n">
        <f aca="false">[1]ВИБУЛО2!KI19</f>
        <v>0</v>
      </c>
      <c r="AGV27" s="97" t="n">
        <f aca="false">AGV26-AGU27+AGT27</f>
        <v>0</v>
      </c>
      <c r="AGW27" s="95" t="n">
        <f aca="false">[1]НАДІЙШЛО2!KJ19</f>
        <v>0</v>
      </c>
      <c r="AGX27" s="96" t="n">
        <f aca="false">[1]ВИБУЛО2!KJ19</f>
        <v>0</v>
      </c>
      <c r="AGY27" s="97" t="n">
        <f aca="false">AGY26-AGX27+AGW27</f>
        <v>0</v>
      </c>
      <c r="AGZ27" s="95" t="n">
        <f aca="false">[1]НАДІЙШЛО2!KK19</f>
        <v>0</v>
      </c>
      <c r="AHA27" s="96" t="n">
        <f aca="false">[1]ВИБУЛО2!KK19</f>
        <v>0</v>
      </c>
      <c r="AHB27" s="97" t="n">
        <f aca="false">AHB26-AHA27+AGZ27</f>
        <v>0</v>
      </c>
      <c r="AHC27" s="95" t="n">
        <f aca="false">[1]НАДІЙШЛО2!KL19</f>
        <v>0</v>
      </c>
      <c r="AHD27" s="96" t="n">
        <f aca="false">[1]ВИБУЛО2!KL19</f>
        <v>0</v>
      </c>
      <c r="AHE27" s="97" t="n">
        <f aca="false">AHE26-AHD27+AHC27</f>
        <v>0</v>
      </c>
      <c r="AHF27" s="95" t="n">
        <f aca="false">[1]НАДІЙШЛО2!KM19</f>
        <v>0</v>
      </c>
      <c r="AHG27" s="96" t="n">
        <f aca="false">[1]ВИБУЛО2!KM19</f>
        <v>0</v>
      </c>
      <c r="AHH27" s="97" t="n">
        <f aca="false">AHH26-AHG27+AHF27</f>
        <v>0</v>
      </c>
      <c r="AHI27" s="95" t="n">
        <f aca="false">[1]НАДІЙШЛО2!KN19</f>
        <v>0</v>
      </c>
      <c r="AHJ27" s="96" t="n">
        <f aca="false">[1]ВИБУЛО2!KN19</f>
        <v>0</v>
      </c>
      <c r="AHK27" s="97" t="n">
        <f aca="false">AHK26-AHJ27+AHI27</f>
        <v>0</v>
      </c>
      <c r="AHL27" s="95" t="n">
        <f aca="false">[1]НАДІЙШЛО2!KO19</f>
        <v>0</v>
      </c>
      <c r="AHM27" s="96" t="n">
        <f aca="false">[1]ВИБУЛО2!KO19</f>
        <v>0</v>
      </c>
      <c r="AHN27" s="97" t="n">
        <f aca="false">AHN26-AHM27+AHL27</f>
        <v>0</v>
      </c>
      <c r="AHO27" s="95" t="n">
        <f aca="false">[1]НАДІЙШЛО2!KP19</f>
        <v>0</v>
      </c>
      <c r="AHP27" s="96" t="n">
        <f aca="false">[1]ВИБУЛО2!KP19</f>
        <v>0</v>
      </c>
      <c r="AHQ27" s="97" t="n">
        <f aca="false">AHQ26-AHP27+AHO27</f>
        <v>0</v>
      </c>
      <c r="AHR27" s="95" t="n">
        <f aca="false">[1]НАДІЙШЛО2!KQ19</f>
        <v>0</v>
      </c>
      <c r="AHS27" s="96" t="n">
        <f aca="false">[1]ВИБУЛО2!KQ19</f>
        <v>0</v>
      </c>
      <c r="AHT27" s="97" t="n">
        <f aca="false">AHT26-AHS27+AHR27</f>
        <v>0</v>
      </c>
      <c r="AHU27" s="95" t="n">
        <f aca="false">[1]НАДІЙШЛО2!KR19</f>
        <v>0</v>
      </c>
      <c r="AHV27" s="96" t="n">
        <f aca="false">[1]ВИБУЛО2!KR19</f>
        <v>0</v>
      </c>
      <c r="AHW27" s="97" t="n">
        <f aca="false">AHW26-AHV27+AHU27</f>
        <v>0</v>
      </c>
      <c r="AHX27" s="95" t="n">
        <f aca="false">[1]НАДІЙШЛО2!KS19</f>
        <v>0</v>
      </c>
      <c r="AHY27" s="96" t="n">
        <f aca="false">[1]ВИБУЛО2!KS19</f>
        <v>0</v>
      </c>
      <c r="AHZ27" s="97" t="n">
        <f aca="false">AHZ26-AHY27+AHX27</f>
        <v>0</v>
      </c>
      <c r="AIA27" s="95" t="n">
        <f aca="false">[1]НАДІЙШЛО2!KT19</f>
        <v>0</v>
      </c>
      <c r="AIB27" s="96" t="n">
        <f aca="false">[1]ВИБУЛО2!KT19</f>
        <v>0</v>
      </c>
      <c r="AIC27" s="97" t="n">
        <f aca="false">AIC26-AIB27+AIA27</f>
        <v>0</v>
      </c>
      <c r="AID27" s="95" t="n">
        <f aca="false">[1]НАДІЙШЛО2!KU19</f>
        <v>0</v>
      </c>
      <c r="AIE27" s="96" t="n">
        <f aca="false">[1]ВИБУЛО2!KU19</f>
        <v>0</v>
      </c>
      <c r="AIF27" s="97" t="n">
        <f aca="false">AIF26-AIE27+AID27</f>
        <v>0</v>
      </c>
      <c r="AIG27" s="95" t="n">
        <f aca="false">[1]НАДІЙШЛО2!KV19</f>
        <v>0</v>
      </c>
      <c r="AIH27" s="96" t="n">
        <f aca="false">[1]ВИБУЛО2!KV19</f>
        <v>0</v>
      </c>
      <c r="AII27" s="97" t="n">
        <f aca="false">AII26-AIH27+AIG27</f>
        <v>0</v>
      </c>
      <c r="AIJ27" s="95" t="n">
        <f aca="false">[1]НАДІЙШЛО2!KW19</f>
        <v>0</v>
      </c>
      <c r="AIK27" s="96" t="n">
        <f aca="false">[1]ВИБУЛО2!KW19</f>
        <v>0</v>
      </c>
      <c r="AIL27" s="97" t="n">
        <f aca="false">AIL26-AIK27+AIJ27</f>
        <v>0</v>
      </c>
      <c r="AIM27" s="95" t="n">
        <f aca="false">[1]НАДІЙШЛО2!KX19</f>
        <v>0</v>
      </c>
      <c r="AIN27" s="96" t="n">
        <f aca="false">[1]ВИБУЛО2!KX19</f>
        <v>0</v>
      </c>
      <c r="AIO27" s="97" t="n">
        <f aca="false">AIO26-AIN27+AIM27</f>
        <v>0</v>
      </c>
      <c r="AIP27" s="95" t="n">
        <f aca="false">[1]НАДІЙШЛО2!KY19</f>
        <v>0</v>
      </c>
      <c r="AIQ27" s="96" t="n">
        <f aca="false">[1]ВИБУЛО2!KY19</f>
        <v>0</v>
      </c>
      <c r="AIR27" s="97" t="n">
        <f aca="false">AIR26-AIQ27+AIP27</f>
        <v>0</v>
      </c>
      <c r="AIS27" s="95" t="n">
        <f aca="false">[1]НАДІЙШЛО2!KZ19</f>
        <v>0</v>
      </c>
      <c r="AIT27" s="96" t="n">
        <f aca="false">[1]ВИБУЛО2!KZ19</f>
        <v>0</v>
      </c>
      <c r="AIU27" s="97" t="n">
        <f aca="false">AIU26-AIT27+AIS27</f>
        <v>0</v>
      </c>
      <c r="AIV27" s="95" t="n">
        <f aca="false">[1]НАДІЙШЛО2!LA19</f>
        <v>0</v>
      </c>
      <c r="AIW27" s="96" t="n">
        <f aca="false">[1]ВИБУЛО2!LA19</f>
        <v>0</v>
      </c>
      <c r="AIX27" s="97" t="n">
        <f aca="false">AIX26-AIW27+AIV27</f>
        <v>0</v>
      </c>
      <c r="AIY27" s="95" t="n">
        <f aca="false">[1]НАДІЙШЛО2!LB19</f>
        <v>0</v>
      </c>
      <c r="AIZ27" s="96" t="n">
        <f aca="false">[1]ВИБУЛО2!LB19</f>
        <v>0</v>
      </c>
      <c r="AJA27" s="97" t="n">
        <f aca="false">AJA26-AIZ27+AIY27</f>
        <v>0</v>
      </c>
      <c r="AJB27" s="95" t="n">
        <f aca="false">[1]НАДІЙШЛО2!LC19</f>
        <v>0</v>
      </c>
      <c r="AJC27" s="96" t="n">
        <f aca="false">[1]ВИБУЛО2!LC19</f>
        <v>0</v>
      </c>
      <c r="AJD27" s="97" t="n">
        <f aca="false">AJD26-AJC27+AJB27</f>
        <v>0</v>
      </c>
      <c r="AJE27" s="95" t="n">
        <f aca="false">[1]НАДІЙШЛО2!LD19</f>
        <v>0</v>
      </c>
      <c r="AJF27" s="96" t="n">
        <f aca="false">[1]ВИБУЛО2!LD19</f>
        <v>0</v>
      </c>
      <c r="AJG27" s="97" t="n">
        <f aca="false">AJG26-AJF27+AJE27</f>
        <v>0</v>
      </c>
      <c r="AJH27" s="95" t="n">
        <f aca="false">[1]НАДІЙШЛО2!LE19</f>
        <v>0</v>
      </c>
      <c r="AJI27" s="96" t="n">
        <f aca="false">[1]ВИБУЛО2!LE19</f>
        <v>0</v>
      </c>
      <c r="AJJ27" s="97" t="n">
        <f aca="false">AJJ26-AJI27+AJH27</f>
        <v>0</v>
      </c>
      <c r="AJK27" s="95" t="n">
        <f aca="false">[1]НАДІЙШЛО2!LF19</f>
        <v>0</v>
      </c>
      <c r="AJL27" s="96" t="n">
        <f aca="false">[1]ВИБУЛО2!LF19</f>
        <v>0</v>
      </c>
      <c r="AJM27" s="97" t="n">
        <f aca="false">AJM26-AJL27+AJK27</f>
        <v>0</v>
      </c>
      <c r="AJN27" s="95" t="n">
        <f aca="false">[1]НАДІЙШЛО2!LG19</f>
        <v>0</v>
      </c>
      <c r="AJO27" s="96" t="n">
        <f aca="false">[1]ВИБУЛО2!LG19</f>
        <v>0</v>
      </c>
      <c r="AJP27" s="97" t="n">
        <f aca="false">AJP26-AJO27+AJN27</f>
        <v>0</v>
      </c>
      <c r="AJQ27" s="95" t="n">
        <f aca="false">[1]НАДІЙШЛО2!LH19</f>
        <v>0</v>
      </c>
      <c r="AJR27" s="96" t="n">
        <f aca="false">[1]ВИБУЛО2!LH19</f>
        <v>0</v>
      </c>
      <c r="AJS27" s="97" t="n">
        <f aca="false">AJS26-AJR27+AJQ27</f>
        <v>0</v>
      </c>
      <c r="AJT27" s="95" t="n">
        <f aca="false">[1]НАДІЙШЛО2!LI19</f>
        <v>0</v>
      </c>
      <c r="AJU27" s="96" t="n">
        <f aca="false">[1]ВИБУЛО2!LI19</f>
        <v>0</v>
      </c>
      <c r="AJV27" s="97" t="n">
        <f aca="false">AJV26-AJU27+AJT27</f>
        <v>0</v>
      </c>
      <c r="AJW27" s="95" t="n">
        <f aca="false">[1]НАДІЙШЛО2!LJ19</f>
        <v>0</v>
      </c>
      <c r="AJX27" s="96" t="n">
        <f aca="false">[1]ВИБУЛО2!LJ19</f>
        <v>0</v>
      </c>
      <c r="AJY27" s="97" t="n">
        <f aca="false">AJY26-AJX27+AJW27</f>
        <v>0</v>
      </c>
      <c r="AJZ27" s="95" t="n">
        <f aca="false">[1]НАДІЙШЛО2!LK19</f>
        <v>0</v>
      </c>
      <c r="AKA27" s="96" t="n">
        <f aca="false">[1]ВИБУЛО2!LK19</f>
        <v>0</v>
      </c>
      <c r="AKB27" s="97" t="n">
        <f aca="false">AKB26-AKA27+AJZ27</f>
        <v>0</v>
      </c>
      <c r="AKC27" s="95" t="n">
        <f aca="false">[1]НАДІЙШЛО2!LL19</f>
        <v>0</v>
      </c>
      <c r="AKD27" s="96" t="n">
        <f aca="false">[1]ВИБУЛО2!LL19</f>
        <v>0</v>
      </c>
      <c r="AKE27" s="97" t="n">
        <f aca="false">AKE26-AKD27+AKC27</f>
        <v>0</v>
      </c>
      <c r="AKF27" s="95" t="n">
        <f aca="false">[1]НАДІЙШЛО2!LM19</f>
        <v>0</v>
      </c>
      <c r="AKG27" s="96" t="n">
        <f aca="false">[1]ВИБУЛО2!LM19</f>
        <v>0</v>
      </c>
      <c r="AKH27" s="97" t="n">
        <f aca="false">AKH26-AKG27+AKF27</f>
        <v>0</v>
      </c>
      <c r="AKI27" s="95" t="n">
        <f aca="false">[1]НАДІЙШЛО2!LN19</f>
        <v>0</v>
      </c>
      <c r="AKJ27" s="96" t="n">
        <f aca="false">[1]ВИБУЛО2!LN19</f>
        <v>0</v>
      </c>
      <c r="AKK27" s="97" t="n">
        <f aca="false">AKK26-AKJ27+AKI27</f>
        <v>0</v>
      </c>
      <c r="AKL27" s="95" t="n">
        <f aca="false">[1]НАДІЙШЛО2!LO19</f>
        <v>0</v>
      </c>
      <c r="AKM27" s="96" t="n">
        <f aca="false">[1]ВИБУЛО2!LO19</f>
        <v>0</v>
      </c>
      <c r="AKN27" s="97" t="n">
        <f aca="false">AKN26-AKM27+AKL27</f>
        <v>0</v>
      </c>
      <c r="AKO27" s="95" t="n">
        <f aca="false">[1]НАДІЙШЛО2!LP19</f>
        <v>0</v>
      </c>
      <c r="AKP27" s="96" t="n">
        <f aca="false">[1]ВИБУЛО2!LP19</f>
        <v>0</v>
      </c>
      <c r="AKQ27" s="97" t="n">
        <f aca="false">AKQ26-AKP27+AKO27</f>
        <v>0</v>
      </c>
      <c r="AKR27" s="95" t="n">
        <f aca="false">[1]НАДІЙШЛО2!LQ19</f>
        <v>0</v>
      </c>
      <c r="AKS27" s="96" t="n">
        <f aca="false">[1]ВИБУЛО2!LQ19</f>
        <v>0</v>
      </c>
      <c r="AKT27" s="97" t="n">
        <f aca="false">AKT26-AKS27+AKR27</f>
        <v>0</v>
      </c>
      <c r="AKU27" s="95" t="n">
        <f aca="false">[1]НАДІЙШЛО2!LR19</f>
        <v>0</v>
      </c>
      <c r="AKV27" s="96" t="n">
        <f aca="false">[1]ВИБУЛО2!LR19</f>
        <v>0</v>
      </c>
      <c r="AKW27" s="97" t="n">
        <f aca="false">AKW26-AKV27+AKU27</f>
        <v>0</v>
      </c>
      <c r="AKX27" s="95" t="n">
        <f aca="false">[1]НАДІЙШЛО2!LS19</f>
        <v>0</v>
      </c>
      <c r="AKY27" s="96" t="n">
        <f aca="false">[1]ВИБУЛО2!LS19</f>
        <v>0</v>
      </c>
      <c r="AKZ27" s="97" t="n">
        <f aca="false">AKZ26-AKY27+AKX27</f>
        <v>0</v>
      </c>
      <c r="ALA27" s="95" t="n">
        <f aca="false">[1]НАДІЙШЛО2!LT19</f>
        <v>0</v>
      </c>
      <c r="ALB27" s="96" t="n">
        <f aca="false">[1]ВИБУЛО2!LT19</f>
        <v>0</v>
      </c>
      <c r="ALC27" s="97" t="n">
        <f aca="false">ALC26-ALB27+ALA27</f>
        <v>0</v>
      </c>
      <c r="ALD27" s="95" t="n">
        <f aca="false">[1]НАДІЙШЛО2!LU19</f>
        <v>0</v>
      </c>
      <c r="ALE27" s="96" t="n">
        <f aca="false">[1]ВИБУЛО2!LU19</f>
        <v>0</v>
      </c>
      <c r="ALF27" s="97" t="n">
        <f aca="false">ALF26-ALE27+ALD27</f>
        <v>0</v>
      </c>
      <c r="ALG27" s="95" t="n">
        <f aca="false">[1]НАДІЙШЛО2!LV19</f>
        <v>0</v>
      </c>
      <c r="ALH27" s="96" t="n">
        <f aca="false">[1]ВИБУЛО2!LV19</f>
        <v>0</v>
      </c>
      <c r="ALI27" s="97" t="n">
        <f aca="false">ALI26-ALH27+ALG27</f>
        <v>0</v>
      </c>
      <c r="ALJ27" s="95" t="n">
        <f aca="false">[1]НАДІЙШЛО2!LW19</f>
        <v>0</v>
      </c>
      <c r="ALK27" s="96" t="n">
        <f aca="false">[1]ВИБУЛО2!LW19</f>
        <v>0</v>
      </c>
      <c r="ALL27" s="97" t="n">
        <f aca="false">ALL26-ALK27+ALJ27</f>
        <v>0</v>
      </c>
      <c r="ALM27" s="95" t="n">
        <f aca="false">[1]НАДІЙШЛО2!LX19</f>
        <v>0</v>
      </c>
      <c r="ALN27" s="96" t="n">
        <f aca="false">[1]ВИБУЛО2!LX19</f>
        <v>0</v>
      </c>
      <c r="ALO27" s="97" t="n">
        <f aca="false">ALO26-ALN27+ALM27</f>
        <v>0</v>
      </c>
      <c r="ALP27" s="95" t="n">
        <f aca="false">[1]НАДІЙШЛО2!LY19</f>
        <v>0</v>
      </c>
      <c r="ALQ27" s="96" t="n">
        <f aca="false">[1]ВИБУЛО2!LY19</f>
        <v>0</v>
      </c>
      <c r="ALR27" s="97" t="n">
        <f aca="false">ALR26-ALQ27+ALP27</f>
        <v>0</v>
      </c>
      <c r="ALS27" s="95" t="n">
        <f aca="false">[1]НАДІЙШЛО2!LZ19</f>
        <v>0</v>
      </c>
      <c r="ALT27" s="96" t="n">
        <f aca="false">[1]ВИБУЛО2!LZ19</f>
        <v>0</v>
      </c>
      <c r="ALU27" s="97" t="n">
        <f aca="false">ALU26-ALT27+ALS27</f>
        <v>0</v>
      </c>
      <c r="ALV27" s="95" t="n">
        <f aca="false">[1]НАДІЙШЛО2!MA19</f>
        <v>0</v>
      </c>
      <c r="ALW27" s="96" t="n">
        <f aca="false">[1]ВИБУЛО2!MA19</f>
        <v>0</v>
      </c>
      <c r="ALX27" s="97" t="n">
        <f aca="false">ALX26-ALW27+ALV27</f>
        <v>0</v>
      </c>
      <c r="ALY27" s="95" t="n">
        <f aca="false">[1]НАДІЙШЛО2!MB19</f>
        <v>0</v>
      </c>
      <c r="ALZ27" s="96" t="n">
        <f aca="false">[1]ВИБУЛО2!MB19</f>
        <v>0</v>
      </c>
      <c r="AMA27" s="97" t="n">
        <f aca="false">AMA26-ALZ27+ALY27</f>
        <v>0</v>
      </c>
      <c r="AMB27" s="95" t="n">
        <f aca="false">[1]НАДІЙШЛО2!MC19</f>
        <v>0</v>
      </c>
      <c r="AMC27" s="96" t="n">
        <f aca="false">[1]ВИБУЛО2!MC19</f>
        <v>0</v>
      </c>
      <c r="AMD27" s="97" t="n">
        <f aca="false">AMD26-AMC27+AMB27</f>
        <v>0</v>
      </c>
      <c r="AME27" s="95" t="n">
        <f aca="false">[1]НАДІЙШЛО2!MD19</f>
        <v>0</v>
      </c>
      <c r="AMF27" s="96" t="n">
        <f aca="false">[1]ВИБУЛО2!MD19</f>
        <v>0</v>
      </c>
      <c r="AMG27" s="97" t="n">
        <f aca="false">AMG26-AMF27+AME27</f>
        <v>0</v>
      </c>
      <c r="AMH27" s="95" t="n">
        <f aca="false">[1]НАДІЙШЛО2!ME19</f>
        <v>0</v>
      </c>
      <c r="AMI27" s="96" t="n">
        <f aca="false">[1]ВИБУЛО2!ME19</f>
        <v>0</v>
      </c>
      <c r="AMJ27" s="97" t="n">
        <f aca="false">AMJ26-AMI27+AMH27</f>
        <v>0</v>
      </c>
    </row>
    <row r="28" s="99" customFormat="true" ht="16.5" hidden="false" customHeight="false" outlineLevel="0" collapsed="false">
      <c r="A28" s="98"/>
      <c r="D28" s="103"/>
      <c r="E28" s="95" t="n">
        <f aca="false">[1]НАДІЙШЛО2!D20</f>
        <v>0</v>
      </c>
      <c r="F28" s="96" t="n">
        <f aca="false">[1]ВИБУЛО2!D20</f>
        <v>0</v>
      </c>
      <c r="G28" s="97" t="n">
        <f aca="false">G27-F28+E28</f>
        <v>0</v>
      </c>
      <c r="H28" s="95" t="n">
        <f aca="false">[1]НАДІЙШЛО2!E20</f>
        <v>0</v>
      </c>
      <c r="I28" s="96" t="n">
        <f aca="false">[1]ВИБУЛО2!E20</f>
        <v>0</v>
      </c>
      <c r="J28" s="97" t="n">
        <f aca="false">J27-I28+H28</f>
        <v>0</v>
      </c>
      <c r="K28" s="95" t="n">
        <f aca="false">[1]НАДІЙШЛО2!F20</f>
        <v>0</v>
      </c>
      <c r="L28" s="96" t="n">
        <f aca="false">[1]ВИБУЛО2!F20</f>
        <v>0</v>
      </c>
      <c r="M28" s="97" t="n">
        <f aca="false">M27-L28+K28</f>
        <v>2.06</v>
      </c>
      <c r="N28" s="95" t="n">
        <f aca="false">[1]НАДІЙШЛО2!G20</f>
        <v>0</v>
      </c>
      <c r="O28" s="96" t="n">
        <f aca="false">[1]ВИБУЛО2!G20</f>
        <v>0</v>
      </c>
      <c r="P28" s="97" t="n">
        <f aca="false">P27-O28+N28</f>
        <v>0</v>
      </c>
      <c r="Q28" s="95" t="n">
        <f aca="false">[1]НАДІЙШЛО2!H20</f>
        <v>0</v>
      </c>
      <c r="R28" s="96" t="n">
        <f aca="false">[1]ВИБУЛО2!H20</f>
        <v>0</v>
      </c>
      <c r="S28" s="97" t="n">
        <f aca="false">S27-R28+Q28</f>
        <v>0</v>
      </c>
      <c r="T28" s="95" t="n">
        <f aca="false">[1]НАДІЙШЛО2!I20</f>
        <v>0</v>
      </c>
      <c r="U28" s="96" t="n">
        <f aca="false">[1]ВИБУЛО2!I20</f>
        <v>0</v>
      </c>
      <c r="V28" s="97" t="n">
        <f aca="false">V27-U28+T28</f>
        <v>0</v>
      </c>
      <c r="W28" s="95" t="n">
        <f aca="false">[1]НАДІЙШЛО2!J20</f>
        <v>0</v>
      </c>
      <c r="X28" s="96" t="n">
        <f aca="false">[1]ВИБУЛО2!J20</f>
        <v>0</v>
      </c>
      <c r="Y28" s="97" t="n">
        <f aca="false">Y27-X28+W28</f>
        <v>0</v>
      </c>
      <c r="Z28" s="95" t="n">
        <f aca="false">[1]НАДІЙШЛО2!K20</f>
        <v>0</v>
      </c>
      <c r="AA28" s="96" t="n">
        <f aca="false">[1]ВИБУЛО2!K20</f>
        <v>0</v>
      </c>
      <c r="AB28" s="97" t="n">
        <f aca="false">AB27-AA28+Z28</f>
        <v>0</v>
      </c>
      <c r="AC28" s="95" t="n">
        <f aca="false">[1]НАДІЙШЛО2!L20</f>
        <v>0</v>
      </c>
      <c r="AD28" s="96" t="n">
        <f aca="false">[1]ВИБУЛО2!L20</f>
        <v>0</v>
      </c>
      <c r="AE28" s="97" t="n">
        <f aca="false">AE27-AD28+AC28</f>
        <v>0</v>
      </c>
      <c r="AF28" s="95" t="n">
        <f aca="false">[1]НАДІЙШЛО2!M20</f>
        <v>0</v>
      </c>
      <c r="AG28" s="96" t="n">
        <f aca="false">[1]ВИБУЛО2!M20</f>
        <v>0</v>
      </c>
      <c r="AH28" s="97" t="n">
        <f aca="false">AH27-AG28+AF28</f>
        <v>0</v>
      </c>
      <c r="AI28" s="95" t="n">
        <f aca="false">[1]НАДІЙШЛО2!N20</f>
        <v>0</v>
      </c>
      <c r="AJ28" s="96" t="n">
        <f aca="false">[1]ВИБУЛО2!N20</f>
        <v>0</v>
      </c>
      <c r="AK28" s="97" t="n">
        <f aca="false">AK27-AJ28+AI28</f>
        <v>0</v>
      </c>
      <c r="AL28" s="95" t="n">
        <f aca="false">[1]НАДІЙШЛО2!O20</f>
        <v>0</v>
      </c>
      <c r="AM28" s="96" t="n">
        <f aca="false">[1]ВИБУЛО2!O20</f>
        <v>0</v>
      </c>
      <c r="AN28" s="97" t="n">
        <f aca="false">AN27-AM28+AL28</f>
        <v>0</v>
      </c>
      <c r="AO28" s="95" t="n">
        <f aca="false">[1]НАДІЙШЛО2!P20</f>
        <v>0</v>
      </c>
      <c r="AP28" s="96" t="n">
        <f aca="false">[1]ВИБУЛО2!P20</f>
        <v>0</v>
      </c>
      <c r="AQ28" s="97" t="n">
        <f aca="false">AQ27-AP28+AO28</f>
        <v>0</v>
      </c>
      <c r="AR28" s="95" t="n">
        <f aca="false">[1]НАДІЙШЛО2!Q20</f>
        <v>0</v>
      </c>
      <c r="AS28" s="96" t="n">
        <f aca="false">[1]ВИБУЛО2!Q20</f>
        <v>0</v>
      </c>
      <c r="AT28" s="97" t="n">
        <f aca="false">AT27-AS28+AR28</f>
        <v>0</v>
      </c>
      <c r="AU28" s="95" t="n">
        <f aca="false">[1]НАДІЙШЛО2!R20</f>
        <v>0</v>
      </c>
      <c r="AV28" s="96" t="n">
        <f aca="false">[1]ВИБУЛО2!R20</f>
        <v>0</v>
      </c>
      <c r="AW28" s="97" t="n">
        <f aca="false">AW27-AV28+AU28</f>
        <v>0</v>
      </c>
      <c r="AX28" s="95" t="n">
        <f aca="false">[1]НАДІЙШЛО2!S20</f>
        <v>0</v>
      </c>
      <c r="AY28" s="96" t="n">
        <f aca="false">[1]ВИБУЛО2!S20</f>
        <v>0</v>
      </c>
      <c r="AZ28" s="97" t="n">
        <f aca="false">AZ27-AY28+AX28</f>
        <v>0</v>
      </c>
      <c r="BA28" s="95" t="n">
        <f aca="false">[1]НАДІЙШЛО2!T20</f>
        <v>0</v>
      </c>
      <c r="BB28" s="96" t="n">
        <f aca="false">[1]ВИБУЛО2!T20</f>
        <v>0</v>
      </c>
      <c r="BC28" s="97" t="n">
        <f aca="false">BC27-BB28+BA28</f>
        <v>0</v>
      </c>
      <c r="BD28" s="95" t="n">
        <f aca="false">[1]НАДІЙШЛО2!U20</f>
        <v>0</v>
      </c>
      <c r="BE28" s="96" t="n">
        <f aca="false">[1]ВИБУЛО2!U20</f>
        <v>0</v>
      </c>
      <c r="BF28" s="97" t="n">
        <f aca="false">BF27-BE28+BD28</f>
        <v>0</v>
      </c>
      <c r="BG28" s="95" t="n">
        <f aca="false">[1]НАДІЙШЛО2!V20</f>
        <v>0</v>
      </c>
      <c r="BH28" s="96" t="n">
        <f aca="false">[1]ВИБУЛО2!V20</f>
        <v>0</v>
      </c>
      <c r="BI28" s="97" t="n">
        <f aca="false">BI27-BH28+BG28</f>
        <v>0</v>
      </c>
      <c r="BJ28" s="95" t="n">
        <f aca="false">[1]НАДІЙШЛО2!W20</f>
        <v>0</v>
      </c>
      <c r="BK28" s="96" t="n">
        <f aca="false">[1]ВИБУЛО2!W20</f>
        <v>0</v>
      </c>
      <c r="BL28" s="97" t="n">
        <f aca="false">BL27-BK28+BJ28</f>
        <v>0</v>
      </c>
      <c r="BM28" s="95" t="n">
        <f aca="false">[1]НАДІЙШЛО2!X20</f>
        <v>0</v>
      </c>
      <c r="BN28" s="96" t="n">
        <f aca="false">[1]ВИБУЛО2!X20</f>
        <v>0</v>
      </c>
      <c r="BO28" s="97" t="n">
        <f aca="false">BO27-BN28+BM28</f>
        <v>0</v>
      </c>
      <c r="BP28" s="95" t="n">
        <f aca="false">[1]НАДІЙШЛО2!Y20</f>
        <v>0</v>
      </c>
      <c r="BQ28" s="96" t="n">
        <f aca="false">[1]ВИБУЛО2!Y20</f>
        <v>0</v>
      </c>
      <c r="BR28" s="97" t="n">
        <f aca="false">BR27-BQ28+BP28</f>
        <v>0</v>
      </c>
      <c r="BS28" s="95" t="n">
        <f aca="false">[1]НАДІЙШЛО2!Z20</f>
        <v>0</v>
      </c>
      <c r="BT28" s="96" t="n">
        <f aca="false">[1]ВИБУЛО2!Z20</f>
        <v>0</v>
      </c>
      <c r="BU28" s="97" t="n">
        <f aca="false">BU27-BT28+BS28</f>
        <v>0</v>
      </c>
      <c r="BV28" s="95" t="n">
        <f aca="false">[1]НАДІЙШЛО2!AA20</f>
        <v>0</v>
      </c>
      <c r="BW28" s="96" t="n">
        <f aca="false">[1]ВИБУЛО2!AA20</f>
        <v>0</v>
      </c>
      <c r="BX28" s="97" t="n">
        <f aca="false">BX27-BW28+BV28</f>
        <v>0</v>
      </c>
      <c r="BY28" s="95" t="n">
        <f aca="false">[1]НАДІЙШЛО2!AB20</f>
        <v>0</v>
      </c>
      <c r="BZ28" s="96" t="n">
        <f aca="false">[1]ВИБУЛО2!AB20</f>
        <v>0</v>
      </c>
      <c r="CA28" s="97" t="n">
        <f aca="false">CA27-BZ28+BY28</f>
        <v>0</v>
      </c>
      <c r="CB28" s="95" t="n">
        <f aca="false">[1]НАДІЙШЛО2!AC20</f>
        <v>0</v>
      </c>
      <c r="CC28" s="96" t="n">
        <f aca="false">[1]ВИБУЛО2!AC20</f>
        <v>0</v>
      </c>
      <c r="CD28" s="97" t="n">
        <f aca="false">CD27-CC28+CB28</f>
        <v>0</v>
      </c>
      <c r="CE28" s="95" t="n">
        <f aca="false">[1]НАДІЙШЛО2!AD20</f>
        <v>0</v>
      </c>
      <c r="CF28" s="96" t="n">
        <f aca="false">[1]ВИБУЛО2!AD20</f>
        <v>0</v>
      </c>
      <c r="CG28" s="97" t="n">
        <f aca="false">CG27-CF28+CE28</f>
        <v>0</v>
      </c>
      <c r="CH28" s="95" t="n">
        <f aca="false">[1]НАДІЙШЛО2!AE20</f>
        <v>0</v>
      </c>
      <c r="CI28" s="96" t="n">
        <f aca="false">[1]ВИБУЛО2!AE20</f>
        <v>0</v>
      </c>
      <c r="CJ28" s="97" t="n">
        <f aca="false">CJ27-CI28+CH28</f>
        <v>0</v>
      </c>
      <c r="CK28" s="95" t="n">
        <f aca="false">[1]НАДІЙШЛО2!AF20</f>
        <v>0</v>
      </c>
      <c r="CL28" s="96" t="n">
        <f aca="false">[1]ВИБУЛО2!AF20</f>
        <v>0</v>
      </c>
      <c r="CM28" s="97" t="n">
        <f aca="false">CM27-CL28+CK28</f>
        <v>0</v>
      </c>
      <c r="CN28" s="95" t="n">
        <f aca="false">[1]НАДІЙШЛО2!AG20</f>
        <v>0</v>
      </c>
      <c r="CO28" s="96" t="n">
        <f aca="false">[1]ВИБУЛО2!AG20</f>
        <v>0</v>
      </c>
      <c r="CP28" s="97" t="n">
        <f aca="false">CP27-CO28+CN28</f>
        <v>0</v>
      </c>
      <c r="CQ28" s="95" t="n">
        <f aca="false">[1]НАДІЙШЛО2!AH20</f>
        <v>0</v>
      </c>
      <c r="CR28" s="96" t="n">
        <f aca="false">[1]ВИБУЛО2!AH20</f>
        <v>0</v>
      </c>
      <c r="CS28" s="97" t="n">
        <f aca="false">CS27-CR28+CQ28</f>
        <v>0</v>
      </c>
      <c r="CT28" s="95" t="n">
        <f aca="false">[1]НАДІЙШЛО2!AI20</f>
        <v>0</v>
      </c>
      <c r="CU28" s="96" t="n">
        <f aca="false">[1]ВИБУЛО2!AI20</f>
        <v>0</v>
      </c>
      <c r="CV28" s="97" t="n">
        <f aca="false">CV27-CU28+CT28</f>
        <v>0</v>
      </c>
      <c r="CW28" s="95" t="n">
        <f aca="false">[1]НАДІЙШЛО2!AJ20</f>
        <v>0</v>
      </c>
      <c r="CX28" s="96" t="n">
        <f aca="false">[1]ВИБУЛО2!AJ20</f>
        <v>0</v>
      </c>
      <c r="CY28" s="97" t="n">
        <f aca="false">CY27-CX28+CW28</f>
        <v>0</v>
      </c>
      <c r="CZ28" s="95" t="n">
        <f aca="false">[1]НАДІЙШЛО2!AK20</f>
        <v>0</v>
      </c>
      <c r="DA28" s="96" t="n">
        <f aca="false">[1]ВИБУЛО2!AK20</f>
        <v>0</v>
      </c>
      <c r="DB28" s="97" t="n">
        <f aca="false">DB27-DA28+CZ28</f>
        <v>0</v>
      </c>
      <c r="DC28" s="95" t="n">
        <f aca="false">[1]НАДІЙШЛО2!AL20</f>
        <v>0</v>
      </c>
      <c r="DD28" s="96" t="n">
        <f aca="false">[1]ВИБУЛО2!AL20</f>
        <v>0</v>
      </c>
      <c r="DE28" s="97" t="n">
        <f aca="false">DE27-DD28+DC28</f>
        <v>0</v>
      </c>
      <c r="DF28" s="95" t="n">
        <f aca="false">[1]НАДІЙШЛО2!AM20</f>
        <v>0</v>
      </c>
      <c r="DG28" s="96" t="n">
        <f aca="false">[1]ВИБУЛО2!AM20</f>
        <v>0</v>
      </c>
      <c r="DH28" s="97" t="n">
        <f aca="false">DH27-DG28+DF28</f>
        <v>0</v>
      </c>
      <c r="DI28" s="95" t="n">
        <f aca="false">[1]НАДІЙШЛО2!AN20</f>
        <v>0</v>
      </c>
      <c r="DJ28" s="96" t="n">
        <f aca="false">[1]ВИБУЛО2!AN20</f>
        <v>0</v>
      </c>
      <c r="DK28" s="97" t="n">
        <f aca="false">DK27-DJ28+DI28</f>
        <v>0</v>
      </c>
      <c r="DL28" s="95" t="n">
        <f aca="false">[1]НАДІЙШЛО2!AO20</f>
        <v>0</v>
      </c>
      <c r="DM28" s="96" t="n">
        <f aca="false">[1]ВИБУЛО2!AO20</f>
        <v>0</v>
      </c>
      <c r="DN28" s="97" t="n">
        <f aca="false">DN27-DM28+DL28</f>
        <v>0</v>
      </c>
      <c r="DO28" s="95" t="n">
        <f aca="false">[1]НАДІЙШЛО2!AP20</f>
        <v>0</v>
      </c>
      <c r="DP28" s="96" t="n">
        <f aca="false">[1]ВИБУЛО2!AP20</f>
        <v>0</v>
      </c>
      <c r="DQ28" s="97" t="n">
        <f aca="false">DQ27-DP28+DO28</f>
        <v>0</v>
      </c>
      <c r="DR28" s="95" t="n">
        <f aca="false">[1]НАДІЙШЛО2!AQ20</f>
        <v>0</v>
      </c>
      <c r="DS28" s="96" t="n">
        <f aca="false">[1]ВИБУЛО2!AQ20</f>
        <v>0</v>
      </c>
      <c r="DT28" s="97" t="n">
        <f aca="false">DT27-DS28+DR28</f>
        <v>0</v>
      </c>
      <c r="DU28" s="95" t="n">
        <f aca="false">[1]НАДІЙШЛО2!AR20</f>
        <v>0</v>
      </c>
      <c r="DV28" s="96" t="n">
        <f aca="false">[1]ВИБУЛО2!AR20</f>
        <v>0</v>
      </c>
      <c r="DW28" s="97" t="n">
        <f aca="false">DW27-DV28+DU28</f>
        <v>0</v>
      </c>
      <c r="DX28" s="95" t="n">
        <f aca="false">[1]НАДІЙШЛО2!AS20</f>
        <v>0</v>
      </c>
      <c r="DY28" s="96" t="n">
        <f aca="false">[1]ВИБУЛО2!AS20</f>
        <v>0</v>
      </c>
      <c r="DZ28" s="97" t="n">
        <f aca="false">DZ27-DY28+DX28</f>
        <v>0</v>
      </c>
      <c r="EA28" s="95" t="n">
        <f aca="false">[1]НАДІЙШЛО2!AT20</f>
        <v>0</v>
      </c>
      <c r="EB28" s="96" t="n">
        <f aca="false">[1]ВИБУЛО2!AT20</f>
        <v>0</v>
      </c>
      <c r="EC28" s="97" t="n">
        <f aca="false">EC27-EB28+EA28</f>
        <v>0</v>
      </c>
      <c r="ED28" s="95" t="n">
        <f aca="false">[1]НАДІЙШЛО2!AU20</f>
        <v>0</v>
      </c>
      <c r="EE28" s="96" t="n">
        <f aca="false">[1]ВИБУЛО2!AU20</f>
        <v>0</v>
      </c>
      <c r="EF28" s="97" t="n">
        <f aca="false">EF27-EE28+ED28</f>
        <v>0</v>
      </c>
      <c r="EG28" s="95" t="n">
        <f aca="false">[1]НАДІЙШЛО2!AV20</f>
        <v>0</v>
      </c>
      <c r="EH28" s="96" t="n">
        <f aca="false">[1]ВИБУЛО2!AV20</f>
        <v>0</v>
      </c>
      <c r="EI28" s="97" t="n">
        <f aca="false">EI27-EH28+EG28</f>
        <v>0</v>
      </c>
      <c r="EJ28" s="95" t="n">
        <f aca="false">[1]НАДІЙШЛО2!AW20</f>
        <v>0</v>
      </c>
      <c r="EK28" s="96" t="n">
        <f aca="false">[1]ВИБУЛО2!AW20</f>
        <v>0</v>
      </c>
      <c r="EL28" s="97" t="n">
        <f aca="false">EL27-EK28+EJ28</f>
        <v>0</v>
      </c>
      <c r="EM28" s="95" t="n">
        <f aca="false">[1]НАДІЙШЛО2!AX20</f>
        <v>0</v>
      </c>
      <c r="EN28" s="96" t="n">
        <f aca="false">[1]ВИБУЛО2!AX20</f>
        <v>0</v>
      </c>
      <c r="EO28" s="97" t="n">
        <f aca="false">EO27-EN28+EM28</f>
        <v>0</v>
      </c>
      <c r="EP28" s="95" t="n">
        <f aca="false">[1]НАДІЙШЛО2!AY20</f>
        <v>0</v>
      </c>
      <c r="EQ28" s="96" t="n">
        <f aca="false">[1]ВИБУЛО2!AY20</f>
        <v>0</v>
      </c>
      <c r="ER28" s="97" t="n">
        <f aca="false">ER27-EQ28+EP28</f>
        <v>0</v>
      </c>
      <c r="ES28" s="95" t="n">
        <f aca="false">[1]НАДІЙШЛО2!AZ20</f>
        <v>0</v>
      </c>
      <c r="ET28" s="96" t="n">
        <f aca="false">[1]ВИБУЛО2!AZ20</f>
        <v>0</v>
      </c>
      <c r="EU28" s="97" t="n">
        <f aca="false">EU27-ET28+ES28</f>
        <v>0</v>
      </c>
      <c r="EV28" s="95" t="n">
        <f aca="false">[1]НАДІЙШЛО2!BA20</f>
        <v>0</v>
      </c>
      <c r="EW28" s="96" t="n">
        <f aca="false">[1]ВИБУЛО2!BA20</f>
        <v>0</v>
      </c>
      <c r="EX28" s="97" t="n">
        <f aca="false">EX27-EW28+EV28</f>
        <v>0</v>
      </c>
      <c r="EY28" s="95" t="n">
        <f aca="false">[1]НАДІЙШЛО2!BB20</f>
        <v>0</v>
      </c>
      <c r="EZ28" s="96" t="n">
        <f aca="false">[1]ВИБУЛО2!BB20</f>
        <v>0</v>
      </c>
      <c r="FA28" s="97" t="n">
        <f aca="false">FA27-EZ28+EY28</f>
        <v>0</v>
      </c>
      <c r="FB28" s="95" t="n">
        <f aca="false">[1]НАДІЙШЛО2!BC20</f>
        <v>0</v>
      </c>
      <c r="FC28" s="96" t="n">
        <f aca="false">[1]ВИБУЛО2!BC20</f>
        <v>0</v>
      </c>
      <c r="FD28" s="97" t="n">
        <f aca="false">FD27-FC28+FB28</f>
        <v>0</v>
      </c>
      <c r="FE28" s="95" t="n">
        <f aca="false">[1]НАДІЙШЛО2!BD20</f>
        <v>0</v>
      </c>
      <c r="FF28" s="96" t="n">
        <f aca="false">[1]ВИБУЛО2!BD20</f>
        <v>0</v>
      </c>
      <c r="FG28" s="97" t="n">
        <f aca="false">FG27-FF28+FE28</f>
        <v>0</v>
      </c>
      <c r="FH28" s="95" t="n">
        <f aca="false">[1]НАДІЙШЛО2!BE20</f>
        <v>0</v>
      </c>
      <c r="FI28" s="96" t="n">
        <f aca="false">[1]ВИБУЛО2!BE20</f>
        <v>0</v>
      </c>
      <c r="FJ28" s="97" t="n">
        <f aca="false">FJ27-FI28+FH28</f>
        <v>0</v>
      </c>
      <c r="FK28" s="95" t="n">
        <f aca="false">[1]НАДІЙШЛО2!BF20</f>
        <v>0</v>
      </c>
      <c r="FL28" s="96" t="n">
        <f aca="false">[1]ВИБУЛО2!BF20</f>
        <v>0</v>
      </c>
      <c r="FM28" s="97" t="n">
        <f aca="false">FM27-FL28+FK28</f>
        <v>0</v>
      </c>
      <c r="FN28" s="95" t="n">
        <f aca="false">[1]НАДІЙШЛО2!BG20</f>
        <v>0</v>
      </c>
      <c r="FO28" s="96" t="n">
        <f aca="false">[1]ВИБУЛО2!BG20</f>
        <v>0</v>
      </c>
      <c r="FP28" s="97" t="n">
        <f aca="false">FP27-FO28+FN28</f>
        <v>0</v>
      </c>
      <c r="FQ28" s="95" t="n">
        <f aca="false">[1]НАДІЙШЛО2!BH20</f>
        <v>0</v>
      </c>
      <c r="FR28" s="96" t="n">
        <f aca="false">[1]ВИБУЛО2!BH20</f>
        <v>0</v>
      </c>
      <c r="FS28" s="97" t="n">
        <f aca="false">FS27-FR28+FQ28</f>
        <v>0</v>
      </c>
      <c r="FT28" s="95" t="n">
        <f aca="false">[1]НАДІЙШЛО2!BI20</f>
        <v>0</v>
      </c>
      <c r="FU28" s="96" t="n">
        <f aca="false">[1]ВИБУЛО2!BI20</f>
        <v>0</v>
      </c>
      <c r="FV28" s="97" t="n">
        <f aca="false">FV27-FU28+FT28</f>
        <v>0</v>
      </c>
      <c r="FW28" s="95" t="n">
        <f aca="false">[1]НАДІЙШЛО2!BJ20</f>
        <v>0</v>
      </c>
      <c r="FX28" s="96" t="n">
        <f aca="false">[1]ВИБУЛО2!BJ20</f>
        <v>0</v>
      </c>
      <c r="FY28" s="97" t="n">
        <f aca="false">FY27-FX28+FW28</f>
        <v>0</v>
      </c>
      <c r="FZ28" s="95" t="n">
        <f aca="false">[1]НАДІЙШЛО2!BK20</f>
        <v>0</v>
      </c>
      <c r="GA28" s="96" t="n">
        <f aca="false">[1]ВИБУЛО2!BK20</f>
        <v>0</v>
      </c>
      <c r="GB28" s="97" t="n">
        <f aca="false">GB27-GA28+FZ28</f>
        <v>0</v>
      </c>
      <c r="GC28" s="95" t="n">
        <f aca="false">[1]НАДІЙШЛО2!BL20</f>
        <v>0</v>
      </c>
      <c r="GD28" s="96" t="n">
        <f aca="false">[1]ВИБУЛО2!BL20</f>
        <v>0</v>
      </c>
      <c r="GE28" s="97" t="n">
        <f aca="false">GE27-GD28+GC28</f>
        <v>0</v>
      </c>
      <c r="GF28" s="95" t="n">
        <f aca="false">[1]НАДІЙШЛО2!BM20</f>
        <v>0</v>
      </c>
      <c r="GG28" s="96" t="n">
        <f aca="false">[1]ВИБУЛО2!BM20</f>
        <v>0</v>
      </c>
      <c r="GH28" s="97" t="n">
        <f aca="false">GH27-GG28+GF28</f>
        <v>0</v>
      </c>
      <c r="GI28" s="95" t="n">
        <f aca="false">[1]НАДІЙШЛО2!BN20</f>
        <v>0</v>
      </c>
      <c r="GJ28" s="96" t="n">
        <f aca="false">[1]ВИБУЛО2!BN20</f>
        <v>0</v>
      </c>
      <c r="GK28" s="97" t="n">
        <f aca="false">GK27-GJ28+GI28</f>
        <v>0</v>
      </c>
      <c r="GL28" s="95" t="n">
        <f aca="false">[1]НАДІЙШЛО2!BO20</f>
        <v>0</v>
      </c>
      <c r="GM28" s="96" t="n">
        <f aca="false">[1]ВИБУЛО2!BO20</f>
        <v>0</v>
      </c>
      <c r="GN28" s="97" t="n">
        <f aca="false">GN27-GM28+GL28</f>
        <v>0</v>
      </c>
      <c r="GO28" s="95" t="n">
        <f aca="false">[1]НАДІЙШЛО2!BP20</f>
        <v>0</v>
      </c>
      <c r="GP28" s="96" t="n">
        <f aca="false">[1]ВИБУЛО2!BP20</f>
        <v>0</v>
      </c>
      <c r="GQ28" s="97" t="n">
        <f aca="false">GQ27-GP28+GO28</f>
        <v>0</v>
      </c>
      <c r="GR28" s="95" t="n">
        <f aca="false">[1]НАДІЙШЛО2!BQ20</f>
        <v>0</v>
      </c>
      <c r="GS28" s="96" t="n">
        <f aca="false">[1]ВИБУЛО2!BQ20</f>
        <v>0</v>
      </c>
      <c r="GT28" s="97" t="n">
        <f aca="false">GT27-GS28+GR28</f>
        <v>0</v>
      </c>
      <c r="GU28" s="95" t="n">
        <f aca="false">[1]НАДІЙШЛО2!BR20</f>
        <v>0</v>
      </c>
      <c r="GV28" s="96" t="n">
        <f aca="false">[1]ВИБУЛО2!BR20</f>
        <v>0</v>
      </c>
      <c r="GW28" s="97" t="n">
        <f aca="false">GW27-GV28+GU28</f>
        <v>0</v>
      </c>
      <c r="GX28" s="95" t="n">
        <f aca="false">[1]НАДІЙШЛО2!BS20</f>
        <v>0</v>
      </c>
      <c r="GY28" s="96" t="n">
        <f aca="false">[1]ВИБУЛО2!BS20</f>
        <v>0</v>
      </c>
      <c r="GZ28" s="97" t="n">
        <f aca="false">GZ27-GY28+GX28</f>
        <v>0</v>
      </c>
      <c r="HA28" s="95" t="n">
        <f aca="false">[1]НАДІЙШЛО2!BT20</f>
        <v>0</v>
      </c>
      <c r="HB28" s="96" t="n">
        <f aca="false">[1]ВИБУЛО2!BT20</f>
        <v>0</v>
      </c>
      <c r="HC28" s="97" t="n">
        <f aca="false">HC27-HB28+HA28</f>
        <v>0</v>
      </c>
      <c r="HD28" s="95" t="n">
        <f aca="false">[1]НАДІЙШЛО2!BU20</f>
        <v>0</v>
      </c>
      <c r="HE28" s="96" t="n">
        <f aca="false">[1]ВИБУЛО2!BU20</f>
        <v>0</v>
      </c>
      <c r="HF28" s="97" t="n">
        <f aca="false">HF27-HE28+HD28</f>
        <v>0</v>
      </c>
      <c r="HG28" s="95" t="n">
        <f aca="false">[1]НАДІЙШЛО2!BV20</f>
        <v>0</v>
      </c>
      <c r="HH28" s="96" t="n">
        <f aca="false">[1]ВИБУЛО2!BV20</f>
        <v>0</v>
      </c>
      <c r="HI28" s="97" t="n">
        <f aca="false">HI27-HH28+HG28</f>
        <v>0</v>
      </c>
      <c r="HJ28" s="95" t="n">
        <f aca="false">[1]НАДІЙШЛО2!BW20</f>
        <v>0</v>
      </c>
      <c r="HK28" s="96" t="n">
        <f aca="false">[1]ВИБУЛО2!BW20</f>
        <v>0</v>
      </c>
      <c r="HL28" s="97" t="n">
        <f aca="false">HL27-HK28+HJ28</f>
        <v>0</v>
      </c>
      <c r="HM28" s="95" t="n">
        <f aca="false">[1]НАДІЙШЛО2!BX20</f>
        <v>0</v>
      </c>
      <c r="HN28" s="96" t="n">
        <f aca="false">[1]ВИБУЛО2!BX20</f>
        <v>0</v>
      </c>
      <c r="HO28" s="97" t="n">
        <f aca="false">HO27-HN28+HM28</f>
        <v>0</v>
      </c>
      <c r="HP28" s="95" t="n">
        <f aca="false">[1]НАДІЙШЛО2!BY20</f>
        <v>0</v>
      </c>
      <c r="HQ28" s="96" t="n">
        <f aca="false">[1]ВИБУЛО2!BY20</f>
        <v>0</v>
      </c>
      <c r="HR28" s="97" t="n">
        <f aca="false">HR27-HQ28+HP28</f>
        <v>0</v>
      </c>
      <c r="HS28" s="95" t="n">
        <f aca="false">[1]НАДІЙШЛО2!BZ20</f>
        <v>0</v>
      </c>
      <c r="HT28" s="96" t="n">
        <f aca="false">[1]ВИБУЛО2!BZ20</f>
        <v>0</v>
      </c>
      <c r="HU28" s="97" t="n">
        <f aca="false">HU27-HT28+HS28</f>
        <v>0</v>
      </c>
      <c r="HV28" s="95" t="n">
        <f aca="false">[1]НАДІЙШЛО2!CA20</f>
        <v>0</v>
      </c>
      <c r="HW28" s="96" t="n">
        <f aca="false">[1]ВИБУЛО2!CA20</f>
        <v>0</v>
      </c>
      <c r="HX28" s="97" t="n">
        <f aca="false">HX27-HW28+HV28</f>
        <v>0</v>
      </c>
      <c r="HY28" s="95" t="n">
        <f aca="false">[1]НАДІЙШЛО2!CB20</f>
        <v>0</v>
      </c>
      <c r="HZ28" s="96" t="n">
        <f aca="false">[1]ВИБУЛО2!CB20</f>
        <v>0</v>
      </c>
      <c r="IA28" s="97" t="n">
        <f aca="false">IA27-HZ28+HY28</f>
        <v>0</v>
      </c>
      <c r="IB28" s="95" t="n">
        <f aca="false">[1]НАДІЙШЛО2!CC20</f>
        <v>0</v>
      </c>
      <c r="IC28" s="96" t="n">
        <f aca="false">[1]ВИБУЛО2!CC20</f>
        <v>0</v>
      </c>
      <c r="ID28" s="97" t="n">
        <f aca="false">ID27-IC28+IB28</f>
        <v>0</v>
      </c>
      <c r="IE28" s="95" t="n">
        <f aca="false">[1]НАДІЙШЛО2!CD20</f>
        <v>0</v>
      </c>
      <c r="IF28" s="96" t="n">
        <f aca="false">[1]ВИБУЛО2!CD20</f>
        <v>0</v>
      </c>
      <c r="IG28" s="97" t="n">
        <f aca="false">IG27-IF28+IE28</f>
        <v>0</v>
      </c>
      <c r="IH28" s="95" t="n">
        <f aca="false">[1]НАДІЙШЛО2!CE20</f>
        <v>0</v>
      </c>
      <c r="II28" s="96" t="n">
        <f aca="false">[1]ВИБУЛО2!CE20</f>
        <v>0</v>
      </c>
      <c r="IJ28" s="97" t="n">
        <f aca="false">IJ27-II28+IH28</f>
        <v>0</v>
      </c>
      <c r="IK28" s="95" t="n">
        <f aca="false">[1]НАДІЙШЛО2!CF20</f>
        <v>0</v>
      </c>
      <c r="IL28" s="96" t="n">
        <f aca="false">[1]ВИБУЛО2!CF20</f>
        <v>0</v>
      </c>
      <c r="IM28" s="97" t="n">
        <f aca="false">IM27-IL28+IK28</f>
        <v>0</v>
      </c>
      <c r="IN28" s="95" t="n">
        <f aca="false">[1]НАДІЙШЛО2!CG20</f>
        <v>0</v>
      </c>
      <c r="IO28" s="96" t="n">
        <f aca="false">[1]ВИБУЛО2!CG20</f>
        <v>0</v>
      </c>
      <c r="IP28" s="97" t="n">
        <f aca="false">IP27-IO28+IN28</f>
        <v>0</v>
      </c>
      <c r="IQ28" s="95" t="n">
        <f aca="false">[1]НАДІЙШЛО2!CH20</f>
        <v>0</v>
      </c>
      <c r="IR28" s="96" t="n">
        <f aca="false">[1]ВИБУЛО2!CH20</f>
        <v>0</v>
      </c>
      <c r="IS28" s="97" t="n">
        <f aca="false">IS27-IR28+IQ28</f>
        <v>0</v>
      </c>
      <c r="IT28" s="95" t="n">
        <f aca="false">[1]НАДІЙШЛО2!CI20</f>
        <v>0</v>
      </c>
      <c r="IU28" s="96" t="n">
        <f aca="false">[1]ВИБУЛО2!CI20</f>
        <v>0</v>
      </c>
      <c r="IV28" s="97" t="n">
        <f aca="false">IV27-IU28+IT28</f>
        <v>0</v>
      </c>
      <c r="IW28" s="95" t="n">
        <f aca="false">[1]НАДІЙШЛО2!CJ20</f>
        <v>0</v>
      </c>
      <c r="IX28" s="96" t="n">
        <f aca="false">[1]ВИБУЛО2!CJ20</f>
        <v>0</v>
      </c>
      <c r="IY28" s="97" t="n">
        <f aca="false">IY27-IX28+IW28</f>
        <v>0</v>
      </c>
      <c r="IZ28" s="95" t="n">
        <f aca="false">[1]НАДІЙШЛО2!CK20</f>
        <v>0</v>
      </c>
      <c r="JA28" s="96" t="n">
        <f aca="false">[1]ВИБУЛО2!CK20</f>
        <v>0</v>
      </c>
      <c r="JB28" s="97" t="n">
        <f aca="false">JB27-JA28+IZ28</f>
        <v>0</v>
      </c>
      <c r="JC28" s="95" t="n">
        <f aca="false">[1]НАДІЙШЛО2!CL20</f>
        <v>0</v>
      </c>
      <c r="JD28" s="96" t="n">
        <f aca="false">[1]ВИБУЛО2!CL20</f>
        <v>0</v>
      </c>
      <c r="JE28" s="97" t="n">
        <f aca="false">JE27-JD28+JC28</f>
        <v>0</v>
      </c>
      <c r="JF28" s="95" t="n">
        <f aca="false">[1]НАДІЙШЛО2!CM20</f>
        <v>0</v>
      </c>
      <c r="JG28" s="96" t="n">
        <f aca="false">[1]ВИБУЛО2!CM20</f>
        <v>0</v>
      </c>
      <c r="JH28" s="97" t="n">
        <f aca="false">JH27-JG28+JF28</f>
        <v>0</v>
      </c>
      <c r="JI28" s="95" t="n">
        <f aca="false">[1]НАДІЙШЛО2!CN20</f>
        <v>0</v>
      </c>
      <c r="JJ28" s="96" t="n">
        <f aca="false">[1]ВИБУЛО2!CN20</f>
        <v>0</v>
      </c>
      <c r="JK28" s="97" t="n">
        <f aca="false">JK27-JJ28+JI28</f>
        <v>0</v>
      </c>
      <c r="JL28" s="95" t="n">
        <f aca="false">[1]НАДІЙШЛО2!CO20</f>
        <v>0</v>
      </c>
      <c r="JM28" s="96" t="n">
        <f aca="false">[1]ВИБУЛО2!CO20</f>
        <v>0</v>
      </c>
      <c r="JN28" s="97" t="n">
        <f aca="false">JN27-JM28+JL28</f>
        <v>0</v>
      </c>
      <c r="JO28" s="95" t="n">
        <f aca="false">[1]НАДІЙШЛО2!CP20</f>
        <v>0</v>
      </c>
      <c r="JP28" s="96" t="n">
        <f aca="false">[1]ВИБУЛО2!CP20</f>
        <v>0</v>
      </c>
      <c r="JQ28" s="97" t="n">
        <f aca="false">JQ27-JP28+JO28</f>
        <v>0</v>
      </c>
      <c r="JR28" s="95" t="n">
        <f aca="false">[1]НАДІЙШЛО2!CQ20</f>
        <v>0</v>
      </c>
      <c r="JS28" s="96" t="n">
        <f aca="false">[1]ВИБУЛО2!CQ20</f>
        <v>0</v>
      </c>
      <c r="JT28" s="97" t="n">
        <f aca="false">JT27-JS28+JR28</f>
        <v>0</v>
      </c>
      <c r="JU28" s="95" t="n">
        <f aca="false">[1]НАДІЙШЛО2!CR20</f>
        <v>0</v>
      </c>
      <c r="JV28" s="96" t="n">
        <f aca="false">[1]ВИБУЛО2!CR20</f>
        <v>0</v>
      </c>
      <c r="JW28" s="97" t="n">
        <f aca="false">JW27-JV28+JU28</f>
        <v>0</v>
      </c>
      <c r="JX28" s="95" t="n">
        <f aca="false">[1]НАДІЙШЛО2!CS20</f>
        <v>0</v>
      </c>
      <c r="JY28" s="96" t="n">
        <f aca="false">[1]ВИБУЛО2!CS20</f>
        <v>0</v>
      </c>
      <c r="JZ28" s="97" t="n">
        <f aca="false">JZ27-JY28+JX28</f>
        <v>0</v>
      </c>
      <c r="KA28" s="95" t="n">
        <f aca="false">[1]НАДІЙШЛО2!CT20</f>
        <v>0</v>
      </c>
      <c r="KB28" s="96" t="n">
        <f aca="false">[1]ВИБУЛО2!CT20</f>
        <v>0</v>
      </c>
      <c r="KC28" s="97" t="n">
        <f aca="false">KC27-KB28+KA28</f>
        <v>0</v>
      </c>
      <c r="KD28" s="95" t="n">
        <f aca="false">[1]НАДІЙШЛО2!CU20</f>
        <v>0</v>
      </c>
      <c r="KE28" s="96" t="n">
        <f aca="false">[1]ВИБУЛО2!CU20</f>
        <v>0</v>
      </c>
      <c r="KF28" s="97" t="n">
        <f aca="false">KF27-KE28+KD28</f>
        <v>0</v>
      </c>
      <c r="KG28" s="95" t="n">
        <f aca="false">[1]НАДІЙШЛО2!CV20</f>
        <v>0</v>
      </c>
      <c r="KH28" s="96" t="n">
        <f aca="false">[1]ВИБУЛО2!CV20</f>
        <v>0</v>
      </c>
      <c r="KI28" s="97" t="n">
        <f aca="false">KI27-KH28+KG28</f>
        <v>0</v>
      </c>
      <c r="KJ28" s="95" t="n">
        <f aca="false">[1]НАДІЙШЛО2!CW20</f>
        <v>0</v>
      </c>
      <c r="KK28" s="96" t="n">
        <f aca="false">[1]ВИБУЛО2!CW20</f>
        <v>0</v>
      </c>
      <c r="KL28" s="97" t="n">
        <f aca="false">KL27-KK28+KJ28</f>
        <v>0</v>
      </c>
      <c r="KM28" s="95" t="n">
        <f aca="false">[1]НАДІЙШЛО2!CX20</f>
        <v>0</v>
      </c>
      <c r="KN28" s="96" t="n">
        <f aca="false">[1]ВИБУЛО2!CX20</f>
        <v>0</v>
      </c>
      <c r="KO28" s="97" t="n">
        <f aca="false">KO27-KN28+KM28</f>
        <v>0</v>
      </c>
      <c r="KP28" s="95" t="n">
        <f aca="false">[1]НАДІЙШЛО2!CY20</f>
        <v>0</v>
      </c>
      <c r="KQ28" s="96" t="n">
        <f aca="false">[1]ВИБУЛО2!CY20</f>
        <v>0</v>
      </c>
      <c r="KR28" s="97" t="n">
        <f aca="false">KR27-KQ28+KP28</f>
        <v>0</v>
      </c>
      <c r="KS28" s="95" t="n">
        <f aca="false">[1]НАДІЙШЛО2!CZ20</f>
        <v>0</v>
      </c>
      <c r="KT28" s="96" t="n">
        <f aca="false">[1]ВИБУЛО2!CZ20</f>
        <v>0</v>
      </c>
      <c r="KU28" s="97" t="n">
        <f aca="false">KU27-KT28+KS28</f>
        <v>0</v>
      </c>
      <c r="KV28" s="95" t="n">
        <f aca="false">[1]НАДІЙШЛО2!DA20</f>
        <v>0</v>
      </c>
      <c r="KW28" s="96" t="n">
        <f aca="false">[1]ВИБУЛО2!DA20</f>
        <v>0</v>
      </c>
      <c r="KX28" s="97" t="n">
        <f aca="false">KX27-KW28+KV28</f>
        <v>0</v>
      </c>
      <c r="KY28" s="95" t="n">
        <f aca="false">[1]НАДІЙШЛО2!DB20</f>
        <v>0</v>
      </c>
      <c r="KZ28" s="96" t="n">
        <f aca="false">[1]ВИБУЛО2!DB20</f>
        <v>0</v>
      </c>
      <c r="LA28" s="97" t="n">
        <f aca="false">LA27-KZ28+KY28</f>
        <v>0</v>
      </c>
      <c r="LB28" s="95" t="n">
        <f aca="false">[1]НАДІЙШЛО2!DC20</f>
        <v>0</v>
      </c>
      <c r="LC28" s="96" t="n">
        <f aca="false">[1]ВИБУЛО2!DC20</f>
        <v>0</v>
      </c>
      <c r="LD28" s="97" t="n">
        <f aca="false">LD27-LC28+LB28</f>
        <v>0</v>
      </c>
      <c r="LE28" s="95" t="n">
        <f aca="false">[1]НАДІЙШЛО2!DD20</f>
        <v>0</v>
      </c>
      <c r="LF28" s="96" t="n">
        <f aca="false">[1]ВИБУЛО2!DD20</f>
        <v>0</v>
      </c>
      <c r="LG28" s="97" t="n">
        <f aca="false">LG27-LF28+LE28</f>
        <v>0</v>
      </c>
      <c r="LH28" s="95" t="n">
        <f aca="false">[1]НАДІЙШЛО2!DE20</f>
        <v>0</v>
      </c>
      <c r="LI28" s="96" t="n">
        <f aca="false">[1]ВИБУЛО2!DE20</f>
        <v>0</v>
      </c>
      <c r="LJ28" s="97" t="n">
        <f aca="false">LJ27-LI28+LH28</f>
        <v>0</v>
      </c>
      <c r="LK28" s="95" t="n">
        <f aca="false">[1]НАДІЙШЛО2!DF20</f>
        <v>0</v>
      </c>
      <c r="LL28" s="96" t="n">
        <f aca="false">[1]ВИБУЛО2!DF20</f>
        <v>0</v>
      </c>
      <c r="LM28" s="97" t="n">
        <f aca="false">LM27-LL28+LK28</f>
        <v>0</v>
      </c>
      <c r="LN28" s="95" t="n">
        <f aca="false">[1]НАДІЙШЛО2!DG20</f>
        <v>0</v>
      </c>
      <c r="LO28" s="96" t="n">
        <f aca="false">[1]ВИБУЛО2!DG20</f>
        <v>0</v>
      </c>
      <c r="LP28" s="97" t="n">
        <f aca="false">LP27-LO28+LN28</f>
        <v>0</v>
      </c>
      <c r="LQ28" s="95" t="n">
        <f aca="false">[1]НАДІЙШЛО2!DH20</f>
        <v>0</v>
      </c>
      <c r="LR28" s="96" t="n">
        <f aca="false">[1]ВИБУЛО2!DH20</f>
        <v>0</v>
      </c>
      <c r="LS28" s="97" t="n">
        <f aca="false">LS27-LR28+LQ28</f>
        <v>0</v>
      </c>
      <c r="LT28" s="95" t="n">
        <f aca="false">[1]НАДІЙШЛО2!DI20</f>
        <v>0</v>
      </c>
      <c r="LU28" s="96" t="n">
        <f aca="false">[1]ВИБУЛО2!DI20</f>
        <v>0</v>
      </c>
      <c r="LV28" s="97" t="n">
        <f aca="false">LV27-LU28+LT28</f>
        <v>0</v>
      </c>
      <c r="LW28" s="95" t="n">
        <f aca="false">[1]НАДІЙШЛО2!DJ20</f>
        <v>0</v>
      </c>
      <c r="LX28" s="96" t="n">
        <f aca="false">[1]ВИБУЛО2!DJ20</f>
        <v>0</v>
      </c>
      <c r="LY28" s="97" t="n">
        <f aca="false">LY27-LX28+LW28</f>
        <v>0</v>
      </c>
      <c r="LZ28" s="95" t="n">
        <f aca="false">[1]НАДІЙШЛО2!DK20</f>
        <v>0</v>
      </c>
      <c r="MA28" s="96" t="n">
        <f aca="false">[1]ВИБУЛО2!DK20</f>
        <v>0</v>
      </c>
      <c r="MB28" s="97" t="n">
        <f aca="false">MB27-MA28+LZ28</f>
        <v>0</v>
      </c>
      <c r="MC28" s="95" t="n">
        <f aca="false">[1]НАДІЙШЛО2!DL20</f>
        <v>0</v>
      </c>
      <c r="MD28" s="96" t="n">
        <f aca="false">[1]ВИБУЛО2!DL20</f>
        <v>0</v>
      </c>
      <c r="ME28" s="97" t="n">
        <f aca="false">ME27-MD28+MC28</f>
        <v>0</v>
      </c>
      <c r="MF28" s="95" t="n">
        <f aca="false">[1]НАДІЙШЛО2!DM20</f>
        <v>0</v>
      </c>
      <c r="MG28" s="96" t="n">
        <f aca="false">[1]ВИБУЛО2!DM20</f>
        <v>0</v>
      </c>
      <c r="MH28" s="97" t="n">
        <f aca="false">MH27-MG28+MF28</f>
        <v>0</v>
      </c>
      <c r="MI28" s="95" t="n">
        <f aca="false">[1]НАДІЙШЛО2!DN20</f>
        <v>0</v>
      </c>
      <c r="MJ28" s="96" t="n">
        <f aca="false">[1]ВИБУЛО2!DN20</f>
        <v>0</v>
      </c>
      <c r="MK28" s="97" t="n">
        <f aca="false">MK27-MJ28+MI28</f>
        <v>0</v>
      </c>
      <c r="ML28" s="95" t="n">
        <f aca="false">[1]НАДІЙШЛО2!DO20</f>
        <v>0</v>
      </c>
      <c r="MM28" s="96" t="n">
        <f aca="false">[1]ВИБУЛО2!DO20</f>
        <v>0</v>
      </c>
      <c r="MN28" s="97" t="n">
        <f aca="false">MN27-MM28+ML28</f>
        <v>0</v>
      </c>
      <c r="MO28" s="95" t="n">
        <f aca="false">[1]НАДІЙШЛО2!DP20</f>
        <v>0</v>
      </c>
      <c r="MP28" s="96" t="n">
        <f aca="false">[1]ВИБУЛО2!DP20</f>
        <v>0</v>
      </c>
      <c r="MQ28" s="97" t="n">
        <f aca="false">MQ27-MP28+MO28</f>
        <v>0</v>
      </c>
      <c r="MR28" s="95" t="n">
        <f aca="false">[1]НАДІЙШЛО2!DQ20</f>
        <v>0</v>
      </c>
      <c r="MS28" s="96" t="n">
        <f aca="false">[1]ВИБУЛО2!DQ20</f>
        <v>0</v>
      </c>
      <c r="MT28" s="97" t="n">
        <f aca="false">MT27-MS28+MR28</f>
        <v>0</v>
      </c>
      <c r="MU28" s="95" t="n">
        <f aca="false">[1]НАДІЙШЛО2!DR20</f>
        <v>0</v>
      </c>
      <c r="MV28" s="96" t="n">
        <f aca="false">[1]ВИБУЛО2!DR20</f>
        <v>0</v>
      </c>
      <c r="MW28" s="97" t="n">
        <f aca="false">MW27-MV28+MU28</f>
        <v>0</v>
      </c>
      <c r="MX28" s="95" t="n">
        <f aca="false">[1]НАДІЙШЛО2!DS20</f>
        <v>0</v>
      </c>
      <c r="MY28" s="96" t="n">
        <f aca="false">[1]ВИБУЛО2!DS20</f>
        <v>0</v>
      </c>
      <c r="MZ28" s="97" t="n">
        <f aca="false">MZ27-MY28+MX28</f>
        <v>0</v>
      </c>
      <c r="NA28" s="95" t="n">
        <f aca="false">[1]НАДІЙШЛО2!DT20</f>
        <v>0</v>
      </c>
      <c r="NB28" s="96" t="n">
        <f aca="false">[1]ВИБУЛО2!DT20</f>
        <v>0</v>
      </c>
      <c r="NC28" s="97" t="n">
        <f aca="false">NC27-NB28+NA28</f>
        <v>0</v>
      </c>
      <c r="ND28" s="95" t="n">
        <f aca="false">[1]НАДІЙШЛО2!DU20</f>
        <v>0</v>
      </c>
      <c r="NE28" s="96" t="n">
        <f aca="false">[1]ВИБУЛО2!DU20</f>
        <v>0</v>
      </c>
      <c r="NF28" s="97" t="n">
        <f aca="false">NF27-NE28+ND28</f>
        <v>0</v>
      </c>
      <c r="NG28" s="95" t="n">
        <f aca="false">[1]НАДІЙШЛО2!DV20</f>
        <v>0</v>
      </c>
      <c r="NH28" s="96" t="n">
        <f aca="false">[1]ВИБУЛО2!DV20</f>
        <v>0</v>
      </c>
      <c r="NI28" s="97" t="n">
        <f aca="false">NI27-NH28+NG28</f>
        <v>0</v>
      </c>
      <c r="NJ28" s="95" t="n">
        <f aca="false">[1]НАДІЙШЛО2!DW20</f>
        <v>0</v>
      </c>
      <c r="NK28" s="96" t="n">
        <f aca="false">[1]ВИБУЛО2!DW20</f>
        <v>0</v>
      </c>
      <c r="NL28" s="97" t="n">
        <f aca="false">NL27-NK28+NJ28</f>
        <v>0</v>
      </c>
      <c r="NM28" s="95" t="n">
        <f aca="false">[1]НАДІЙШЛО2!DX20</f>
        <v>0</v>
      </c>
      <c r="NN28" s="96" t="n">
        <f aca="false">[1]ВИБУЛО2!DX20</f>
        <v>0</v>
      </c>
      <c r="NO28" s="97" t="n">
        <f aca="false">NO27-NN28+NM28</f>
        <v>0</v>
      </c>
      <c r="NP28" s="95" t="n">
        <f aca="false">[1]НАДІЙШЛО2!DY20</f>
        <v>0</v>
      </c>
      <c r="NQ28" s="96" t="n">
        <f aca="false">[1]ВИБУЛО2!DY20</f>
        <v>0</v>
      </c>
      <c r="NR28" s="97" t="n">
        <f aca="false">NR27-NQ28+NP28</f>
        <v>0</v>
      </c>
      <c r="NS28" s="95" t="n">
        <f aca="false">[1]НАДІЙШЛО2!DZ20</f>
        <v>0</v>
      </c>
      <c r="NT28" s="96" t="n">
        <f aca="false">[1]ВИБУЛО2!DZ20</f>
        <v>0</v>
      </c>
      <c r="NU28" s="97" t="n">
        <f aca="false">NU27-NT28+NS28</f>
        <v>0</v>
      </c>
      <c r="NV28" s="95" t="n">
        <f aca="false">[1]НАДІЙШЛО2!EA20</f>
        <v>0</v>
      </c>
      <c r="NW28" s="96" t="n">
        <f aca="false">[1]ВИБУЛО2!EA20</f>
        <v>0</v>
      </c>
      <c r="NX28" s="97" t="n">
        <f aca="false">NX27-NW28+NV28</f>
        <v>0</v>
      </c>
      <c r="NY28" s="95" t="n">
        <f aca="false">[1]НАДІЙШЛО2!EB20</f>
        <v>0</v>
      </c>
      <c r="NZ28" s="96" t="n">
        <f aca="false">[1]ВИБУЛО2!EB20</f>
        <v>0</v>
      </c>
      <c r="OA28" s="97" t="n">
        <f aca="false">OA27-NZ28+NY28</f>
        <v>0</v>
      </c>
      <c r="OB28" s="95" t="n">
        <f aca="false">[1]НАДІЙШЛО2!EC20</f>
        <v>0</v>
      </c>
      <c r="OC28" s="96" t="n">
        <f aca="false">[1]ВИБУЛО2!EC20</f>
        <v>0</v>
      </c>
      <c r="OD28" s="97" t="n">
        <f aca="false">OD27-OC28+OB28</f>
        <v>0</v>
      </c>
      <c r="OE28" s="95" t="n">
        <f aca="false">[1]НАДІЙШЛО2!ED20</f>
        <v>0</v>
      </c>
      <c r="OF28" s="96" t="n">
        <f aca="false">[1]ВИБУЛО2!ED20</f>
        <v>0</v>
      </c>
      <c r="OG28" s="97" t="n">
        <f aca="false">OG27-OF28+OE28</f>
        <v>0</v>
      </c>
      <c r="OH28" s="95" t="n">
        <f aca="false">[1]НАДІЙШЛО2!EE20</f>
        <v>0</v>
      </c>
      <c r="OI28" s="96" t="n">
        <f aca="false">[1]ВИБУЛО2!EE20</f>
        <v>0</v>
      </c>
      <c r="OJ28" s="97" t="n">
        <f aca="false">OJ27-OI28+OH28</f>
        <v>0</v>
      </c>
      <c r="OK28" s="95" t="n">
        <f aca="false">[1]НАДІЙШЛО2!EF20</f>
        <v>0</v>
      </c>
      <c r="OL28" s="96" t="n">
        <f aca="false">[1]ВИБУЛО2!EF20</f>
        <v>0</v>
      </c>
      <c r="OM28" s="97" t="n">
        <f aca="false">OM27-OL28+OK28</f>
        <v>0</v>
      </c>
      <c r="ON28" s="95" t="n">
        <f aca="false">[1]НАДІЙШЛО2!EG20</f>
        <v>0</v>
      </c>
      <c r="OO28" s="96" t="n">
        <f aca="false">[1]ВИБУЛО2!EG20</f>
        <v>0</v>
      </c>
      <c r="OP28" s="97" t="n">
        <f aca="false">OP27-OO28+ON28</f>
        <v>0</v>
      </c>
      <c r="OQ28" s="95" t="n">
        <f aca="false">[1]НАДІЙШЛО2!EH20</f>
        <v>0</v>
      </c>
      <c r="OR28" s="96" t="n">
        <f aca="false">[1]ВИБУЛО2!EH20</f>
        <v>0</v>
      </c>
      <c r="OS28" s="97" t="n">
        <f aca="false">OS27-OR28+OQ28</f>
        <v>0</v>
      </c>
      <c r="OT28" s="95" t="n">
        <f aca="false">[1]НАДІЙШЛО2!EI20</f>
        <v>0</v>
      </c>
      <c r="OU28" s="96" t="n">
        <f aca="false">[1]ВИБУЛО2!EI20</f>
        <v>0</v>
      </c>
      <c r="OV28" s="97" t="n">
        <f aca="false">OV27-OU28+OT28</f>
        <v>0</v>
      </c>
      <c r="OW28" s="95" t="n">
        <f aca="false">[1]НАДІЙШЛО2!EJ20</f>
        <v>0</v>
      </c>
      <c r="OX28" s="96" t="n">
        <f aca="false">[1]ВИБУЛО2!EJ20</f>
        <v>0</v>
      </c>
      <c r="OY28" s="97" t="n">
        <f aca="false">OY27-OX28+OW28</f>
        <v>0</v>
      </c>
      <c r="OZ28" s="95" t="n">
        <f aca="false">[1]НАДІЙШЛО2!EK20</f>
        <v>0</v>
      </c>
      <c r="PA28" s="96" t="n">
        <f aca="false">[1]ВИБУЛО2!EK20</f>
        <v>0</v>
      </c>
      <c r="PB28" s="97" t="n">
        <f aca="false">PB27-PA28+OZ28</f>
        <v>0</v>
      </c>
      <c r="PC28" s="95" t="n">
        <f aca="false">[1]НАДІЙШЛО2!EL20</f>
        <v>0</v>
      </c>
      <c r="PD28" s="96" t="n">
        <f aca="false">[1]ВИБУЛО2!EL20</f>
        <v>0</v>
      </c>
      <c r="PE28" s="97" t="n">
        <f aca="false">PE27-PD28+PC28</f>
        <v>0</v>
      </c>
      <c r="PF28" s="95" t="n">
        <f aca="false">[1]НАДІЙШЛО2!EM20</f>
        <v>0</v>
      </c>
      <c r="PG28" s="96" t="n">
        <f aca="false">[1]ВИБУЛО2!EM20</f>
        <v>0</v>
      </c>
      <c r="PH28" s="97" t="n">
        <f aca="false">PH27-PG28+PF28</f>
        <v>0</v>
      </c>
      <c r="PI28" s="95" t="n">
        <f aca="false">[1]НАДІЙШЛО2!EN20</f>
        <v>0</v>
      </c>
      <c r="PJ28" s="96" t="n">
        <f aca="false">[1]ВИБУЛО2!EN20</f>
        <v>0</v>
      </c>
      <c r="PK28" s="97" t="n">
        <f aca="false">PK27-PJ28+PI28</f>
        <v>0</v>
      </c>
      <c r="PL28" s="95" t="n">
        <f aca="false">[1]НАДІЙШЛО2!EO20</f>
        <v>0</v>
      </c>
      <c r="PM28" s="96" t="n">
        <f aca="false">[1]ВИБУЛО2!EO20</f>
        <v>0</v>
      </c>
      <c r="PN28" s="97" t="n">
        <f aca="false">PN27-PM28+PL28</f>
        <v>0</v>
      </c>
      <c r="PO28" s="95" t="n">
        <f aca="false">[1]НАДІЙШЛО2!EP20</f>
        <v>0</v>
      </c>
      <c r="PP28" s="96" t="n">
        <f aca="false">[1]ВИБУЛО2!EP20</f>
        <v>0</v>
      </c>
      <c r="PQ28" s="97" t="n">
        <f aca="false">PQ27-PP28+PO28</f>
        <v>0</v>
      </c>
      <c r="PR28" s="95" t="n">
        <f aca="false">[1]НАДІЙШЛО2!EQ20</f>
        <v>0</v>
      </c>
      <c r="PS28" s="96" t="n">
        <f aca="false">[1]ВИБУЛО2!EQ20</f>
        <v>0</v>
      </c>
      <c r="PT28" s="97" t="n">
        <f aca="false">PT27-PS28+PR28</f>
        <v>0</v>
      </c>
      <c r="PU28" s="95" t="n">
        <f aca="false">[1]НАДІЙШЛО2!ER20</f>
        <v>0</v>
      </c>
      <c r="PV28" s="96" t="n">
        <f aca="false">[1]ВИБУЛО2!ER20</f>
        <v>0</v>
      </c>
      <c r="PW28" s="97" t="n">
        <f aca="false">PW27-PV28+PU28</f>
        <v>0</v>
      </c>
      <c r="PX28" s="95" t="n">
        <f aca="false">[1]НАДІЙШЛО2!ES20</f>
        <v>0</v>
      </c>
      <c r="PY28" s="96" t="n">
        <f aca="false">[1]ВИБУЛО2!ES20</f>
        <v>0</v>
      </c>
      <c r="PZ28" s="97" t="n">
        <f aca="false">PZ27-PY28+PX28</f>
        <v>0</v>
      </c>
      <c r="QA28" s="95" t="n">
        <f aca="false">[1]НАДІЙШЛО2!ET20</f>
        <v>0</v>
      </c>
      <c r="QB28" s="96" t="n">
        <f aca="false">[1]ВИБУЛО2!ET20</f>
        <v>0</v>
      </c>
      <c r="QC28" s="97" t="n">
        <f aca="false">QC27-QB28+QA28</f>
        <v>0</v>
      </c>
      <c r="QD28" s="95" t="n">
        <f aca="false">[1]НАДІЙШЛО2!EU20</f>
        <v>0</v>
      </c>
      <c r="QE28" s="96" t="n">
        <f aca="false">[1]ВИБУЛО2!EU20</f>
        <v>0</v>
      </c>
      <c r="QF28" s="97" t="n">
        <f aca="false">QF27-QE28+QD28</f>
        <v>0</v>
      </c>
      <c r="QG28" s="95" t="n">
        <f aca="false">[1]НАДІЙШЛО2!EV20</f>
        <v>0</v>
      </c>
      <c r="QH28" s="96" t="n">
        <f aca="false">[1]ВИБУЛО2!EV20</f>
        <v>0</v>
      </c>
      <c r="QI28" s="97" t="n">
        <f aca="false">QI27-QH28+QG28</f>
        <v>0</v>
      </c>
      <c r="QJ28" s="95" t="n">
        <f aca="false">[1]НАДІЙШЛО2!EW20</f>
        <v>0</v>
      </c>
      <c r="QK28" s="96" t="n">
        <f aca="false">[1]ВИБУЛО2!EW20</f>
        <v>0</v>
      </c>
      <c r="QL28" s="97" t="n">
        <f aca="false">QL27-QK28+QJ28</f>
        <v>0</v>
      </c>
      <c r="QM28" s="95" t="n">
        <f aca="false">[1]НАДІЙШЛО2!EX20</f>
        <v>0</v>
      </c>
      <c r="QN28" s="96" t="n">
        <f aca="false">[1]ВИБУЛО2!EX20</f>
        <v>0</v>
      </c>
      <c r="QO28" s="97" t="n">
        <f aca="false">QO27-QN28+QM28</f>
        <v>0</v>
      </c>
      <c r="QP28" s="95" t="n">
        <f aca="false">[1]НАДІЙШЛО2!EY20</f>
        <v>0</v>
      </c>
      <c r="QQ28" s="96" t="n">
        <f aca="false">[1]ВИБУЛО2!EY20</f>
        <v>0</v>
      </c>
      <c r="QR28" s="97" t="n">
        <f aca="false">QR27-QQ28+QP28</f>
        <v>0</v>
      </c>
      <c r="QS28" s="95" t="n">
        <f aca="false">[1]НАДІЙШЛО2!EZ20</f>
        <v>0</v>
      </c>
      <c r="QT28" s="96" t="n">
        <f aca="false">[1]ВИБУЛО2!EZ20</f>
        <v>0</v>
      </c>
      <c r="QU28" s="97" t="n">
        <f aca="false">QU27-QT28+QS28</f>
        <v>0</v>
      </c>
      <c r="QV28" s="95" t="n">
        <f aca="false">[1]НАДІЙШЛО2!FA20</f>
        <v>0</v>
      </c>
      <c r="QW28" s="96" t="n">
        <f aca="false">[1]ВИБУЛО2!FA20</f>
        <v>0</v>
      </c>
      <c r="QX28" s="97" t="n">
        <f aca="false">QX27-QW28+QV28</f>
        <v>0</v>
      </c>
      <c r="QY28" s="95" t="n">
        <f aca="false">[1]НАДІЙШЛО2!FB20</f>
        <v>0</v>
      </c>
      <c r="QZ28" s="96" t="n">
        <f aca="false">[1]ВИБУЛО2!FB20</f>
        <v>0</v>
      </c>
      <c r="RA28" s="97" t="n">
        <f aca="false">RA27-QZ28+QY28</f>
        <v>0</v>
      </c>
      <c r="RB28" s="95" t="n">
        <f aca="false">[1]НАДІЙШЛО2!FC20</f>
        <v>0</v>
      </c>
      <c r="RC28" s="96" t="n">
        <f aca="false">[1]ВИБУЛО2!FC20</f>
        <v>0</v>
      </c>
      <c r="RD28" s="97" t="n">
        <f aca="false">RD27-RC28+RB28</f>
        <v>0</v>
      </c>
      <c r="RE28" s="95" t="n">
        <f aca="false">[1]НАДІЙШЛО2!FD20</f>
        <v>0</v>
      </c>
      <c r="RF28" s="96" t="n">
        <f aca="false">[1]ВИБУЛО2!FD20</f>
        <v>0</v>
      </c>
      <c r="RG28" s="97" t="n">
        <f aca="false">RG27-RF28+RE28</f>
        <v>0</v>
      </c>
      <c r="RH28" s="95" t="n">
        <f aca="false">[1]НАДІЙШЛО2!FE20</f>
        <v>0</v>
      </c>
      <c r="RI28" s="96" t="n">
        <f aca="false">[1]ВИБУЛО2!FE20</f>
        <v>0</v>
      </c>
      <c r="RJ28" s="97" t="n">
        <f aca="false">RJ27-RI28+RH28</f>
        <v>0</v>
      </c>
      <c r="RK28" s="95" t="n">
        <f aca="false">[1]НАДІЙШЛО2!FF20</f>
        <v>0</v>
      </c>
      <c r="RL28" s="96" t="n">
        <f aca="false">[1]ВИБУЛО2!FF20</f>
        <v>0</v>
      </c>
      <c r="RM28" s="97" t="n">
        <f aca="false">RM27-RL28+RK28</f>
        <v>0</v>
      </c>
      <c r="RN28" s="95" t="n">
        <f aca="false">[1]НАДІЙШЛО2!FG20</f>
        <v>0</v>
      </c>
      <c r="RO28" s="96" t="n">
        <f aca="false">[1]ВИБУЛО2!FG20</f>
        <v>0</v>
      </c>
      <c r="RP28" s="97" t="n">
        <f aca="false">RP27-RO28+RN28</f>
        <v>0</v>
      </c>
      <c r="RQ28" s="95" t="n">
        <f aca="false">[1]НАДІЙШЛО2!FH20</f>
        <v>0</v>
      </c>
      <c r="RR28" s="96" t="n">
        <f aca="false">[1]ВИБУЛО2!FH20</f>
        <v>0</v>
      </c>
      <c r="RS28" s="97" t="n">
        <f aca="false">RS27-RR28+RQ28</f>
        <v>0</v>
      </c>
      <c r="RT28" s="95" t="n">
        <f aca="false">[1]НАДІЙШЛО2!FI20</f>
        <v>0</v>
      </c>
      <c r="RU28" s="96" t="n">
        <f aca="false">[1]ВИБУЛО2!FI20</f>
        <v>0</v>
      </c>
      <c r="RV28" s="97" t="n">
        <f aca="false">RV27-RU28+RT28</f>
        <v>0</v>
      </c>
      <c r="RW28" s="95" t="n">
        <f aca="false">[1]НАДІЙШЛО2!FJ20</f>
        <v>0</v>
      </c>
      <c r="RX28" s="96" t="n">
        <f aca="false">[1]ВИБУЛО2!FJ20</f>
        <v>0</v>
      </c>
      <c r="RY28" s="97" t="n">
        <f aca="false">RY27-RX28+RW28</f>
        <v>0</v>
      </c>
      <c r="RZ28" s="95" t="n">
        <f aca="false">[1]НАДІЙШЛО2!FK20</f>
        <v>0</v>
      </c>
      <c r="SA28" s="96" t="n">
        <f aca="false">[1]ВИБУЛО2!FK20</f>
        <v>0</v>
      </c>
      <c r="SB28" s="97" t="n">
        <f aca="false">SB27-SA28+RZ28</f>
        <v>0</v>
      </c>
      <c r="SC28" s="95" t="n">
        <f aca="false">[1]НАДІЙШЛО2!FL20</f>
        <v>0</v>
      </c>
      <c r="SD28" s="96" t="n">
        <f aca="false">[1]ВИБУЛО2!FL20</f>
        <v>0</v>
      </c>
      <c r="SE28" s="97" t="n">
        <f aca="false">SE27-SD28+SC28</f>
        <v>0</v>
      </c>
      <c r="SF28" s="95" t="n">
        <f aca="false">[1]НАДІЙШЛО2!FM20</f>
        <v>0</v>
      </c>
      <c r="SG28" s="96" t="n">
        <f aca="false">[1]ВИБУЛО2!FM20</f>
        <v>0</v>
      </c>
      <c r="SH28" s="97" t="n">
        <f aca="false">SH27-SG28+SF28</f>
        <v>0</v>
      </c>
      <c r="SI28" s="95" t="n">
        <f aca="false">[1]НАДІЙШЛО2!FN20</f>
        <v>0</v>
      </c>
      <c r="SJ28" s="96" t="n">
        <f aca="false">[1]ВИБУЛО2!FN20</f>
        <v>0</v>
      </c>
      <c r="SK28" s="97" t="n">
        <f aca="false">SK27-SJ28+SI28</f>
        <v>0</v>
      </c>
      <c r="SL28" s="95" t="n">
        <f aca="false">[1]НАДІЙШЛО2!FO20</f>
        <v>0</v>
      </c>
      <c r="SM28" s="96" t="n">
        <f aca="false">[1]ВИБУЛО2!FO20</f>
        <v>0</v>
      </c>
      <c r="SN28" s="97" t="n">
        <f aca="false">SN27-SM28+SL28</f>
        <v>0</v>
      </c>
      <c r="SO28" s="95" t="n">
        <f aca="false">[1]НАДІЙШЛО2!FP20</f>
        <v>0</v>
      </c>
      <c r="SP28" s="96" t="n">
        <f aca="false">[1]ВИБУЛО2!FP20</f>
        <v>0</v>
      </c>
      <c r="SQ28" s="97" t="n">
        <f aca="false">SQ27-SP28+SO28</f>
        <v>0</v>
      </c>
      <c r="SR28" s="95" t="n">
        <f aca="false">[1]НАДІЙШЛО2!FQ20</f>
        <v>0</v>
      </c>
      <c r="SS28" s="96" t="n">
        <f aca="false">[1]ВИБУЛО2!FQ20</f>
        <v>0</v>
      </c>
      <c r="ST28" s="97" t="n">
        <f aca="false">ST27-SS28+SR28</f>
        <v>0</v>
      </c>
      <c r="SU28" s="95" t="n">
        <f aca="false">[1]НАДІЙШЛО2!FR20</f>
        <v>0</v>
      </c>
      <c r="SV28" s="96" t="n">
        <f aca="false">[1]ВИБУЛО2!FR20</f>
        <v>0</v>
      </c>
      <c r="SW28" s="97" t="n">
        <f aca="false">SW27-SV28+SU28</f>
        <v>0</v>
      </c>
      <c r="SX28" s="95" t="n">
        <f aca="false">[1]НАДІЙШЛО2!FS20</f>
        <v>0</v>
      </c>
      <c r="SY28" s="96" t="n">
        <f aca="false">[1]ВИБУЛО2!FS20</f>
        <v>0</v>
      </c>
      <c r="SZ28" s="97" t="n">
        <f aca="false">SZ27-SY28+SX28</f>
        <v>0</v>
      </c>
      <c r="TA28" s="95" t="n">
        <f aca="false">[1]НАДІЙШЛО2!FT20</f>
        <v>0</v>
      </c>
      <c r="TB28" s="96" t="n">
        <f aca="false">[1]ВИБУЛО2!FT20</f>
        <v>0</v>
      </c>
      <c r="TC28" s="97" t="n">
        <f aca="false">TC27-TB28+TA28</f>
        <v>0</v>
      </c>
      <c r="TD28" s="95" t="n">
        <f aca="false">[1]НАДІЙШЛО2!FU20</f>
        <v>0</v>
      </c>
      <c r="TE28" s="96" t="n">
        <f aca="false">[1]ВИБУЛО2!FU20</f>
        <v>0</v>
      </c>
      <c r="TF28" s="97" t="n">
        <f aca="false">TF27-TE28+TD28</f>
        <v>0</v>
      </c>
      <c r="TG28" s="95" t="n">
        <f aca="false">[1]НАДІЙШЛО2!FV20</f>
        <v>0</v>
      </c>
      <c r="TH28" s="96" t="n">
        <f aca="false">[1]ВИБУЛО2!FV20</f>
        <v>0</v>
      </c>
      <c r="TI28" s="97" t="n">
        <f aca="false">TI27-TH28+TG28</f>
        <v>0</v>
      </c>
      <c r="TJ28" s="95" t="n">
        <f aca="false">[1]НАДІЙШЛО2!FW20</f>
        <v>0</v>
      </c>
      <c r="TK28" s="96" t="n">
        <f aca="false">[1]ВИБУЛО2!FW20</f>
        <v>0</v>
      </c>
      <c r="TL28" s="97" t="n">
        <f aca="false">TL27-TK28+TJ28</f>
        <v>0</v>
      </c>
      <c r="TM28" s="95" t="n">
        <f aca="false">[1]НАДІЙШЛО2!FX20</f>
        <v>0</v>
      </c>
      <c r="TN28" s="96" t="n">
        <f aca="false">[1]ВИБУЛО2!FX20</f>
        <v>0</v>
      </c>
      <c r="TO28" s="97" t="n">
        <f aca="false">TO27-TN28+TM28</f>
        <v>0</v>
      </c>
      <c r="TP28" s="95" t="n">
        <f aca="false">[1]НАДІЙШЛО2!FY20</f>
        <v>0</v>
      </c>
      <c r="TQ28" s="96" t="n">
        <f aca="false">[1]ВИБУЛО2!FY20</f>
        <v>0</v>
      </c>
      <c r="TR28" s="97" t="n">
        <f aca="false">TR27-TQ28+TP28</f>
        <v>0</v>
      </c>
      <c r="TS28" s="95" t="n">
        <f aca="false">[1]НАДІЙШЛО2!FZ20</f>
        <v>0</v>
      </c>
      <c r="TT28" s="96" t="n">
        <f aca="false">[1]ВИБУЛО2!FZ20</f>
        <v>0</v>
      </c>
      <c r="TU28" s="97" t="n">
        <f aca="false">TU27-TT28+TS28</f>
        <v>0</v>
      </c>
      <c r="TV28" s="95" t="n">
        <f aca="false">[1]НАДІЙШЛО2!GA20</f>
        <v>0</v>
      </c>
      <c r="TW28" s="96" t="n">
        <f aca="false">[1]ВИБУЛО2!GA20</f>
        <v>0</v>
      </c>
      <c r="TX28" s="97" t="n">
        <f aca="false">TX27-TW28+TV28</f>
        <v>0</v>
      </c>
      <c r="TY28" s="95" t="n">
        <f aca="false">[1]НАДІЙШЛО2!GB20</f>
        <v>0</v>
      </c>
      <c r="TZ28" s="96" t="n">
        <f aca="false">[1]ВИБУЛО2!GB20</f>
        <v>0</v>
      </c>
      <c r="UA28" s="97" t="n">
        <f aca="false">UA27-TZ28+TY28</f>
        <v>0</v>
      </c>
      <c r="UB28" s="95" t="n">
        <f aca="false">[1]НАДІЙШЛО2!GC20</f>
        <v>0</v>
      </c>
      <c r="UC28" s="96" t="n">
        <f aca="false">[1]ВИБУЛО2!GC20</f>
        <v>0</v>
      </c>
      <c r="UD28" s="97" t="n">
        <f aca="false">UD27-UC28+UB28</f>
        <v>0</v>
      </c>
      <c r="UE28" s="95" t="n">
        <f aca="false">[1]НАДІЙШЛО2!GD20</f>
        <v>0</v>
      </c>
      <c r="UF28" s="96" t="n">
        <f aca="false">[1]ВИБУЛО2!GD20</f>
        <v>0</v>
      </c>
      <c r="UG28" s="97" t="n">
        <f aca="false">UG27-UF28+UE28</f>
        <v>0</v>
      </c>
      <c r="UH28" s="95" t="n">
        <f aca="false">[1]НАДІЙШЛО2!GE20</f>
        <v>0</v>
      </c>
      <c r="UI28" s="96" t="n">
        <f aca="false">[1]ВИБУЛО2!GE20</f>
        <v>0</v>
      </c>
      <c r="UJ28" s="97" t="n">
        <f aca="false">UJ27-UI28+UH28</f>
        <v>0</v>
      </c>
      <c r="UK28" s="95" t="n">
        <f aca="false">[1]НАДІЙШЛО2!GF20</f>
        <v>0</v>
      </c>
      <c r="UL28" s="96" t="n">
        <f aca="false">[1]ВИБУЛО2!GF20</f>
        <v>0</v>
      </c>
      <c r="UM28" s="97" t="n">
        <f aca="false">UM27-UL28+UK28</f>
        <v>0</v>
      </c>
      <c r="UN28" s="95" t="n">
        <f aca="false">[1]НАДІЙШЛО2!GG20</f>
        <v>0</v>
      </c>
      <c r="UO28" s="96" t="n">
        <f aca="false">[1]ВИБУЛО2!GG20</f>
        <v>0</v>
      </c>
      <c r="UP28" s="97" t="n">
        <f aca="false">UP27-UO28+UN28</f>
        <v>0</v>
      </c>
      <c r="UQ28" s="95" t="n">
        <f aca="false">[1]НАДІЙШЛО2!GH20</f>
        <v>0</v>
      </c>
      <c r="UR28" s="96" t="n">
        <f aca="false">[1]ВИБУЛО2!GH20</f>
        <v>0</v>
      </c>
      <c r="US28" s="97" t="n">
        <f aca="false">US27-UR28+UQ28</f>
        <v>0</v>
      </c>
      <c r="UT28" s="95" t="n">
        <f aca="false">[1]НАДІЙШЛО2!GI20</f>
        <v>0</v>
      </c>
      <c r="UU28" s="96" t="n">
        <f aca="false">[1]ВИБУЛО2!GI20</f>
        <v>0</v>
      </c>
      <c r="UV28" s="97" t="n">
        <f aca="false">UV27-UU28+UT28</f>
        <v>0</v>
      </c>
      <c r="UW28" s="95" t="n">
        <f aca="false">[1]НАДІЙШЛО2!GJ20</f>
        <v>0</v>
      </c>
      <c r="UX28" s="96" t="n">
        <f aca="false">[1]ВИБУЛО2!GJ20</f>
        <v>0</v>
      </c>
      <c r="UY28" s="97" t="n">
        <f aca="false">UY27-UX28+UW28</f>
        <v>0</v>
      </c>
      <c r="UZ28" s="95" t="n">
        <f aca="false">[1]НАДІЙШЛО2!GK20</f>
        <v>0</v>
      </c>
      <c r="VA28" s="96" t="n">
        <f aca="false">[1]ВИБУЛО2!GK20</f>
        <v>0</v>
      </c>
      <c r="VB28" s="97" t="n">
        <f aca="false">VB27-VA28+UZ28</f>
        <v>0</v>
      </c>
      <c r="VC28" s="95" t="n">
        <f aca="false">[1]НАДІЙШЛО2!GL20</f>
        <v>0</v>
      </c>
      <c r="VD28" s="96" t="n">
        <f aca="false">[1]ВИБУЛО2!GL20</f>
        <v>0</v>
      </c>
      <c r="VE28" s="97" t="n">
        <f aca="false">VE27-VD28+VC28</f>
        <v>0</v>
      </c>
      <c r="VF28" s="95" t="n">
        <f aca="false">[1]НАДІЙШЛО2!GM20</f>
        <v>0</v>
      </c>
      <c r="VG28" s="96" t="n">
        <f aca="false">[1]ВИБУЛО2!GM20</f>
        <v>0</v>
      </c>
      <c r="VH28" s="97" t="n">
        <f aca="false">VH27-VG28+VF28</f>
        <v>0</v>
      </c>
      <c r="VI28" s="95" t="n">
        <f aca="false">[1]НАДІЙШЛО2!GN20</f>
        <v>0</v>
      </c>
      <c r="VJ28" s="96" t="n">
        <f aca="false">[1]ВИБУЛО2!GN20</f>
        <v>0</v>
      </c>
      <c r="VK28" s="97" t="n">
        <f aca="false">VK27-VJ28+VI28</f>
        <v>0</v>
      </c>
      <c r="VL28" s="95" t="n">
        <f aca="false">[1]НАДІЙШЛО2!GO20</f>
        <v>0</v>
      </c>
      <c r="VM28" s="96" t="n">
        <f aca="false">[1]ВИБУЛО2!GO20</f>
        <v>0</v>
      </c>
      <c r="VN28" s="97" t="n">
        <f aca="false">VN27-VM28+VL28</f>
        <v>0</v>
      </c>
      <c r="VO28" s="95" t="n">
        <f aca="false">[1]НАДІЙШЛО2!GP20</f>
        <v>0</v>
      </c>
      <c r="VP28" s="96" t="n">
        <f aca="false">[1]ВИБУЛО2!GP20</f>
        <v>0</v>
      </c>
      <c r="VQ28" s="97" t="n">
        <f aca="false">VQ27-VP28+VO28</f>
        <v>0</v>
      </c>
      <c r="VR28" s="95" t="n">
        <f aca="false">[1]НАДІЙШЛО2!GQ20</f>
        <v>0</v>
      </c>
      <c r="VS28" s="96" t="n">
        <f aca="false">[1]ВИБУЛО2!GQ20</f>
        <v>0</v>
      </c>
      <c r="VT28" s="97" t="n">
        <f aca="false">VT27-VS28+VR28</f>
        <v>0</v>
      </c>
      <c r="VU28" s="95" t="n">
        <f aca="false">[1]НАДІЙШЛО2!GR20</f>
        <v>0</v>
      </c>
      <c r="VV28" s="96" t="n">
        <f aca="false">[1]ВИБУЛО2!GR20</f>
        <v>0</v>
      </c>
      <c r="VW28" s="97" t="n">
        <f aca="false">VW27-VV28+VU28</f>
        <v>0</v>
      </c>
      <c r="VX28" s="95" t="n">
        <f aca="false">[1]НАДІЙШЛО2!GS20</f>
        <v>0</v>
      </c>
      <c r="VY28" s="96" t="n">
        <f aca="false">[1]ВИБУЛО2!GS20</f>
        <v>0</v>
      </c>
      <c r="VZ28" s="97" t="n">
        <f aca="false">VZ27-VY28+VX28</f>
        <v>0</v>
      </c>
      <c r="WA28" s="95" t="n">
        <f aca="false">[1]НАДІЙШЛО2!GT20</f>
        <v>0</v>
      </c>
      <c r="WB28" s="96" t="n">
        <f aca="false">[1]ВИБУЛО2!GT20</f>
        <v>0</v>
      </c>
      <c r="WC28" s="97" t="n">
        <f aca="false">WC27-WB28+WA28</f>
        <v>0</v>
      </c>
      <c r="WD28" s="95" t="n">
        <f aca="false">[1]НАДІЙШЛО2!GU20</f>
        <v>0</v>
      </c>
      <c r="WE28" s="96" t="n">
        <f aca="false">[1]ВИБУЛО2!GU20</f>
        <v>0</v>
      </c>
      <c r="WF28" s="97" t="n">
        <f aca="false">WF27-WE28+WD28</f>
        <v>0</v>
      </c>
      <c r="WG28" s="95" t="n">
        <f aca="false">[1]НАДІЙШЛО2!GV20</f>
        <v>0</v>
      </c>
      <c r="WH28" s="96" t="n">
        <f aca="false">[1]ВИБУЛО2!GV20</f>
        <v>0</v>
      </c>
      <c r="WI28" s="97" t="n">
        <f aca="false">WI27-WH28+WG28</f>
        <v>0</v>
      </c>
      <c r="WJ28" s="95" t="n">
        <f aca="false">[1]НАДІЙШЛО2!GW20</f>
        <v>0</v>
      </c>
      <c r="WK28" s="96" t="n">
        <f aca="false">[1]ВИБУЛО2!GW20</f>
        <v>0</v>
      </c>
      <c r="WL28" s="97" t="n">
        <f aca="false">WL27-WK28+WJ28</f>
        <v>0</v>
      </c>
      <c r="WM28" s="95" t="n">
        <f aca="false">[1]НАДІЙШЛО2!GX20</f>
        <v>0</v>
      </c>
      <c r="WN28" s="96" t="n">
        <f aca="false">[1]ВИБУЛО2!GX20</f>
        <v>0</v>
      </c>
      <c r="WO28" s="97" t="n">
        <f aca="false">WO27-WN28+WM28</f>
        <v>0</v>
      </c>
      <c r="WP28" s="95" t="n">
        <f aca="false">[1]НАДІЙШЛО2!GY20</f>
        <v>0</v>
      </c>
      <c r="WQ28" s="96" t="n">
        <f aca="false">[1]ВИБУЛО2!GY20</f>
        <v>0</v>
      </c>
      <c r="WR28" s="97" t="n">
        <f aca="false">WR27-WQ28+WP28</f>
        <v>0</v>
      </c>
      <c r="WS28" s="95" t="n">
        <f aca="false">[1]НАДІЙШЛО2!GZ20</f>
        <v>0</v>
      </c>
      <c r="WT28" s="96" t="n">
        <f aca="false">[1]ВИБУЛО2!GZ20</f>
        <v>0</v>
      </c>
      <c r="WU28" s="97" t="n">
        <f aca="false">WU27-WT28+WS28</f>
        <v>0</v>
      </c>
      <c r="WV28" s="95" t="n">
        <f aca="false">[1]НАДІЙШЛО2!HA20</f>
        <v>0</v>
      </c>
      <c r="WW28" s="96" t="n">
        <f aca="false">[1]ВИБУЛО2!HA20</f>
        <v>0</v>
      </c>
      <c r="WX28" s="97" t="n">
        <f aca="false">WX27-WW28+WV28</f>
        <v>0</v>
      </c>
      <c r="WY28" s="95" t="n">
        <f aca="false">[1]НАДІЙШЛО2!HB20</f>
        <v>0</v>
      </c>
      <c r="WZ28" s="96" t="n">
        <f aca="false">[1]ВИБУЛО2!HB20</f>
        <v>0</v>
      </c>
      <c r="XA28" s="97" t="n">
        <f aca="false">XA27-WZ28+WY28</f>
        <v>0</v>
      </c>
      <c r="XB28" s="95" t="n">
        <f aca="false">[1]НАДІЙШЛО2!HC20</f>
        <v>0</v>
      </c>
      <c r="XC28" s="96" t="n">
        <f aca="false">[1]ВИБУЛО2!HC20</f>
        <v>0</v>
      </c>
      <c r="XD28" s="97" t="n">
        <f aca="false">XD27-XC28+XB28</f>
        <v>0</v>
      </c>
      <c r="XE28" s="95" t="n">
        <f aca="false">[1]НАДІЙШЛО2!HD20</f>
        <v>0</v>
      </c>
      <c r="XF28" s="96" t="n">
        <f aca="false">[1]ВИБУЛО2!HD20</f>
        <v>0</v>
      </c>
      <c r="XG28" s="97" t="n">
        <f aca="false">XG27-XF28+XE28</f>
        <v>0</v>
      </c>
      <c r="XH28" s="95" t="n">
        <f aca="false">[1]НАДІЙШЛО2!HE20</f>
        <v>0</v>
      </c>
      <c r="XI28" s="96" t="n">
        <f aca="false">[1]ВИБУЛО2!HE20</f>
        <v>0</v>
      </c>
      <c r="XJ28" s="97" t="n">
        <f aca="false">XJ27-XI28+XH28</f>
        <v>0</v>
      </c>
      <c r="XK28" s="95" t="n">
        <f aca="false">[1]НАДІЙШЛО2!HF20</f>
        <v>0</v>
      </c>
      <c r="XL28" s="96" t="n">
        <f aca="false">[1]ВИБУЛО2!HF20</f>
        <v>0</v>
      </c>
      <c r="XM28" s="97" t="n">
        <f aca="false">XM27-XL28+XK28</f>
        <v>0</v>
      </c>
      <c r="XN28" s="95" t="n">
        <f aca="false">[1]НАДІЙШЛО2!HG20</f>
        <v>0</v>
      </c>
      <c r="XO28" s="96" t="n">
        <f aca="false">[1]ВИБУЛО2!HG20</f>
        <v>0</v>
      </c>
      <c r="XP28" s="97" t="n">
        <f aca="false">XP27-XO28+XN28</f>
        <v>0</v>
      </c>
      <c r="XQ28" s="95" t="n">
        <f aca="false">[1]НАДІЙШЛО2!HH20</f>
        <v>0</v>
      </c>
      <c r="XR28" s="96" t="n">
        <f aca="false">[1]ВИБУЛО2!HH20</f>
        <v>0</v>
      </c>
      <c r="XS28" s="97" t="n">
        <f aca="false">XS27-XR28+XQ28</f>
        <v>0</v>
      </c>
      <c r="XT28" s="95" t="n">
        <f aca="false">[1]НАДІЙШЛО2!HI20</f>
        <v>0</v>
      </c>
      <c r="XU28" s="96" t="n">
        <f aca="false">[1]ВИБУЛО2!HI20</f>
        <v>0</v>
      </c>
      <c r="XV28" s="97" t="n">
        <f aca="false">XV27-XU28+XT28</f>
        <v>0</v>
      </c>
      <c r="XW28" s="95" t="n">
        <f aca="false">[1]НАДІЙШЛО2!HJ20</f>
        <v>0</v>
      </c>
      <c r="XX28" s="96" t="n">
        <f aca="false">[1]ВИБУЛО2!HJ20</f>
        <v>0</v>
      </c>
      <c r="XY28" s="97" t="n">
        <f aca="false">XY27-XX28+XW28</f>
        <v>0</v>
      </c>
      <c r="XZ28" s="95" t="n">
        <f aca="false">[1]НАДІЙШЛО2!HK20</f>
        <v>0</v>
      </c>
      <c r="YA28" s="96" t="n">
        <f aca="false">[1]ВИБУЛО2!HK20</f>
        <v>0</v>
      </c>
      <c r="YB28" s="97" t="n">
        <f aca="false">YB27-YA28+XZ28</f>
        <v>0</v>
      </c>
      <c r="YC28" s="95" t="n">
        <f aca="false">[1]НАДІЙШЛО2!HL20</f>
        <v>0</v>
      </c>
      <c r="YD28" s="96" t="n">
        <f aca="false">[1]ВИБУЛО2!HL20</f>
        <v>0</v>
      </c>
      <c r="YE28" s="97" t="n">
        <f aca="false">YE27-YD28+YC28</f>
        <v>0</v>
      </c>
      <c r="YF28" s="95" t="n">
        <f aca="false">[1]НАДІЙШЛО2!HM20</f>
        <v>0</v>
      </c>
      <c r="YG28" s="96" t="n">
        <f aca="false">[1]ВИБУЛО2!HM20</f>
        <v>0</v>
      </c>
      <c r="YH28" s="97" t="n">
        <f aca="false">YH27-YG28+YF28</f>
        <v>0</v>
      </c>
      <c r="YI28" s="95" t="n">
        <f aca="false">[1]НАДІЙШЛО2!HN20</f>
        <v>0</v>
      </c>
      <c r="YJ28" s="96" t="n">
        <f aca="false">[1]ВИБУЛО2!HN20</f>
        <v>0</v>
      </c>
      <c r="YK28" s="97" t="n">
        <f aca="false">YK27-YJ28+YI28</f>
        <v>0</v>
      </c>
      <c r="YL28" s="95" t="n">
        <f aca="false">[1]НАДІЙШЛО2!HO20</f>
        <v>0</v>
      </c>
      <c r="YM28" s="96" t="n">
        <f aca="false">[1]ВИБУЛО2!HO20</f>
        <v>0</v>
      </c>
      <c r="YN28" s="97" t="n">
        <f aca="false">YN27-YM28+YL28</f>
        <v>0</v>
      </c>
      <c r="YO28" s="95" t="n">
        <f aca="false">[1]НАДІЙШЛО2!HP20</f>
        <v>0</v>
      </c>
      <c r="YP28" s="96" t="n">
        <f aca="false">[1]ВИБУЛО2!HP20</f>
        <v>0</v>
      </c>
      <c r="YQ28" s="97" t="n">
        <f aca="false">YQ27-YP28+YO28</f>
        <v>0</v>
      </c>
      <c r="YR28" s="95" t="n">
        <f aca="false">[1]НАДІЙШЛО2!HQ20</f>
        <v>0</v>
      </c>
      <c r="YS28" s="96" t="n">
        <f aca="false">[1]ВИБУЛО2!HQ20</f>
        <v>0</v>
      </c>
      <c r="YT28" s="97" t="n">
        <f aca="false">YT27-YS28+YR28</f>
        <v>0</v>
      </c>
      <c r="YU28" s="95" t="n">
        <f aca="false">[1]НАДІЙШЛО2!HR20</f>
        <v>0</v>
      </c>
      <c r="YV28" s="96" t="n">
        <f aca="false">[1]ВИБУЛО2!HR20</f>
        <v>0</v>
      </c>
      <c r="YW28" s="97" t="n">
        <f aca="false">YW27-YV28+YU28</f>
        <v>0</v>
      </c>
      <c r="YX28" s="95" t="n">
        <f aca="false">[1]НАДІЙШЛО2!HS20</f>
        <v>0</v>
      </c>
      <c r="YY28" s="96" t="n">
        <f aca="false">[1]ВИБУЛО2!HS20</f>
        <v>0</v>
      </c>
      <c r="YZ28" s="97" t="n">
        <f aca="false">YZ27-YY28+YX28</f>
        <v>0</v>
      </c>
      <c r="ZA28" s="95" t="n">
        <f aca="false">[1]НАДІЙШЛО2!HT20</f>
        <v>0</v>
      </c>
      <c r="ZB28" s="96" t="n">
        <f aca="false">[1]ВИБУЛО2!HT20</f>
        <v>0</v>
      </c>
      <c r="ZC28" s="97" t="n">
        <f aca="false">ZC27-ZB28+ZA28</f>
        <v>0</v>
      </c>
      <c r="ZD28" s="95" t="n">
        <f aca="false">[1]НАДІЙШЛО2!HU20</f>
        <v>0</v>
      </c>
      <c r="ZE28" s="96" t="n">
        <f aca="false">[1]ВИБУЛО2!HU20</f>
        <v>0</v>
      </c>
      <c r="ZF28" s="97" t="n">
        <f aca="false">ZF27-ZE28+ZD28</f>
        <v>0</v>
      </c>
      <c r="ZG28" s="95" t="n">
        <f aca="false">[1]НАДІЙШЛО2!HV20</f>
        <v>0</v>
      </c>
      <c r="ZH28" s="96" t="n">
        <f aca="false">[1]ВИБУЛО2!HV20</f>
        <v>0</v>
      </c>
      <c r="ZI28" s="97" t="n">
        <f aca="false">ZI27-ZH28+ZG28</f>
        <v>0</v>
      </c>
      <c r="ZJ28" s="95" t="n">
        <f aca="false">[1]НАДІЙШЛО2!HW20</f>
        <v>0</v>
      </c>
      <c r="ZK28" s="96" t="n">
        <f aca="false">[1]ВИБУЛО2!HW20</f>
        <v>0</v>
      </c>
      <c r="ZL28" s="97" t="n">
        <f aca="false">ZL27-ZK28+ZJ28</f>
        <v>0</v>
      </c>
      <c r="ZM28" s="95" t="n">
        <f aca="false">[1]НАДІЙШЛО2!HX20</f>
        <v>0</v>
      </c>
      <c r="ZN28" s="96" t="n">
        <f aca="false">[1]ВИБУЛО2!HX20</f>
        <v>0</v>
      </c>
      <c r="ZO28" s="97" t="n">
        <f aca="false">ZO27-ZN28+ZM28</f>
        <v>0</v>
      </c>
      <c r="ZP28" s="95" t="n">
        <f aca="false">[1]НАДІЙШЛО2!HY20</f>
        <v>0</v>
      </c>
      <c r="ZQ28" s="96" t="n">
        <f aca="false">[1]ВИБУЛО2!HY20</f>
        <v>0</v>
      </c>
      <c r="ZR28" s="97" t="n">
        <f aca="false">ZR27-ZQ28+ZP28</f>
        <v>0</v>
      </c>
      <c r="ZS28" s="95" t="n">
        <f aca="false">[1]НАДІЙШЛО2!HZ20</f>
        <v>0</v>
      </c>
      <c r="ZT28" s="96" t="n">
        <f aca="false">[1]ВИБУЛО2!HZ20</f>
        <v>0</v>
      </c>
      <c r="ZU28" s="97" t="n">
        <f aca="false">ZU27-ZT28+ZS28</f>
        <v>0</v>
      </c>
      <c r="ZV28" s="95" t="n">
        <f aca="false">[1]НАДІЙШЛО2!IA20</f>
        <v>0</v>
      </c>
      <c r="ZW28" s="96" t="n">
        <f aca="false">[1]ВИБУЛО2!IA20</f>
        <v>0</v>
      </c>
      <c r="ZX28" s="97" t="n">
        <f aca="false">ZX27-ZW28+ZV28</f>
        <v>0</v>
      </c>
      <c r="ZY28" s="95" t="n">
        <f aca="false">[1]НАДІЙШЛО2!IB20</f>
        <v>0</v>
      </c>
      <c r="ZZ28" s="96" t="n">
        <f aca="false">[1]ВИБУЛО2!IB20</f>
        <v>0</v>
      </c>
      <c r="AAA28" s="97" t="n">
        <f aca="false">AAA27-ZZ28+ZY28</f>
        <v>0</v>
      </c>
      <c r="AAB28" s="95" t="n">
        <f aca="false">[1]НАДІЙШЛО2!IC20</f>
        <v>0</v>
      </c>
      <c r="AAC28" s="96" t="n">
        <f aca="false">[1]ВИБУЛО2!IC20</f>
        <v>0</v>
      </c>
      <c r="AAD28" s="97" t="n">
        <f aca="false">AAD27-AAC28+AAB28</f>
        <v>0</v>
      </c>
      <c r="AAE28" s="95" t="n">
        <f aca="false">[1]НАДІЙШЛО2!ID20</f>
        <v>0</v>
      </c>
      <c r="AAF28" s="96" t="n">
        <f aca="false">[1]ВИБУЛО2!ID20</f>
        <v>0</v>
      </c>
      <c r="AAG28" s="97" t="n">
        <f aca="false">AAG27-AAF28+AAE28</f>
        <v>0</v>
      </c>
      <c r="AAH28" s="95" t="n">
        <f aca="false">[1]НАДІЙШЛО2!IE20</f>
        <v>0</v>
      </c>
      <c r="AAI28" s="96" t="n">
        <f aca="false">[1]ВИБУЛО2!IE20</f>
        <v>0</v>
      </c>
      <c r="AAJ28" s="97" t="n">
        <f aca="false">AAJ27-AAI28+AAH28</f>
        <v>0</v>
      </c>
      <c r="AAK28" s="95" t="n">
        <f aca="false">[1]НАДІЙШЛО2!IF20</f>
        <v>0</v>
      </c>
      <c r="AAL28" s="96" t="n">
        <f aca="false">[1]ВИБУЛО2!IF20</f>
        <v>0</v>
      </c>
      <c r="AAM28" s="97" t="n">
        <f aca="false">AAM27-AAL28+AAK28</f>
        <v>0</v>
      </c>
      <c r="AAN28" s="95" t="n">
        <f aca="false">[1]НАДІЙШЛО2!IG20</f>
        <v>0</v>
      </c>
      <c r="AAO28" s="96" t="n">
        <f aca="false">[1]ВИБУЛО2!IG20</f>
        <v>0</v>
      </c>
      <c r="AAP28" s="97" t="n">
        <f aca="false">AAP27-AAO28+AAN28</f>
        <v>0</v>
      </c>
      <c r="AAQ28" s="95" t="n">
        <f aca="false">[1]НАДІЙШЛО2!IH20</f>
        <v>0</v>
      </c>
      <c r="AAR28" s="96" t="n">
        <f aca="false">[1]ВИБУЛО2!IH20</f>
        <v>0</v>
      </c>
      <c r="AAS28" s="97" t="n">
        <f aca="false">AAS27-AAR28+AAQ28</f>
        <v>0</v>
      </c>
      <c r="AAT28" s="95" t="n">
        <f aca="false">[1]НАДІЙШЛО2!II20</f>
        <v>0</v>
      </c>
      <c r="AAU28" s="96" t="n">
        <f aca="false">[1]ВИБУЛО2!II20</f>
        <v>0</v>
      </c>
      <c r="AAV28" s="97" t="n">
        <f aca="false">AAV27-AAU28+AAT28</f>
        <v>0</v>
      </c>
      <c r="AAW28" s="95" t="n">
        <f aca="false">[1]НАДІЙШЛО2!IJ20</f>
        <v>0</v>
      </c>
      <c r="AAX28" s="96" t="n">
        <f aca="false">[1]ВИБУЛО2!IJ20</f>
        <v>0</v>
      </c>
      <c r="AAY28" s="97" t="n">
        <f aca="false">AAY27-AAX28+AAW28</f>
        <v>0</v>
      </c>
      <c r="AAZ28" s="95" t="n">
        <f aca="false">[1]НАДІЙШЛО2!IK20</f>
        <v>0</v>
      </c>
      <c r="ABA28" s="96" t="n">
        <f aca="false">[1]ВИБУЛО2!IK20</f>
        <v>0</v>
      </c>
      <c r="ABB28" s="97" t="n">
        <f aca="false">ABB27-ABA28+AAZ28</f>
        <v>0</v>
      </c>
      <c r="ABC28" s="95" t="n">
        <f aca="false">[1]НАДІЙШЛО2!IL20</f>
        <v>0</v>
      </c>
      <c r="ABD28" s="96" t="n">
        <f aca="false">[1]ВИБУЛО2!IL20</f>
        <v>0</v>
      </c>
      <c r="ABE28" s="97" t="n">
        <f aca="false">ABE27-ABD28+ABC28</f>
        <v>0</v>
      </c>
      <c r="ABF28" s="95" t="n">
        <f aca="false">[1]НАДІЙШЛО2!IM20</f>
        <v>0</v>
      </c>
      <c r="ABG28" s="96" t="n">
        <f aca="false">[1]ВИБУЛО2!IM20</f>
        <v>0</v>
      </c>
      <c r="ABH28" s="97" t="n">
        <f aca="false">ABH27-ABG28+ABF28</f>
        <v>0</v>
      </c>
      <c r="ABI28" s="95" t="n">
        <f aca="false">[1]НАДІЙШЛО2!IN20</f>
        <v>0</v>
      </c>
      <c r="ABJ28" s="96" t="n">
        <f aca="false">[1]ВИБУЛО2!IN20</f>
        <v>0</v>
      </c>
      <c r="ABK28" s="97" t="n">
        <f aca="false">ABK27-ABJ28+ABI28</f>
        <v>0</v>
      </c>
      <c r="ABL28" s="95" t="n">
        <f aca="false">[1]НАДІЙШЛО2!IO20</f>
        <v>0</v>
      </c>
      <c r="ABM28" s="96" t="n">
        <f aca="false">[1]ВИБУЛО2!IO20</f>
        <v>0</v>
      </c>
      <c r="ABN28" s="97" t="n">
        <f aca="false">ABN27-ABM28+ABL28</f>
        <v>0</v>
      </c>
      <c r="ABO28" s="95" t="n">
        <f aca="false">[1]НАДІЙШЛО2!IP20</f>
        <v>0</v>
      </c>
      <c r="ABP28" s="96" t="n">
        <f aca="false">[1]ВИБУЛО2!IP20</f>
        <v>0</v>
      </c>
      <c r="ABQ28" s="97" t="n">
        <f aca="false">ABQ27-ABP28+ABO28</f>
        <v>0</v>
      </c>
      <c r="ABR28" s="95" t="n">
        <f aca="false">[1]НАДІЙШЛО2!IQ20</f>
        <v>0</v>
      </c>
      <c r="ABS28" s="96" t="n">
        <f aca="false">[1]ВИБУЛО2!IQ20</f>
        <v>0</v>
      </c>
      <c r="ABT28" s="97" t="n">
        <f aca="false">ABT27-ABS28+ABR28</f>
        <v>0</v>
      </c>
      <c r="ABU28" s="95" t="n">
        <f aca="false">[1]НАДІЙШЛО2!IR20</f>
        <v>0</v>
      </c>
      <c r="ABV28" s="96" t="n">
        <f aca="false">[1]ВИБУЛО2!IR20</f>
        <v>0</v>
      </c>
      <c r="ABW28" s="97" t="n">
        <f aca="false">ABW27-ABV28+ABU28</f>
        <v>0</v>
      </c>
      <c r="ABX28" s="95" t="n">
        <f aca="false">[1]НАДІЙШЛО2!IS20</f>
        <v>0</v>
      </c>
      <c r="ABY28" s="96" t="n">
        <f aca="false">[1]ВИБУЛО2!IS20</f>
        <v>0</v>
      </c>
      <c r="ABZ28" s="97" t="n">
        <f aca="false">ABZ27-ABY28+ABX28</f>
        <v>0</v>
      </c>
      <c r="ACA28" s="95" t="n">
        <f aca="false">[1]НАДІЙШЛО2!IT20</f>
        <v>0</v>
      </c>
      <c r="ACB28" s="96" t="n">
        <f aca="false">[1]ВИБУЛО2!IT20</f>
        <v>0</v>
      </c>
      <c r="ACC28" s="97" t="n">
        <f aca="false">ACC27-ACB28+ACA28</f>
        <v>0</v>
      </c>
      <c r="ACD28" s="95" t="n">
        <f aca="false">[1]НАДІЙШЛО2!IU20</f>
        <v>0</v>
      </c>
      <c r="ACE28" s="96" t="n">
        <f aca="false">[1]ВИБУЛО2!IU20</f>
        <v>0</v>
      </c>
      <c r="ACF28" s="97" t="n">
        <f aca="false">ACF27-ACE28+ACD28</f>
        <v>0</v>
      </c>
      <c r="ACG28" s="95" t="n">
        <f aca="false">[1]НАДІЙШЛО2!IV20</f>
        <v>0</v>
      </c>
      <c r="ACH28" s="96" t="n">
        <f aca="false">[1]ВИБУЛО2!IV20</f>
        <v>0</v>
      </c>
      <c r="ACI28" s="97" t="n">
        <f aca="false">ACI27-ACH28+ACG28</f>
        <v>0</v>
      </c>
      <c r="ACJ28" s="95" t="n">
        <f aca="false">[1]НАДІЙШЛО2!IW20</f>
        <v>0</v>
      </c>
      <c r="ACK28" s="96" t="n">
        <f aca="false">[1]ВИБУЛО2!IW20</f>
        <v>0</v>
      </c>
      <c r="ACL28" s="97" t="n">
        <f aca="false">ACL27-ACK28+ACJ28</f>
        <v>0</v>
      </c>
      <c r="ACM28" s="95" t="n">
        <f aca="false">[1]НАДІЙШЛО2!IX20</f>
        <v>0</v>
      </c>
      <c r="ACN28" s="96" t="n">
        <f aca="false">[1]ВИБУЛО2!IX20</f>
        <v>0</v>
      </c>
      <c r="ACO28" s="97" t="n">
        <f aca="false">ACO27-ACN28+ACM28</f>
        <v>0</v>
      </c>
      <c r="ACP28" s="95" t="n">
        <f aca="false">[1]НАДІЙШЛО2!IY20</f>
        <v>0</v>
      </c>
      <c r="ACQ28" s="96" t="n">
        <f aca="false">[1]ВИБУЛО2!IY20</f>
        <v>0</v>
      </c>
      <c r="ACR28" s="97" t="n">
        <f aca="false">ACR27-ACQ28+ACP28</f>
        <v>0</v>
      </c>
      <c r="ACS28" s="95" t="n">
        <f aca="false">[1]НАДІЙШЛО2!IZ20</f>
        <v>0</v>
      </c>
      <c r="ACT28" s="96" t="n">
        <f aca="false">[1]ВИБУЛО2!IZ20</f>
        <v>0</v>
      </c>
      <c r="ACU28" s="97" t="n">
        <f aca="false">ACU27-ACT28+ACS28</f>
        <v>0</v>
      </c>
      <c r="ACV28" s="95" t="n">
        <f aca="false">[1]НАДІЙШЛО2!JA20</f>
        <v>0</v>
      </c>
      <c r="ACW28" s="96" t="n">
        <f aca="false">[1]ВИБУЛО2!JA20</f>
        <v>0</v>
      </c>
      <c r="ACX28" s="97" t="n">
        <f aca="false">ACX27-ACW28+ACV28</f>
        <v>0</v>
      </c>
      <c r="ACY28" s="95" t="n">
        <f aca="false">[1]НАДІЙШЛО2!JB20</f>
        <v>0</v>
      </c>
      <c r="ACZ28" s="96" t="n">
        <f aca="false">[1]ВИБУЛО2!JB20</f>
        <v>0</v>
      </c>
      <c r="ADA28" s="97" t="n">
        <f aca="false">ADA27-ACZ28+ACY28</f>
        <v>0</v>
      </c>
      <c r="ADB28" s="95" t="n">
        <f aca="false">[1]НАДІЙШЛО2!JC20</f>
        <v>0</v>
      </c>
      <c r="ADC28" s="96" t="n">
        <f aca="false">[1]ВИБУЛО2!JC20</f>
        <v>0</v>
      </c>
      <c r="ADD28" s="97" t="n">
        <f aca="false">ADD27-ADC28+ADB28</f>
        <v>0</v>
      </c>
      <c r="ADE28" s="95" t="n">
        <f aca="false">[1]НАДІЙШЛО2!JD20</f>
        <v>0</v>
      </c>
      <c r="ADF28" s="96" t="n">
        <f aca="false">[1]ВИБУЛО2!JD20</f>
        <v>0</v>
      </c>
      <c r="ADG28" s="97" t="n">
        <f aca="false">ADG27-ADF28+ADE28</f>
        <v>0</v>
      </c>
      <c r="ADH28" s="95" t="n">
        <f aca="false">[1]НАДІЙШЛО2!JE20</f>
        <v>0</v>
      </c>
      <c r="ADI28" s="96" t="n">
        <f aca="false">[1]ВИБУЛО2!JE20</f>
        <v>0</v>
      </c>
      <c r="ADJ28" s="97" t="n">
        <f aca="false">ADJ27-ADI28+ADH28</f>
        <v>0</v>
      </c>
      <c r="ADK28" s="95" t="n">
        <f aca="false">[1]НАДІЙШЛО2!JF20</f>
        <v>0</v>
      </c>
      <c r="ADL28" s="96" t="n">
        <f aca="false">[1]ВИБУЛО2!JF20</f>
        <v>0</v>
      </c>
      <c r="ADM28" s="97" t="n">
        <f aca="false">ADM27-ADL28+ADK28</f>
        <v>0</v>
      </c>
      <c r="ADN28" s="95" t="n">
        <f aca="false">[1]НАДІЙШЛО2!JG20</f>
        <v>0</v>
      </c>
      <c r="ADO28" s="96" t="n">
        <f aca="false">[1]ВИБУЛО2!JG20</f>
        <v>0</v>
      </c>
      <c r="ADP28" s="97" t="n">
        <f aca="false">ADP27-ADO28+ADN28</f>
        <v>0</v>
      </c>
      <c r="ADQ28" s="95" t="n">
        <f aca="false">[1]НАДІЙШЛО2!JH20</f>
        <v>0</v>
      </c>
      <c r="ADR28" s="96" t="n">
        <f aca="false">[1]ВИБУЛО2!JH20</f>
        <v>0</v>
      </c>
      <c r="ADS28" s="97" t="n">
        <f aca="false">ADS27-ADR28+ADQ28</f>
        <v>0</v>
      </c>
      <c r="ADT28" s="95" t="n">
        <f aca="false">[1]НАДІЙШЛО2!JI20</f>
        <v>0</v>
      </c>
      <c r="ADU28" s="96" t="n">
        <f aca="false">[1]ВИБУЛО2!JI20</f>
        <v>0</v>
      </c>
      <c r="ADV28" s="97" t="n">
        <f aca="false">ADV27-ADU28+ADT28</f>
        <v>0</v>
      </c>
      <c r="ADW28" s="95" t="n">
        <f aca="false">[1]НАДІЙШЛО2!JJ20</f>
        <v>0</v>
      </c>
      <c r="ADX28" s="96" t="n">
        <f aca="false">[1]ВИБУЛО2!JJ20</f>
        <v>0</v>
      </c>
      <c r="ADY28" s="97" t="n">
        <f aca="false">ADY27-ADX28+ADW28</f>
        <v>0</v>
      </c>
      <c r="ADZ28" s="95" t="n">
        <f aca="false">[1]НАДІЙШЛО2!JK20</f>
        <v>0</v>
      </c>
      <c r="AEA28" s="96" t="n">
        <f aca="false">[1]ВИБУЛО2!JK20</f>
        <v>0</v>
      </c>
      <c r="AEB28" s="97" t="n">
        <f aca="false">AEB27-AEA28+ADZ28</f>
        <v>0</v>
      </c>
      <c r="AEC28" s="95" t="n">
        <f aca="false">[1]НАДІЙШЛО2!JL20</f>
        <v>0</v>
      </c>
      <c r="AED28" s="96" t="n">
        <f aca="false">[1]ВИБУЛО2!JL20</f>
        <v>0</v>
      </c>
      <c r="AEE28" s="97" t="n">
        <f aca="false">AEE27-AED28+AEC28</f>
        <v>0</v>
      </c>
      <c r="AEF28" s="95" t="n">
        <f aca="false">[1]НАДІЙШЛО2!JM20</f>
        <v>0</v>
      </c>
      <c r="AEG28" s="96" t="n">
        <f aca="false">[1]ВИБУЛО2!JM20</f>
        <v>0</v>
      </c>
      <c r="AEH28" s="97" t="n">
        <f aca="false">AEH27-AEG28+AEF28</f>
        <v>0</v>
      </c>
      <c r="AEI28" s="95" t="n">
        <f aca="false">[1]НАДІЙШЛО2!JN20</f>
        <v>0</v>
      </c>
      <c r="AEJ28" s="96" t="n">
        <f aca="false">[1]ВИБУЛО2!JN20</f>
        <v>0</v>
      </c>
      <c r="AEK28" s="97" t="n">
        <f aca="false">AEK27-AEJ28+AEI28</f>
        <v>0</v>
      </c>
      <c r="AEL28" s="95" t="n">
        <f aca="false">[1]НАДІЙШЛО2!JO20</f>
        <v>0</v>
      </c>
      <c r="AEM28" s="96" t="n">
        <f aca="false">[1]ВИБУЛО2!JO20</f>
        <v>0</v>
      </c>
      <c r="AEN28" s="97" t="n">
        <f aca="false">AEN27-AEM28+AEL28</f>
        <v>0</v>
      </c>
      <c r="AEO28" s="95" t="n">
        <f aca="false">[1]НАДІЙШЛО2!JP20</f>
        <v>0</v>
      </c>
      <c r="AEP28" s="96" t="n">
        <f aca="false">[1]ВИБУЛО2!JP20</f>
        <v>0</v>
      </c>
      <c r="AEQ28" s="97" t="n">
        <f aca="false">AEQ27-AEP28+AEO28</f>
        <v>0</v>
      </c>
      <c r="AER28" s="95" t="n">
        <f aca="false">[1]НАДІЙШЛО2!JQ20</f>
        <v>0</v>
      </c>
      <c r="AES28" s="96" t="n">
        <f aca="false">[1]ВИБУЛО2!JQ20</f>
        <v>0</v>
      </c>
      <c r="AET28" s="97" t="n">
        <f aca="false">AET27-AES28+AER28</f>
        <v>0</v>
      </c>
      <c r="AEU28" s="95" t="n">
        <f aca="false">[1]НАДІЙШЛО2!JR20</f>
        <v>0</v>
      </c>
      <c r="AEV28" s="96" t="n">
        <f aca="false">[1]ВИБУЛО2!JR20</f>
        <v>0</v>
      </c>
      <c r="AEW28" s="97" t="n">
        <f aca="false">AEW27-AEV28+AEU28</f>
        <v>0</v>
      </c>
      <c r="AEX28" s="95" t="n">
        <f aca="false">[1]НАДІЙШЛО2!JS20</f>
        <v>0</v>
      </c>
      <c r="AEY28" s="96" t="n">
        <f aca="false">[1]ВИБУЛО2!JS20</f>
        <v>0</v>
      </c>
      <c r="AEZ28" s="97" t="n">
        <f aca="false">AEZ27-AEY28+AEX28</f>
        <v>0</v>
      </c>
      <c r="AFA28" s="95" t="n">
        <f aca="false">[1]НАДІЙШЛО2!JT20</f>
        <v>0</v>
      </c>
      <c r="AFB28" s="96" t="n">
        <f aca="false">[1]ВИБУЛО2!JT20</f>
        <v>0</v>
      </c>
      <c r="AFC28" s="97" t="n">
        <f aca="false">AFC27-AFB28+AFA28</f>
        <v>0</v>
      </c>
      <c r="AFD28" s="95" t="n">
        <f aca="false">[1]НАДІЙШЛО2!JU20</f>
        <v>0</v>
      </c>
      <c r="AFE28" s="96" t="n">
        <f aca="false">[1]ВИБУЛО2!JU20</f>
        <v>0</v>
      </c>
      <c r="AFF28" s="97" t="n">
        <f aca="false">AFF27-AFE28+AFD28</f>
        <v>0</v>
      </c>
      <c r="AFG28" s="95" t="n">
        <f aca="false">[1]НАДІЙШЛО2!JV20</f>
        <v>0</v>
      </c>
      <c r="AFH28" s="96" t="n">
        <f aca="false">[1]ВИБУЛО2!JV20</f>
        <v>0</v>
      </c>
      <c r="AFI28" s="97" t="n">
        <f aca="false">AFI27-AFH28+AFG28</f>
        <v>0</v>
      </c>
      <c r="AFJ28" s="95" t="n">
        <f aca="false">[1]НАДІЙШЛО2!JW20</f>
        <v>0</v>
      </c>
      <c r="AFK28" s="96" t="n">
        <f aca="false">[1]ВИБУЛО2!JW20</f>
        <v>0</v>
      </c>
      <c r="AFL28" s="97" t="n">
        <f aca="false">AFL27-AFK28+AFJ28</f>
        <v>0</v>
      </c>
      <c r="AFM28" s="95" t="n">
        <f aca="false">[1]НАДІЙШЛО2!JX20</f>
        <v>0</v>
      </c>
      <c r="AFN28" s="96" t="n">
        <f aca="false">[1]ВИБУЛО2!JX20</f>
        <v>0</v>
      </c>
      <c r="AFO28" s="97" t="n">
        <f aca="false">AFO27-AFN28+AFM28</f>
        <v>0</v>
      </c>
      <c r="AFP28" s="95" t="n">
        <f aca="false">[1]НАДІЙШЛО2!JY20</f>
        <v>0</v>
      </c>
      <c r="AFQ28" s="96" t="n">
        <f aca="false">[1]ВИБУЛО2!JY20</f>
        <v>0</v>
      </c>
      <c r="AFR28" s="97" t="n">
        <f aca="false">AFR27-AFQ28+AFP28</f>
        <v>0</v>
      </c>
      <c r="AFS28" s="95" t="n">
        <f aca="false">[1]НАДІЙШЛО2!JZ20</f>
        <v>0</v>
      </c>
      <c r="AFT28" s="96" t="n">
        <f aca="false">[1]ВИБУЛО2!JZ20</f>
        <v>0</v>
      </c>
      <c r="AFU28" s="97" t="n">
        <f aca="false">AFU27-AFT28+AFS28</f>
        <v>0</v>
      </c>
      <c r="AFV28" s="95" t="n">
        <f aca="false">[1]НАДІЙШЛО2!KA20</f>
        <v>0</v>
      </c>
      <c r="AFW28" s="96" t="n">
        <f aca="false">[1]ВИБУЛО2!KA20</f>
        <v>0</v>
      </c>
      <c r="AFX28" s="97" t="n">
        <f aca="false">AFX27-AFW28+AFV28</f>
        <v>0</v>
      </c>
      <c r="AFY28" s="95" t="n">
        <f aca="false">[1]НАДІЙШЛО2!KB20</f>
        <v>0</v>
      </c>
      <c r="AFZ28" s="96" t="n">
        <f aca="false">[1]ВИБУЛО2!KB20</f>
        <v>0</v>
      </c>
      <c r="AGA28" s="97" t="n">
        <f aca="false">AGA27-AFZ28+AFY28</f>
        <v>0</v>
      </c>
      <c r="AGB28" s="95" t="n">
        <f aca="false">[1]НАДІЙШЛО2!KC20</f>
        <v>0</v>
      </c>
      <c r="AGC28" s="96" t="n">
        <f aca="false">[1]ВИБУЛО2!KC20</f>
        <v>0</v>
      </c>
      <c r="AGD28" s="97" t="n">
        <f aca="false">AGD27-AGC28+AGB28</f>
        <v>0</v>
      </c>
      <c r="AGE28" s="95" t="n">
        <f aca="false">[1]НАДІЙШЛО2!KD20</f>
        <v>0</v>
      </c>
      <c r="AGF28" s="96" t="n">
        <f aca="false">[1]ВИБУЛО2!KD20</f>
        <v>0</v>
      </c>
      <c r="AGG28" s="97" t="n">
        <f aca="false">AGG27-AGF28+AGE28</f>
        <v>0</v>
      </c>
      <c r="AGH28" s="95" t="n">
        <f aca="false">[1]НАДІЙШЛО2!KE20</f>
        <v>0</v>
      </c>
      <c r="AGI28" s="96" t="n">
        <f aca="false">[1]ВИБУЛО2!KE20</f>
        <v>0</v>
      </c>
      <c r="AGJ28" s="97" t="n">
        <f aca="false">AGJ27-AGI28+AGH28</f>
        <v>0</v>
      </c>
      <c r="AGK28" s="95" t="n">
        <f aca="false">[1]НАДІЙШЛО2!KF20</f>
        <v>0</v>
      </c>
      <c r="AGL28" s="96" t="n">
        <f aca="false">[1]ВИБУЛО2!KF20</f>
        <v>0</v>
      </c>
      <c r="AGM28" s="97" t="n">
        <f aca="false">AGM27-AGL28+AGK28</f>
        <v>0</v>
      </c>
      <c r="AGN28" s="95" t="n">
        <f aca="false">[1]НАДІЙШЛО2!KG20</f>
        <v>0</v>
      </c>
      <c r="AGO28" s="96" t="n">
        <f aca="false">[1]ВИБУЛО2!KG20</f>
        <v>0</v>
      </c>
      <c r="AGP28" s="97" t="n">
        <f aca="false">AGP27-AGO28+AGN28</f>
        <v>0</v>
      </c>
      <c r="AGQ28" s="95" t="n">
        <f aca="false">[1]НАДІЙШЛО2!KH20</f>
        <v>0</v>
      </c>
      <c r="AGR28" s="96" t="n">
        <f aca="false">[1]ВИБУЛО2!KH20</f>
        <v>0</v>
      </c>
      <c r="AGS28" s="97" t="n">
        <f aca="false">AGS27-AGR28+AGQ28</f>
        <v>0</v>
      </c>
      <c r="AGT28" s="95" t="n">
        <f aca="false">[1]НАДІЙШЛО2!KI20</f>
        <v>0</v>
      </c>
      <c r="AGU28" s="96" t="n">
        <f aca="false">[1]ВИБУЛО2!KI20</f>
        <v>0</v>
      </c>
      <c r="AGV28" s="97" t="n">
        <f aca="false">AGV27-AGU28+AGT28</f>
        <v>0</v>
      </c>
      <c r="AGW28" s="95" t="n">
        <f aca="false">[1]НАДІЙШЛО2!KJ20</f>
        <v>0</v>
      </c>
      <c r="AGX28" s="96" t="n">
        <f aca="false">[1]ВИБУЛО2!KJ20</f>
        <v>0</v>
      </c>
      <c r="AGY28" s="97" t="n">
        <f aca="false">AGY27-AGX28+AGW28</f>
        <v>0</v>
      </c>
      <c r="AGZ28" s="95" t="n">
        <f aca="false">[1]НАДІЙШЛО2!KK20</f>
        <v>0</v>
      </c>
      <c r="AHA28" s="96" t="n">
        <f aca="false">[1]ВИБУЛО2!KK20</f>
        <v>0</v>
      </c>
      <c r="AHB28" s="97" t="n">
        <f aca="false">AHB27-AHA28+AGZ28</f>
        <v>0</v>
      </c>
      <c r="AHC28" s="95" t="n">
        <f aca="false">[1]НАДІЙШЛО2!KL20</f>
        <v>0</v>
      </c>
      <c r="AHD28" s="96" t="n">
        <f aca="false">[1]ВИБУЛО2!KL20</f>
        <v>0</v>
      </c>
      <c r="AHE28" s="97" t="n">
        <f aca="false">AHE27-AHD28+AHC28</f>
        <v>0</v>
      </c>
      <c r="AHF28" s="95" t="n">
        <f aca="false">[1]НАДІЙШЛО2!KM20</f>
        <v>0</v>
      </c>
      <c r="AHG28" s="96" t="n">
        <f aca="false">[1]ВИБУЛО2!KM20</f>
        <v>0</v>
      </c>
      <c r="AHH28" s="97" t="n">
        <f aca="false">AHH27-AHG28+AHF28</f>
        <v>0</v>
      </c>
      <c r="AHI28" s="95" t="n">
        <f aca="false">[1]НАДІЙШЛО2!KN20</f>
        <v>0</v>
      </c>
      <c r="AHJ28" s="96" t="n">
        <f aca="false">[1]ВИБУЛО2!KN20</f>
        <v>0</v>
      </c>
      <c r="AHK28" s="97" t="n">
        <f aca="false">AHK27-AHJ28+AHI28</f>
        <v>0</v>
      </c>
      <c r="AHL28" s="95" t="n">
        <f aca="false">[1]НАДІЙШЛО2!KO20</f>
        <v>0</v>
      </c>
      <c r="AHM28" s="96" t="n">
        <f aca="false">[1]ВИБУЛО2!KO20</f>
        <v>0</v>
      </c>
      <c r="AHN28" s="97" t="n">
        <f aca="false">AHN27-AHM28+AHL28</f>
        <v>0</v>
      </c>
      <c r="AHO28" s="95" t="n">
        <f aca="false">[1]НАДІЙШЛО2!KP20</f>
        <v>0</v>
      </c>
      <c r="AHP28" s="96" t="n">
        <f aca="false">[1]ВИБУЛО2!KP20</f>
        <v>0</v>
      </c>
      <c r="AHQ28" s="97" t="n">
        <f aca="false">AHQ27-AHP28+AHO28</f>
        <v>0</v>
      </c>
      <c r="AHR28" s="95" t="n">
        <f aca="false">[1]НАДІЙШЛО2!KQ20</f>
        <v>0</v>
      </c>
      <c r="AHS28" s="96" t="n">
        <f aca="false">[1]ВИБУЛО2!KQ20</f>
        <v>0</v>
      </c>
      <c r="AHT28" s="97" t="n">
        <f aca="false">AHT27-AHS28+AHR28</f>
        <v>0</v>
      </c>
      <c r="AHU28" s="95" t="n">
        <f aca="false">[1]НАДІЙШЛО2!KR20</f>
        <v>0</v>
      </c>
      <c r="AHV28" s="96" t="n">
        <f aca="false">[1]ВИБУЛО2!KR20</f>
        <v>0</v>
      </c>
      <c r="AHW28" s="97" t="n">
        <f aca="false">AHW27-AHV28+AHU28</f>
        <v>0</v>
      </c>
      <c r="AHX28" s="95" t="n">
        <f aca="false">[1]НАДІЙШЛО2!KS20</f>
        <v>0</v>
      </c>
      <c r="AHY28" s="96" t="n">
        <f aca="false">[1]ВИБУЛО2!KS20</f>
        <v>0</v>
      </c>
      <c r="AHZ28" s="97" t="n">
        <f aca="false">AHZ27-AHY28+AHX28</f>
        <v>0</v>
      </c>
      <c r="AIA28" s="95" t="n">
        <f aca="false">[1]НАДІЙШЛО2!KT20</f>
        <v>0</v>
      </c>
      <c r="AIB28" s="96" t="n">
        <f aca="false">[1]ВИБУЛО2!KT20</f>
        <v>0</v>
      </c>
      <c r="AIC28" s="97" t="n">
        <f aca="false">AIC27-AIB28+AIA28</f>
        <v>0</v>
      </c>
      <c r="AID28" s="95" t="n">
        <f aca="false">[1]НАДІЙШЛО2!KU20</f>
        <v>0</v>
      </c>
      <c r="AIE28" s="96" t="n">
        <f aca="false">[1]ВИБУЛО2!KU20</f>
        <v>0</v>
      </c>
      <c r="AIF28" s="97" t="n">
        <f aca="false">AIF27-AIE28+AID28</f>
        <v>0</v>
      </c>
      <c r="AIG28" s="95" t="n">
        <f aca="false">[1]НАДІЙШЛО2!KV20</f>
        <v>0</v>
      </c>
      <c r="AIH28" s="96" t="n">
        <f aca="false">[1]ВИБУЛО2!KV20</f>
        <v>0</v>
      </c>
      <c r="AII28" s="97" t="n">
        <f aca="false">AII27-AIH28+AIG28</f>
        <v>0</v>
      </c>
      <c r="AIJ28" s="95" t="n">
        <f aca="false">[1]НАДІЙШЛО2!KW20</f>
        <v>0</v>
      </c>
      <c r="AIK28" s="96" t="n">
        <f aca="false">[1]ВИБУЛО2!KW20</f>
        <v>0</v>
      </c>
      <c r="AIL28" s="97" t="n">
        <f aca="false">AIL27-AIK28+AIJ28</f>
        <v>0</v>
      </c>
      <c r="AIM28" s="95" t="n">
        <f aca="false">[1]НАДІЙШЛО2!KX20</f>
        <v>0</v>
      </c>
      <c r="AIN28" s="96" t="n">
        <f aca="false">[1]ВИБУЛО2!KX20</f>
        <v>0</v>
      </c>
      <c r="AIO28" s="97" t="n">
        <f aca="false">AIO27-AIN28+AIM28</f>
        <v>0</v>
      </c>
      <c r="AIP28" s="95" t="n">
        <f aca="false">[1]НАДІЙШЛО2!KY20</f>
        <v>0</v>
      </c>
      <c r="AIQ28" s="96" t="n">
        <f aca="false">[1]ВИБУЛО2!KY20</f>
        <v>0</v>
      </c>
      <c r="AIR28" s="97" t="n">
        <f aca="false">AIR27-AIQ28+AIP28</f>
        <v>0</v>
      </c>
      <c r="AIS28" s="95" t="n">
        <f aca="false">[1]НАДІЙШЛО2!KZ20</f>
        <v>0</v>
      </c>
      <c r="AIT28" s="96" t="n">
        <f aca="false">[1]ВИБУЛО2!KZ20</f>
        <v>0</v>
      </c>
      <c r="AIU28" s="97" t="n">
        <f aca="false">AIU27-AIT28+AIS28</f>
        <v>0</v>
      </c>
      <c r="AIV28" s="95" t="n">
        <f aca="false">[1]НАДІЙШЛО2!LA20</f>
        <v>0</v>
      </c>
      <c r="AIW28" s="96" t="n">
        <f aca="false">[1]ВИБУЛО2!LA20</f>
        <v>0</v>
      </c>
      <c r="AIX28" s="97" t="n">
        <f aca="false">AIX27-AIW28+AIV28</f>
        <v>0</v>
      </c>
      <c r="AIY28" s="95" t="n">
        <f aca="false">[1]НАДІЙШЛО2!LB20</f>
        <v>0</v>
      </c>
      <c r="AIZ28" s="96" t="n">
        <f aca="false">[1]ВИБУЛО2!LB20</f>
        <v>0</v>
      </c>
      <c r="AJA28" s="97" t="n">
        <f aca="false">AJA27-AIZ28+AIY28</f>
        <v>0</v>
      </c>
      <c r="AJB28" s="95" t="n">
        <f aca="false">[1]НАДІЙШЛО2!LC20</f>
        <v>0</v>
      </c>
      <c r="AJC28" s="96" t="n">
        <f aca="false">[1]ВИБУЛО2!LC20</f>
        <v>0</v>
      </c>
      <c r="AJD28" s="97" t="n">
        <f aca="false">AJD27-AJC28+AJB28</f>
        <v>0</v>
      </c>
      <c r="AJE28" s="95" t="n">
        <f aca="false">[1]НАДІЙШЛО2!LD20</f>
        <v>0</v>
      </c>
      <c r="AJF28" s="96" t="n">
        <f aca="false">[1]ВИБУЛО2!LD20</f>
        <v>0</v>
      </c>
      <c r="AJG28" s="97" t="n">
        <f aca="false">AJG27-AJF28+AJE28</f>
        <v>0</v>
      </c>
      <c r="AJH28" s="95" t="n">
        <f aca="false">[1]НАДІЙШЛО2!LE20</f>
        <v>0</v>
      </c>
      <c r="AJI28" s="96" t="n">
        <f aca="false">[1]ВИБУЛО2!LE20</f>
        <v>0</v>
      </c>
      <c r="AJJ28" s="97" t="n">
        <f aca="false">AJJ27-AJI28+AJH28</f>
        <v>0</v>
      </c>
      <c r="AJK28" s="95" t="n">
        <f aca="false">[1]НАДІЙШЛО2!LF20</f>
        <v>0</v>
      </c>
      <c r="AJL28" s="96" t="n">
        <f aca="false">[1]ВИБУЛО2!LF20</f>
        <v>0</v>
      </c>
      <c r="AJM28" s="97" t="n">
        <f aca="false">AJM27-AJL28+AJK28</f>
        <v>0</v>
      </c>
      <c r="AJN28" s="95" t="n">
        <f aca="false">[1]НАДІЙШЛО2!LG20</f>
        <v>0</v>
      </c>
      <c r="AJO28" s="96" t="n">
        <f aca="false">[1]ВИБУЛО2!LG20</f>
        <v>0</v>
      </c>
      <c r="AJP28" s="97" t="n">
        <f aca="false">AJP27-AJO28+AJN28</f>
        <v>0</v>
      </c>
      <c r="AJQ28" s="95" t="n">
        <f aca="false">[1]НАДІЙШЛО2!LH20</f>
        <v>0</v>
      </c>
      <c r="AJR28" s="96" t="n">
        <f aca="false">[1]ВИБУЛО2!LH20</f>
        <v>0</v>
      </c>
      <c r="AJS28" s="97" t="n">
        <f aca="false">AJS27-AJR28+AJQ28</f>
        <v>0</v>
      </c>
      <c r="AJT28" s="95" t="n">
        <f aca="false">[1]НАДІЙШЛО2!LI20</f>
        <v>0</v>
      </c>
      <c r="AJU28" s="96" t="n">
        <f aca="false">[1]ВИБУЛО2!LI20</f>
        <v>0</v>
      </c>
      <c r="AJV28" s="97" t="n">
        <f aca="false">AJV27-AJU28+AJT28</f>
        <v>0</v>
      </c>
      <c r="AJW28" s="95" t="n">
        <f aca="false">[1]НАДІЙШЛО2!LJ20</f>
        <v>0</v>
      </c>
      <c r="AJX28" s="96" t="n">
        <f aca="false">[1]ВИБУЛО2!LJ20</f>
        <v>0</v>
      </c>
      <c r="AJY28" s="97" t="n">
        <f aca="false">AJY27-AJX28+AJW28</f>
        <v>0</v>
      </c>
      <c r="AJZ28" s="95" t="n">
        <f aca="false">[1]НАДІЙШЛО2!LK20</f>
        <v>0</v>
      </c>
      <c r="AKA28" s="96" t="n">
        <f aca="false">[1]ВИБУЛО2!LK20</f>
        <v>0</v>
      </c>
      <c r="AKB28" s="97" t="n">
        <f aca="false">AKB27-AKA28+AJZ28</f>
        <v>0</v>
      </c>
      <c r="AKC28" s="95" t="n">
        <f aca="false">[1]НАДІЙШЛО2!LL20</f>
        <v>0</v>
      </c>
      <c r="AKD28" s="96" t="n">
        <f aca="false">[1]ВИБУЛО2!LL20</f>
        <v>0</v>
      </c>
      <c r="AKE28" s="97" t="n">
        <f aca="false">AKE27-AKD28+AKC28</f>
        <v>0</v>
      </c>
      <c r="AKF28" s="95" t="n">
        <f aca="false">[1]НАДІЙШЛО2!LM20</f>
        <v>0</v>
      </c>
      <c r="AKG28" s="96" t="n">
        <f aca="false">[1]ВИБУЛО2!LM20</f>
        <v>0</v>
      </c>
      <c r="AKH28" s="97" t="n">
        <f aca="false">AKH27-AKG28+AKF28</f>
        <v>0</v>
      </c>
      <c r="AKI28" s="95" t="n">
        <f aca="false">[1]НАДІЙШЛО2!LN20</f>
        <v>0</v>
      </c>
      <c r="AKJ28" s="96" t="n">
        <f aca="false">[1]ВИБУЛО2!LN20</f>
        <v>0</v>
      </c>
      <c r="AKK28" s="97" t="n">
        <f aca="false">AKK27-AKJ28+AKI28</f>
        <v>0</v>
      </c>
      <c r="AKL28" s="95" t="n">
        <f aca="false">[1]НАДІЙШЛО2!LO20</f>
        <v>0</v>
      </c>
      <c r="AKM28" s="96" t="n">
        <f aca="false">[1]ВИБУЛО2!LO20</f>
        <v>0</v>
      </c>
      <c r="AKN28" s="97" t="n">
        <f aca="false">AKN27-AKM28+AKL28</f>
        <v>0</v>
      </c>
      <c r="AKO28" s="95" t="n">
        <f aca="false">[1]НАДІЙШЛО2!LP20</f>
        <v>0</v>
      </c>
      <c r="AKP28" s="96" t="n">
        <f aca="false">[1]ВИБУЛО2!LP20</f>
        <v>0</v>
      </c>
      <c r="AKQ28" s="97" t="n">
        <f aca="false">AKQ27-AKP28+AKO28</f>
        <v>0</v>
      </c>
      <c r="AKR28" s="95" t="n">
        <f aca="false">[1]НАДІЙШЛО2!LQ20</f>
        <v>0</v>
      </c>
      <c r="AKS28" s="96" t="n">
        <f aca="false">[1]ВИБУЛО2!LQ20</f>
        <v>0</v>
      </c>
      <c r="AKT28" s="97" t="n">
        <f aca="false">AKT27-AKS28+AKR28</f>
        <v>0</v>
      </c>
      <c r="AKU28" s="95" t="n">
        <f aca="false">[1]НАДІЙШЛО2!LR20</f>
        <v>0</v>
      </c>
      <c r="AKV28" s="96" t="n">
        <f aca="false">[1]ВИБУЛО2!LR20</f>
        <v>0</v>
      </c>
      <c r="AKW28" s="97" t="n">
        <f aca="false">AKW27-AKV28+AKU28</f>
        <v>0</v>
      </c>
      <c r="AKX28" s="95" t="n">
        <f aca="false">[1]НАДІЙШЛО2!LS20</f>
        <v>0</v>
      </c>
      <c r="AKY28" s="96" t="n">
        <f aca="false">[1]ВИБУЛО2!LS20</f>
        <v>0</v>
      </c>
      <c r="AKZ28" s="97" t="n">
        <f aca="false">AKZ27-AKY28+AKX28</f>
        <v>0</v>
      </c>
      <c r="ALA28" s="95" t="n">
        <f aca="false">[1]НАДІЙШЛО2!LT20</f>
        <v>0</v>
      </c>
      <c r="ALB28" s="96" t="n">
        <f aca="false">[1]ВИБУЛО2!LT20</f>
        <v>0</v>
      </c>
      <c r="ALC28" s="97" t="n">
        <f aca="false">ALC27-ALB28+ALA28</f>
        <v>0</v>
      </c>
      <c r="ALD28" s="95" t="n">
        <f aca="false">[1]НАДІЙШЛО2!LU20</f>
        <v>0</v>
      </c>
      <c r="ALE28" s="96" t="n">
        <f aca="false">[1]ВИБУЛО2!LU20</f>
        <v>0</v>
      </c>
      <c r="ALF28" s="97" t="n">
        <f aca="false">ALF27-ALE28+ALD28</f>
        <v>0</v>
      </c>
      <c r="ALG28" s="95" t="n">
        <f aca="false">[1]НАДІЙШЛО2!LV20</f>
        <v>0</v>
      </c>
      <c r="ALH28" s="96" t="n">
        <f aca="false">[1]ВИБУЛО2!LV20</f>
        <v>0</v>
      </c>
      <c r="ALI28" s="97" t="n">
        <f aca="false">ALI27-ALH28+ALG28</f>
        <v>0</v>
      </c>
      <c r="ALJ28" s="95" t="n">
        <f aca="false">[1]НАДІЙШЛО2!LW20</f>
        <v>0</v>
      </c>
      <c r="ALK28" s="96" t="n">
        <f aca="false">[1]ВИБУЛО2!LW20</f>
        <v>0</v>
      </c>
      <c r="ALL28" s="97" t="n">
        <f aca="false">ALL27-ALK28+ALJ28</f>
        <v>0</v>
      </c>
      <c r="ALM28" s="95" t="n">
        <f aca="false">[1]НАДІЙШЛО2!LX20</f>
        <v>0</v>
      </c>
      <c r="ALN28" s="96" t="n">
        <f aca="false">[1]ВИБУЛО2!LX20</f>
        <v>0</v>
      </c>
      <c r="ALO28" s="97" t="n">
        <f aca="false">ALO27-ALN28+ALM28</f>
        <v>0</v>
      </c>
      <c r="ALP28" s="95" t="n">
        <f aca="false">[1]НАДІЙШЛО2!LY20</f>
        <v>0</v>
      </c>
      <c r="ALQ28" s="96" t="n">
        <f aca="false">[1]ВИБУЛО2!LY20</f>
        <v>0</v>
      </c>
      <c r="ALR28" s="97" t="n">
        <f aca="false">ALR27-ALQ28+ALP28</f>
        <v>0</v>
      </c>
      <c r="ALS28" s="95" t="n">
        <f aca="false">[1]НАДІЙШЛО2!LZ20</f>
        <v>0</v>
      </c>
      <c r="ALT28" s="96" t="n">
        <f aca="false">[1]ВИБУЛО2!LZ20</f>
        <v>0</v>
      </c>
      <c r="ALU28" s="97" t="n">
        <f aca="false">ALU27-ALT28+ALS28</f>
        <v>0</v>
      </c>
      <c r="ALV28" s="95" t="n">
        <f aca="false">[1]НАДІЙШЛО2!MA20</f>
        <v>0</v>
      </c>
      <c r="ALW28" s="96" t="n">
        <f aca="false">[1]ВИБУЛО2!MA20</f>
        <v>0</v>
      </c>
      <c r="ALX28" s="97" t="n">
        <f aca="false">ALX27-ALW28+ALV28</f>
        <v>0</v>
      </c>
      <c r="ALY28" s="95" t="n">
        <f aca="false">[1]НАДІЙШЛО2!MB20</f>
        <v>0</v>
      </c>
      <c r="ALZ28" s="96" t="n">
        <f aca="false">[1]ВИБУЛО2!MB20</f>
        <v>0</v>
      </c>
      <c r="AMA28" s="97" t="n">
        <f aca="false">AMA27-ALZ28+ALY28</f>
        <v>0</v>
      </c>
      <c r="AMB28" s="95" t="n">
        <f aca="false">[1]НАДІЙШЛО2!MC20</f>
        <v>0</v>
      </c>
      <c r="AMC28" s="96" t="n">
        <f aca="false">[1]ВИБУЛО2!MC20</f>
        <v>0</v>
      </c>
      <c r="AMD28" s="97" t="n">
        <f aca="false">AMD27-AMC28+AMB28</f>
        <v>0</v>
      </c>
      <c r="AME28" s="95" t="n">
        <f aca="false">[1]НАДІЙШЛО2!MD20</f>
        <v>0</v>
      </c>
      <c r="AMF28" s="96" t="n">
        <f aca="false">[1]ВИБУЛО2!MD20</f>
        <v>0</v>
      </c>
      <c r="AMG28" s="97" t="n">
        <f aca="false">AMG27-AMF28+AME28</f>
        <v>0</v>
      </c>
      <c r="AMH28" s="95" t="n">
        <f aca="false">[1]НАДІЙШЛО2!ME20</f>
        <v>0</v>
      </c>
      <c r="AMI28" s="96" t="n">
        <f aca="false">[1]ВИБУЛО2!ME20</f>
        <v>0</v>
      </c>
      <c r="AMJ28" s="97" t="n">
        <f aca="false">AMJ27-AMI28+AMH28</f>
        <v>0</v>
      </c>
    </row>
    <row r="29" s="99" customFormat="true" ht="16.5" hidden="false" customHeight="false" outlineLevel="0" collapsed="false">
      <c r="A29" s="98"/>
      <c r="D29" s="103"/>
      <c r="E29" s="95" t="n">
        <f aca="false">[1]НАДІЙШЛО2!D21</f>
        <v>0</v>
      </c>
      <c r="F29" s="96" t="n">
        <f aca="false">[1]ВИБУЛО2!D21</f>
        <v>0</v>
      </c>
      <c r="G29" s="97" t="n">
        <f aca="false">G28-F29+E29</f>
        <v>0</v>
      </c>
      <c r="H29" s="95" t="n">
        <f aca="false">[1]НАДІЙШЛО2!E21</f>
        <v>0</v>
      </c>
      <c r="I29" s="96" t="n">
        <f aca="false">[1]ВИБУЛО2!E21</f>
        <v>0</v>
      </c>
      <c r="J29" s="97" t="n">
        <f aca="false">J28-I29+H29</f>
        <v>0</v>
      </c>
      <c r="K29" s="95" t="n">
        <f aca="false">[1]НАДІЙШЛО2!F21</f>
        <v>0</v>
      </c>
      <c r="L29" s="96" t="n">
        <f aca="false">[1]ВИБУЛО2!F21</f>
        <v>0</v>
      </c>
      <c r="M29" s="97" t="n">
        <f aca="false">M28-L29+K29</f>
        <v>2.06</v>
      </c>
      <c r="N29" s="95" t="n">
        <f aca="false">[1]НАДІЙШЛО2!G21</f>
        <v>0</v>
      </c>
      <c r="O29" s="96" t="n">
        <f aca="false">[1]ВИБУЛО2!G21</f>
        <v>0</v>
      </c>
      <c r="P29" s="97" t="n">
        <f aca="false">P28-O29+N29</f>
        <v>0</v>
      </c>
      <c r="Q29" s="95" t="n">
        <f aca="false">[1]НАДІЙШЛО2!H21</f>
        <v>0</v>
      </c>
      <c r="R29" s="96" t="n">
        <f aca="false">[1]ВИБУЛО2!H21</f>
        <v>0</v>
      </c>
      <c r="S29" s="97" t="n">
        <f aca="false">S28-R29+Q29</f>
        <v>0</v>
      </c>
      <c r="T29" s="95" t="n">
        <f aca="false">[1]НАДІЙШЛО2!I21</f>
        <v>0</v>
      </c>
      <c r="U29" s="96" t="n">
        <f aca="false">[1]ВИБУЛО2!I21</f>
        <v>0</v>
      </c>
      <c r="V29" s="97" t="n">
        <f aca="false">V28-U29+T29</f>
        <v>0</v>
      </c>
      <c r="W29" s="95" t="n">
        <f aca="false">[1]НАДІЙШЛО2!J21</f>
        <v>0</v>
      </c>
      <c r="X29" s="96" t="n">
        <f aca="false">[1]ВИБУЛО2!J21</f>
        <v>0</v>
      </c>
      <c r="Y29" s="97" t="n">
        <f aca="false">Y28-X29+W29</f>
        <v>0</v>
      </c>
      <c r="Z29" s="95" t="n">
        <f aca="false">[1]НАДІЙШЛО2!K21</f>
        <v>0</v>
      </c>
      <c r="AA29" s="96" t="n">
        <f aca="false">[1]ВИБУЛО2!K21</f>
        <v>0</v>
      </c>
      <c r="AB29" s="97" t="n">
        <f aca="false">AB28-AA29+Z29</f>
        <v>0</v>
      </c>
      <c r="AC29" s="95" t="n">
        <f aca="false">[1]НАДІЙШЛО2!L21</f>
        <v>0</v>
      </c>
      <c r="AD29" s="96" t="n">
        <f aca="false">[1]ВИБУЛО2!L21</f>
        <v>0</v>
      </c>
      <c r="AE29" s="97" t="n">
        <f aca="false">AE28-AD29+AC29</f>
        <v>0</v>
      </c>
      <c r="AF29" s="95" t="n">
        <f aca="false">[1]НАДІЙШЛО2!M21</f>
        <v>0</v>
      </c>
      <c r="AG29" s="96" t="n">
        <f aca="false">[1]ВИБУЛО2!M21</f>
        <v>0</v>
      </c>
      <c r="AH29" s="97" t="n">
        <f aca="false">AH28-AG29+AF29</f>
        <v>0</v>
      </c>
      <c r="AI29" s="95" t="n">
        <f aca="false">[1]НАДІЙШЛО2!N21</f>
        <v>0</v>
      </c>
      <c r="AJ29" s="96" t="n">
        <f aca="false">[1]ВИБУЛО2!N21</f>
        <v>0</v>
      </c>
      <c r="AK29" s="97" t="n">
        <f aca="false">AK28-AJ29+AI29</f>
        <v>0</v>
      </c>
      <c r="AL29" s="95" t="n">
        <f aca="false">[1]НАДІЙШЛО2!O21</f>
        <v>0</v>
      </c>
      <c r="AM29" s="96" t="n">
        <f aca="false">[1]ВИБУЛО2!O21</f>
        <v>0</v>
      </c>
      <c r="AN29" s="97" t="n">
        <f aca="false">AN28-AM29+AL29</f>
        <v>0</v>
      </c>
      <c r="AO29" s="95" t="n">
        <f aca="false">[1]НАДІЙШЛО2!P21</f>
        <v>0</v>
      </c>
      <c r="AP29" s="96" t="n">
        <f aca="false">[1]ВИБУЛО2!P21</f>
        <v>0</v>
      </c>
      <c r="AQ29" s="97" t="n">
        <f aca="false">AQ28-AP29+AO29</f>
        <v>0</v>
      </c>
      <c r="AR29" s="95" t="n">
        <f aca="false">[1]НАДІЙШЛО2!Q21</f>
        <v>0</v>
      </c>
      <c r="AS29" s="96" t="n">
        <f aca="false">[1]ВИБУЛО2!Q21</f>
        <v>0</v>
      </c>
      <c r="AT29" s="97" t="n">
        <f aca="false">AT28-AS29+AR29</f>
        <v>0</v>
      </c>
      <c r="AU29" s="95" t="n">
        <f aca="false">[1]НАДІЙШЛО2!R21</f>
        <v>0</v>
      </c>
      <c r="AV29" s="96" t="n">
        <f aca="false">[1]ВИБУЛО2!R21</f>
        <v>0</v>
      </c>
      <c r="AW29" s="97" t="n">
        <f aca="false">AW28-AV29+AU29</f>
        <v>0</v>
      </c>
      <c r="AX29" s="95" t="n">
        <f aca="false">[1]НАДІЙШЛО2!S21</f>
        <v>0</v>
      </c>
      <c r="AY29" s="96" t="n">
        <f aca="false">[1]ВИБУЛО2!S21</f>
        <v>0</v>
      </c>
      <c r="AZ29" s="97" t="n">
        <f aca="false">AZ28-AY29+AX29</f>
        <v>0</v>
      </c>
      <c r="BA29" s="95" t="n">
        <f aca="false">[1]НАДІЙШЛО2!T21</f>
        <v>0</v>
      </c>
      <c r="BB29" s="96" t="n">
        <f aca="false">[1]ВИБУЛО2!T21</f>
        <v>0</v>
      </c>
      <c r="BC29" s="97" t="n">
        <f aca="false">BC28-BB29+BA29</f>
        <v>0</v>
      </c>
      <c r="BD29" s="95" t="n">
        <f aca="false">[1]НАДІЙШЛО2!U21</f>
        <v>0</v>
      </c>
      <c r="BE29" s="96" t="n">
        <f aca="false">[1]ВИБУЛО2!U21</f>
        <v>0</v>
      </c>
      <c r="BF29" s="97" t="n">
        <f aca="false">BF28-BE29+BD29</f>
        <v>0</v>
      </c>
      <c r="BG29" s="95" t="n">
        <f aca="false">[1]НАДІЙШЛО2!V21</f>
        <v>0</v>
      </c>
      <c r="BH29" s="96" t="n">
        <f aca="false">[1]ВИБУЛО2!V21</f>
        <v>0</v>
      </c>
      <c r="BI29" s="97" t="n">
        <f aca="false">BI28-BH29+BG29</f>
        <v>0</v>
      </c>
      <c r="BJ29" s="95" t="n">
        <f aca="false">[1]НАДІЙШЛО2!W21</f>
        <v>0</v>
      </c>
      <c r="BK29" s="96" t="n">
        <f aca="false">[1]ВИБУЛО2!W21</f>
        <v>0</v>
      </c>
      <c r="BL29" s="97" t="n">
        <f aca="false">BL28-BK29+BJ29</f>
        <v>0</v>
      </c>
      <c r="BM29" s="95" t="n">
        <f aca="false">[1]НАДІЙШЛО2!X21</f>
        <v>0</v>
      </c>
      <c r="BN29" s="96" t="n">
        <f aca="false">[1]ВИБУЛО2!X21</f>
        <v>0</v>
      </c>
      <c r="BO29" s="97" t="n">
        <f aca="false">BO28-BN29+BM29</f>
        <v>0</v>
      </c>
      <c r="BP29" s="95" t="n">
        <f aca="false">[1]НАДІЙШЛО2!Y21</f>
        <v>0</v>
      </c>
      <c r="BQ29" s="96" t="n">
        <f aca="false">[1]ВИБУЛО2!Y21</f>
        <v>0</v>
      </c>
      <c r="BR29" s="97" t="n">
        <f aca="false">BR28-BQ29+BP29</f>
        <v>0</v>
      </c>
      <c r="BS29" s="95" t="n">
        <f aca="false">[1]НАДІЙШЛО2!Z21</f>
        <v>0</v>
      </c>
      <c r="BT29" s="96" t="n">
        <f aca="false">[1]ВИБУЛО2!Z21</f>
        <v>0</v>
      </c>
      <c r="BU29" s="97" t="n">
        <f aca="false">BU28-BT29+BS29</f>
        <v>0</v>
      </c>
      <c r="BV29" s="95" t="n">
        <f aca="false">[1]НАДІЙШЛО2!AA21</f>
        <v>0</v>
      </c>
      <c r="BW29" s="96" t="n">
        <f aca="false">[1]ВИБУЛО2!AA21</f>
        <v>0</v>
      </c>
      <c r="BX29" s="97" t="n">
        <f aca="false">BX28-BW29+BV29</f>
        <v>0</v>
      </c>
      <c r="BY29" s="95" t="n">
        <f aca="false">[1]НАДІЙШЛО2!AB21</f>
        <v>0</v>
      </c>
      <c r="BZ29" s="96" t="n">
        <f aca="false">[1]ВИБУЛО2!AB21</f>
        <v>0</v>
      </c>
      <c r="CA29" s="97" t="n">
        <f aca="false">CA28-BZ29+BY29</f>
        <v>0</v>
      </c>
      <c r="CB29" s="95" t="n">
        <f aca="false">[1]НАДІЙШЛО2!AC21</f>
        <v>0</v>
      </c>
      <c r="CC29" s="96" t="n">
        <f aca="false">[1]ВИБУЛО2!AC21</f>
        <v>0</v>
      </c>
      <c r="CD29" s="97" t="n">
        <f aca="false">CD28-CC29+CB29</f>
        <v>0</v>
      </c>
      <c r="CE29" s="95" t="n">
        <f aca="false">[1]НАДІЙШЛО2!AD21</f>
        <v>0</v>
      </c>
      <c r="CF29" s="96" t="n">
        <f aca="false">[1]ВИБУЛО2!AD21</f>
        <v>0</v>
      </c>
      <c r="CG29" s="97" t="n">
        <f aca="false">CG28-CF29+CE29</f>
        <v>0</v>
      </c>
      <c r="CH29" s="95" t="n">
        <f aca="false">[1]НАДІЙШЛО2!AE21</f>
        <v>0</v>
      </c>
      <c r="CI29" s="96" t="n">
        <f aca="false">[1]ВИБУЛО2!AE21</f>
        <v>0</v>
      </c>
      <c r="CJ29" s="97" t="n">
        <f aca="false">CJ28-CI29+CH29</f>
        <v>0</v>
      </c>
      <c r="CK29" s="95" t="n">
        <f aca="false">[1]НАДІЙШЛО2!AF21</f>
        <v>0</v>
      </c>
      <c r="CL29" s="96" t="n">
        <f aca="false">[1]ВИБУЛО2!AF21</f>
        <v>0</v>
      </c>
      <c r="CM29" s="97" t="n">
        <f aca="false">CM28-CL29+CK29</f>
        <v>0</v>
      </c>
      <c r="CN29" s="95" t="n">
        <f aca="false">[1]НАДІЙШЛО2!AG21</f>
        <v>0</v>
      </c>
      <c r="CO29" s="96" t="n">
        <f aca="false">[1]ВИБУЛО2!AG21</f>
        <v>0</v>
      </c>
      <c r="CP29" s="97" t="n">
        <f aca="false">CP28-CO29+CN29</f>
        <v>0</v>
      </c>
      <c r="CQ29" s="95" t="n">
        <f aca="false">[1]НАДІЙШЛО2!AH21</f>
        <v>0</v>
      </c>
      <c r="CR29" s="96" t="n">
        <f aca="false">[1]ВИБУЛО2!AH21</f>
        <v>0</v>
      </c>
      <c r="CS29" s="97" t="n">
        <f aca="false">CS28-CR29+CQ29</f>
        <v>0</v>
      </c>
      <c r="CT29" s="95" t="n">
        <f aca="false">[1]НАДІЙШЛО2!AI21</f>
        <v>0</v>
      </c>
      <c r="CU29" s="96" t="n">
        <f aca="false">[1]ВИБУЛО2!AI21</f>
        <v>0</v>
      </c>
      <c r="CV29" s="97" t="n">
        <f aca="false">CV28-CU29+CT29</f>
        <v>0</v>
      </c>
      <c r="CW29" s="95" t="n">
        <f aca="false">[1]НАДІЙШЛО2!AJ21</f>
        <v>0</v>
      </c>
      <c r="CX29" s="96" t="n">
        <f aca="false">[1]ВИБУЛО2!AJ21</f>
        <v>0</v>
      </c>
      <c r="CY29" s="97" t="n">
        <f aca="false">CY28-CX29+CW29</f>
        <v>0</v>
      </c>
      <c r="CZ29" s="95" t="n">
        <f aca="false">[1]НАДІЙШЛО2!AK21</f>
        <v>0</v>
      </c>
      <c r="DA29" s="96" t="n">
        <f aca="false">[1]ВИБУЛО2!AK21</f>
        <v>0</v>
      </c>
      <c r="DB29" s="97" t="n">
        <f aca="false">DB28-DA29+CZ29</f>
        <v>0</v>
      </c>
      <c r="DC29" s="95" t="n">
        <f aca="false">[1]НАДІЙШЛО2!AL21</f>
        <v>0</v>
      </c>
      <c r="DD29" s="96" t="n">
        <f aca="false">[1]ВИБУЛО2!AL21</f>
        <v>0</v>
      </c>
      <c r="DE29" s="97" t="n">
        <f aca="false">DE28-DD29+DC29</f>
        <v>0</v>
      </c>
      <c r="DF29" s="95" t="n">
        <f aca="false">[1]НАДІЙШЛО2!AM21</f>
        <v>0</v>
      </c>
      <c r="DG29" s="96" t="n">
        <f aca="false">[1]ВИБУЛО2!AM21</f>
        <v>0</v>
      </c>
      <c r="DH29" s="97" t="n">
        <f aca="false">DH28-DG29+DF29</f>
        <v>0</v>
      </c>
      <c r="DI29" s="95" t="n">
        <f aca="false">[1]НАДІЙШЛО2!AN21</f>
        <v>0</v>
      </c>
      <c r="DJ29" s="96" t="n">
        <f aca="false">[1]ВИБУЛО2!AN21</f>
        <v>0</v>
      </c>
      <c r="DK29" s="97" t="n">
        <f aca="false">DK28-DJ29+DI29</f>
        <v>0</v>
      </c>
      <c r="DL29" s="95" t="n">
        <f aca="false">[1]НАДІЙШЛО2!AO21</f>
        <v>0</v>
      </c>
      <c r="DM29" s="96" t="n">
        <f aca="false">[1]ВИБУЛО2!AO21</f>
        <v>0</v>
      </c>
      <c r="DN29" s="97" t="n">
        <f aca="false">DN28-DM29+DL29</f>
        <v>0</v>
      </c>
      <c r="DO29" s="95" t="n">
        <f aca="false">[1]НАДІЙШЛО2!AP21</f>
        <v>0</v>
      </c>
      <c r="DP29" s="96" t="n">
        <f aca="false">[1]ВИБУЛО2!AP21</f>
        <v>0</v>
      </c>
      <c r="DQ29" s="97" t="n">
        <f aca="false">DQ28-DP29+DO29</f>
        <v>0</v>
      </c>
      <c r="DR29" s="95" t="n">
        <f aca="false">[1]НАДІЙШЛО2!AQ21</f>
        <v>0</v>
      </c>
      <c r="DS29" s="96" t="n">
        <f aca="false">[1]ВИБУЛО2!AQ21</f>
        <v>0</v>
      </c>
      <c r="DT29" s="97" t="n">
        <f aca="false">DT28-DS29+DR29</f>
        <v>0</v>
      </c>
      <c r="DU29" s="95" t="n">
        <f aca="false">[1]НАДІЙШЛО2!AR21</f>
        <v>0</v>
      </c>
      <c r="DV29" s="96" t="n">
        <f aca="false">[1]ВИБУЛО2!AR21</f>
        <v>0</v>
      </c>
      <c r="DW29" s="97" t="n">
        <f aca="false">DW28-DV29+DU29</f>
        <v>0</v>
      </c>
      <c r="DX29" s="95" t="n">
        <f aca="false">[1]НАДІЙШЛО2!AS21</f>
        <v>0</v>
      </c>
      <c r="DY29" s="96" t="n">
        <f aca="false">[1]ВИБУЛО2!AS21</f>
        <v>0</v>
      </c>
      <c r="DZ29" s="97" t="n">
        <f aca="false">DZ28-DY29+DX29</f>
        <v>0</v>
      </c>
      <c r="EA29" s="95" t="n">
        <f aca="false">[1]НАДІЙШЛО2!AT21</f>
        <v>0</v>
      </c>
      <c r="EB29" s="96" t="n">
        <f aca="false">[1]ВИБУЛО2!AT21</f>
        <v>0</v>
      </c>
      <c r="EC29" s="97" t="n">
        <f aca="false">EC28-EB29+EA29</f>
        <v>0</v>
      </c>
      <c r="ED29" s="95" t="n">
        <f aca="false">[1]НАДІЙШЛО2!AU21</f>
        <v>0</v>
      </c>
      <c r="EE29" s="96" t="n">
        <f aca="false">[1]ВИБУЛО2!AU21</f>
        <v>0</v>
      </c>
      <c r="EF29" s="97" t="n">
        <f aca="false">EF28-EE29+ED29</f>
        <v>0</v>
      </c>
      <c r="EG29" s="95" t="n">
        <f aca="false">[1]НАДІЙШЛО2!AV21</f>
        <v>0</v>
      </c>
      <c r="EH29" s="96" t="n">
        <f aca="false">[1]ВИБУЛО2!AV21</f>
        <v>0</v>
      </c>
      <c r="EI29" s="97" t="n">
        <f aca="false">EI28-EH29+EG29</f>
        <v>0</v>
      </c>
      <c r="EJ29" s="95" t="n">
        <f aca="false">[1]НАДІЙШЛО2!AW21</f>
        <v>0</v>
      </c>
      <c r="EK29" s="96" t="n">
        <f aca="false">[1]ВИБУЛО2!AW21</f>
        <v>0</v>
      </c>
      <c r="EL29" s="97" t="n">
        <f aca="false">EL28-EK29+EJ29</f>
        <v>0</v>
      </c>
      <c r="EM29" s="95" t="n">
        <f aca="false">[1]НАДІЙШЛО2!AX21</f>
        <v>0</v>
      </c>
      <c r="EN29" s="96" t="n">
        <f aca="false">[1]ВИБУЛО2!AX21</f>
        <v>0</v>
      </c>
      <c r="EO29" s="97" t="n">
        <f aca="false">EO28-EN29+EM29</f>
        <v>0</v>
      </c>
      <c r="EP29" s="95" t="n">
        <f aca="false">[1]НАДІЙШЛО2!AY21</f>
        <v>0</v>
      </c>
      <c r="EQ29" s="96" t="n">
        <f aca="false">[1]ВИБУЛО2!AY21</f>
        <v>0</v>
      </c>
      <c r="ER29" s="97" t="n">
        <f aca="false">ER28-EQ29+EP29</f>
        <v>0</v>
      </c>
      <c r="ES29" s="95" t="n">
        <f aca="false">[1]НАДІЙШЛО2!AZ21</f>
        <v>0</v>
      </c>
      <c r="ET29" s="96" t="n">
        <f aca="false">[1]ВИБУЛО2!AZ21</f>
        <v>0</v>
      </c>
      <c r="EU29" s="97" t="n">
        <f aca="false">EU28-ET29+ES29</f>
        <v>0</v>
      </c>
      <c r="EV29" s="95" t="n">
        <f aca="false">[1]НАДІЙШЛО2!BA21</f>
        <v>0</v>
      </c>
      <c r="EW29" s="96" t="n">
        <f aca="false">[1]ВИБУЛО2!BA21</f>
        <v>0</v>
      </c>
      <c r="EX29" s="97" t="n">
        <f aca="false">EX28-EW29+EV29</f>
        <v>0</v>
      </c>
      <c r="EY29" s="95" t="n">
        <f aca="false">[1]НАДІЙШЛО2!BB21</f>
        <v>0</v>
      </c>
      <c r="EZ29" s="96" t="n">
        <f aca="false">[1]ВИБУЛО2!BB21</f>
        <v>0</v>
      </c>
      <c r="FA29" s="97" t="n">
        <f aca="false">FA28-EZ29+EY29</f>
        <v>0</v>
      </c>
      <c r="FB29" s="95" t="n">
        <f aca="false">[1]НАДІЙШЛО2!BC21</f>
        <v>0</v>
      </c>
      <c r="FC29" s="96" t="n">
        <f aca="false">[1]ВИБУЛО2!BC21</f>
        <v>0</v>
      </c>
      <c r="FD29" s="97" t="n">
        <f aca="false">FD28-FC29+FB29</f>
        <v>0</v>
      </c>
      <c r="FE29" s="95" t="n">
        <f aca="false">[1]НАДІЙШЛО2!BD21</f>
        <v>0</v>
      </c>
      <c r="FF29" s="96" t="n">
        <f aca="false">[1]ВИБУЛО2!BD21</f>
        <v>0</v>
      </c>
      <c r="FG29" s="97" t="n">
        <f aca="false">FG28-FF29+FE29</f>
        <v>0</v>
      </c>
      <c r="FH29" s="95" t="n">
        <f aca="false">[1]НАДІЙШЛО2!BE21</f>
        <v>0</v>
      </c>
      <c r="FI29" s="96" t="n">
        <f aca="false">[1]ВИБУЛО2!BE21</f>
        <v>0</v>
      </c>
      <c r="FJ29" s="97" t="n">
        <f aca="false">FJ28-FI29+FH29</f>
        <v>0</v>
      </c>
      <c r="FK29" s="95" t="n">
        <f aca="false">[1]НАДІЙШЛО2!BF21</f>
        <v>0</v>
      </c>
      <c r="FL29" s="96" t="n">
        <f aca="false">[1]ВИБУЛО2!BF21</f>
        <v>0</v>
      </c>
      <c r="FM29" s="97" t="n">
        <f aca="false">FM28-FL29+FK29</f>
        <v>0</v>
      </c>
      <c r="FN29" s="95" t="n">
        <f aca="false">[1]НАДІЙШЛО2!BG21</f>
        <v>0</v>
      </c>
      <c r="FO29" s="96" t="n">
        <f aca="false">[1]ВИБУЛО2!BG21</f>
        <v>0</v>
      </c>
      <c r="FP29" s="97" t="n">
        <f aca="false">FP28-FO29+FN29</f>
        <v>0</v>
      </c>
      <c r="FQ29" s="95" t="n">
        <f aca="false">[1]НАДІЙШЛО2!BH21</f>
        <v>0</v>
      </c>
      <c r="FR29" s="96" t="n">
        <f aca="false">[1]ВИБУЛО2!BH21</f>
        <v>0</v>
      </c>
      <c r="FS29" s="97" t="n">
        <f aca="false">FS28-FR29+FQ29</f>
        <v>0</v>
      </c>
      <c r="FT29" s="95" t="n">
        <f aca="false">[1]НАДІЙШЛО2!BI21</f>
        <v>0</v>
      </c>
      <c r="FU29" s="96" t="n">
        <f aca="false">[1]ВИБУЛО2!BI21</f>
        <v>0</v>
      </c>
      <c r="FV29" s="97" t="n">
        <f aca="false">FV28-FU29+FT29</f>
        <v>0</v>
      </c>
      <c r="FW29" s="95" t="n">
        <f aca="false">[1]НАДІЙШЛО2!BJ21</f>
        <v>0</v>
      </c>
      <c r="FX29" s="96" t="n">
        <f aca="false">[1]ВИБУЛО2!BJ21</f>
        <v>0</v>
      </c>
      <c r="FY29" s="97" t="n">
        <f aca="false">FY28-FX29+FW29</f>
        <v>0</v>
      </c>
      <c r="FZ29" s="95" t="n">
        <f aca="false">[1]НАДІЙШЛО2!BK21</f>
        <v>0</v>
      </c>
      <c r="GA29" s="96" t="n">
        <f aca="false">[1]ВИБУЛО2!BK21</f>
        <v>0</v>
      </c>
      <c r="GB29" s="97" t="n">
        <f aca="false">GB28-GA29+FZ29</f>
        <v>0</v>
      </c>
      <c r="GC29" s="95" t="n">
        <f aca="false">[1]НАДІЙШЛО2!BL21</f>
        <v>0</v>
      </c>
      <c r="GD29" s="96" t="n">
        <f aca="false">[1]ВИБУЛО2!BL21</f>
        <v>0</v>
      </c>
      <c r="GE29" s="97" t="n">
        <f aca="false">GE28-GD29+GC29</f>
        <v>0</v>
      </c>
      <c r="GF29" s="95" t="n">
        <f aca="false">[1]НАДІЙШЛО2!BM21</f>
        <v>0</v>
      </c>
      <c r="GG29" s="96" t="n">
        <f aca="false">[1]ВИБУЛО2!BM21</f>
        <v>0</v>
      </c>
      <c r="GH29" s="97" t="n">
        <f aca="false">GH28-GG29+GF29</f>
        <v>0</v>
      </c>
      <c r="GI29" s="95" t="n">
        <f aca="false">[1]НАДІЙШЛО2!BN21</f>
        <v>0</v>
      </c>
      <c r="GJ29" s="96" t="n">
        <f aca="false">[1]ВИБУЛО2!BN21</f>
        <v>0</v>
      </c>
      <c r="GK29" s="97" t="n">
        <f aca="false">GK28-GJ29+GI29</f>
        <v>0</v>
      </c>
      <c r="GL29" s="95" t="n">
        <f aca="false">[1]НАДІЙШЛО2!BO21</f>
        <v>0</v>
      </c>
      <c r="GM29" s="96" t="n">
        <f aca="false">[1]ВИБУЛО2!BO21</f>
        <v>0</v>
      </c>
      <c r="GN29" s="97" t="n">
        <f aca="false">GN28-GM29+GL29</f>
        <v>0</v>
      </c>
      <c r="GO29" s="95" t="n">
        <f aca="false">[1]НАДІЙШЛО2!BP21</f>
        <v>0</v>
      </c>
      <c r="GP29" s="96" t="n">
        <f aca="false">[1]ВИБУЛО2!BP21</f>
        <v>0</v>
      </c>
      <c r="GQ29" s="97" t="n">
        <f aca="false">GQ28-GP29+GO29</f>
        <v>0</v>
      </c>
      <c r="GR29" s="95" t="n">
        <f aca="false">[1]НАДІЙШЛО2!BQ21</f>
        <v>0</v>
      </c>
      <c r="GS29" s="96" t="n">
        <f aca="false">[1]ВИБУЛО2!BQ21</f>
        <v>0</v>
      </c>
      <c r="GT29" s="97" t="n">
        <f aca="false">GT28-GS29+GR29</f>
        <v>0</v>
      </c>
      <c r="GU29" s="95" t="n">
        <f aca="false">[1]НАДІЙШЛО2!BR21</f>
        <v>0</v>
      </c>
      <c r="GV29" s="96" t="n">
        <f aca="false">[1]ВИБУЛО2!BR21</f>
        <v>0</v>
      </c>
      <c r="GW29" s="97" t="n">
        <f aca="false">GW28-GV29+GU29</f>
        <v>0</v>
      </c>
      <c r="GX29" s="95" t="n">
        <f aca="false">[1]НАДІЙШЛО2!BS21</f>
        <v>0</v>
      </c>
      <c r="GY29" s="96" t="n">
        <f aca="false">[1]ВИБУЛО2!BS21</f>
        <v>0</v>
      </c>
      <c r="GZ29" s="97" t="n">
        <f aca="false">GZ28-GY29+GX29</f>
        <v>0</v>
      </c>
      <c r="HA29" s="95" t="n">
        <f aca="false">[1]НАДІЙШЛО2!BT21</f>
        <v>0</v>
      </c>
      <c r="HB29" s="96" t="n">
        <f aca="false">[1]ВИБУЛО2!BT21</f>
        <v>0</v>
      </c>
      <c r="HC29" s="97" t="n">
        <f aca="false">HC28-HB29+HA29</f>
        <v>0</v>
      </c>
      <c r="HD29" s="95" t="n">
        <f aca="false">[1]НАДІЙШЛО2!BU21</f>
        <v>0</v>
      </c>
      <c r="HE29" s="96" t="n">
        <f aca="false">[1]ВИБУЛО2!BU21</f>
        <v>0</v>
      </c>
      <c r="HF29" s="97" t="n">
        <f aca="false">HF28-HE29+HD29</f>
        <v>0</v>
      </c>
      <c r="HG29" s="95" t="n">
        <f aca="false">[1]НАДІЙШЛО2!BV21</f>
        <v>0</v>
      </c>
      <c r="HH29" s="96" t="n">
        <f aca="false">[1]ВИБУЛО2!BV21</f>
        <v>0</v>
      </c>
      <c r="HI29" s="97" t="n">
        <f aca="false">HI28-HH29+HG29</f>
        <v>0</v>
      </c>
      <c r="HJ29" s="95" t="n">
        <f aca="false">[1]НАДІЙШЛО2!BW21</f>
        <v>0</v>
      </c>
      <c r="HK29" s="96" t="n">
        <f aca="false">[1]ВИБУЛО2!BW21</f>
        <v>0</v>
      </c>
      <c r="HL29" s="97" t="n">
        <f aca="false">HL28-HK29+HJ29</f>
        <v>0</v>
      </c>
      <c r="HM29" s="95" t="n">
        <f aca="false">[1]НАДІЙШЛО2!BX21</f>
        <v>0</v>
      </c>
      <c r="HN29" s="96" t="n">
        <f aca="false">[1]ВИБУЛО2!BX21</f>
        <v>0</v>
      </c>
      <c r="HO29" s="97" t="n">
        <f aca="false">HO28-HN29+HM29</f>
        <v>0</v>
      </c>
      <c r="HP29" s="95" t="n">
        <f aca="false">[1]НАДІЙШЛО2!BY21</f>
        <v>0</v>
      </c>
      <c r="HQ29" s="96" t="n">
        <f aca="false">[1]ВИБУЛО2!BY21</f>
        <v>0</v>
      </c>
      <c r="HR29" s="97" t="n">
        <f aca="false">HR28-HQ29+HP29</f>
        <v>0</v>
      </c>
      <c r="HS29" s="95" t="n">
        <f aca="false">[1]НАДІЙШЛО2!BZ21</f>
        <v>0</v>
      </c>
      <c r="HT29" s="96" t="n">
        <f aca="false">[1]ВИБУЛО2!BZ21</f>
        <v>0</v>
      </c>
      <c r="HU29" s="97" t="n">
        <f aca="false">HU28-HT29+HS29</f>
        <v>0</v>
      </c>
      <c r="HV29" s="95" t="n">
        <f aca="false">[1]НАДІЙШЛО2!CA21</f>
        <v>0</v>
      </c>
      <c r="HW29" s="96" t="n">
        <f aca="false">[1]ВИБУЛО2!CA21</f>
        <v>0</v>
      </c>
      <c r="HX29" s="97" t="n">
        <f aca="false">HX28-HW29+HV29</f>
        <v>0</v>
      </c>
      <c r="HY29" s="95" t="n">
        <f aca="false">[1]НАДІЙШЛО2!CB21</f>
        <v>0</v>
      </c>
      <c r="HZ29" s="96" t="n">
        <f aca="false">[1]ВИБУЛО2!CB21</f>
        <v>0</v>
      </c>
      <c r="IA29" s="97" t="n">
        <f aca="false">IA28-HZ29+HY29</f>
        <v>0</v>
      </c>
      <c r="IB29" s="95" t="n">
        <f aca="false">[1]НАДІЙШЛО2!CC21</f>
        <v>0</v>
      </c>
      <c r="IC29" s="96" t="n">
        <f aca="false">[1]ВИБУЛО2!CC21</f>
        <v>0</v>
      </c>
      <c r="ID29" s="97" t="n">
        <f aca="false">ID28-IC29+IB29</f>
        <v>0</v>
      </c>
      <c r="IE29" s="95" t="n">
        <f aca="false">[1]НАДІЙШЛО2!CD21</f>
        <v>0</v>
      </c>
      <c r="IF29" s="96" t="n">
        <f aca="false">[1]ВИБУЛО2!CD21</f>
        <v>0</v>
      </c>
      <c r="IG29" s="97" t="n">
        <f aca="false">IG28-IF29+IE29</f>
        <v>0</v>
      </c>
      <c r="IH29" s="95" t="n">
        <f aca="false">[1]НАДІЙШЛО2!CE21</f>
        <v>0</v>
      </c>
      <c r="II29" s="96" t="n">
        <f aca="false">[1]ВИБУЛО2!CE21</f>
        <v>0</v>
      </c>
      <c r="IJ29" s="97" t="n">
        <f aca="false">IJ28-II29+IH29</f>
        <v>0</v>
      </c>
      <c r="IK29" s="95" t="n">
        <f aca="false">[1]НАДІЙШЛО2!CF21</f>
        <v>0</v>
      </c>
      <c r="IL29" s="96" t="n">
        <f aca="false">[1]ВИБУЛО2!CF21</f>
        <v>0</v>
      </c>
      <c r="IM29" s="97" t="n">
        <f aca="false">IM28-IL29+IK29</f>
        <v>0</v>
      </c>
      <c r="IN29" s="95" t="n">
        <f aca="false">[1]НАДІЙШЛО2!CG21</f>
        <v>0</v>
      </c>
      <c r="IO29" s="96" t="n">
        <f aca="false">[1]ВИБУЛО2!CG21</f>
        <v>0</v>
      </c>
      <c r="IP29" s="97" t="n">
        <f aca="false">IP28-IO29+IN29</f>
        <v>0</v>
      </c>
      <c r="IQ29" s="95" t="n">
        <f aca="false">[1]НАДІЙШЛО2!CH21</f>
        <v>0</v>
      </c>
      <c r="IR29" s="96" t="n">
        <f aca="false">[1]ВИБУЛО2!CH21</f>
        <v>0</v>
      </c>
      <c r="IS29" s="97" t="n">
        <f aca="false">IS28-IR29+IQ29</f>
        <v>0</v>
      </c>
      <c r="IT29" s="95" t="n">
        <f aca="false">[1]НАДІЙШЛО2!CI21</f>
        <v>0</v>
      </c>
      <c r="IU29" s="96" t="n">
        <f aca="false">[1]ВИБУЛО2!CI21</f>
        <v>0</v>
      </c>
      <c r="IV29" s="97" t="n">
        <f aca="false">IV28-IU29+IT29</f>
        <v>0</v>
      </c>
      <c r="IW29" s="95" t="n">
        <f aca="false">[1]НАДІЙШЛО2!CJ21</f>
        <v>0</v>
      </c>
      <c r="IX29" s="96" t="n">
        <f aca="false">[1]ВИБУЛО2!CJ21</f>
        <v>0</v>
      </c>
      <c r="IY29" s="97" t="n">
        <f aca="false">IY28-IX29+IW29</f>
        <v>0</v>
      </c>
      <c r="IZ29" s="95" t="n">
        <f aca="false">[1]НАДІЙШЛО2!CK21</f>
        <v>0</v>
      </c>
      <c r="JA29" s="96" t="n">
        <f aca="false">[1]ВИБУЛО2!CK21</f>
        <v>0</v>
      </c>
      <c r="JB29" s="97" t="n">
        <f aca="false">JB28-JA29+IZ29</f>
        <v>0</v>
      </c>
      <c r="JC29" s="95" t="n">
        <f aca="false">[1]НАДІЙШЛО2!CL21</f>
        <v>0</v>
      </c>
      <c r="JD29" s="96" t="n">
        <f aca="false">[1]ВИБУЛО2!CL21</f>
        <v>0</v>
      </c>
      <c r="JE29" s="97" t="n">
        <f aca="false">JE28-JD29+JC29</f>
        <v>0</v>
      </c>
      <c r="JF29" s="95" t="n">
        <f aca="false">[1]НАДІЙШЛО2!CM21</f>
        <v>0</v>
      </c>
      <c r="JG29" s="96" t="n">
        <f aca="false">[1]ВИБУЛО2!CM21</f>
        <v>0</v>
      </c>
      <c r="JH29" s="97" t="n">
        <f aca="false">JH28-JG29+JF29</f>
        <v>0</v>
      </c>
      <c r="JI29" s="95" t="n">
        <f aca="false">[1]НАДІЙШЛО2!CN21</f>
        <v>0</v>
      </c>
      <c r="JJ29" s="96" t="n">
        <f aca="false">[1]ВИБУЛО2!CN21</f>
        <v>0</v>
      </c>
      <c r="JK29" s="97" t="n">
        <f aca="false">JK28-JJ29+JI29</f>
        <v>0</v>
      </c>
      <c r="JL29" s="95" t="n">
        <f aca="false">[1]НАДІЙШЛО2!CO21</f>
        <v>0</v>
      </c>
      <c r="JM29" s="96" t="n">
        <f aca="false">[1]ВИБУЛО2!CO21</f>
        <v>0</v>
      </c>
      <c r="JN29" s="97" t="n">
        <f aca="false">JN28-JM29+JL29</f>
        <v>0</v>
      </c>
      <c r="JO29" s="95" t="n">
        <f aca="false">[1]НАДІЙШЛО2!CP21</f>
        <v>0</v>
      </c>
      <c r="JP29" s="96" t="n">
        <f aca="false">[1]ВИБУЛО2!CP21</f>
        <v>0</v>
      </c>
      <c r="JQ29" s="97" t="n">
        <f aca="false">JQ28-JP29+JO29</f>
        <v>0</v>
      </c>
      <c r="JR29" s="95" t="n">
        <f aca="false">[1]НАДІЙШЛО2!CQ21</f>
        <v>0</v>
      </c>
      <c r="JS29" s="96" t="n">
        <f aca="false">[1]ВИБУЛО2!CQ21</f>
        <v>0</v>
      </c>
      <c r="JT29" s="97" t="n">
        <f aca="false">JT28-JS29+JR29</f>
        <v>0</v>
      </c>
      <c r="JU29" s="95" t="n">
        <f aca="false">[1]НАДІЙШЛО2!CR21</f>
        <v>0</v>
      </c>
      <c r="JV29" s="96" t="n">
        <f aca="false">[1]ВИБУЛО2!CR21</f>
        <v>0</v>
      </c>
      <c r="JW29" s="97" t="n">
        <f aca="false">JW28-JV29+JU29</f>
        <v>0</v>
      </c>
      <c r="JX29" s="95" t="n">
        <f aca="false">[1]НАДІЙШЛО2!CS21</f>
        <v>0</v>
      </c>
      <c r="JY29" s="96" t="n">
        <f aca="false">[1]ВИБУЛО2!CS21</f>
        <v>0</v>
      </c>
      <c r="JZ29" s="97" t="n">
        <f aca="false">JZ28-JY29+JX29</f>
        <v>0</v>
      </c>
      <c r="KA29" s="95" t="n">
        <f aca="false">[1]НАДІЙШЛО2!CT21</f>
        <v>0</v>
      </c>
      <c r="KB29" s="96" t="n">
        <f aca="false">[1]ВИБУЛО2!CT21</f>
        <v>0</v>
      </c>
      <c r="KC29" s="97" t="n">
        <f aca="false">KC28-KB29+KA29</f>
        <v>0</v>
      </c>
      <c r="KD29" s="95" t="n">
        <f aca="false">[1]НАДІЙШЛО2!CU21</f>
        <v>0</v>
      </c>
      <c r="KE29" s="96" t="n">
        <f aca="false">[1]ВИБУЛО2!CU21</f>
        <v>0</v>
      </c>
      <c r="KF29" s="97" t="n">
        <f aca="false">KF28-KE29+KD29</f>
        <v>0</v>
      </c>
      <c r="KG29" s="95" t="n">
        <f aca="false">[1]НАДІЙШЛО2!CV21</f>
        <v>0</v>
      </c>
      <c r="KH29" s="96" t="n">
        <f aca="false">[1]ВИБУЛО2!CV21</f>
        <v>0</v>
      </c>
      <c r="KI29" s="97" t="n">
        <f aca="false">KI28-KH29+KG29</f>
        <v>0</v>
      </c>
      <c r="KJ29" s="95" t="n">
        <f aca="false">[1]НАДІЙШЛО2!CW21</f>
        <v>0</v>
      </c>
      <c r="KK29" s="96" t="n">
        <f aca="false">[1]ВИБУЛО2!CW21</f>
        <v>0</v>
      </c>
      <c r="KL29" s="97" t="n">
        <f aca="false">KL28-KK29+KJ29</f>
        <v>0</v>
      </c>
      <c r="KM29" s="95" t="n">
        <f aca="false">[1]НАДІЙШЛО2!CX21</f>
        <v>0</v>
      </c>
      <c r="KN29" s="96" t="n">
        <f aca="false">[1]ВИБУЛО2!CX21</f>
        <v>0</v>
      </c>
      <c r="KO29" s="97" t="n">
        <f aca="false">KO28-KN29+KM29</f>
        <v>0</v>
      </c>
      <c r="KP29" s="95" t="n">
        <f aca="false">[1]НАДІЙШЛО2!CY21</f>
        <v>0</v>
      </c>
      <c r="KQ29" s="96" t="n">
        <f aca="false">[1]ВИБУЛО2!CY21</f>
        <v>0</v>
      </c>
      <c r="KR29" s="97" t="n">
        <f aca="false">KR28-KQ29+KP29</f>
        <v>0</v>
      </c>
      <c r="KS29" s="95" t="n">
        <f aca="false">[1]НАДІЙШЛО2!CZ21</f>
        <v>0</v>
      </c>
      <c r="KT29" s="96" t="n">
        <f aca="false">[1]ВИБУЛО2!CZ21</f>
        <v>0</v>
      </c>
      <c r="KU29" s="97" t="n">
        <f aca="false">KU28-KT29+KS29</f>
        <v>0</v>
      </c>
      <c r="KV29" s="95" t="n">
        <f aca="false">[1]НАДІЙШЛО2!DA21</f>
        <v>0</v>
      </c>
      <c r="KW29" s="96" t="n">
        <f aca="false">[1]ВИБУЛО2!DA21</f>
        <v>0</v>
      </c>
      <c r="KX29" s="97" t="n">
        <f aca="false">KX28-KW29+KV29</f>
        <v>0</v>
      </c>
      <c r="KY29" s="95" t="n">
        <f aca="false">[1]НАДІЙШЛО2!DB21</f>
        <v>0</v>
      </c>
      <c r="KZ29" s="96" t="n">
        <f aca="false">[1]ВИБУЛО2!DB21</f>
        <v>0</v>
      </c>
      <c r="LA29" s="97" t="n">
        <f aca="false">LA28-KZ29+KY29</f>
        <v>0</v>
      </c>
      <c r="LB29" s="95" t="n">
        <f aca="false">[1]НАДІЙШЛО2!DC21</f>
        <v>0</v>
      </c>
      <c r="LC29" s="96" t="n">
        <f aca="false">[1]ВИБУЛО2!DC21</f>
        <v>0</v>
      </c>
      <c r="LD29" s="97" t="n">
        <f aca="false">LD28-LC29+LB29</f>
        <v>0</v>
      </c>
      <c r="LE29" s="95" t="n">
        <f aca="false">[1]НАДІЙШЛО2!DD21</f>
        <v>0</v>
      </c>
      <c r="LF29" s="96" t="n">
        <f aca="false">[1]ВИБУЛО2!DD21</f>
        <v>0</v>
      </c>
      <c r="LG29" s="97" t="n">
        <f aca="false">LG28-LF29+LE29</f>
        <v>0</v>
      </c>
      <c r="LH29" s="95" t="n">
        <f aca="false">[1]НАДІЙШЛО2!DE21</f>
        <v>0</v>
      </c>
      <c r="LI29" s="96" t="n">
        <f aca="false">[1]ВИБУЛО2!DE21</f>
        <v>0</v>
      </c>
      <c r="LJ29" s="97" t="n">
        <f aca="false">LJ28-LI29+LH29</f>
        <v>0</v>
      </c>
      <c r="LK29" s="95" t="n">
        <f aca="false">[1]НАДІЙШЛО2!DF21</f>
        <v>0</v>
      </c>
      <c r="LL29" s="96" t="n">
        <f aca="false">[1]ВИБУЛО2!DF21</f>
        <v>0</v>
      </c>
      <c r="LM29" s="97" t="n">
        <f aca="false">LM28-LL29+LK29</f>
        <v>0</v>
      </c>
      <c r="LN29" s="95" t="n">
        <f aca="false">[1]НАДІЙШЛО2!DG21</f>
        <v>0</v>
      </c>
      <c r="LO29" s="96" t="n">
        <f aca="false">[1]ВИБУЛО2!DG21</f>
        <v>0</v>
      </c>
      <c r="LP29" s="97" t="n">
        <f aca="false">LP28-LO29+LN29</f>
        <v>0</v>
      </c>
      <c r="LQ29" s="95" t="n">
        <f aca="false">[1]НАДІЙШЛО2!DH21</f>
        <v>0</v>
      </c>
      <c r="LR29" s="96" t="n">
        <f aca="false">[1]ВИБУЛО2!DH21</f>
        <v>0</v>
      </c>
      <c r="LS29" s="97" t="n">
        <f aca="false">LS28-LR29+LQ29</f>
        <v>0</v>
      </c>
      <c r="LT29" s="95" t="n">
        <f aca="false">[1]НАДІЙШЛО2!DI21</f>
        <v>0</v>
      </c>
      <c r="LU29" s="96" t="n">
        <f aca="false">[1]ВИБУЛО2!DI21</f>
        <v>0</v>
      </c>
      <c r="LV29" s="97" t="n">
        <f aca="false">LV28-LU29+LT29</f>
        <v>0</v>
      </c>
      <c r="LW29" s="95" t="n">
        <f aca="false">[1]НАДІЙШЛО2!DJ21</f>
        <v>0</v>
      </c>
      <c r="LX29" s="96" t="n">
        <f aca="false">[1]ВИБУЛО2!DJ21</f>
        <v>0</v>
      </c>
      <c r="LY29" s="97" t="n">
        <f aca="false">LY28-LX29+LW29</f>
        <v>0</v>
      </c>
      <c r="LZ29" s="95" t="n">
        <f aca="false">[1]НАДІЙШЛО2!DK21</f>
        <v>0</v>
      </c>
      <c r="MA29" s="96" t="n">
        <f aca="false">[1]ВИБУЛО2!DK21</f>
        <v>0</v>
      </c>
      <c r="MB29" s="97" t="n">
        <f aca="false">MB28-MA29+LZ29</f>
        <v>0</v>
      </c>
      <c r="MC29" s="95" t="n">
        <f aca="false">[1]НАДІЙШЛО2!DL21</f>
        <v>0</v>
      </c>
      <c r="MD29" s="96" t="n">
        <f aca="false">[1]ВИБУЛО2!DL21</f>
        <v>0</v>
      </c>
      <c r="ME29" s="97" t="n">
        <f aca="false">ME28-MD29+MC29</f>
        <v>0</v>
      </c>
      <c r="MF29" s="95" t="n">
        <f aca="false">[1]НАДІЙШЛО2!DM21</f>
        <v>0</v>
      </c>
      <c r="MG29" s="96" t="n">
        <f aca="false">[1]ВИБУЛО2!DM21</f>
        <v>0</v>
      </c>
      <c r="MH29" s="97" t="n">
        <f aca="false">MH28-MG29+MF29</f>
        <v>0</v>
      </c>
      <c r="MI29" s="95" t="n">
        <f aca="false">[1]НАДІЙШЛО2!DN21</f>
        <v>0</v>
      </c>
      <c r="MJ29" s="96" t="n">
        <f aca="false">[1]ВИБУЛО2!DN21</f>
        <v>0</v>
      </c>
      <c r="MK29" s="97" t="n">
        <f aca="false">MK28-MJ29+MI29</f>
        <v>0</v>
      </c>
      <c r="ML29" s="95" t="n">
        <f aca="false">[1]НАДІЙШЛО2!DO21</f>
        <v>0</v>
      </c>
      <c r="MM29" s="96" t="n">
        <f aca="false">[1]ВИБУЛО2!DO21</f>
        <v>0</v>
      </c>
      <c r="MN29" s="97" t="n">
        <f aca="false">MN28-MM29+ML29</f>
        <v>0</v>
      </c>
      <c r="MO29" s="95" t="n">
        <f aca="false">[1]НАДІЙШЛО2!DP21</f>
        <v>0</v>
      </c>
      <c r="MP29" s="96" t="n">
        <f aca="false">[1]ВИБУЛО2!DP21</f>
        <v>0</v>
      </c>
      <c r="MQ29" s="97" t="n">
        <f aca="false">MQ28-MP29+MO29</f>
        <v>0</v>
      </c>
      <c r="MR29" s="95" t="n">
        <f aca="false">[1]НАДІЙШЛО2!DQ21</f>
        <v>0</v>
      </c>
      <c r="MS29" s="96" t="n">
        <f aca="false">[1]ВИБУЛО2!DQ21</f>
        <v>0</v>
      </c>
      <c r="MT29" s="97" t="n">
        <f aca="false">MT28-MS29+MR29</f>
        <v>0</v>
      </c>
      <c r="MU29" s="95" t="n">
        <f aca="false">[1]НАДІЙШЛО2!DR21</f>
        <v>0</v>
      </c>
      <c r="MV29" s="96" t="n">
        <f aca="false">[1]ВИБУЛО2!DR21</f>
        <v>0</v>
      </c>
      <c r="MW29" s="97" t="n">
        <f aca="false">MW28-MV29+MU29</f>
        <v>0</v>
      </c>
      <c r="MX29" s="95" t="n">
        <f aca="false">[1]НАДІЙШЛО2!DS21</f>
        <v>0</v>
      </c>
      <c r="MY29" s="96" t="n">
        <f aca="false">[1]ВИБУЛО2!DS21</f>
        <v>0</v>
      </c>
      <c r="MZ29" s="97" t="n">
        <f aca="false">MZ28-MY29+MX29</f>
        <v>0</v>
      </c>
      <c r="NA29" s="95" t="n">
        <f aca="false">[1]НАДІЙШЛО2!DT21</f>
        <v>0</v>
      </c>
      <c r="NB29" s="96" t="n">
        <f aca="false">[1]ВИБУЛО2!DT21</f>
        <v>0</v>
      </c>
      <c r="NC29" s="97" t="n">
        <f aca="false">NC28-NB29+NA29</f>
        <v>0</v>
      </c>
      <c r="ND29" s="95" t="n">
        <f aca="false">[1]НАДІЙШЛО2!DU21</f>
        <v>0</v>
      </c>
      <c r="NE29" s="96" t="n">
        <f aca="false">[1]ВИБУЛО2!DU21</f>
        <v>0</v>
      </c>
      <c r="NF29" s="97" t="n">
        <f aca="false">NF28-NE29+ND29</f>
        <v>0</v>
      </c>
      <c r="NG29" s="95" t="n">
        <f aca="false">[1]НАДІЙШЛО2!DV21</f>
        <v>0</v>
      </c>
      <c r="NH29" s="96" t="n">
        <f aca="false">[1]ВИБУЛО2!DV21</f>
        <v>0</v>
      </c>
      <c r="NI29" s="97" t="n">
        <f aca="false">NI28-NH29+NG29</f>
        <v>0</v>
      </c>
      <c r="NJ29" s="95" t="n">
        <f aca="false">[1]НАДІЙШЛО2!DW21</f>
        <v>0</v>
      </c>
      <c r="NK29" s="96" t="n">
        <f aca="false">[1]ВИБУЛО2!DW21</f>
        <v>0</v>
      </c>
      <c r="NL29" s="97" t="n">
        <f aca="false">NL28-NK29+NJ29</f>
        <v>0</v>
      </c>
      <c r="NM29" s="95" t="n">
        <f aca="false">[1]НАДІЙШЛО2!DX21</f>
        <v>0</v>
      </c>
      <c r="NN29" s="96" t="n">
        <f aca="false">[1]ВИБУЛО2!DX21</f>
        <v>0</v>
      </c>
      <c r="NO29" s="97" t="n">
        <f aca="false">NO28-NN29+NM29</f>
        <v>0</v>
      </c>
      <c r="NP29" s="95" t="n">
        <f aca="false">[1]НАДІЙШЛО2!DY21</f>
        <v>0</v>
      </c>
      <c r="NQ29" s="96" t="n">
        <f aca="false">[1]ВИБУЛО2!DY21</f>
        <v>0</v>
      </c>
      <c r="NR29" s="97" t="n">
        <f aca="false">NR28-NQ29+NP29</f>
        <v>0</v>
      </c>
      <c r="NS29" s="95" t="n">
        <f aca="false">[1]НАДІЙШЛО2!DZ21</f>
        <v>0</v>
      </c>
      <c r="NT29" s="96" t="n">
        <f aca="false">[1]ВИБУЛО2!DZ21</f>
        <v>0</v>
      </c>
      <c r="NU29" s="97" t="n">
        <f aca="false">NU28-NT29+NS29</f>
        <v>0</v>
      </c>
      <c r="NV29" s="95" t="n">
        <f aca="false">[1]НАДІЙШЛО2!EA21</f>
        <v>0</v>
      </c>
      <c r="NW29" s="96" t="n">
        <f aca="false">[1]ВИБУЛО2!EA21</f>
        <v>0</v>
      </c>
      <c r="NX29" s="97" t="n">
        <f aca="false">NX28-NW29+NV29</f>
        <v>0</v>
      </c>
      <c r="NY29" s="95" t="n">
        <f aca="false">[1]НАДІЙШЛО2!EB21</f>
        <v>0</v>
      </c>
      <c r="NZ29" s="96" t="n">
        <f aca="false">[1]ВИБУЛО2!EB21</f>
        <v>0</v>
      </c>
      <c r="OA29" s="97" t="n">
        <f aca="false">OA28-NZ29+NY29</f>
        <v>0</v>
      </c>
      <c r="OB29" s="95" t="n">
        <f aca="false">[1]НАДІЙШЛО2!EC21</f>
        <v>0</v>
      </c>
      <c r="OC29" s="96" t="n">
        <f aca="false">[1]ВИБУЛО2!EC21</f>
        <v>0</v>
      </c>
      <c r="OD29" s="97" t="n">
        <f aca="false">OD28-OC29+OB29</f>
        <v>0</v>
      </c>
      <c r="OE29" s="95" t="n">
        <f aca="false">[1]НАДІЙШЛО2!ED21</f>
        <v>0</v>
      </c>
      <c r="OF29" s="96" t="n">
        <f aca="false">[1]ВИБУЛО2!ED21</f>
        <v>0</v>
      </c>
      <c r="OG29" s="97" t="n">
        <f aca="false">OG28-OF29+OE29</f>
        <v>0</v>
      </c>
      <c r="OH29" s="95" t="n">
        <f aca="false">[1]НАДІЙШЛО2!EE21</f>
        <v>0</v>
      </c>
      <c r="OI29" s="96" t="n">
        <f aca="false">[1]ВИБУЛО2!EE21</f>
        <v>0</v>
      </c>
      <c r="OJ29" s="97" t="n">
        <f aca="false">OJ28-OI29+OH29</f>
        <v>0</v>
      </c>
      <c r="OK29" s="95" t="n">
        <f aca="false">[1]НАДІЙШЛО2!EF21</f>
        <v>0</v>
      </c>
      <c r="OL29" s="96" t="n">
        <f aca="false">[1]ВИБУЛО2!EF21</f>
        <v>0</v>
      </c>
      <c r="OM29" s="97" t="n">
        <f aca="false">OM28-OL29+OK29</f>
        <v>0</v>
      </c>
      <c r="ON29" s="95" t="n">
        <f aca="false">[1]НАДІЙШЛО2!EG21</f>
        <v>0</v>
      </c>
      <c r="OO29" s="96" t="n">
        <f aca="false">[1]ВИБУЛО2!EG21</f>
        <v>0</v>
      </c>
      <c r="OP29" s="97" t="n">
        <f aca="false">OP28-OO29+ON29</f>
        <v>0</v>
      </c>
      <c r="OQ29" s="95" t="n">
        <f aca="false">[1]НАДІЙШЛО2!EH21</f>
        <v>0</v>
      </c>
      <c r="OR29" s="96" t="n">
        <f aca="false">[1]ВИБУЛО2!EH21</f>
        <v>0</v>
      </c>
      <c r="OS29" s="97" t="n">
        <f aca="false">OS28-OR29+OQ29</f>
        <v>0</v>
      </c>
      <c r="OT29" s="95" t="n">
        <f aca="false">[1]НАДІЙШЛО2!EI21</f>
        <v>0</v>
      </c>
      <c r="OU29" s="96" t="n">
        <f aca="false">[1]ВИБУЛО2!EI21</f>
        <v>0</v>
      </c>
      <c r="OV29" s="97" t="n">
        <f aca="false">OV28-OU29+OT29</f>
        <v>0</v>
      </c>
      <c r="OW29" s="95" t="n">
        <f aca="false">[1]НАДІЙШЛО2!EJ21</f>
        <v>0</v>
      </c>
      <c r="OX29" s="96" t="n">
        <f aca="false">[1]ВИБУЛО2!EJ21</f>
        <v>0</v>
      </c>
      <c r="OY29" s="97" t="n">
        <f aca="false">OY28-OX29+OW29</f>
        <v>0</v>
      </c>
      <c r="OZ29" s="95" t="n">
        <f aca="false">[1]НАДІЙШЛО2!EK21</f>
        <v>0</v>
      </c>
      <c r="PA29" s="96" t="n">
        <f aca="false">[1]ВИБУЛО2!EK21</f>
        <v>0</v>
      </c>
      <c r="PB29" s="97" t="n">
        <f aca="false">PB28-PA29+OZ29</f>
        <v>0</v>
      </c>
      <c r="PC29" s="95" t="n">
        <f aca="false">[1]НАДІЙШЛО2!EL21</f>
        <v>0</v>
      </c>
      <c r="PD29" s="96" t="n">
        <f aca="false">[1]ВИБУЛО2!EL21</f>
        <v>0</v>
      </c>
      <c r="PE29" s="97" t="n">
        <f aca="false">PE28-PD29+PC29</f>
        <v>0</v>
      </c>
      <c r="PF29" s="95" t="n">
        <f aca="false">[1]НАДІЙШЛО2!EM21</f>
        <v>0</v>
      </c>
      <c r="PG29" s="96" t="n">
        <f aca="false">[1]ВИБУЛО2!EM21</f>
        <v>0</v>
      </c>
      <c r="PH29" s="97" t="n">
        <f aca="false">PH28-PG29+PF29</f>
        <v>0</v>
      </c>
      <c r="PI29" s="95" t="n">
        <f aca="false">[1]НАДІЙШЛО2!EN21</f>
        <v>0</v>
      </c>
      <c r="PJ29" s="96" t="n">
        <f aca="false">[1]ВИБУЛО2!EN21</f>
        <v>0</v>
      </c>
      <c r="PK29" s="97" t="n">
        <f aca="false">PK28-PJ29+PI29</f>
        <v>0</v>
      </c>
      <c r="PL29" s="95" t="n">
        <f aca="false">[1]НАДІЙШЛО2!EO21</f>
        <v>0</v>
      </c>
      <c r="PM29" s="96" t="n">
        <f aca="false">[1]ВИБУЛО2!EO21</f>
        <v>0</v>
      </c>
      <c r="PN29" s="97" t="n">
        <f aca="false">PN28-PM29+PL29</f>
        <v>0</v>
      </c>
      <c r="PO29" s="95" t="n">
        <f aca="false">[1]НАДІЙШЛО2!EP21</f>
        <v>0</v>
      </c>
      <c r="PP29" s="96" t="n">
        <f aca="false">[1]ВИБУЛО2!EP21</f>
        <v>0</v>
      </c>
      <c r="PQ29" s="97" t="n">
        <f aca="false">PQ28-PP29+PO29</f>
        <v>0</v>
      </c>
      <c r="PR29" s="95" t="n">
        <f aca="false">[1]НАДІЙШЛО2!EQ21</f>
        <v>0</v>
      </c>
      <c r="PS29" s="96" t="n">
        <f aca="false">[1]ВИБУЛО2!EQ21</f>
        <v>0</v>
      </c>
      <c r="PT29" s="97" t="n">
        <f aca="false">PT28-PS29+PR29</f>
        <v>0</v>
      </c>
      <c r="PU29" s="95" t="n">
        <f aca="false">[1]НАДІЙШЛО2!ER21</f>
        <v>0</v>
      </c>
      <c r="PV29" s="96" t="n">
        <f aca="false">[1]ВИБУЛО2!ER21</f>
        <v>0</v>
      </c>
      <c r="PW29" s="97" t="n">
        <f aca="false">PW28-PV29+PU29</f>
        <v>0</v>
      </c>
      <c r="PX29" s="95" t="n">
        <f aca="false">[1]НАДІЙШЛО2!ES21</f>
        <v>0</v>
      </c>
      <c r="PY29" s="96" t="n">
        <f aca="false">[1]ВИБУЛО2!ES21</f>
        <v>0</v>
      </c>
      <c r="PZ29" s="97" t="n">
        <f aca="false">PZ28-PY29+PX29</f>
        <v>0</v>
      </c>
      <c r="QA29" s="95" t="n">
        <f aca="false">[1]НАДІЙШЛО2!ET21</f>
        <v>0</v>
      </c>
      <c r="QB29" s="96" t="n">
        <f aca="false">[1]ВИБУЛО2!ET21</f>
        <v>0</v>
      </c>
      <c r="QC29" s="97" t="n">
        <f aca="false">QC28-QB29+QA29</f>
        <v>0</v>
      </c>
      <c r="QD29" s="95" t="n">
        <f aca="false">[1]НАДІЙШЛО2!EU21</f>
        <v>0</v>
      </c>
      <c r="QE29" s="96" t="n">
        <f aca="false">[1]ВИБУЛО2!EU21</f>
        <v>0</v>
      </c>
      <c r="QF29" s="97" t="n">
        <f aca="false">QF28-QE29+QD29</f>
        <v>0</v>
      </c>
      <c r="QG29" s="95" t="n">
        <f aca="false">[1]НАДІЙШЛО2!EV21</f>
        <v>0</v>
      </c>
      <c r="QH29" s="96" t="n">
        <f aca="false">[1]ВИБУЛО2!EV21</f>
        <v>0</v>
      </c>
      <c r="QI29" s="97" t="n">
        <f aca="false">QI28-QH29+QG29</f>
        <v>0</v>
      </c>
      <c r="QJ29" s="95" t="n">
        <f aca="false">[1]НАДІЙШЛО2!EW21</f>
        <v>0</v>
      </c>
      <c r="QK29" s="96" t="n">
        <f aca="false">[1]ВИБУЛО2!EW21</f>
        <v>0</v>
      </c>
      <c r="QL29" s="97" t="n">
        <f aca="false">QL28-QK29+QJ29</f>
        <v>0</v>
      </c>
      <c r="QM29" s="95" t="n">
        <f aca="false">[1]НАДІЙШЛО2!EX21</f>
        <v>0</v>
      </c>
      <c r="QN29" s="96" t="n">
        <f aca="false">[1]ВИБУЛО2!EX21</f>
        <v>0</v>
      </c>
      <c r="QO29" s="97" t="n">
        <f aca="false">QO28-QN29+QM29</f>
        <v>0</v>
      </c>
      <c r="QP29" s="95" t="n">
        <f aca="false">[1]НАДІЙШЛО2!EY21</f>
        <v>0</v>
      </c>
      <c r="QQ29" s="96" t="n">
        <f aca="false">[1]ВИБУЛО2!EY21</f>
        <v>0</v>
      </c>
      <c r="QR29" s="97" t="n">
        <f aca="false">QR28-QQ29+QP29</f>
        <v>0</v>
      </c>
      <c r="QS29" s="95" t="n">
        <f aca="false">[1]НАДІЙШЛО2!EZ21</f>
        <v>0</v>
      </c>
      <c r="QT29" s="96" t="n">
        <f aca="false">[1]ВИБУЛО2!EZ21</f>
        <v>0</v>
      </c>
      <c r="QU29" s="97" t="n">
        <f aca="false">QU28-QT29+QS29</f>
        <v>0</v>
      </c>
      <c r="QV29" s="95" t="n">
        <f aca="false">[1]НАДІЙШЛО2!FA21</f>
        <v>0</v>
      </c>
      <c r="QW29" s="96" t="n">
        <f aca="false">[1]ВИБУЛО2!FA21</f>
        <v>0</v>
      </c>
      <c r="QX29" s="97" t="n">
        <f aca="false">QX28-QW29+QV29</f>
        <v>0</v>
      </c>
      <c r="QY29" s="95" t="n">
        <f aca="false">[1]НАДІЙШЛО2!FB21</f>
        <v>0</v>
      </c>
      <c r="QZ29" s="96" t="n">
        <f aca="false">[1]ВИБУЛО2!FB21</f>
        <v>0</v>
      </c>
      <c r="RA29" s="97" t="n">
        <f aca="false">RA28-QZ29+QY29</f>
        <v>0</v>
      </c>
      <c r="RB29" s="95" t="n">
        <f aca="false">[1]НАДІЙШЛО2!FC21</f>
        <v>0</v>
      </c>
      <c r="RC29" s="96" t="n">
        <f aca="false">[1]ВИБУЛО2!FC21</f>
        <v>0</v>
      </c>
      <c r="RD29" s="97" t="n">
        <f aca="false">RD28-RC29+RB29</f>
        <v>0</v>
      </c>
      <c r="RE29" s="95" t="n">
        <f aca="false">[1]НАДІЙШЛО2!FD21</f>
        <v>0</v>
      </c>
      <c r="RF29" s="96" t="n">
        <f aca="false">[1]ВИБУЛО2!FD21</f>
        <v>0</v>
      </c>
      <c r="RG29" s="97" t="n">
        <f aca="false">RG28-RF29+RE29</f>
        <v>0</v>
      </c>
      <c r="RH29" s="95" t="n">
        <f aca="false">[1]НАДІЙШЛО2!FE21</f>
        <v>0</v>
      </c>
      <c r="RI29" s="96" t="n">
        <f aca="false">[1]ВИБУЛО2!FE21</f>
        <v>0</v>
      </c>
      <c r="RJ29" s="97" t="n">
        <f aca="false">RJ28-RI29+RH29</f>
        <v>0</v>
      </c>
      <c r="RK29" s="95" t="n">
        <f aca="false">[1]НАДІЙШЛО2!FF21</f>
        <v>0</v>
      </c>
      <c r="RL29" s="96" t="n">
        <f aca="false">[1]ВИБУЛО2!FF21</f>
        <v>0</v>
      </c>
      <c r="RM29" s="97" t="n">
        <f aca="false">RM28-RL29+RK29</f>
        <v>0</v>
      </c>
      <c r="RN29" s="95" t="n">
        <f aca="false">[1]НАДІЙШЛО2!FG21</f>
        <v>0</v>
      </c>
      <c r="RO29" s="96" t="n">
        <f aca="false">[1]ВИБУЛО2!FG21</f>
        <v>0</v>
      </c>
      <c r="RP29" s="97" t="n">
        <f aca="false">RP28-RO29+RN29</f>
        <v>0</v>
      </c>
      <c r="RQ29" s="95" t="n">
        <f aca="false">[1]НАДІЙШЛО2!FH21</f>
        <v>0</v>
      </c>
      <c r="RR29" s="96" t="n">
        <f aca="false">[1]ВИБУЛО2!FH21</f>
        <v>0</v>
      </c>
      <c r="RS29" s="97" t="n">
        <f aca="false">RS28-RR29+RQ29</f>
        <v>0</v>
      </c>
      <c r="RT29" s="95" t="n">
        <f aca="false">[1]НАДІЙШЛО2!FI21</f>
        <v>0</v>
      </c>
      <c r="RU29" s="96" t="n">
        <f aca="false">[1]ВИБУЛО2!FI21</f>
        <v>0</v>
      </c>
      <c r="RV29" s="97" t="n">
        <f aca="false">RV28-RU29+RT29</f>
        <v>0</v>
      </c>
      <c r="RW29" s="95" t="n">
        <f aca="false">[1]НАДІЙШЛО2!FJ21</f>
        <v>0</v>
      </c>
      <c r="RX29" s="96" t="n">
        <f aca="false">[1]ВИБУЛО2!FJ21</f>
        <v>0</v>
      </c>
      <c r="RY29" s="97" t="n">
        <f aca="false">RY28-RX29+RW29</f>
        <v>0</v>
      </c>
      <c r="RZ29" s="95" t="n">
        <f aca="false">[1]НАДІЙШЛО2!FK21</f>
        <v>0</v>
      </c>
      <c r="SA29" s="96" t="n">
        <f aca="false">[1]ВИБУЛО2!FK21</f>
        <v>0</v>
      </c>
      <c r="SB29" s="97" t="n">
        <f aca="false">SB28-SA29+RZ29</f>
        <v>0</v>
      </c>
      <c r="SC29" s="95" t="n">
        <f aca="false">[1]НАДІЙШЛО2!FL21</f>
        <v>0</v>
      </c>
      <c r="SD29" s="96" t="n">
        <f aca="false">[1]ВИБУЛО2!FL21</f>
        <v>0</v>
      </c>
      <c r="SE29" s="97" t="n">
        <f aca="false">SE28-SD29+SC29</f>
        <v>0</v>
      </c>
      <c r="SF29" s="95" t="n">
        <f aca="false">[1]НАДІЙШЛО2!FM21</f>
        <v>0</v>
      </c>
      <c r="SG29" s="96" t="n">
        <f aca="false">[1]ВИБУЛО2!FM21</f>
        <v>0</v>
      </c>
      <c r="SH29" s="97" t="n">
        <f aca="false">SH28-SG29+SF29</f>
        <v>0</v>
      </c>
      <c r="SI29" s="95" t="n">
        <f aca="false">[1]НАДІЙШЛО2!FN21</f>
        <v>0</v>
      </c>
      <c r="SJ29" s="96" t="n">
        <f aca="false">[1]ВИБУЛО2!FN21</f>
        <v>0</v>
      </c>
      <c r="SK29" s="97" t="n">
        <f aca="false">SK28-SJ29+SI29</f>
        <v>0</v>
      </c>
      <c r="SL29" s="95" t="n">
        <f aca="false">[1]НАДІЙШЛО2!FO21</f>
        <v>0</v>
      </c>
      <c r="SM29" s="96" t="n">
        <f aca="false">[1]ВИБУЛО2!FO21</f>
        <v>0</v>
      </c>
      <c r="SN29" s="97" t="n">
        <f aca="false">SN28-SM29+SL29</f>
        <v>0</v>
      </c>
      <c r="SO29" s="95" t="n">
        <f aca="false">[1]НАДІЙШЛО2!FP21</f>
        <v>0</v>
      </c>
      <c r="SP29" s="96" t="n">
        <f aca="false">[1]ВИБУЛО2!FP21</f>
        <v>0</v>
      </c>
      <c r="SQ29" s="97" t="n">
        <f aca="false">SQ28-SP29+SO29</f>
        <v>0</v>
      </c>
      <c r="SR29" s="95" t="n">
        <f aca="false">[1]НАДІЙШЛО2!FQ21</f>
        <v>0</v>
      </c>
      <c r="SS29" s="96" t="n">
        <f aca="false">[1]ВИБУЛО2!FQ21</f>
        <v>0</v>
      </c>
      <c r="ST29" s="97" t="n">
        <f aca="false">ST28-SS29+SR29</f>
        <v>0</v>
      </c>
      <c r="SU29" s="95" t="n">
        <f aca="false">[1]НАДІЙШЛО2!FR21</f>
        <v>0</v>
      </c>
      <c r="SV29" s="96" t="n">
        <f aca="false">[1]ВИБУЛО2!FR21</f>
        <v>0</v>
      </c>
      <c r="SW29" s="97" t="n">
        <f aca="false">SW28-SV29+SU29</f>
        <v>0</v>
      </c>
      <c r="SX29" s="95" t="n">
        <f aca="false">[1]НАДІЙШЛО2!FS21</f>
        <v>0</v>
      </c>
      <c r="SY29" s="96" t="n">
        <f aca="false">[1]ВИБУЛО2!FS21</f>
        <v>0</v>
      </c>
      <c r="SZ29" s="97" t="n">
        <f aca="false">SZ28-SY29+SX29</f>
        <v>0</v>
      </c>
      <c r="TA29" s="95" t="n">
        <f aca="false">[1]НАДІЙШЛО2!FT21</f>
        <v>0</v>
      </c>
      <c r="TB29" s="96" t="n">
        <f aca="false">[1]ВИБУЛО2!FT21</f>
        <v>0</v>
      </c>
      <c r="TC29" s="97" t="n">
        <f aca="false">TC28-TB29+TA29</f>
        <v>0</v>
      </c>
      <c r="TD29" s="95" t="n">
        <f aca="false">[1]НАДІЙШЛО2!FU21</f>
        <v>0</v>
      </c>
      <c r="TE29" s="96" t="n">
        <f aca="false">[1]ВИБУЛО2!FU21</f>
        <v>0</v>
      </c>
      <c r="TF29" s="97" t="n">
        <f aca="false">TF28-TE29+TD29</f>
        <v>0</v>
      </c>
      <c r="TG29" s="95" t="n">
        <f aca="false">[1]НАДІЙШЛО2!FV21</f>
        <v>0</v>
      </c>
      <c r="TH29" s="96" t="n">
        <f aca="false">[1]ВИБУЛО2!FV21</f>
        <v>0</v>
      </c>
      <c r="TI29" s="97" t="n">
        <f aca="false">TI28-TH29+TG29</f>
        <v>0</v>
      </c>
      <c r="TJ29" s="95" t="n">
        <f aca="false">[1]НАДІЙШЛО2!FW21</f>
        <v>0</v>
      </c>
      <c r="TK29" s="96" t="n">
        <f aca="false">[1]ВИБУЛО2!FW21</f>
        <v>0</v>
      </c>
      <c r="TL29" s="97" t="n">
        <f aca="false">TL28-TK29+TJ29</f>
        <v>0</v>
      </c>
      <c r="TM29" s="95" t="n">
        <f aca="false">[1]НАДІЙШЛО2!FX21</f>
        <v>0</v>
      </c>
      <c r="TN29" s="96" t="n">
        <f aca="false">[1]ВИБУЛО2!FX21</f>
        <v>0</v>
      </c>
      <c r="TO29" s="97" t="n">
        <f aca="false">TO28-TN29+TM29</f>
        <v>0</v>
      </c>
      <c r="TP29" s="95" t="n">
        <f aca="false">[1]НАДІЙШЛО2!FY21</f>
        <v>0</v>
      </c>
      <c r="TQ29" s="96" t="n">
        <f aca="false">[1]ВИБУЛО2!FY21</f>
        <v>0</v>
      </c>
      <c r="TR29" s="97" t="n">
        <f aca="false">TR28-TQ29+TP29</f>
        <v>0</v>
      </c>
      <c r="TS29" s="95" t="n">
        <f aca="false">[1]НАДІЙШЛО2!FZ21</f>
        <v>0</v>
      </c>
      <c r="TT29" s="96" t="n">
        <f aca="false">[1]ВИБУЛО2!FZ21</f>
        <v>0</v>
      </c>
      <c r="TU29" s="97" t="n">
        <f aca="false">TU28-TT29+TS29</f>
        <v>0</v>
      </c>
      <c r="TV29" s="95" t="n">
        <f aca="false">[1]НАДІЙШЛО2!GA21</f>
        <v>0</v>
      </c>
      <c r="TW29" s="96" t="n">
        <f aca="false">[1]ВИБУЛО2!GA21</f>
        <v>0</v>
      </c>
      <c r="TX29" s="97" t="n">
        <f aca="false">TX28-TW29+TV29</f>
        <v>0</v>
      </c>
      <c r="TY29" s="95" t="n">
        <f aca="false">[1]НАДІЙШЛО2!GB21</f>
        <v>0</v>
      </c>
      <c r="TZ29" s="96" t="n">
        <f aca="false">[1]ВИБУЛО2!GB21</f>
        <v>0</v>
      </c>
      <c r="UA29" s="97" t="n">
        <f aca="false">UA28-TZ29+TY29</f>
        <v>0</v>
      </c>
      <c r="UB29" s="95" t="n">
        <f aca="false">[1]НАДІЙШЛО2!GC21</f>
        <v>0</v>
      </c>
      <c r="UC29" s="96" t="n">
        <f aca="false">[1]ВИБУЛО2!GC21</f>
        <v>0</v>
      </c>
      <c r="UD29" s="97" t="n">
        <f aca="false">UD28-UC29+UB29</f>
        <v>0</v>
      </c>
      <c r="UE29" s="95" t="n">
        <f aca="false">[1]НАДІЙШЛО2!GD21</f>
        <v>0</v>
      </c>
      <c r="UF29" s="96" t="n">
        <f aca="false">[1]ВИБУЛО2!GD21</f>
        <v>0</v>
      </c>
      <c r="UG29" s="97" t="n">
        <f aca="false">UG28-UF29+UE29</f>
        <v>0</v>
      </c>
      <c r="UH29" s="95" t="n">
        <f aca="false">[1]НАДІЙШЛО2!GE21</f>
        <v>0</v>
      </c>
      <c r="UI29" s="96" t="n">
        <f aca="false">[1]ВИБУЛО2!GE21</f>
        <v>0</v>
      </c>
      <c r="UJ29" s="97" t="n">
        <f aca="false">UJ28-UI29+UH29</f>
        <v>0</v>
      </c>
      <c r="UK29" s="95" t="n">
        <f aca="false">[1]НАДІЙШЛО2!GF21</f>
        <v>0</v>
      </c>
      <c r="UL29" s="96" t="n">
        <f aca="false">[1]ВИБУЛО2!GF21</f>
        <v>0</v>
      </c>
      <c r="UM29" s="97" t="n">
        <f aca="false">UM28-UL29+UK29</f>
        <v>0</v>
      </c>
      <c r="UN29" s="95" t="n">
        <f aca="false">[1]НАДІЙШЛО2!GG21</f>
        <v>0</v>
      </c>
      <c r="UO29" s="96" t="n">
        <f aca="false">[1]ВИБУЛО2!GG21</f>
        <v>0</v>
      </c>
      <c r="UP29" s="97" t="n">
        <f aca="false">UP28-UO29+UN29</f>
        <v>0</v>
      </c>
      <c r="UQ29" s="95" t="n">
        <f aca="false">[1]НАДІЙШЛО2!GH21</f>
        <v>0</v>
      </c>
      <c r="UR29" s="96" t="n">
        <f aca="false">[1]ВИБУЛО2!GH21</f>
        <v>0</v>
      </c>
      <c r="US29" s="97" t="n">
        <f aca="false">US28-UR29+UQ29</f>
        <v>0</v>
      </c>
      <c r="UT29" s="95" t="n">
        <f aca="false">[1]НАДІЙШЛО2!GI21</f>
        <v>0</v>
      </c>
      <c r="UU29" s="96" t="n">
        <f aca="false">[1]ВИБУЛО2!GI21</f>
        <v>0</v>
      </c>
      <c r="UV29" s="97" t="n">
        <f aca="false">UV28-UU29+UT29</f>
        <v>0</v>
      </c>
      <c r="UW29" s="95" t="n">
        <f aca="false">[1]НАДІЙШЛО2!GJ21</f>
        <v>0</v>
      </c>
      <c r="UX29" s="96" t="n">
        <f aca="false">[1]ВИБУЛО2!GJ21</f>
        <v>0</v>
      </c>
      <c r="UY29" s="97" t="n">
        <f aca="false">UY28-UX29+UW29</f>
        <v>0</v>
      </c>
      <c r="UZ29" s="95" t="n">
        <f aca="false">[1]НАДІЙШЛО2!GK21</f>
        <v>0</v>
      </c>
      <c r="VA29" s="96" t="n">
        <f aca="false">[1]ВИБУЛО2!GK21</f>
        <v>0</v>
      </c>
      <c r="VB29" s="97" t="n">
        <f aca="false">VB28-VA29+UZ29</f>
        <v>0</v>
      </c>
      <c r="VC29" s="95" t="n">
        <f aca="false">[1]НАДІЙШЛО2!GL21</f>
        <v>0</v>
      </c>
      <c r="VD29" s="96" t="n">
        <f aca="false">[1]ВИБУЛО2!GL21</f>
        <v>0</v>
      </c>
      <c r="VE29" s="97" t="n">
        <f aca="false">VE28-VD29+VC29</f>
        <v>0</v>
      </c>
      <c r="VF29" s="95" t="n">
        <f aca="false">[1]НАДІЙШЛО2!GM21</f>
        <v>0</v>
      </c>
      <c r="VG29" s="96" t="n">
        <f aca="false">[1]ВИБУЛО2!GM21</f>
        <v>0</v>
      </c>
      <c r="VH29" s="97" t="n">
        <f aca="false">VH28-VG29+VF29</f>
        <v>0</v>
      </c>
      <c r="VI29" s="95" t="n">
        <f aca="false">[1]НАДІЙШЛО2!GN21</f>
        <v>0</v>
      </c>
      <c r="VJ29" s="96" t="n">
        <f aca="false">[1]ВИБУЛО2!GN21</f>
        <v>0</v>
      </c>
      <c r="VK29" s="97" t="n">
        <f aca="false">VK28-VJ29+VI29</f>
        <v>0</v>
      </c>
      <c r="VL29" s="95" t="n">
        <f aca="false">[1]НАДІЙШЛО2!GO21</f>
        <v>0</v>
      </c>
      <c r="VM29" s="96" t="n">
        <f aca="false">[1]ВИБУЛО2!GO21</f>
        <v>0</v>
      </c>
      <c r="VN29" s="97" t="n">
        <f aca="false">VN28-VM29+VL29</f>
        <v>0</v>
      </c>
      <c r="VO29" s="95" t="n">
        <f aca="false">[1]НАДІЙШЛО2!GP21</f>
        <v>0</v>
      </c>
      <c r="VP29" s="96" t="n">
        <f aca="false">[1]ВИБУЛО2!GP21</f>
        <v>0</v>
      </c>
      <c r="VQ29" s="97" t="n">
        <f aca="false">VQ28-VP29+VO29</f>
        <v>0</v>
      </c>
      <c r="VR29" s="95" t="n">
        <f aca="false">[1]НАДІЙШЛО2!GQ21</f>
        <v>0</v>
      </c>
      <c r="VS29" s="96" t="n">
        <f aca="false">[1]ВИБУЛО2!GQ21</f>
        <v>0</v>
      </c>
      <c r="VT29" s="97" t="n">
        <f aca="false">VT28-VS29+VR29</f>
        <v>0</v>
      </c>
      <c r="VU29" s="95" t="n">
        <f aca="false">[1]НАДІЙШЛО2!GR21</f>
        <v>0</v>
      </c>
      <c r="VV29" s="96" t="n">
        <f aca="false">[1]ВИБУЛО2!GR21</f>
        <v>0</v>
      </c>
      <c r="VW29" s="97" t="n">
        <f aca="false">VW28-VV29+VU29</f>
        <v>0</v>
      </c>
      <c r="VX29" s="95" t="n">
        <f aca="false">[1]НАДІЙШЛО2!GS21</f>
        <v>0</v>
      </c>
      <c r="VY29" s="96" t="n">
        <f aca="false">[1]ВИБУЛО2!GS21</f>
        <v>0</v>
      </c>
      <c r="VZ29" s="97" t="n">
        <f aca="false">VZ28-VY29+VX29</f>
        <v>0</v>
      </c>
      <c r="WA29" s="95" t="n">
        <f aca="false">[1]НАДІЙШЛО2!GT21</f>
        <v>0</v>
      </c>
      <c r="WB29" s="96" t="n">
        <f aca="false">[1]ВИБУЛО2!GT21</f>
        <v>0</v>
      </c>
      <c r="WC29" s="97" t="n">
        <f aca="false">WC28-WB29+WA29</f>
        <v>0</v>
      </c>
      <c r="WD29" s="95" t="n">
        <f aca="false">[1]НАДІЙШЛО2!GU21</f>
        <v>0</v>
      </c>
      <c r="WE29" s="96" t="n">
        <f aca="false">[1]ВИБУЛО2!GU21</f>
        <v>0</v>
      </c>
      <c r="WF29" s="97" t="n">
        <f aca="false">WF28-WE29+WD29</f>
        <v>0</v>
      </c>
      <c r="WG29" s="95" t="n">
        <f aca="false">[1]НАДІЙШЛО2!GV21</f>
        <v>0</v>
      </c>
      <c r="WH29" s="96" t="n">
        <f aca="false">[1]ВИБУЛО2!GV21</f>
        <v>0</v>
      </c>
      <c r="WI29" s="97" t="n">
        <f aca="false">WI28-WH29+WG29</f>
        <v>0</v>
      </c>
      <c r="WJ29" s="95" t="n">
        <f aca="false">[1]НАДІЙШЛО2!GW21</f>
        <v>0</v>
      </c>
      <c r="WK29" s="96" t="n">
        <f aca="false">[1]ВИБУЛО2!GW21</f>
        <v>0</v>
      </c>
      <c r="WL29" s="97" t="n">
        <f aca="false">WL28-WK29+WJ29</f>
        <v>0</v>
      </c>
      <c r="WM29" s="95" t="n">
        <f aca="false">[1]НАДІЙШЛО2!GX21</f>
        <v>0</v>
      </c>
      <c r="WN29" s="96" t="n">
        <f aca="false">[1]ВИБУЛО2!GX21</f>
        <v>0</v>
      </c>
      <c r="WO29" s="97" t="n">
        <f aca="false">WO28-WN29+WM29</f>
        <v>0</v>
      </c>
      <c r="WP29" s="95" t="n">
        <f aca="false">[1]НАДІЙШЛО2!GY21</f>
        <v>0</v>
      </c>
      <c r="WQ29" s="96" t="n">
        <f aca="false">[1]ВИБУЛО2!GY21</f>
        <v>0</v>
      </c>
      <c r="WR29" s="97" t="n">
        <f aca="false">WR28-WQ29+WP29</f>
        <v>0</v>
      </c>
      <c r="WS29" s="95" t="n">
        <f aca="false">[1]НАДІЙШЛО2!GZ21</f>
        <v>0</v>
      </c>
      <c r="WT29" s="96" t="n">
        <f aca="false">[1]ВИБУЛО2!GZ21</f>
        <v>0</v>
      </c>
      <c r="WU29" s="97" t="n">
        <f aca="false">WU28-WT29+WS29</f>
        <v>0</v>
      </c>
      <c r="WV29" s="95" t="n">
        <f aca="false">[1]НАДІЙШЛО2!HA21</f>
        <v>0</v>
      </c>
      <c r="WW29" s="96" t="n">
        <f aca="false">[1]ВИБУЛО2!HA21</f>
        <v>0</v>
      </c>
      <c r="WX29" s="97" t="n">
        <f aca="false">WX28-WW29+WV29</f>
        <v>0</v>
      </c>
      <c r="WY29" s="95" t="n">
        <f aca="false">[1]НАДІЙШЛО2!HB21</f>
        <v>0</v>
      </c>
      <c r="WZ29" s="96" t="n">
        <f aca="false">[1]ВИБУЛО2!HB21</f>
        <v>0</v>
      </c>
      <c r="XA29" s="97" t="n">
        <f aca="false">XA28-WZ29+WY29</f>
        <v>0</v>
      </c>
      <c r="XB29" s="95" t="n">
        <f aca="false">[1]НАДІЙШЛО2!HC21</f>
        <v>0</v>
      </c>
      <c r="XC29" s="96" t="n">
        <f aca="false">[1]ВИБУЛО2!HC21</f>
        <v>0</v>
      </c>
      <c r="XD29" s="97" t="n">
        <f aca="false">XD28-XC29+XB29</f>
        <v>0</v>
      </c>
      <c r="XE29" s="95" t="n">
        <f aca="false">[1]НАДІЙШЛО2!HD21</f>
        <v>0</v>
      </c>
      <c r="XF29" s="96" t="n">
        <f aca="false">[1]ВИБУЛО2!HD21</f>
        <v>0</v>
      </c>
      <c r="XG29" s="97" t="n">
        <f aca="false">XG28-XF29+XE29</f>
        <v>0</v>
      </c>
      <c r="XH29" s="95" t="n">
        <f aca="false">[1]НАДІЙШЛО2!HE21</f>
        <v>0</v>
      </c>
      <c r="XI29" s="96" t="n">
        <f aca="false">[1]ВИБУЛО2!HE21</f>
        <v>0</v>
      </c>
      <c r="XJ29" s="97" t="n">
        <f aca="false">XJ28-XI29+XH29</f>
        <v>0</v>
      </c>
      <c r="XK29" s="95" t="n">
        <f aca="false">[1]НАДІЙШЛО2!HF21</f>
        <v>0</v>
      </c>
      <c r="XL29" s="96" t="n">
        <f aca="false">[1]ВИБУЛО2!HF21</f>
        <v>0</v>
      </c>
      <c r="XM29" s="97" t="n">
        <f aca="false">XM28-XL29+XK29</f>
        <v>0</v>
      </c>
      <c r="XN29" s="95" t="n">
        <f aca="false">[1]НАДІЙШЛО2!HG21</f>
        <v>0</v>
      </c>
      <c r="XO29" s="96" t="n">
        <f aca="false">[1]ВИБУЛО2!HG21</f>
        <v>0</v>
      </c>
      <c r="XP29" s="97" t="n">
        <f aca="false">XP28-XO29+XN29</f>
        <v>0</v>
      </c>
      <c r="XQ29" s="95" t="n">
        <f aca="false">[1]НАДІЙШЛО2!HH21</f>
        <v>0</v>
      </c>
      <c r="XR29" s="96" t="n">
        <f aca="false">[1]ВИБУЛО2!HH21</f>
        <v>0</v>
      </c>
      <c r="XS29" s="97" t="n">
        <f aca="false">XS28-XR29+XQ29</f>
        <v>0</v>
      </c>
      <c r="XT29" s="95" t="n">
        <f aca="false">[1]НАДІЙШЛО2!HI21</f>
        <v>0</v>
      </c>
      <c r="XU29" s="96" t="n">
        <f aca="false">[1]ВИБУЛО2!HI21</f>
        <v>0</v>
      </c>
      <c r="XV29" s="97" t="n">
        <f aca="false">XV28-XU29+XT29</f>
        <v>0</v>
      </c>
      <c r="XW29" s="95" t="n">
        <f aca="false">[1]НАДІЙШЛО2!HJ21</f>
        <v>0</v>
      </c>
      <c r="XX29" s="96" t="n">
        <f aca="false">[1]ВИБУЛО2!HJ21</f>
        <v>0</v>
      </c>
      <c r="XY29" s="97" t="n">
        <f aca="false">XY28-XX29+XW29</f>
        <v>0</v>
      </c>
      <c r="XZ29" s="95" t="n">
        <f aca="false">[1]НАДІЙШЛО2!HK21</f>
        <v>0</v>
      </c>
      <c r="YA29" s="96" t="n">
        <f aca="false">[1]ВИБУЛО2!HK21</f>
        <v>0</v>
      </c>
      <c r="YB29" s="97" t="n">
        <f aca="false">YB28-YA29+XZ29</f>
        <v>0</v>
      </c>
      <c r="YC29" s="95" t="n">
        <f aca="false">[1]НАДІЙШЛО2!HL21</f>
        <v>0</v>
      </c>
      <c r="YD29" s="96" t="n">
        <f aca="false">[1]ВИБУЛО2!HL21</f>
        <v>0</v>
      </c>
      <c r="YE29" s="97" t="n">
        <f aca="false">YE28-YD29+YC29</f>
        <v>0</v>
      </c>
      <c r="YF29" s="95" t="n">
        <f aca="false">[1]НАДІЙШЛО2!HM21</f>
        <v>0</v>
      </c>
      <c r="YG29" s="96" t="n">
        <f aca="false">[1]ВИБУЛО2!HM21</f>
        <v>0</v>
      </c>
      <c r="YH29" s="97" t="n">
        <f aca="false">YH28-YG29+YF29</f>
        <v>0</v>
      </c>
      <c r="YI29" s="95" t="n">
        <f aca="false">[1]НАДІЙШЛО2!HN21</f>
        <v>0</v>
      </c>
      <c r="YJ29" s="96" t="n">
        <f aca="false">[1]ВИБУЛО2!HN21</f>
        <v>0</v>
      </c>
      <c r="YK29" s="97" t="n">
        <f aca="false">YK28-YJ29+YI29</f>
        <v>0</v>
      </c>
      <c r="YL29" s="95" t="n">
        <f aca="false">[1]НАДІЙШЛО2!HO21</f>
        <v>0</v>
      </c>
      <c r="YM29" s="96" t="n">
        <f aca="false">[1]ВИБУЛО2!HO21</f>
        <v>0</v>
      </c>
      <c r="YN29" s="97" t="n">
        <f aca="false">YN28-YM29+YL29</f>
        <v>0</v>
      </c>
      <c r="YO29" s="95" t="n">
        <f aca="false">[1]НАДІЙШЛО2!HP21</f>
        <v>0</v>
      </c>
      <c r="YP29" s="96" t="n">
        <f aca="false">[1]ВИБУЛО2!HP21</f>
        <v>0</v>
      </c>
      <c r="YQ29" s="97" t="n">
        <f aca="false">YQ28-YP29+YO29</f>
        <v>0</v>
      </c>
      <c r="YR29" s="95" t="n">
        <f aca="false">[1]НАДІЙШЛО2!HQ21</f>
        <v>0</v>
      </c>
      <c r="YS29" s="96" t="n">
        <f aca="false">[1]ВИБУЛО2!HQ21</f>
        <v>0</v>
      </c>
      <c r="YT29" s="97" t="n">
        <f aca="false">YT28-YS29+YR29</f>
        <v>0</v>
      </c>
      <c r="YU29" s="95" t="n">
        <f aca="false">[1]НАДІЙШЛО2!HR21</f>
        <v>0</v>
      </c>
      <c r="YV29" s="96" t="n">
        <f aca="false">[1]ВИБУЛО2!HR21</f>
        <v>0</v>
      </c>
      <c r="YW29" s="97" t="n">
        <f aca="false">YW28-YV29+YU29</f>
        <v>0</v>
      </c>
      <c r="YX29" s="95" t="n">
        <f aca="false">[1]НАДІЙШЛО2!HS21</f>
        <v>0</v>
      </c>
      <c r="YY29" s="96" t="n">
        <f aca="false">[1]ВИБУЛО2!HS21</f>
        <v>0</v>
      </c>
      <c r="YZ29" s="97" t="n">
        <f aca="false">YZ28-YY29+YX29</f>
        <v>0</v>
      </c>
      <c r="ZA29" s="95" t="n">
        <f aca="false">[1]НАДІЙШЛО2!HT21</f>
        <v>0</v>
      </c>
      <c r="ZB29" s="96" t="n">
        <f aca="false">[1]ВИБУЛО2!HT21</f>
        <v>0</v>
      </c>
      <c r="ZC29" s="97" t="n">
        <f aca="false">ZC28-ZB29+ZA29</f>
        <v>0</v>
      </c>
      <c r="ZD29" s="95" t="n">
        <f aca="false">[1]НАДІЙШЛО2!HU21</f>
        <v>0</v>
      </c>
      <c r="ZE29" s="96" t="n">
        <f aca="false">[1]ВИБУЛО2!HU21</f>
        <v>0</v>
      </c>
      <c r="ZF29" s="97" t="n">
        <f aca="false">ZF28-ZE29+ZD29</f>
        <v>0</v>
      </c>
      <c r="ZG29" s="95" t="n">
        <f aca="false">[1]НАДІЙШЛО2!HV21</f>
        <v>0</v>
      </c>
      <c r="ZH29" s="96" t="n">
        <f aca="false">[1]ВИБУЛО2!HV21</f>
        <v>0</v>
      </c>
      <c r="ZI29" s="97" t="n">
        <f aca="false">ZI28-ZH29+ZG29</f>
        <v>0</v>
      </c>
      <c r="ZJ29" s="95" t="n">
        <f aca="false">[1]НАДІЙШЛО2!HW21</f>
        <v>0</v>
      </c>
      <c r="ZK29" s="96" t="n">
        <f aca="false">[1]ВИБУЛО2!HW21</f>
        <v>0</v>
      </c>
      <c r="ZL29" s="97" t="n">
        <f aca="false">ZL28-ZK29+ZJ29</f>
        <v>0</v>
      </c>
      <c r="ZM29" s="95" t="n">
        <f aca="false">[1]НАДІЙШЛО2!HX21</f>
        <v>0</v>
      </c>
      <c r="ZN29" s="96" t="n">
        <f aca="false">[1]ВИБУЛО2!HX21</f>
        <v>0</v>
      </c>
      <c r="ZO29" s="97" t="n">
        <f aca="false">ZO28-ZN29+ZM29</f>
        <v>0</v>
      </c>
      <c r="ZP29" s="95" t="n">
        <f aca="false">[1]НАДІЙШЛО2!HY21</f>
        <v>0</v>
      </c>
      <c r="ZQ29" s="96" t="n">
        <f aca="false">[1]ВИБУЛО2!HY21</f>
        <v>0</v>
      </c>
      <c r="ZR29" s="97" t="n">
        <f aca="false">ZR28-ZQ29+ZP29</f>
        <v>0</v>
      </c>
      <c r="ZS29" s="95" t="n">
        <f aca="false">[1]НАДІЙШЛО2!HZ21</f>
        <v>0</v>
      </c>
      <c r="ZT29" s="96" t="n">
        <f aca="false">[1]ВИБУЛО2!HZ21</f>
        <v>0</v>
      </c>
      <c r="ZU29" s="97" t="n">
        <f aca="false">ZU28-ZT29+ZS29</f>
        <v>0</v>
      </c>
      <c r="ZV29" s="95" t="n">
        <f aca="false">[1]НАДІЙШЛО2!IA21</f>
        <v>0</v>
      </c>
      <c r="ZW29" s="96" t="n">
        <f aca="false">[1]ВИБУЛО2!IA21</f>
        <v>0</v>
      </c>
      <c r="ZX29" s="97" t="n">
        <f aca="false">ZX28-ZW29+ZV29</f>
        <v>0</v>
      </c>
      <c r="ZY29" s="95" t="n">
        <f aca="false">[1]НАДІЙШЛО2!IB21</f>
        <v>0</v>
      </c>
      <c r="ZZ29" s="96" t="n">
        <f aca="false">[1]ВИБУЛО2!IB21</f>
        <v>0</v>
      </c>
      <c r="AAA29" s="97" t="n">
        <f aca="false">AAA28-ZZ29+ZY29</f>
        <v>0</v>
      </c>
      <c r="AAB29" s="95" t="n">
        <f aca="false">[1]НАДІЙШЛО2!IC21</f>
        <v>0</v>
      </c>
      <c r="AAC29" s="96" t="n">
        <f aca="false">[1]ВИБУЛО2!IC21</f>
        <v>0</v>
      </c>
      <c r="AAD29" s="97" t="n">
        <f aca="false">AAD28-AAC29+AAB29</f>
        <v>0</v>
      </c>
      <c r="AAE29" s="95" t="n">
        <f aca="false">[1]НАДІЙШЛО2!ID21</f>
        <v>0</v>
      </c>
      <c r="AAF29" s="96" t="n">
        <f aca="false">[1]ВИБУЛО2!ID21</f>
        <v>0</v>
      </c>
      <c r="AAG29" s="97" t="n">
        <f aca="false">AAG28-AAF29+AAE29</f>
        <v>0</v>
      </c>
      <c r="AAH29" s="95" t="n">
        <f aca="false">[1]НАДІЙШЛО2!IE21</f>
        <v>0</v>
      </c>
      <c r="AAI29" s="96" t="n">
        <f aca="false">[1]ВИБУЛО2!IE21</f>
        <v>0</v>
      </c>
      <c r="AAJ29" s="97" t="n">
        <f aca="false">AAJ28-AAI29+AAH29</f>
        <v>0</v>
      </c>
      <c r="AAK29" s="95" t="n">
        <f aca="false">[1]НАДІЙШЛО2!IF21</f>
        <v>0</v>
      </c>
      <c r="AAL29" s="96" t="n">
        <f aca="false">[1]ВИБУЛО2!IF21</f>
        <v>0</v>
      </c>
      <c r="AAM29" s="97" t="n">
        <f aca="false">AAM28-AAL29+AAK29</f>
        <v>0</v>
      </c>
      <c r="AAN29" s="95" t="n">
        <f aca="false">[1]НАДІЙШЛО2!IG21</f>
        <v>0</v>
      </c>
      <c r="AAO29" s="96" t="n">
        <f aca="false">[1]ВИБУЛО2!IG21</f>
        <v>0</v>
      </c>
      <c r="AAP29" s="97" t="n">
        <f aca="false">AAP28-AAO29+AAN29</f>
        <v>0</v>
      </c>
      <c r="AAQ29" s="95" t="n">
        <f aca="false">[1]НАДІЙШЛО2!IH21</f>
        <v>0</v>
      </c>
      <c r="AAR29" s="96" t="n">
        <f aca="false">[1]ВИБУЛО2!IH21</f>
        <v>0</v>
      </c>
      <c r="AAS29" s="97" t="n">
        <f aca="false">AAS28-AAR29+AAQ29</f>
        <v>0</v>
      </c>
      <c r="AAT29" s="95" t="n">
        <f aca="false">[1]НАДІЙШЛО2!II21</f>
        <v>0</v>
      </c>
      <c r="AAU29" s="96" t="n">
        <f aca="false">[1]ВИБУЛО2!II21</f>
        <v>0</v>
      </c>
      <c r="AAV29" s="97" t="n">
        <f aca="false">AAV28-AAU29+AAT29</f>
        <v>0</v>
      </c>
      <c r="AAW29" s="95" t="n">
        <f aca="false">[1]НАДІЙШЛО2!IJ21</f>
        <v>0</v>
      </c>
      <c r="AAX29" s="96" t="n">
        <f aca="false">[1]ВИБУЛО2!IJ21</f>
        <v>0</v>
      </c>
      <c r="AAY29" s="97" t="n">
        <f aca="false">AAY28-AAX29+AAW29</f>
        <v>0</v>
      </c>
      <c r="AAZ29" s="95" t="n">
        <f aca="false">[1]НАДІЙШЛО2!IK21</f>
        <v>0</v>
      </c>
      <c r="ABA29" s="96" t="n">
        <f aca="false">[1]ВИБУЛО2!IK21</f>
        <v>0</v>
      </c>
      <c r="ABB29" s="97" t="n">
        <f aca="false">ABB28-ABA29+AAZ29</f>
        <v>0</v>
      </c>
      <c r="ABC29" s="95" t="n">
        <f aca="false">[1]НАДІЙШЛО2!IL21</f>
        <v>0</v>
      </c>
      <c r="ABD29" s="96" t="n">
        <f aca="false">[1]ВИБУЛО2!IL21</f>
        <v>0</v>
      </c>
      <c r="ABE29" s="97" t="n">
        <f aca="false">ABE28-ABD29+ABC29</f>
        <v>0</v>
      </c>
      <c r="ABF29" s="95" t="n">
        <f aca="false">[1]НАДІЙШЛО2!IM21</f>
        <v>0</v>
      </c>
      <c r="ABG29" s="96" t="n">
        <f aca="false">[1]ВИБУЛО2!IM21</f>
        <v>0</v>
      </c>
      <c r="ABH29" s="97" t="n">
        <f aca="false">ABH28-ABG29+ABF29</f>
        <v>0</v>
      </c>
      <c r="ABI29" s="95" t="n">
        <f aca="false">[1]НАДІЙШЛО2!IN21</f>
        <v>0</v>
      </c>
      <c r="ABJ29" s="96" t="n">
        <f aca="false">[1]ВИБУЛО2!IN21</f>
        <v>0</v>
      </c>
      <c r="ABK29" s="97" t="n">
        <f aca="false">ABK28-ABJ29+ABI29</f>
        <v>0</v>
      </c>
      <c r="ABL29" s="95" t="n">
        <f aca="false">[1]НАДІЙШЛО2!IO21</f>
        <v>0</v>
      </c>
      <c r="ABM29" s="96" t="n">
        <f aca="false">[1]ВИБУЛО2!IO21</f>
        <v>0</v>
      </c>
      <c r="ABN29" s="97" t="n">
        <f aca="false">ABN28-ABM29+ABL29</f>
        <v>0</v>
      </c>
      <c r="ABO29" s="95" t="n">
        <f aca="false">[1]НАДІЙШЛО2!IP21</f>
        <v>0</v>
      </c>
      <c r="ABP29" s="96" t="n">
        <f aca="false">[1]ВИБУЛО2!IP21</f>
        <v>0</v>
      </c>
      <c r="ABQ29" s="97" t="n">
        <f aca="false">ABQ28-ABP29+ABO29</f>
        <v>0</v>
      </c>
      <c r="ABR29" s="95" t="n">
        <f aca="false">[1]НАДІЙШЛО2!IQ21</f>
        <v>0</v>
      </c>
      <c r="ABS29" s="96" t="n">
        <f aca="false">[1]ВИБУЛО2!IQ21</f>
        <v>0</v>
      </c>
      <c r="ABT29" s="97" t="n">
        <f aca="false">ABT28-ABS29+ABR29</f>
        <v>0</v>
      </c>
      <c r="ABU29" s="95" t="n">
        <f aca="false">[1]НАДІЙШЛО2!IR21</f>
        <v>0</v>
      </c>
      <c r="ABV29" s="96" t="n">
        <f aca="false">[1]ВИБУЛО2!IR21</f>
        <v>0</v>
      </c>
      <c r="ABW29" s="97" t="n">
        <f aca="false">ABW28-ABV29+ABU29</f>
        <v>0</v>
      </c>
      <c r="ABX29" s="95" t="n">
        <f aca="false">[1]НАДІЙШЛО2!IS21</f>
        <v>0</v>
      </c>
      <c r="ABY29" s="96" t="n">
        <f aca="false">[1]ВИБУЛО2!IS21</f>
        <v>0</v>
      </c>
      <c r="ABZ29" s="97" t="n">
        <f aca="false">ABZ28-ABY29+ABX29</f>
        <v>0</v>
      </c>
      <c r="ACA29" s="95" t="n">
        <f aca="false">[1]НАДІЙШЛО2!IT21</f>
        <v>0</v>
      </c>
      <c r="ACB29" s="96" t="n">
        <f aca="false">[1]ВИБУЛО2!IT21</f>
        <v>0</v>
      </c>
      <c r="ACC29" s="97" t="n">
        <f aca="false">ACC28-ACB29+ACA29</f>
        <v>0</v>
      </c>
      <c r="ACD29" s="95" t="n">
        <f aca="false">[1]НАДІЙШЛО2!IU21</f>
        <v>0</v>
      </c>
      <c r="ACE29" s="96" t="n">
        <f aca="false">[1]ВИБУЛО2!IU21</f>
        <v>0</v>
      </c>
      <c r="ACF29" s="97" t="n">
        <f aca="false">ACF28-ACE29+ACD29</f>
        <v>0</v>
      </c>
      <c r="ACG29" s="95" t="n">
        <f aca="false">[1]НАДІЙШЛО2!IV21</f>
        <v>0</v>
      </c>
      <c r="ACH29" s="96" t="n">
        <f aca="false">[1]ВИБУЛО2!IV21</f>
        <v>0</v>
      </c>
      <c r="ACI29" s="97" t="n">
        <f aca="false">ACI28-ACH29+ACG29</f>
        <v>0</v>
      </c>
      <c r="ACJ29" s="95" t="n">
        <f aca="false">[1]НАДІЙШЛО2!IW21</f>
        <v>0</v>
      </c>
      <c r="ACK29" s="96" t="n">
        <f aca="false">[1]ВИБУЛО2!IW21</f>
        <v>0</v>
      </c>
      <c r="ACL29" s="97" t="n">
        <f aca="false">ACL28-ACK29+ACJ29</f>
        <v>0</v>
      </c>
      <c r="ACM29" s="95" t="n">
        <f aca="false">[1]НАДІЙШЛО2!IX21</f>
        <v>0</v>
      </c>
      <c r="ACN29" s="96" t="n">
        <f aca="false">[1]ВИБУЛО2!IX21</f>
        <v>0</v>
      </c>
      <c r="ACO29" s="97" t="n">
        <f aca="false">ACO28-ACN29+ACM29</f>
        <v>0</v>
      </c>
      <c r="ACP29" s="95" t="n">
        <f aca="false">[1]НАДІЙШЛО2!IY21</f>
        <v>0</v>
      </c>
      <c r="ACQ29" s="96" t="n">
        <f aca="false">[1]ВИБУЛО2!IY21</f>
        <v>0</v>
      </c>
      <c r="ACR29" s="97" t="n">
        <f aca="false">ACR28-ACQ29+ACP29</f>
        <v>0</v>
      </c>
      <c r="ACS29" s="95" t="n">
        <f aca="false">[1]НАДІЙШЛО2!IZ21</f>
        <v>0</v>
      </c>
      <c r="ACT29" s="96" t="n">
        <f aca="false">[1]ВИБУЛО2!IZ21</f>
        <v>0</v>
      </c>
      <c r="ACU29" s="97" t="n">
        <f aca="false">ACU28-ACT29+ACS29</f>
        <v>0</v>
      </c>
      <c r="ACV29" s="95" t="n">
        <f aca="false">[1]НАДІЙШЛО2!JA21</f>
        <v>0</v>
      </c>
      <c r="ACW29" s="96" t="n">
        <f aca="false">[1]ВИБУЛО2!JA21</f>
        <v>0</v>
      </c>
      <c r="ACX29" s="97" t="n">
        <f aca="false">ACX28-ACW29+ACV29</f>
        <v>0</v>
      </c>
      <c r="ACY29" s="95" t="n">
        <f aca="false">[1]НАДІЙШЛО2!JB21</f>
        <v>0</v>
      </c>
      <c r="ACZ29" s="96" t="n">
        <f aca="false">[1]ВИБУЛО2!JB21</f>
        <v>0</v>
      </c>
      <c r="ADA29" s="97" t="n">
        <f aca="false">ADA28-ACZ29+ACY29</f>
        <v>0</v>
      </c>
      <c r="ADB29" s="95" t="n">
        <f aca="false">[1]НАДІЙШЛО2!JC21</f>
        <v>0</v>
      </c>
      <c r="ADC29" s="96" t="n">
        <f aca="false">[1]ВИБУЛО2!JC21</f>
        <v>0</v>
      </c>
      <c r="ADD29" s="97" t="n">
        <f aca="false">ADD28-ADC29+ADB29</f>
        <v>0</v>
      </c>
      <c r="ADE29" s="95" t="n">
        <f aca="false">[1]НАДІЙШЛО2!JD21</f>
        <v>0</v>
      </c>
      <c r="ADF29" s="96" t="n">
        <f aca="false">[1]ВИБУЛО2!JD21</f>
        <v>0</v>
      </c>
      <c r="ADG29" s="97" t="n">
        <f aca="false">ADG28-ADF29+ADE29</f>
        <v>0</v>
      </c>
      <c r="ADH29" s="95" t="n">
        <f aca="false">[1]НАДІЙШЛО2!JE21</f>
        <v>0</v>
      </c>
      <c r="ADI29" s="96" t="n">
        <f aca="false">[1]ВИБУЛО2!JE21</f>
        <v>0</v>
      </c>
      <c r="ADJ29" s="97" t="n">
        <f aca="false">ADJ28-ADI29+ADH29</f>
        <v>0</v>
      </c>
      <c r="ADK29" s="95" t="n">
        <f aca="false">[1]НАДІЙШЛО2!JF21</f>
        <v>0</v>
      </c>
      <c r="ADL29" s="96" t="n">
        <f aca="false">[1]ВИБУЛО2!JF21</f>
        <v>0</v>
      </c>
      <c r="ADM29" s="97" t="n">
        <f aca="false">ADM28-ADL29+ADK29</f>
        <v>0</v>
      </c>
      <c r="ADN29" s="95" t="n">
        <f aca="false">[1]НАДІЙШЛО2!JG21</f>
        <v>0</v>
      </c>
      <c r="ADO29" s="96" t="n">
        <f aca="false">[1]ВИБУЛО2!JG21</f>
        <v>0</v>
      </c>
      <c r="ADP29" s="97" t="n">
        <f aca="false">ADP28-ADO29+ADN29</f>
        <v>0</v>
      </c>
      <c r="ADQ29" s="95" t="n">
        <f aca="false">[1]НАДІЙШЛО2!JH21</f>
        <v>0</v>
      </c>
      <c r="ADR29" s="96" t="n">
        <f aca="false">[1]ВИБУЛО2!JH21</f>
        <v>0</v>
      </c>
      <c r="ADS29" s="97" t="n">
        <f aca="false">ADS28-ADR29+ADQ29</f>
        <v>0</v>
      </c>
      <c r="ADT29" s="95" t="n">
        <f aca="false">[1]НАДІЙШЛО2!JI21</f>
        <v>0</v>
      </c>
      <c r="ADU29" s="96" t="n">
        <f aca="false">[1]ВИБУЛО2!JI21</f>
        <v>0</v>
      </c>
      <c r="ADV29" s="97" t="n">
        <f aca="false">ADV28-ADU29+ADT29</f>
        <v>0</v>
      </c>
      <c r="ADW29" s="95" t="n">
        <f aca="false">[1]НАДІЙШЛО2!JJ21</f>
        <v>0</v>
      </c>
      <c r="ADX29" s="96" t="n">
        <f aca="false">[1]ВИБУЛО2!JJ21</f>
        <v>0</v>
      </c>
      <c r="ADY29" s="97" t="n">
        <f aca="false">ADY28-ADX29+ADW29</f>
        <v>0</v>
      </c>
      <c r="ADZ29" s="95" t="n">
        <f aca="false">[1]НАДІЙШЛО2!JK21</f>
        <v>0</v>
      </c>
      <c r="AEA29" s="96" t="n">
        <f aca="false">[1]ВИБУЛО2!JK21</f>
        <v>0</v>
      </c>
      <c r="AEB29" s="97" t="n">
        <f aca="false">AEB28-AEA29+ADZ29</f>
        <v>0</v>
      </c>
      <c r="AEC29" s="95" t="n">
        <f aca="false">[1]НАДІЙШЛО2!JL21</f>
        <v>0</v>
      </c>
      <c r="AED29" s="96" t="n">
        <f aca="false">[1]ВИБУЛО2!JL21</f>
        <v>0</v>
      </c>
      <c r="AEE29" s="97" t="n">
        <f aca="false">AEE28-AED29+AEC29</f>
        <v>0</v>
      </c>
      <c r="AEF29" s="95" t="n">
        <f aca="false">[1]НАДІЙШЛО2!JM21</f>
        <v>0</v>
      </c>
      <c r="AEG29" s="96" t="n">
        <f aca="false">[1]ВИБУЛО2!JM21</f>
        <v>0</v>
      </c>
      <c r="AEH29" s="97" t="n">
        <f aca="false">AEH28-AEG29+AEF29</f>
        <v>0</v>
      </c>
      <c r="AEI29" s="95" t="n">
        <f aca="false">[1]НАДІЙШЛО2!JN21</f>
        <v>0</v>
      </c>
      <c r="AEJ29" s="96" t="n">
        <f aca="false">[1]ВИБУЛО2!JN21</f>
        <v>0</v>
      </c>
      <c r="AEK29" s="97" t="n">
        <f aca="false">AEK28-AEJ29+AEI29</f>
        <v>0</v>
      </c>
      <c r="AEL29" s="95" t="n">
        <f aca="false">[1]НАДІЙШЛО2!JO21</f>
        <v>0</v>
      </c>
      <c r="AEM29" s="96" t="n">
        <f aca="false">[1]ВИБУЛО2!JO21</f>
        <v>0</v>
      </c>
      <c r="AEN29" s="97" t="n">
        <f aca="false">AEN28-AEM29+AEL29</f>
        <v>0</v>
      </c>
      <c r="AEO29" s="95" t="n">
        <f aca="false">[1]НАДІЙШЛО2!JP21</f>
        <v>0</v>
      </c>
      <c r="AEP29" s="96" t="n">
        <f aca="false">[1]ВИБУЛО2!JP21</f>
        <v>0</v>
      </c>
      <c r="AEQ29" s="97" t="n">
        <f aca="false">AEQ28-AEP29+AEO29</f>
        <v>0</v>
      </c>
      <c r="AER29" s="95" t="n">
        <f aca="false">[1]НАДІЙШЛО2!JQ21</f>
        <v>0</v>
      </c>
      <c r="AES29" s="96" t="n">
        <f aca="false">[1]ВИБУЛО2!JQ21</f>
        <v>0</v>
      </c>
      <c r="AET29" s="97" t="n">
        <f aca="false">AET28-AES29+AER29</f>
        <v>0</v>
      </c>
      <c r="AEU29" s="95" t="n">
        <f aca="false">[1]НАДІЙШЛО2!JR21</f>
        <v>0</v>
      </c>
      <c r="AEV29" s="96" t="n">
        <f aca="false">[1]ВИБУЛО2!JR21</f>
        <v>0</v>
      </c>
      <c r="AEW29" s="97" t="n">
        <f aca="false">AEW28-AEV29+AEU29</f>
        <v>0</v>
      </c>
      <c r="AEX29" s="95" t="n">
        <f aca="false">[1]НАДІЙШЛО2!JS21</f>
        <v>0</v>
      </c>
      <c r="AEY29" s="96" t="n">
        <f aca="false">[1]ВИБУЛО2!JS21</f>
        <v>0</v>
      </c>
      <c r="AEZ29" s="97" t="n">
        <f aca="false">AEZ28-AEY29+AEX29</f>
        <v>0</v>
      </c>
      <c r="AFA29" s="95" t="n">
        <f aca="false">[1]НАДІЙШЛО2!JT21</f>
        <v>0</v>
      </c>
      <c r="AFB29" s="96" t="n">
        <f aca="false">[1]ВИБУЛО2!JT21</f>
        <v>0</v>
      </c>
      <c r="AFC29" s="97" t="n">
        <f aca="false">AFC28-AFB29+AFA29</f>
        <v>0</v>
      </c>
      <c r="AFD29" s="95" t="n">
        <f aca="false">[1]НАДІЙШЛО2!JU21</f>
        <v>0</v>
      </c>
      <c r="AFE29" s="96" t="n">
        <f aca="false">[1]ВИБУЛО2!JU21</f>
        <v>0</v>
      </c>
      <c r="AFF29" s="97" t="n">
        <f aca="false">AFF28-AFE29+AFD29</f>
        <v>0</v>
      </c>
      <c r="AFG29" s="95" t="n">
        <f aca="false">[1]НАДІЙШЛО2!JV21</f>
        <v>0</v>
      </c>
      <c r="AFH29" s="96" t="n">
        <f aca="false">[1]ВИБУЛО2!JV21</f>
        <v>0</v>
      </c>
      <c r="AFI29" s="97" t="n">
        <f aca="false">AFI28-AFH29+AFG29</f>
        <v>0</v>
      </c>
      <c r="AFJ29" s="95" t="n">
        <f aca="false">[1]НАДІЙШЛО2!JW21</f>
        <v>0</v>
      </c>
      <c r="AFK29" s="96" t="n">
        <f aca="false">[1]ВИБУЛО2!JW21</f>
        <v>0</v>
      </c>
      <c r="AFL29" s="97" t="n">
        <f aca="false">AFL28-AFK29+AFJ29</f>
        <v>0</v>
      </c>
      <c r="AFM29" s="95" t="n">
        <f aca="false">[1]НАДІЙШЛО2!JX21</f>
        <v>0</v>
      </c>
      <c r="AFN29" s="96" t="n">
        <f aca="false">[1]ВИБУЛО2!JX21</f>
        <v>0</v>
      </c>
      <c r="AFO29" s="97" t="n">
        <f aca="false">AFO28-AFN29+AFM29</f>
        <v>0</v>
      </c>
      <c r="AFP29" s="95" t="n">
        <f aca="false">[1]НАДІЙШЛО2!JY21</f>
        <v>0</v>
      </c>
      <c r="AFQ29" s="96" t="n">
        <f aca="false">[1]ВИБУЛО2!JY21</f>
        <v>0</v>
      </c>
      <c r="AFR29" s="97" t="n">
        <f aca="false">AFR28-AFQ29+AFP29</f>
        <v>0</v>
      </c>
      <c r="AFS29" s="95" t="n">
        <f aca="false">[1]НАДІЙШЛО2!JZ21</f>
        <v>0</v>
      </c>
      <c r="AFT29" s="96" t="n">
        <f aca="false">[1]ВИБУЛО2!JZ21</f>
        <v>0</v>
      </c>
      <c r="AFU29" s="97" t="n">
        <f aca="false">AFU28-AFT29+AFS29</f>
        <v>0</v>
      </c>
      <c r="AFV29" s="95" t="n">
        <f aca="false">[1]НАДІЙШЛО2!KA21</f>
        <v>0</v>
      </c>
      <c r="AFW29" s="96" t="n">
        <f aca="false">[1]ВИБУЛО2!KA21</f>
        <v>0</v>
      </c>
      <c r="AFX29" s="97" t="n">
        <f aca="false">AFX28-AFW29+AFV29</f>
        <v>0</v>
      </c>
      <c r="AFY29" s="95" t="n">
        <f aca="false">[1]НАДІЙШЛО2!KB21</f>
        <v>0</v>
      </c>
      <c r="AFZ29" s="96" t="n">
        <f aca="false">[1]ВИБУЛО2!KB21</f>
        <v>0</v>
      </c>
      <c r="AGA29" s="97" t="n">
        <f aca="false">AGA28-AFZ29+AFY29</f>
        <v>0</v>
      </c>
      <c r="AGB29" s="95" t="n">
        <f aca="false">[1]НАДІЙШЛО2!KC21</f>
        <v>0</v>
      </c>
      <c r="AGC29" s="96" t="n">
        <f aca="false">[1]ВИБУЛО2!KC21</f>
        <v>0</v>
      </c>
      <c r="AGD29" s="97" t="n">
        <f aca="false">AGD28-AGC29+AGB29</f>
        <v>0</v>
      </c>
      <c r="AGE29" s="95" t="n">
        <f aca="false">[1]НАДІЙШЛО2!KD21</f>
        <v>0</v>
      </c>
      <c r="AGF29" s="96" t="n">
        <f aca="false">[1]ВИБУЛО2!KD21</f>
        <v>0</v>
      </c>
      <c r="AGG29" s="97" t="n">
        <f aca="false">AGG28-AGF29+AGE29</f>
        <v>0</v>
      </c>
      <c r="AGH29" s="95" t="n">
        <f aca="false">[1]НАДІЙШЛО2!KE21</f>
        <v>0</v>
      </c>
      <c r="AGI29" s="96" t="n">
        <f aca="false">[1]ВИБУЛО2!KE21</f>
        <v>0</v>
      </c>
      <c r="AGJ29" s="97" t="n">
        <f aca="false">AGJ28-AGI29+AGH29</f>
        <v>0</v>
      </c>
      <c r="AGK29" s="95" t="n">
        <f aca="false">[1]НАДІЙШЛО2!KF21</f>
        <v>0</v>
      </c>
      <c r="AGL29" s="96" t="n">
        <f aca="false">[1]ВИБУЛО2!KF21</f>
        <v>0</v>
      </c>
      <c r="AGM29" s="97" t="n">
        <f aca="false">AGM28-AGL29+AGK29</f>
        <v>0</v>
      </c>
      <c r="AGN29" s="95" t="n">
        <f aca="false">[1]НАДІЙШЛО2!KG21</f>
        <v>0</v>
      </c>
      <c r="AGO29" s="96" t="n">
        <f aca="false">[1]ВИБУЛО2!KG21</f>
        <v>0</v>
      </c>
      <c r="AGP29" s="97" t="n">
        <f aca="false">AGP28-AGO29+AGN29</f>
        <v>0</v>
      </c>
      <c r="AGQ29" s="95" t="n">
        <f aca="false">[1]НАДІЙШЛО2!KH21</f>
        <v>0</v>
      </c>
      <c r="AGR29" s="96" t="n">
        <f aca="false">[1]ВИБУЛО2!KH21</f>
        <v>0</v>
      </c>
      <c r="AGS29" s="97" t="n">
        <f aca="false">AGS28-AGR29+AGQ29</f>
        <v>0</v>
      </c>
      <c r="AGT29" s="95" t="n">
        <f aca="false">[1]НАДІЙШЛО2!KI21</f>
        <v>0</v>
      </c>
      <c r="AGU29" s="96" t="n">
        <f aca="false">[1]ВИБУЛО2!KI21</f>
        <v>0</v>
      </c>
      <c r="AGV29" s="97" t="n">
        <f aca="false">AGV28-AGU29+AGT29</f>
        <v>0</v>
      </c>
      <c r="AGW29" s="95" t="n">
        <f aca="false">[1]НАДІЙШЛО2!KJ21</f>
        <v>0</v>
      </c>
      <c r="AGX29" s="96" t="n">
        <f aca="false">[1]ВИБУЛО2!KJ21</f>
        <v>0</v>
      </c>
      <c r="AGY29" s="97" t="n">
        <f aca="false">AGY28-AGX29+AGW29</f>
        <v>0</v>
      </c>
      <c r="AGZ29" s="95" t="n">
        <f aca="false">[1]НАДІЙШЛО2!KK21</f>
        <v>0</v>
      </c>
      <c r="AHA29" s="96" t="n">
        <f aca="false">[1]ВИБУЛО2!KK21</f>
        <v>0</v>
      </c>
      <c r="AHB29" s="97" t="n">
        <f aca="false">AHB28-AHA29+AGZ29</f>
        <v>0</v>
      </c>
      <c r="AHC29" s="95" t="n">
        <f aca="false">[1]НАДІЙШЛО2!KL21</f>
        <v>0</v>
      </c>
      <c r="AHD29" s="96" t="n">
        <f aca="false">[1]ВИБУЛО2!KL21</f>
        <v>0</v>
      </c>
      <c r="AHE29" s="97" t="n">
        <f aca="false">AHE28-AHD29+AHC29</f>
        <v>0</v>
      </c>
      <c r="AHF29" s="95" t="n">
        <f aca="false">[1]НАДІЙШЛО2!KM21</f>
        <v>0</v>
      </c>
      <c r="AHG29" s="96" t="n">
        <f aca="false">[1]ВИБУЛО2!KM21</f>
        <v>0</v>
      </c>
      <c r="AHH29" s="97" t="n">
        <f aca="false">AHH28-AHG29+AHF29</f>
        <v>0</v>
      </c>
      <c r="AHI29" s="95" t="n">
        <f aca="false">[1]НАДІЙШЛО2!KN21</f>
        <v>0</v>
      </c>
      <c r="AHJ29" s="96" t="n">
        <f aca="false">[1]ВИБУЛО2!KN21</f>
        <v>0</v>
      </c>
      <c r="AHK29" s="97" t="n">
        <f aca="false">AHK28-AHJ29+AHI29</f>
        <v>0</v>
      </c>
      <c r="AHL29" s="95" t="n">
        <f aca="false">[1]НАДІЙШЛО2!KO21</f>
        <v>0</v>
      </c>
      <c r="AHM29" s="96" t="n">
        <f aca="false">[1]ВИБУЛО2!KO21</f>
        <v>0</v>
      </c>
      <c r="AHN29" s="97" t="n">
        <f aca="false">AHN28-AHM29+AHL29</f>
        <v>0</v>
      </c>
      <c r="AHO29" s="95" t="n">
        <f aca="false">[1]НАДІЙШЛО2!KP21</f>
        <v>0</v>
      </c>
      <c r="AHP29" s="96" t="n">
        <f aca="false">[1]ВИБУЛО2!KP21</f>
        <v>0</v>
      </c>
      <c r="AHQ29" s="97" t="n">
        <f aca="false">AHQ28-AHP29+AHO29</f>
        <v>0</v>
      </c>
      <c r="AHR29" s="95" t="n">
        <f aca="false">[1]НАДІЙШЛО2!KQ21</f>
        <v>0</v>
      </c>
      <c r="AHS29" s="96" t="n">
        <f aca="false">[1]ВИБУЛО2!KQ21</f>
        <v>0</v>
      </c>
      <c r="AHT29" s="97" t="n">
        <f aca="false">AHT28-AHS29+AHR29</f>
        <v>0</v>
      </c>
      <c r="AHU29" s="95" t="n">
        <f aca="false">[1]НАДІЙШЛО2!KR21</f>
        <v>0</v>
      </c>
      <c r="AHV29" s="96" t="n">
        <f aca="false">[1]ВИБУЛО2!KR21</f>
        <v>0</v>
      </c>
      <c r="AHW29" s="97" t="n">
        <f aca="false">AHW28-AHV29+AHU29</f>
        <v>0</v>
      </c>
      <c r="AHX29" s="95" t="n">
        <f aca="false">[1]НАДІЙШЛО2!KS21</f>
        <v>0</v>
      </c>
      <c r="AHY29" s="96" t="n">
        <f aca="false">[1]ВИБУЛО2!KS21</f>
        <v>0</v>
      </c>
      <c r="AHZ29" s="97" t="n">
        <f aca="false">AHZ28-AHY29+AHX29</f>
        <v>0</v>
      </c>
      <c r="AIA29" s="95" t="n">
        <f aca="false">[1]НАДІЙШЛО2!KT21</f>
        <v>0</v>
      </c>
      <c r="AIB29" s="96" t="n">
        <f aca="false">[1]ВИБУЛО2!KT21</f>
        <v>0</v>
      </c>
      <c r="AIC29" s="97" t="n">
        <f aca="false">AIC28-AIB29+AIA29</f>
        <v>0</v>
      </c>
      <c r="AID29" s="95" t="n">
        <f aca="false">[1]НАДІЙШЛО2!KU21</f>
        <v>0</v>
      </c>
      <c r="AIE29" s="96" t="n">
        <f aca="false">[1]ВИБУЛО2!KU21</f>
        <v>0</v>
      </c>
      <c r="AIF29" s="97" t="n">
        <f aca="false">AIF28-AIE29+AID29</f>
        <v>0</v>
      </c>
      <c r="AIG29" s="95" t="n">
        <f aca="false">[1]НАДІЙШЛО2!KV21</f>
        <v>0</v>
      </c>
      <c r="AIH29" s="96" t="n">
        <f aca="false">[1]ВИБУЛО2!KV21</f>
        <v>0</v>
      </c>
      <c r="AII29" s="97" t="n">
        <f aca="false">AII28-AIH29+AIG29</f>
        <v>0</v>
      </c>
      <c r="AIJ29" s="95" t="n">
        <f aca="false">[1]НАДІЙШЛО2!KW21</f>
        <v>0</v>
      </c>
      <c r="AIK29" s="96" t="n">
        <f aca="false">[1]ВИБУЛО2!KW21</f>
        <v>0</v>
      </c>
      <c r="AIL29" s="97" t="n">
        <f aca="false">AIL28-AIK29+AIJ29</f>
        <v>0</v>
      </c>
      <c r="AIM29" s="95" t="n">
        <f aca="false">[1]НАДІЙШЛО2!KX21</f>
        <v>0</v>
      </c>
      <c r="AIN29" s="96" t="n">
        <f aca="false">[1]ВИБУЛО2!KX21</f>
        <v>0</v>
      </c>
      <c r="AIO29" s="97" t="n">
        <f aca="false">AIO28-AIN29+AIM29</f>
        <v>0</v>
      </c>
      <c r="AIP29" s="95" t="n">
        <f aca="false">[1]НАДІЙШЛО2!KY21</f>
        <v>0</v>
      </c>
      <c r="AIQ29" s="96" t="n">
        <f aca="false">[1]ВИБУЛО2!KY21</f>
        <v>0</v>
      </c>
      <c r="AIR29" s="97" t="n">
        <f aca="false">AIR28-AIQ29+AIP29</f>
        <v>0</v>
      </c>
      <c r="AIS29" s="95" t="n">
        <f aca="false">[1]НАДІЙШЛО2!KZ21</f>
        <v>0</v>
      </c>
      <c r="AIT29" s="96" t="n">
        <f aca="false">[1]ВИБУЛО2!KZ21</f>
        <v>0</v>
      </c>
      <c r="AIU29" s="97" t="n">
        <f aca="false">AIU28-AIT29+AIS29</f>
        <v>0</v>
      </c>
      <c r="AIV29" s="95" t="n">
        <f aca="false">[1]НАДІЙШЛО2!LA21</f>
        <v>0</v>
      </c>
      <c r="AIW29" s="96" t="n">
        <f aca="false">[1]ВИБУЛО2!LA21</f>
        <v>0</v>
      </c>
      <c r="AIX29" s="97" t="n">
        <f aca="false">AIX28-AIW29+AIV29</f>
        <v>0</v>
      </c>
      <c r="AIY29" s="95" t="n">
        <f aca="false">[1]НАДІЙШЛО2!LB21</f>
        <v>0</v>
      </c>
      <c r="AIZ29" s="96" t="n">
        <f aca="false">[1]ВИБУЛО2!LB21</f>
        <v>0</v>
      </c>
      <c r="AJA29" s="97" t="n">
        <f aca="false">AJA28-AIZ29+AIY29</f>
        <v>0</v>
      </c>
      <c r="AJB29" s="95" t="n">
        <f aca="false">[1]НАДІЙШЛО2!LC21</f>
        <v>0</v>
      </c>
      <c r="AJC29" s="96" t="n">
        <f aca="false">[1]ВИБУЛО2!LC21</f>
        <v>0</v>
      </c>
      <c r="AJD29" s="97" t="n">
        <f aca="false">AJD28-AJC29+AJB29</f>
        <v>0</v>
      </c>
      <c r="AJE29" s="95" t="n">
        <f aca="false">[1]НАДІЙШЛО2!LD21</f>
        <v>0</v>
      </c>
      <c r="AJF29" s="96" t="n">
        <f aca="false">[1]ВИБУЛО2!LD21</f>
        <v>0</v>
      </c>
      <c r="AJG29" s="97" t="n">
        <f aca="false">AJG28-AJF29+AJE29</f>
        <v>0</v>
      </c>
      <c r="AJH29" s="95" t="n">
        <f aca="false">[1]НАДІЙШЛО2!LE21</f>
        <v>0</v>
      </c>
      <c r="AJI29" s="96" t="n">
        <f aca="false">[1]ВИБУЛО2!LE21</f>
        <v>0</v>
      </c>
      <c r="AJJ29" s="97" t="n">
        <f aca="false">AJJ28-AJI29+AJH29</f>
        <v>0</v>
      </c>
      <c r="AJK29" s="95" t="n">
        <f aca="false">[1]НАДІЙШЛО2!LF21</f>
        <v>0</v>
      </c>
      <c r="AJL29" s="96" t="n">
        <f aca="false">[1]ВИБУЛО2!LF21</f>
        <v>0</v>
      </c>
      <c r="AJM29" s="97" t="n">
        <f aca="false">AJM28-AJL29+AJK29</f>
        <v>0</v>
      </c>
      <c r="AJN29" s="95" t="n">
        <f aca="false">[1]НАДІЙШЛО2!LG21</f>
        <v>0</v>
      </c>
      <c r="AJO29" s="96" t="n">
        <f aca="false">[1]ВИБУЛО2!LG21</f>
        <v>0</v>
      </c>
      <c r="AJP29" s="97" t="n">
        <f aca="false">AJP28-AJO29+AJN29</f>
        <v>0</v>
      </c>
      <c r="AJQ29" s="95" t="n">
        <f aca="false">[1]НАДІЙШЛО2!LH21</f>
        <v>0</v>
      </c>
      <c r="AJR29" s="96" t="n">
        <f aca="false">[1]ВИБУЛО2!LH21</f>
        <v>0</v>
      </c>
      <c r="AJS29" s="97" t="n">
        <f aca="false">AJS28-AJR29+AJQ29</f>
        <v>0</v>
      </c>
      <c r="AJT29" s="95" t="n">
        <f aca="false">[1]НАДІЙШЛО2!LI21</f>
        <v>0</v>
      </c>
      <c r="AJU29" s="96" t="n">
        <f aca="false">[1]ВИБУЛО2!LI21</f>
        <v>0</v>
      </c>
      <c r="AJV29" s="97" t="n">
        <f aca="false">AJV28-AJU29+AJT29</f>
        <v>0</v>
      </c>
      <c r="AJW29" s="95" t="n">
        <f aca="false">[1]НАДІЙШЛО2!LJ21</f>
        <v>0</v>
      </c>
      <c r="AJX29" s="96" t="n">
        <f aca="false">[1]ВИБУЛО2!LJ21</f>
        <v>0</v>
      </c>
      <c r="AJY29" s="97" t="n">
        <f aca="false">AJY28-AJX29+AJW29</f>
        <v>0</v>
      </c>
      <c r="AJZ29" s="95" t="n">
        <f aca="false">[1]НАДІЙШЛО2!LK21</f>
        <v>0</v>
      </c>
      <c r="AKA29" s="96" t="n">
        <f aca="false">[1]ВИБУЛО2!LK21</f>
        <v>0</v>
      </c>
      <c r="AKB29" s="97" t="n">
        <f aca="false">AKB28-AKA29+AJZ29</f>
        <v>0</v>
      </c>
      <c r="AKC29" s="95" t="n">
        <f aca="false">[1]НАДІЙШЛО2!LL21</f>
        <v>0</v>
      </c>
      <c r="AKD29" s="96" t="n">
        <f aca="false">[1]ВИБУЛО2!LL21</f>
        <v>0</v>
      </c>
      <c r="AKE29" s="97" t="n">
        <f aca="false">AKE28-AKD29+AKC29</f>
        <v>0</v>
      </c>
      <c r="AKF29" s="95" t="n">
        <f aca="false">[1]НАДІЙШЛО2!LM21</f>
        <v>0</v>
      </c>
      <c r="AKG29" s="96" t="n">
        <f aca="false">[1]ВИБУЛО2!LM21</f>
        <v>0</v>
      </c>
      <c r="AKH29" s="97" t="n">
        <f aca="false">AKH28-AKG29+AKF29</f>
        <v>0</v>
      </c>
      <c r="AKI29" s="95" t="n">
        <f aca="false">[1]НАДІЙШЛО2!LN21</f>
        <v>0</v>
      </c>
      <c r="AKJ29" s="96" t="n">
        <f aca="false">[1]ВИБУЛО2!LN21</f>
        <v>0</v>
      </c>
      <c r="AKK29" s="97" t="n">
        <f aca="false">AKK28-AKJ29+AKI29</f>
        <v>0</v>
      </c>
      <c r="AKL29" s="95" t="n">
        <f aca="false">[1]НАДІЙШЛО2!LO21</f>
        <v>0</v>
      </c>
      <c r="AKM29" s="96" t="n">
        <f aca="false">[1]ВИБУЛО2!LO21</f>
        <v>0</v>
      </c>
      <c r="AKN29" s="97" t="n">
        <f aca="false">AKN28-AKM29+AKL29</f>
        <v>0</v>
      </c>
      <c r="AKO29" s="95" t="n">
        <f aca="false">[1]НАДІЙШЛО2!LP21</f>
        <v>0</v>
      </c>
      <c r="AKP29" s="96" t="n">
        <f aca="false">[1]ВИБУЛО2!LP21</f>
        <v>0</v>
      </c>
      <c r="AKQ29" s="97" t="n">
        <f aca="false">AKQ28-AKP29+AKO29</f>
        <v>0</v>
      </c>
      <c r="AKR29" s="95" t="n">
        <f aca="false">[1]НАДІЙШЛО2!LQ21</f>
        <v>0</v>
      </c>
      <c r="AKS29" s="96" t="n">
        <f aca="false">[1]ВИБУЛО2!LQ21</f>
        <v>0</v>
      </c>
      <c r="AKT29" s="97" t="n">
        <f aca="false">AKT28-AKS29+AKR29</f>
        <v>0</v>
      </c>
      <c r="AKU29" s="95" t="n">
        <f aca="false">[1]НАДІЙШЛО2!LR21</f>
        <v>0</v>
      </c>
      <c r="AKV29" s="96" t="n">
        <f aca="false">[1]ВИБУЛО2!LR21</f>
        <v>0</v>
      </c>
      <c r="AKW29" s="97" t="n">
        <f aca="false">AKW28-AKV29+AKU29</f>
        <v>0</v>
      </c>
      <c r="AKX29" s="95" t="n">
        <f aca="false">[1]НАДІЙШЛО2!LS21</f>
        <v>0</v>
      </c>
      <c r="AKY29" s="96" t="n">
        <f aca="false">[1]ВИБУЛО2!LS21</f>
        <v>0</v>
      </c>
      <c r="AKZ29" s="97" t="n">
        <f aca="false">AKZ28-AKY29+AKX29</f>
        <v>0</v>
      </c>
      <c r="ALA29" s="95" t="n">
        <f aca="false">[1]НАДІЙШЛО2!LT21</f>
        <v>0</v>
      </c>
      <c r="ALB29" s="96" t="n">
        <f aca="false">[1]ВИБУЛО2!LT21</f>
        <v>0</v>
      </c>
      <c r="ALC29" s="97" t="n">
        <f aca="false">ALC28-ALB29+ALA29</f>
        <v>0</v>
      </c>
      <c r="ALD29" s="95" t="n">
        <f aca="false">[1]НАДІЙШЛО2!LU21</f>
        <v>0</v>
      </c>
      <c r="ALE29" s="96" t="n">
        <f aca="false">[1]ВИБУЛО2!LU21</f>
        <v>0</v>
      </c>
      <c r="ALF29" s="97" t="n">
        <f aca="false">ALF28-ALE29+ALD29</f>
        <v>0</v>
      </c>
      <c r="ALG29" s="95" t="n">
        <f aca="false">[1]НАДІЙШЛО2!LV21</f>
        <v>0</v>
      </c>
      <c r="ALH29" s="96" t="n">
        <f aca="false">[1]ВИБУЛО2!LV21</f>
        <v>0</v>
      </c>
      <c r="ALI29" s="97" t="n">
        <f aca="false">ALI28-ALH29+ALG29</f>
        <v>0</v>
      </c>
      <c r="ALJ29" s="95" t="n">
        <f aca="false">[1]НАДІЙШЛО2!LW21</f>
        <v>0</v>
      </c>
      <c r="ALK29" s="96" t="n">
        <f aca="false">[1]ВИБУЛО2!LW21</f>
        <v>0</v>
      </c>
      <c r="ALL29" s="97" t="n">
        <f aca="false">ALL28-ALK29+ALJ29</f>
        <v>0</v>
      </c>
      <c r="ALM29" s="95" t="n">
        <f aca="false">[1]НАДІЙШЛО2!LX21</f>
        <v>0</v>
      </c>
      <c r="ALN29" s="96" t="n">
        <f aca="false">[1]ВИБУЛО2!LX21</f>
        <v>0</v>
      </c>
      <c r="ALO29" s="97" t="n">
        <f aca="false">ALO28-ALN29+ALM29</f>
        <v>0</v>
      </c>
      <c r="ALP29" s="95" t="n">
        <f aca="false">[1]НАДІЙШЛО2!LY21</f>
        <v>0</v>
      </c>
      <c r="ALQ29" s="96" t="n">
        <f aca="false">[1]ВИБУЛО2!LY21</f>
        <v>0</v>
      </c>
      <c r="ALR29" s="97" t="n">
        <f aca="false">ALR28-ALQ29+ALP29</f>
        <v>0</v>
      </c>
      <c r="ALS29" s="95" t="n">
        <f aca="false">[1]НАДІЙШЛО2!LZ21</f>
        <v>0</v>
      </c>
      <c r="ALT29" s="96" t="n">
        <f aca="false">[1]ВИБУЛО2!LZ21</f>
        <v>0</v>
      </c>
      <c r="ALU29" s="97" t="n">
        <f aca="false">ALU28-ALT29+ALS29</f>
        <v>0</v>
      </c>
      <c r="ALV29" s="95" t="n">
        <f aca="false">[1]НАДІЙШЛО2!MA21</f>
        <v>0</v>
      </c>
      <c r="ALW29" s="96" t="n">
        <f aca="false">[1]ВИБУЛО2!MA21</f>
        <v>0</v>
      </c>
      <c r="ALX29" s="97" t="n">
        <f aca="false">ALX28-ALW29+ALV29</f>
        <v>0</v>
      </c>
      <c r="ALY29" s="95" t="n">
        <f aca="false">[1]НАДІЙШЛО2!MB21</f>
        <v>0</v>
      </c>
      <c r="ALZ29" s="96" t="n">
        <f aca="false">[1]ВИБУЛО2!MB21</f>
        <v>0</v>
      </c>
      <c r="AMA29" s="97" t="n">
        <f aca="false">AMA28-ALZ29+ALY29</f>
        <v>0</v>
      </c>
      <c r="AMB29" s="95" t="n">
        <f aca="false">[1]НАДІЙШЛО2!MC21</f>
        <v>0</v>
      </c>
      <c r="AMC29" s="96" t="n">
        <f aca="false">[1]ВИБУЛО2!MC21</f>
        <v>0</v>
      </c>
      <c r="AMD29" s="97" t="n">
        <f aca="false">AMD28-AMC29+AMB29</f>
        <v>0</v>
      </c>
      <c r="AME29" s="95" t="n">
        <f aca="false">[1]НАДІЙШЛО2!MD21</f>
        <v>0</v>
      </c>
      <c r="AMF29" s="96" t="n">
        <f aca="false">[1]ВИБУЛО2!MD21</f>
        <v>0</v>
      </c>
      <c r="AMG29" s="97" t="n">
        <f aca="false">AMG28-AMF29+AME29</f>
        <v>0</v>
      </c>
      <c r="AMH29" s="95" t="n">
        <f aca="false">[1]НАДІЙШЛО2!ME21</f>
        <v>0</v>
      </c>
      <c r="AMI29" s="96" t="n">
        <f aca="false">[1]ВИБУЛО2!ME21</f>
        <v>0</v>
      </c>
      <c r="AMJ29" s="97" t="n">
        <f aca="false">AMJ28-AMI29+AMH29</f>
        <v>0</v>
      </c>
    </row>
    <row r="30" s="99" customFormat="true" ht="16.5" hidden="false" customHeight="false" outlineLevel="0" collapsed="false">
      <c r="A30" s="98"/>
      <c r="D30" s="103"/>
      <c r="E30" s="95" t="n">
        <f aca="false">[1]НАДІЙШЛО2!D22</f>
        <v>0</v>
      </c>
      <c r="F30" s="96" t="n">
        <f aca="false">[1]ВИБУЛО2!D22</f>
        <v>0</v>
      </c>
      <c r="G30" s="97" t="n">
        <f aca="false">G29-F30+E30</f>
        <v>0</v>
      </c>
      <c r="H30" s="95" t="n">
        <f aca="false">[1]НАДІЙШЛО2!E22</f>
        <v>0</v>
      </c>
      <c r="I30" s="96" t="n">
        <f aca="false">[1]ВИБУЛО2!E22</f>
        <v>0</v>
      </c>
      <c r="J30" s="97" t="n">
        <f aca="false">J29-I30+H30</f>
        <v>0</v>
      </c>
      <c r="K30" s="95" t="n">
        <f aca="false">[1]НАДІЙШЛО2!F22</f>
        <v>0</v>
      </c>
      <c r="L30" s="96" t="n">
        <f aca="false">[1]ВИБУЛО2!F22</f>
        <v>0</v>
      </c>
      <c r="M30" s="97" t="n">
        <f aca="false">M29-L30+K30</f>
        <v>2.06</v>
      </c>
      <c r="N30" s="95" t="n">
        <f aca="false">[1]НАДІЙШЛО2!G22</f>
        <v>0</v>
      </c>
      <c r="O30" s="96" t="n">
        <f aca="false">[1]ВИБУЛО2!G22</f>
        <v>0</v>
      </c>
      <c r="P30" s="97" t="n">
        <f aca="false">P29-O30+N30</f>
        <v>0</v>
      </c>
      <c r="Q30" s="95" t="n">
        <f aca="false">[1]НАДІЙШЛО2!H22</f>
        <v>0</v>
      </c>
      <c r="R30" s="96" t="n">
        <f aca="false">[1]ВИБУЛО2!H22</f>
        <v>0</v>
      </c>
      <c r="S30" s="97" t="n">
        <f aca="false">S29-R30+Q30</f>
        <v>0</v>
      </c>
      <c r="T30" s="95" t="n">
        <f aca="false">[1]НАДІЙШЛО2!I22</f>
        <v>0</v>
      </c>
      <c r="U30" s="96" t="n">
        <f aca="false">[1]ВИБУЛО2!I22</f>
        <v>0</v>
      </c>
      <c r="V30" s="97" t="n">
        <f aca="false">V29-U30+T30</f>
        <v>0</v>
      </c>
      <c r="W30" s="95" t="n">
        <f aca="false">[1]НАДІЙШЛО2!J22</f>
        <v>0</v>
      </c>
      <c r="X30" s="96" t="n">
        <f aca="false">[1]ВИБУЛО2!J22</f>
        <v>0</v>
      </c>
      <c r="Y30" s="97" t="n">
        <f aca="false">Y29-X30+W30</f>
        <v>0</v>
      </c>
      <c r="Z30" s="95" t="n">
        <f aca="false">[1]НАДІЙШЛО2!K22</f>
        <v>0</v>
      </c>
      <c r="AA30" s="96" t="n">
        <f aca="false">[1]ВИБУЛО2!K22</f>
        <v>0</v>
      </c>
      <c r="AB30" s="97" t="n">
        <f aca="false">AB29-AA30+Z30</f>
        <v>0</v>
      </c>
      <c r="AC30" s="95" t="n">
        <f aca="false">[1]НАДІЙШЛО2!L22</f>
        <v>0</v>
      </c>
      <c r="AD30" s="96" t="n">
        <f aca="false">[1]ВИБУЛО2!L22</f>
        <v>0</v>
      </c>
      <c r="AE30" s="97" t="n">
        <f aca="false">AE29-AD30+AC30</f>
        <v>0</v>
      </c>
      <c r="AF30" s="95" t="n">
        <f aca="false">[1]НАДІЙШЛО2!M22</f>
        <v>0</v>
      </c>
      <c r="AG30" s="96" t="n">
        <f aca="false">[1]ВИБУЛО2!M22</f>
        <v>0</v>
      </c>
      <c r="AH30" s="97" t="n">
        <f aca="false">AH29-AG30+AF30</f>
        <v>0</v>
      </c>
      <c r="AI30" s="95" t="n">
        <f aca="false">[1]НАДІЙШЛО2!N22</f>
        <v>0</v>
      </c>
      <c r="AJ30" s="96" t="n">
        <f aca="false">[1]ВИБУЛО2!N22</f>
        <v>0</v>
      </c>
      <c r="AK30" s="97" t="n">
        <f aca="false">AK29-AJ30+AI30</f>
        <v>0</v>
      </c>
      <c r="AL30" s="95" t="n">
        <f aca="false">[1]НАДІЙШЛО2!O22</f>
        <v>0</v>
      </c>
      <c r="AM30" s="96" t="n">
        <f aca="false">[1]ВИБУЛО2!O22</f>
        <v>0</v>
      </c>
      <c r="AN30" s="97" t="n">
        <f aca="false">AN29-AM30+AL30</f>
        <v>0</v>
      </c>
      <c r="AO30" s="95" t="n">
        <f aca="false">[1]НАДІЙШЛО2!P22</f>
        <v>0</v>
      </c>
      <c r="AP30" s="96" t="n">
        <f aca="false">[1]ВИБУЛО2!P22</f>
        <v>0</v>
      </c>
      <c r="AQ30" s="97" t="n">
        <f aca="false">AQ29-AP30+AO30</f>
        <v>0</v>
      </c>
      <c r="AR30" s="95" t="n">
        <f aca="false">[1]НАДІЙШЛО2!Q22</f>
        <v>0</v>
      </c>
      <c r="AS30" s="96" t="n">
        <f aca="false">[1]ВИБУЛО2!Q22</f>
        <v>0</v>
      </c>
      <c r="AT30" s="97" t="n">
        <f aca="false">AT29-AS30+AR30</f>
        <v>0</v>
      </c>
      <c r="AU30" s="95" t="n">
        <f aca="false">[1]НАДІЙШЛО2!R22</f>
        <v>0</v>
      </c>
      <c r="AV30" s="96" t="n">
        <f aca="false">[1]ВИБУЛО2!R22</f>
        <v>0</v>
      </c>
      <c r="AW30" s="97" t="n">
        <f aca="false">AW29-AV30+AU30</f>
        <v>0</v>
      </c>
      <c r="AX30" s="95" t="n">
        <f aca="false">[1]НАДІЙШЛО2!S22</f>
        <v>0</v>
      </c>
      <c r="AY30" s="96" t="n">
        <f aca="false">[1]ВИБУЛО2!S22</f>
        <v>0</v>
      </c>
      <c r="AZ30" s="97" t="n">
        <f aca="false">AZ29-AY30+AX30</f>
        <v>0</v>
      </c>
      <c r="BA30" s="95" t="n">
        <f aca="false">[1]НАДІЙШЛО2!T22</f>
        <v>0</v>
      </c>
      <c r="BB30" s="96" t="n">
        <f aca="false">[1]ВИБУЛО2!T22</f>
        <v>0</v>
      </c>
      <c r="BC30" s="97" t="n">
        <f aca="false">BC29-BB30+BA30</f>
        <v>0</v>
      </c>
      <c r="BD30" s="95" t="n">
        <f aca="false">[1]НАДІЙШЛО2!U22</f>
        <v>0</v>
      </c>
      <c r="BE30" s="96" t="n">
        <f aca="false">[1]ВИБУЛО2!U22</f>
        <v>0</v>
      </c>
      <c r="BF30" s="97" t="n">
        <f aca="false">BF29-BE30+BD30</f>
        <v>0</v>
      </c>
      <c r="BG30" s="95" t="n">
        <f aca="false">[1]НАДІЙШЛО2!V22</f>
        <v>0</v>
      </c>
      <c r="BH30" s="96" t="n">
        <f aca="false">[1]ВИБУЛО2!V22</f>
        <v>0</v>
      </c>
      <c r="BI30" s="97" t="n">
        <f aca="false">BI29-BH30+BG30</f>
        <v>0</v>
      </c>
      <c r="BJ30" s="95" t="n">
        <f aca="false">[1]НАДІЙШЛО2!W22</f>
        <v>0</v>
      </c>
      <c r="BK30" s="96" t="n">
        <f aca="false">[1]ВИБУЛО2!W22</f>
        <v>0</v>
      </c>
      <c r="BL30" s="97" t="n">
        <f aca="false">BL29-BK30+BJ30</f>
        <v>0</v>
      </c>
      <c r="BM30" s="95" t="n">
        <f aca="false">[1]НАДІЙШЛО2!X22</f>
        <v>0</v>
      </c>
      <c r="BN30" s="96" t="n">
        <f aca="false">[1]ВИБУЛО2!X22</f>
        <v>0</v>
      </c>
      <c r="BO30" s="97" t="n">
        <f aca="false">BO29-BN30+BM30</f>
        <v>0</v>
      </c>
      <c r="BP30" s="95" t="n">
        <f aca="false">[1]НАДІЙШЛО2!Y22</f>
        <v>0</v>
      </c>
      <c r="BQ30" s="96" t="n">
        <f aca="false">[1]ВИБУЛО2!Y22</f>
        <v>0</v>
      </c>
      <c r="BR30" s="97" t="n">
        <f aca="false">BR29-BQ30+BP30</f>
        <v>0</v>
      </c>
      <c r="BS30" s="95" t="n">
        <f aca="false">[1]НАДІЙШЛО2!Z22</f>
        <v>0</v>
      </c>
      <c r="BT30" s="96" t="n">
        <f aca="false">[1]ВИБУЛО2!Z22</f>
        <v>0</v>
      </c>
      <c r="BU30" s="97" t="n">
        <f aca="false">BU29-BT30+BS30</f>
        <v>0</v>
      </c>
      <c r="BV30" s="95" t="n">
        <f aca="false">[1]НАДІЙШЛО2!AA22</f>
        <v>0</v>
      </c>
      <c r="BW30" s="96" t="n">
        <f aca="false">[1]ВИБУЛО2!AA22</f>
        <v>0</v>
      </c>
      <c r="BX30" s="97" t="n">
        <f aca="false">BX29-BW30+BV30</f>
        <v>0</v>
      </c>
      <c r="BY30" s="95" t="n">
        <f aca="false">[1]НАДІЙШЛО2!AB22</f>
        <v>0</v>
      </c>
      <c r="BZ30" s="96" t="n">
        <f aca="false">[1]ВИБУЛО2!AB22</f>
        <v>0</v>
      </c>
      <c r="CA30" s="97" t="n">
        <f aca="false">CA29-BZ30+BY30</f>
        <v>0</v>
      </c>
      <c r="CB30" s="95" t="n">
        <f aca="false">[1]НАДІЙШЛО2!AC22</f>
        <v>0</v>
      </c>
      <c r="CC30" s="96" t="n">
        <f aca="false">[1]ВИБУЛО2!AC22</f>
        <v>0</v>
      </c>
      <c r="CD30" s="97" t="n">
        <f aca="false">CD29-CC30+CB30</f>
        <v>0</v>
      </c>
      <c r="CE30" s="95" t="n">
        <f aca="false">[1]НАДІЙШЛО2!AD22</f>
        <v>0</v>
      </c>
      <c r="CF30" s="96" t="n">
        <f aca="false">[1]ВИБУЛО2!AD22</f>
        <v>0</v>
      </c>
      <c r="CG30" s="97" t="n">
        <f aca="false">CG29-CF30+CE30</f>
        <v>0</v>
      </c>
      <c r="CH30" s="95" t="n">
        <f aca="false">[1]НАДІЙШЛО2!AE22</f>
        <v>0</v>
      </c>
      <c r="CI30" s="96" t="n">
        <f aca="false">[1]ВИБУЛО2!AE22</f>
        <v>0</v>
      </c>
      <c r="CJ30" s="97" t="n">
        <f aca="false">CJ29-CI30+CH30</f>
        <v>0</v>
      </c>
      <c r="CK30" s="95" t="n">
        <f aca="false">[1]НАДІЙШЛО2!AF22</f>
        <v>0</v>
      </c>
      <c r="CL30" s="96" t="n">
        <f aca="false">[1]ВИБУЛО2!AF22</f>
        <v>0</v>
      </c>
      <c r="CM30" s="97" t="n">
        <f aca="false">CM29-CL30+CK30</f>
        <v>0</v>
      </c>
      <c r="CN30" s="95" t="n">
        <f aca="false">[1]НАДІЙШЛО2!AG22</f>
        <v>0</v>
      </c>
      <c r="CO30" s="96" t="n">
        <f aca="false">[1]ВИБУЛО2!AG22</f>
        <v>0</v>
      </c>
      <c r="CP30" s="97" t="n">
        <f aca="false">CP29-CO30+CN30</f>
        <v>0</v>
      </c>
      <c r="CQ30" s="95" t="n">
        <f aca="false">[1]НАДІЙШЛО2!AH22</f>
        <v>0</v>
      </c>
      <c r="CR30" s="96" t="n">
        <f aca="false">[1]ВИБУЛО2!AH22</f>
        <v>0</v>
      </c>
      <c r="CS30" s="97" t="n">
        <f aca="false">CS29-CR30+CQ30</f>
        <v>0</v>
      </c>
      <c r="CT30" s="95" t="n">
        <f aca="false">[1]НАДІЙШЛО2!AI22</f>
        <v>0</v>
      </c>
      <c r="CU30" s="96" t="n">
        <f aca="false">[1]ВИБУЛО2!AI22</f>
        <v>0</v>
      </c>
      <c r="CV30" s="97" t="n">
        <f aca="false">CV29-CU30+CT30</f>
        <v>0</v>
      </c>
      <c r="CW30" s="95" t="n">
        <f aca="false">[1]НАДІЙШЛО2!AJ22</f>
        <v>0</v>
      </c>
      <c r="CX30" s="96" t="n">
        <f aca="false">[1]ВИБУЛО2!AJ22</f>
        <v>0</v>
      </c>
      <c r="CY30" s="97" t="n">
        <f aca="false">CY29-CX30+CW30</f>
        <v>0</v>
      </c>
      <c r="CZ30" s="95" t="n">
        <f aca="false">[1]НАДІЙШЛО2!AK22</f>
        <v>0</v>
      </c>
      <c r="DA30" s="96" t="n">
        <f aca="false">[1]ВИБУЛО2!AK22</f>
        <v>0</v>
      </c>
      <c r="DB30" s="97" t="n">
        <f aca="false">DB29-DA30+CZ30</f>
        <v>0</v>
      </c>
      <c r="DC30" s="95" t="n">
        <f aca="false">[1]НАДІЙШЛО2!AL22</f>
        <v>0</v>
      </c>
      <c r="DD30" s="96" t="n">
        <f aca="false">[1]ВИБУЛО2!AL22</f>
        <v>0</v>
      </c>
      <c r="DE30" s="97" t="n">
        <f aca="false">DE29-DD30+DC30</f>
        <v>0</v>
      </c>
      <c r="DF30" s="95" t="n">
        <f aca="false">[1]НАДІЙШЛО2!AM22</f>
        <v>0</v>
      </c>
      <c r="DG30" s="96" t="n">
        <f aca="false">[1]ВИБУЛО2!AM22</f>
        <v>0</v>
      </c>
      <c r="DH30" s="97" t="n">
        <f aca="false">DH29-DG30+DF30</f>
        <v>0</v>
      </c>
      <c r="DI30" s="95" t="n">
        <f aca="false">[1]НАДІЙШЛО2!AN22</f>
        <v>0</v>
      </c>
      <c r="DJ30" s="96" t="n">
        <f aca="false">[1]ВИБУЛО2!AN22</f>
        <v>0</v>
      </c>
      <c r="DK30" s="97" t="n">
        <f aca="false">DK29-DJ30+DI30</f>
        <v>0</v>
      </c>
      <c r="DL30" s="95" t="n">
        <f aca="false">[1]НАДІЙШЛО2!AO22</f>
        <v>0</v>
      </c>
      <c r="DM30" s="96" t="n">
        <f aca="false">[1]ВИБУЛО2!AO22</f>
        <v>0</v>
      </c>
      <c r="DN30" s="97" t="n">
        <f aca="false">DN29-DM30+DL30</f>
        <v>0</v>
      </c>
      <c r="DO30" s="95" t="n">
        <f aca="false">[1]НАДІЙШЛО2!AP22</f>
        <v>0</v>
      </c>
      <c r="DP30" s="96" t="n">
        <f aca="false">[1]ВИБУЛО2!AP22</f>
        <v>0</v>
      </c>
      <c r="DQ30" s="97" t="n">
        <f aca="false">DQ29-DP30+DO30</f>
        <v>0</v>
      </c>
      <c r="DR30" s="95" t="n">
        <f aca="false">[1]НАДІЙШЛО2!AQ22</f>
        <v>0</v>
      </c>
      <c r="DS30" s="96" t="n">
        <f aca="false">[1]ВИБУЛО2!AQ22</f>
        <v>0</v>
      </c>
      <c r="DT30" s="97" t="n">
        <f aca="false">DT29-DS30+DR30</f>
        <v>0</v>
      </c>
      <c r="DU30" s="95" t="n">
        <f aca="false">[1]НАДІЙШЛО2!AR22</f>
        <v>0</v>
      </c>
      <c r="DV30" s="96" t="n">
        <f aca="false">[1]ВИБУЛО2!AR22</f>
        <v>0</v>
      </c>
      <c r="DW30" s="97" t="n">
        <f aca="false">DW29-DV30+DU30</f>
        <v>0</v>
      </c>
      <c r="DX30" s="95" t="n">
        <f aca="false">[1]НАДІЙШЛО2!AS22</f>
        <v>0</v>
      </c>
      <c r="DY30" s="96" t="n">
        <f aca="false">[1]ВИБУЛО2!AS22</f>
        <v>0</v>
      </c>
      <c r="DZ30" s="97" t="n">
        <f aca="false">DZ29-DY30+DX30</f>
        <v>0</v>
      </c>
      <c r="EA30" s="95" t="n">
        <f aca="false">[1]НАДІЙШЛО2!AT22</f>
        <v>0</v>
      </c>
      <c r="EB30" s="96" t="n">
        <f aca="false">[1]ВИБУЛО2!AT22</f>
        <v>0</v>
      </c>
      <c r="EC30" s="97" t="n">
        <f aca="false">EC29-EB30+EA30</f>
        <v>0</v>
      </c>
      <c r="ED30" s="95" t="n">
        <f aca="false">[1]НАДІЙШЛО2!AU22</f>
        <v>0</v>
      </c>
      <c r="EE30" s="96" t="n">
        <f aca="false">[1]ВИБУЛО2!AU22</f>
        <v>0</v>
      </c>
      <c r="EF30" s="97" t="n">
        <f aca="false">EF29-EE30+ED30</f>
        <v>0</v>
      </c>
      <c r="EG30" s="95" t="n">
        <f aca="false">[1]НАДІЙШЛО2!AV22</f>
        <v>0</v>
      </c>
      <c r="EH30" s="96" t="n">
        <f aca="false">[1]ВИБУЛО2!AV22</f>
        <v>0</v>
      </c>
      <c r="EI30" s="97" t="n">
        <f aca="false">EI29-EH30+EG30</f>
        <v>0</v>
      </c>
      <c r="EJ30" s="95" t="n">
        <f aca="false">[1]НАДІЙШЛО2!AW22</f>
        <v>0</v>
      </c>
      <c r="EK30" s="96" t="n">
        <f aca="false">[1]ВИБУЛО2!AW22</f>
        <v>0</v>
      </c>
      <c r="EL30" s="97" t="n">
        <f aca="false">EL29-EK30+EJ30</f>
        <v>0</v>
      </c>
      <c r="EM30" s="95" t="n">
        <f aca="false">[1]НАДІЙШЛО2!AX22</f>
        <v>0</v>
      </c>
      <c r="EN30" s="96" t="n">
        <f aca="false">[1]ВИБУЛО2!AX22</f>
        <v>0</v>
      </c>
      <c r="EO30" s="97" t="n">
        <f aca="false">EO29-EN30+EM30</f>
        <v>0</v>
      </c>
      <c r="EP30" s="95" t="n">
        <f aca="false">[1]НАДІЙШЛО2!AY22</f>
        <v>0</v>
      </c>
      <c r="EQ30" s="96" t="n">
        <f aca="false">[1]ВИБУЛО2!AY22</f>
        <v>0</v>
      </c>
      <c r="ER30" s="97" t="n">
        <f aca="false">ER29-EQ30+EP30</f>
        <v>0</v>
      </c>
      <c r="ES30" s="95" t="n">
        <f aca="false">[1]НАДІЙШЛО2!AZ22</f>
        <v>0</v>
      </c>
      <c r="ET30" s="96" t="n">
        <f aca="false">[1]ВИБУЛО2!AZ22</f>
        <v>0</v>
      </c>
      <c r="EU30" s="97" t="n">
        <f aca="false">EU29-ET30+ES30</f>
        <v>0</v>
      </c>
      <c r="EV30" s="95" t="n">
        <f aca="false">[1]НАДІЙШЛО2!BA22</f>
        <v>0</v>
      </c>
      <c r="EW30" s="96" t="n">
        <f aca="false">[1]ВИБУЛО2!BA22</f>
        <v>0</v>
      </c>
      <c r="EX30" s="97" t="n">
        <f aca="false">EX29-EW30+EV30</f>
        <v>0</v>
      </c>
      <c r="EY30" s="95" t="n">
        <f aca="false">[1]НАДІЙШЛО2!BB22</f>
        <v>0</v>
      </c>
      <c r="EZ30" s="96" t="n">
        <f aca="false">[1]ВИБУЛО2!BB22</f>
        <v>0</v>
      </c>
      <c r="FA30" s="97" t="n">
        <f aca="false">FA29-EZ30+EY30</f>
        <v>0</v>
      </c>
      <c r="FB30" s="95" t="n">
        <f aca="false">[1]НАДІЙШЛО2!BC22</f>
        <v>0</v>
      </c>
      <c r="FC30" s="96" t="n">
        <f aca="false">[1]ВИБУЛО2!BC22</f>
        <v>0</v>
      </c>
      <c r="FD30" s="97" t="n">
        <f aca="false">FD29-FC30+FB30</f>
        <v>0</v>
      </c>
      <c r="FE30" s="95" t="n">
        <f aca="false">[1]НАДІЙШЛО2!BD22</f>
        <v>0</v>
      </c>
      <c r="FF30" s="96" t="n">
        <f aca="false">[1]ВИБУЛО2!BD22</f>
        <v>0</v>
      </c>
      <c r="FG30" s="97" t="n">
        <f aca="false">FG29-FF30+FE30</f>
        <v>0</v>
      </c>
      <c r="FH30" s="95" t="n">
        <f aca="false">[1]НАДІЙШЛО2!BE22</f>
        <v>0</v>
      </c>
      <c r="FI30" s="96" t="n">
        <f aca="false">[1]ВИБУЛО2!BE22</f>
        <v>0</v>
      </c>
      <c r="FJ30" s="97" t="n">
        <f aca="false">FJ29-FI30+FH30</f>
        <v>0</v>
      </c>
      <c r="FK30" s="95" t="n">
        <f aca="false">[1]НАДІЙШЛО2!BF22</f>
        <v>0</v>
      </c>
      <c r="FL30" s="96" t="n">
        <f aca="false">[1]ВИБУЛО2!BF22</f>
        <v>0</v>
      </c>
      <c r="FM30" s="97" t="n">
        <f aca="false">FM29-FL30+FK30</f>
        <v>0</v>
      </c>
      <c r="FN30" s="95" t="n">
        <f aca="false">[1]НАДІЙШЛО2!BG22</f>
        <v>0</v>
      </c>
      <c r="FO30" s="96" t="n">
        <f aca="false">[1]ВИБУЛО2!BG22</f>
        <v>0</v>
      </c>
      <c r="FP30" s="97" t="n">
        <f aca="false">FP29-FO30+FN30</f>
        <v>0</v>
      </c>
      <c r="FQ30" s="95" t="n">
        <f aca="false">[1]НАДІЙШЛО2!BH22</f>
        <v>0</v>
      </c>
      <c r="FR30" s="96" t="n">
        <f aca="false">[1]ВИБУЛО2!BH22</f>
        <v>0</v>
      </c>
      <c r="FS30" s="97" t="n">
        <f aca="false">FS29-FR30+FQ30</f>
        <v>0</v>
      </c>
      <c r="FT30" s="95" t="n">
        <f aca="false">[1]НАДІЙШЛО2!BI22</f>
        <v>0</v>
      </c>
      <c r="FU30" s="96" t="n">
        <f aca="false">[1]ВИБУЛО2!BI22</f>
        <v>0</v>
      </c>
      <c r="FV30" s="97" t="n">
        <f aca="false">FV29-FU30+FT30</f>
        <v>0</v>
      </c>
      <c r="FW30" s="95" t="n">
        <f aca="false">[1]НАДІЙШЛО2!BJ22</f>
        <v>0</v>
      </c>
      <c r="FX30" s="96" t="n">
        <f aca="false">[1]ВИБУЛО2!BJ22</f>
        <v>0</v>
      </c>
      <c r="FY30" s="97" t="n">
        <f aca="false">FY29-FX30+FW30</f>
        <v>0</v>
      </c>
      <c r="FZ30" s="95" t="n">
        <f aca="false">[1]НАДІЙШЛО2!BK22</f>
        <v>0</v>
      </c>
      <c r="GA30" s="96" t="n">
        <f aca="false">[1]ВИБУЛО2!BK22</f>
        <v>0</v>
      </c>
      <c r="GB30" s="97" t="n">
        <f aca="false">GB29-GA30+FZ30</f>
        <v>0</v>
      </c>
      <c r="GC30" s="95" t="n">
        <f aca="false">[1]НАДІЙШЛО2!BL22</f>
        <v>0</v>
      </c>
      <c r="GD30" s="96" t="n">
        <f aca="false">[1]ВИБУЛО2!BL22</f>
        <v>0</v>
      </c>
      <c r="GE30" s="97" t="n">
        <f aca="false">GE29-GD30+GC30</f>
        <v>0</v>
      </c>
      <c r="GF30" s="95" t="n">
        <f aca="false">[1]НАДІЙШЛО2!BM22</f>
        <v>0</v>
      </c>
      <c r="GG30" s="96" t="n">
        <f aca="false">[1]ВИБУЛО2!BM22</f>
        <v>0</v>
      </c>
      <c r="GH30" s="97" t="n">
        <f aca="false">GH29-GG30+GF30</f>
        <v>0</v>
      </c>
      <c r="GI30" s="95" t="n">
        <f aca="false">[1]НАДІЙШЛО2!BN22</f>
        <v>0</v>
      </c>
      <c r="GJ30" s="96" t="n">
        <f aca="false">[1]ВИБУЛО2!BN22</f>
        <v>0</v>
      </c>
      <c r="GK30" s="97" t="n">
        <f aca="false">GK29-GJ30+GI30</f>
        <v>0</v>
      </c>
      <c r="GL30" s="95" t="n">
        <f aca="false">[1]НАДІЙШЛО2!BO22</f>
        <v>0</v>
      </c>
      <c r="GM30" s="96" t="n">
        <f aca="false">[1]ВИБУЛО2!BO22</f>
        <v>0</v>
      </c>
      <c r="GN30" s="97" t="n">
        <f aca="false">GN29-GM30+GL30</f>
        <v>0</v>
      </c>
      <c r="GO30" s="95" t="n">
        <f aca="false">[1]НАДІЙШЛО2!BP22</f>
        <v>0</v>
      </c>
      <c r="GP30" s="96" t="n">
        <f aca="false">[1]ВИБУЛО2!BP22</f>
        <v>0</v>
      </c>
      <c r="GQ30" s="97" t="n">
        <f aca="false">GQ29-GP30+GO30</f>
        <v>0</v>
      </c>
      <c r="GR30" s="95" t="n">
        <f aca="false">[1]НАДІЙШЛО2!BQ22</f>
        <v>0</v>
      </c>
      <c r="GS30" s="96" t="n">
        <f aca="false">[1]ВИБУЛО2!BQ22</f>
        <v>0</v>
      </c>
      <c r="GT30" s="97" t="n">
        <f aca="false">GT29-GS30+GR30</f>
        <v>0</v>
      </c>
      <c r="GU30" s="95" t="n">
        <f aca="false">[1]НАДІЙШЛО2!BR22</f>
        <v>0</v>
      </c>
      <c r="GV30" s="96" t="n">
        <f aca="false">[1]ВИБУЛО2!BR22</f>
        <v>0</v>
      </c>
      <c r="GW30" s="97" t="n">
        <f aca="false">GW29-GV30+GU30</f>
        <v>0</v>
      </c>
      <c r="GX30" s="95" t="n">
        <f aca="false">[1]НАДІЙШЛО2!BS22</f>
        <v>0</v>
      </c>
      <c r="GY30" s="96" t="n">
        <f aca="false">[1]ВИБУЛО2!BS22</f>
        <v>0</v>
      </c>
      <c r="GZ30" s="97" t="n">
        <f aca="false">GZ29-GY30+GX30</f>
        <v>0</v>
      </c>
      <c r="HA30" s="95" t="n">
        <f aca="false">[1]НАДІЙШЛО2!BT22</f>
        <v>0</v>
      </c>
      <c r="HB30" s="96" t="n">
        <f aca="false">[1]ВИБУЛО2!BT22</f>
        <v>0</v>
      </c>
      <c r="HC30" s="97" t="n">
        <f aca="false">HC29-HB30+HA30</f>
        <v>0</v>
      </c>
      <c r="HD30" s="95" t="n">
        <f aca="false">[1]НАДІЙШЛО2!BU22</f>
        <v>0</v>
      </c>
      <c r="HE30" s="96" t="n">
        <f aca="false">[1]ВИБУЛО2!BU22</f>
        <v>0</v>
      </c>
      <c r="HF30" s="97" t="n">
        <f aca="false">HF29-HE30+HD30</f>
        <v>0</v>
      </c>
      <c r="HG30" s="95" t="n">
        <f aca="false">[1]НАДІЙШЛО2!BV22</f>
        <v>0</v>
      </c>
      <c r="HH30" s="96" t="n">
        <f aca="false">[1]ВИБУЛО2!BV22</f>
        <v>0</v>
      </c>
      <c r="HI30" s="97" t="n">
        <f aca="false">HI29-HH30+HG30</f>
        <v>0</v>
      </c>
      <c r="HJ30" s="95" t="n">
        <f aca="false">[1]НАДІЙШЛО2!BW22</f>
        <v>0</v>
      </c>
      <c r="HK30" s="96" t="n">
        <f aca="false">[1]ВИБУЛО2!BW22</f>
        <v>0</v>
      </c>
      <c r="HL30" s="97" t="n">
        <f aca="false">HL29-HK30+HJ30</f>
        <v>0</v>
      </c>
      <c r="HM30" s="95" t="n">
        <f aca="false">[1]НАДІЙШЛО2!BX22</f>
        <v>0</v>
      </c>
      <c r="HN30" s="96" t="n">
        <f aca="false">[1]ВИБУЛО2!BX22</f>
        <v>0</v>
      </c>
      <c r="HO30" s="97" t="n">
        <f aca="false">HO29-HN30+HM30</f>
        <v>0</v>
      </c>
      <c r="HP30" s="95" t="n">
        <f aca="false">[1]НАДІЙШЛО2!BY22</f>
        <v>0</v>
      </c>
      <c r="HQ30" s="96" t="n">
        <f aca="false">[1]ВИБУЛО2!BY22</f>
        <v>0</v>
      </c>
      <c r="HR30" s="97" t="n">
        <f aca="false">HR29-HQ30+HP30</f>
        <v>0</v>
      </c>
      <c r="HS30" s="95" t="n">
        <f aca="false">[1]НАДІЙШЛО2!BZ22</f>
        <v>0</v>
      </c>
      <c r="HT30" s="96" t="n">
        <f aca="false">[1]ВИБУЛО2!BZ22</f>
        <v>0</v>
      </c>
      <c r="HU30" s="97" t="n">
        <f aca="false">HU29-HT30+HS30</f>
        <v>0</v>
      </c>
      <c r="HV30" s="95" t="n">
        <f aca="false">[1]НАДІЙШЛО2!CA22</f>
        <v>0</v>
      </c>
      <c r="HW30" s="96" t="n">
        <f aca="false">[1]ВИБУЛО2!CA22</f>
        <v>0</v>
      </c>
      <c r="HX30" s="97" t="n">
        <f aca="false">HX29-HW30+HV30</f>
        <v>0</v>
      </c>
      <c r="HY30" s="95" t="n">
        <f aca="false">[1]НАДІЙШЛО2!CB22</f>
        <v>0</v>
      </c>
      <c r="HZ30" s="96" t="n">
        <f aca="false">[1]ВИБУЛО2!CB22</f>
        <v>0</v>
      </c>
      <c r="IA30" s="97" t="n">
        <f aca="false">IA29-HZ30+HY30</f>
        <v>0</v>
      </c>
      <c r="IB30" s="95" t="n">
        <f aca="false">[1]НАДІЙШЛО2!CC22</f>
        <v>0</v>
      </c>
      <c r="IC30" s="96" t="n">
        <f aca="false">[1]ВИБУЛО2!CC22</f>
        <v>0</v>
      </c>
      <c r="ID30" s="97" t="n">
        <f aca="false">ID29-IC30+IB30</f>
        <v>0</v>
      </c>
      <c r="IE30" s="95" t="n">
        <f aca="false">[1]НАДІЙШЛО2!CD22</f>
        <v>0</v>
      </c>
      <c r="IF30" s="96" t="n">
        <f aca="false">[1]ВИБУЛО2!CD22</f>
        <v>0</v>
      </c>
      <c r="IG30" s="97" t="n">
        <f aca="false">IG29-IF30+IE30</f>
        <v>0</v>
      </c>
      <c r="IH30" s="95" t="n">
        <f aca="false">[1]НАДІЙШЛО2!CE22</f>
        <v>0</v>
      </c>
      <c r="II30" s="96" t="n">
        <f aca="false">[1]ВИБУЛО2!CE22</f>
        <v>0</v>
      </c>
      <c r="IJ30" s="97" t="n">
        <f aca="false">IJ29-II30+IH30</f>
        <v>0</v>
      </c>
      <c r="IK30" s="95" t="n">
        <f aca="false">[1]НАДІЙШЛО2!CF22</f>
        <v>0</v>
      </c>
      <c r="IL30" s="96" t="n">
        <f aca="false">[1]ВИБУЛО2!CF22</f>
        <v>0</v>
      </c>
      <c r="IM30" s="97" t="n">
        <f aca="false">IM29-IL30+IK30</f>
        <v>0</v>
      </c>
      <c r="IN30" s="95" t="n">
        <f aca="false">[1]НАДІЙШЛО2!CG22</f>
        <v>0</v>
      </c>
      <c r="IO30" s="96" t="n">
        <f aca="false">[1]ВИБУЛО2!CG22</f>
        <v>0</v>
      </c>
      <c r="IP30" s="97" t="n">
        <f aca="false">IP29-IO30+IN30</f>
        <v>0</v>
      </c>
      <c r="IQ30" s="95" t="n">
        <f aca="false">[1]НАДІЙШЛО2!CH22</f>
        <v>0</v>
      </c>
      <c r="IR30" s="96" t="n">
        <f aca="false">[1]ВИБУЛО2!CH22</f>
        <v>0</v>
      </c>
      <c r="IS30" s="97" t="n">
        <f aca="false">IS29-IR30+IQ30</f>
        <v>0</v>
      </c>
      <c r="IT30" s="95" t="n">
        <f aca="false">[1]НАДІЙШЛО2!CI22</f>
        <v>0</v>
      </c>
      <c r="IU30" s="96" t="n">
        <f aca="false">[1]ВИБУЛО2!CI22</f>
        <v>0</v>
      </c>
      <c r="IV30" s="97" t="n">
        <f aca="false">IV29-IU30+IT30</f>
        <v>0</v>
      </c>
      <c r="IW30" s="95" t="n">
        <f aca="false">[1]НАДІЙШЛО2!CJ22</f>
        <v>0</v>
      </c>
      <c r="IX30" s="96" t="n">
        <f aca="false">[1]ВИБУЛО2!CJ22</f>
        <v>0</v>
      </c>
      <c r="IY30" s="97" t="n">
        <f aca="false">IY29-IX30+IW30</f>
        <v>0</v>
      </c>
      <c r="IZ30" s="95" t="n">
        <f aca="false">[1]НАДІЙШЛО2!CK22</f>
        <v>0</v>
      </c>
      <c r="JA30" s="96" t="n">
        <f aca="false">[1]ВИБУЛО2!CK22</f>
        <v>0</v>
      </c>
      <c r="JB30" s="97" t="n">
        <f aca="false">JB29-JA30+IZ30</f>
        <v>0</v>
      </c>
      <c r="JC30" s="95" t="n">
        <f aca="false">[1]НАДІЙШЛО2!CL22</f>
        <v>0</v>
      </c>
      <c r="JD30" s="96" t="n">
        <f aca="false">[1]ВИБУЛО2!CL22</f>
        <v>0</v>
      </c>
      <c r="JE30" s="97" t="n">
        <f aca="false">JE29-JD30+JC30</f>
        <v>0</v>
      </c>
      <c r="JF30" s="95" t="n">
        <f aca="false">[1]НАДІЙШЛО2!CM22</f>
        <v>0</v>
      </c>
      <c r="JG30" s="96" t="n">
        <f aca="false">[1]ВИБУЛО2!CM22</f>
        <v>0</v>
      </c>
      <c r="JH30" s="97" t="n">
        <f aca="false">JH29-JG30+JF30</f>
        <v>0</v>
      </c>
      <c r="JI30" s="95" t="n">
        <f aca="false">[1]НАДІЙШЛО2!CN22</f>
        <v>0</v>
      </c>
      <c r="JJ30" s="96" t="n">
        <f aca="false">[1]ВИБУЛО2!CN22</f>
        <v>0</v>
      </c>
      <c r="JK30" s="97" t="n">
        <f aca="false">JK29-JJ30+JI30</f>
        <v>0</v>
      </c>
      <c r="JL30" s="95" t="n">
        <f aca="false">[1]НАДІЙШЛО2!CO22</f>
        <v>0</v>
      </c>
      <c r="JM30" s="96" t="n">
        <f aca="false">[1]ВИБУЛО2!CO22</f>
        <v>0</v>
      </c>
      <c r="JN30" s="97" t="n">
        <f aca="false">JN29-JM30+JL30</f>
        <v>0</v>
      </c>
      <c r="JO30" s="95" t="n">
        <f aca="false">[1]НАДІЙШЛО2!CP22</f>
        <v>0</v>
      </c>
      <c r="JP30" s="96" t="n">
        <f aca="false">[1]ВИБУЛО2!CP22</f>
        <v>0</v>
      </c>
      <c r="JQ30" s="97" t="n">
        <f aca="false">JQ29-JP30+JO30</f>
        <v>0</v>
      </c>
      <c r="JR30" s="95" t="n">
        <f aca="false">[1]НАДІЙШЛО2!CQ22</f>
        <v>0</v>
      </c>
      <c r="JS30" s="96" t="n">
        <f aca="false">[1]ВИБУЛО2!CQ22</f>
        <v>0</v>
      </c>
      <c r="JT30" s="97" t="n">
        <f aca="false">JT29-JS30+JR30</f>
        <v>0</v>
      </c>
      <c r="JU30" s="95" t="n">
        <f aca="false">[1]НАДІЙШЛО2!CR22</f>
        <v>0</v>
      </c>
      <c r="JV30" s="96" t="n">
        <f aca="false">[1]ВИБУЛО2!CR22</f>
        <v>0</v>
      </c>
      <c r="JW30" s="97" t="n">
        <f aca="false">JW29-JV30+JU30</f>
        <v>0</v>
      </c>
      <c r="JX30" s="95" t="n">
        <f aca="false">[1]НАДІЙШЛО2!CS22</f>
        <v>0</v>
      </c>
      <c r="JY30" s="96" t="n">
        <f aca="false">[1]ВИБУЛО2!CS22</f>
        <v>0</v>
      </c>
      <c r="JZ30" s="97" t="n">
        <f aca="false">JZ29-JY30+JX30</f>
        <v>0</v>
      </c>
      <c r="KA30" s="95" t="n">
        <f aca="false">[1]НАДІЙШЛО2!CT22</f>
        <v>0</v>
      </c>
      <c r="KB30" s="96" t="n">
        <f aca="false">[1]ВИБУЛО2!CT22</f>
        <v>0</v>
      </c>
      <c r="KC30" s="97" t="n">
        <f aca="false">KC29-KB30+KA30</f>
        <v>0</v>
      </c>
      <c r="KD30" s="95" t="n">
        <f aca="false">[1]НАДІЙШЛО2!CU22</f>
        <v>0</v>
      </c>
      <c r="KE30" s="96" t="n">
        <f aca="false">[1]ВИБУЛО2!CU22</f>
        <v>0</v>
      </c>
      <c r="KF30" s="97" t="n">
        <f aca="false">KF29-KE30+KD30</f>
        <v>0</v>
      </c>
      <c r="KG30" s="95" t="n">
        <f aca="false">[1]НАДІЙШЛО2!CV22</f>
        <v>0</v>
      </c>
      <c r="KH30" s="96" t="n">
        <f aca="false">[1]ВИБУЛО2!CV22</f>
        <v>0</v>
      </c>
      <c r="KI30" s="97" t="n">
        <f aca="false">KI29-KH30+KG30</f>
        <v>0</v>
      </c>
      <c r="KJ30" s="95" t="n">
        <f aca="false">[1]НАДІЙШЛО2!CW22</f>
        <v>0</v>
      </c>
      <c r="KK30" s="96" t="n">
        <f aca="false">[1]ВИБУЛО2!CW22</f>
        <v>0</v>
      </c>
      <c r="KL30" s="97" t="n">
        <f aca="false">KL29-KK30+KJ30</f>
        <v>0</v>
      </c>
      <c r="KM30" s="95" t="n">
        <f aca="false">[1]НАДІЙШЛО2!CX22</f>
        <v>0</v>
      </c>
      <c r="KN30" s="96" t="n">
        <f aca="false">[1]ВИБУЛО2!CX22</f>
        <v>0</v>
      </c>
      <c r="KO30" s="97" t="n">
        <f aca="false">KO29-KN30+KM30</f>
        <v>0</v>
      </c>
      <c r="KP30" s="95" t="n">
        <f aca="false">[1]НАДІЙШЛО2!CY22</f>
        <v>0</v>
      </c>
      <c r="KQ30" s="96" t="n">
        <f aca="false">[1]ВИБУЛО2!CY22</f>
        <v>0</v>
      </c>
      <c r="KR30" s="97" t="n">
        <f aca="false">KR29-KQ30+KP30</f>
        <v>0</v>
      </c>
      <c r="KS30" s="95" t="n">
        <f aca="false">[1]НАДІЙШЛО2!CZ22</f>
        <v>0</v>
      </c>
      <c r="KT30" s="96" t="n">
        <f aca="false">[1]ВИБУЛО2!CZ22</f>
        <v>0</v>
      </c>
      <c r="KU30" s="97" t="n">
        <f aca="false">KU29-KT30+KS30</f>
        <v>0</v>
      </c>
      <c r="KV30" s="95" t="n">
        <f aca="false">[1]НАДІЙШЛО2!DA22</f>
        <v>0</v>
      </c>
      <c r="KW30" s="96" t="n">
        <f aca="false">[1]ВИБУЛО2!DA22</f>
        <v>0</v>
      </c>
      <c r="KX30" s="97" t="n">
        <f aca="false">KX29-KW30+KV30</f>
        <v>0</v>
      </c>
      <c r="KY30" s="95" t="n">
        <f aca="false">[1]НАДІЙШЛО2!DB22</f>
        <v>0</v>
      </c>
      <c r="KZ30" s="96" t="n">
        <f aca="false">[1]ВИБУЛО2!DB22</f>
        <v>0</v>
      </c>
      <c r="LA30" s="97" t="n">
        <f aca="false">LA29-KZ30+KY30</f>
        <v>0</v>
      </c>
      <c r="LB30" s="95" t="n">
        <f aca="false">[1]НАДІЙШЛО2!DC22</f>
        <v>0</v>
      </c>
      <c r="LC30" s="96" t="n">
        <f aca="false">[1]ВИБУЛО2!DC22</f>
        <v>0</v>
      </c>
      <c r="LD30" s="97" t="n">
        <f aca="false">LD29-LC30+LB30</f>
        <v>0</v>
      </c>
      <c r="LE30" s="95" t="n">
        <f aca="false">[1]НАДІЙШЛО2!DD22</f>
        <v>0</v>
      </c>
      <c r="LF30" s="96" t="n">
        <f aca="false">[1]ВИБУЛО2!DD22</f>
        <v>0</v>
      </c>
      <c r="LG30" s="97" t="n">
        <f aca="false">LG29-LF30+LE30</f>
        <v>0</v>
      </c>
      <c r="LH30" s="95" t="n">
        <f aca="false">[1]НАДІЙШЛО2!DE22</f>
        <v>0</v>
      </c>
      <c r="LI30" s="96" t="n">
        <f aca="false">[1]ВИБУЛО2!DE22</f>
        <v>0</v>
      </c>
      <c r="LJ30" s="97" t="n">
        <f aca="false">LJ29-LI30+LH30</f>
        <v>0</v>
      </c>
      <c r="LK30" s="95" t="n">
        <f aca="false">[1]НАДІЙШЛО2!DF22</f>
        <v>0</v>
      </c>
      <c r="LL30" s="96" t="n">
        <f aca="false">[1]ВИБУЛО2!DF22</f>
        <v>0</v>
      </c>
      <c r="LM30" s="97" t="n">
        <f aca="false">LM29-LL30+LK30</f>
        <v>0</v>
      </c>
      <c r="LN30" s="95" t="n">
        <f aca="false">[1]НАДІЙШЛО2!DG22</f>
        <v>0</v>
      </c>
      <c r="LO30" s="96" t="n">
        <f aca="false">[1]ВИБУЛО2!DG22</f>
        <v>0</v>
      </c>
      <c r="LP30" s="97" t="n">
        <f aca="false">LP29-LO30+LN30</f>
        <v>0</v>
      </c>
      <c r="LQ30" s="95" t="n">
        <f aca="false">[1]НАДІЙШЛО2!DH22</f>
        <v>0</v>
      </c>
      <c r="LR30" s="96" t="n">
        <f aca="false">[1]ВИБУЛО2!DH22</f>
        <v>0</v>
      </c>
      <c r="LS30" s="97" t="n">
        <f aca="false">LS29-LR30+LQ30</f>
        <v>0</v>
      </c>
      <c r="LT30" s="95" t="n">
        <f aca="false">[1]НАДІЙШЛО2!DI22</f>
        <v>0</v>
      </c>
      <c r="LU30" s="96" t="n">
        <f aca="false">[1]ВИБУЛО2!DI22</f>
        <v>0</v>
      </c>
      <c r="LV30" s="97" t="n">
        <f aca="false">LV29-LU30+LT30</f>
        <v>0</v>
      </c>
      <c r="LW30" s="95" t="n">
        <f aca="false">[1]НАДІЙШЛО2!DJ22</f>
        <v>0</v>
      </c>
      <c r="LX30" s="96" t="n">
        <f aca="false">[1]ВИБУЛО2!DJ22</f>
        <v>0</v>
      </c>
      <c r="LY30" s="97" t="n">
        <f aca="false">LY29-LX30+LW30</f>
        <v>0</v>
      </c>
      <c r="LZ30" s="95" t="n">
        <f aca="false">[1]НАДІЙШЛО2!DK22</f>
        <v>0</v>
      </c>
      <c r="MA30" s="96" t="n">
        <f aca="false">[1]ВИБУЛО2!DK22</f>
        <v>0</v>
      </c>
      <c r="MB30" s="97" t="n">
        <f aca="false">MB29-MA30+LZ30</f>
        <v>0</v>
      </c>
      <c r="MC30" s="95" t="n">
        <f aca="false">[1]НАДІЙШЛО2!DL22</f>
        <v>0</v>
      </c>
      <c r="MD30" s="96" t="n">
        <f aca="false">[1]ВИБУЛО2!DL22</f>
        <v>0</v>
      </c>
      <c r="ME30" s="97" t="n">
        <f aca="false">ME29-MD30+MC30</f>
        <v>0</v>
      </c>
      <c r="MF30" s="95" t="n">
        <f aca="false">[1]НАДІЙШЛО2!DM22</f>
        <v>0</v>
      </c>
      <c r="MG30" s="96" t="n">
        <f aca="false">[1]ВИБУЛО2!DM22</f>
        <v>0</v>
      </c>
      <c r="MH30" s="97" t="n">
        <f aca="false">MH29-MG30+MF30</f>
        <v>0</v>
      </c>
      <c r="MI30" s="95" t="n">
        <f aca="false">[1]НАДІЙШЛО2!DN22</f>
        <v>0</v>
      </c>
      <c r="MJ30" s="96" t="n">
        <f aca="false">[1]ВИБУЛО2!DN22</f>
        <v>0</v>
      </c>
      <c r="MK30" s="97" t="n">
        <f aca="false">MK29-MJ30+MI30</f>
        <v>0</v>
      </c>
      <c r="ML30" s="95" t="n">
        <f aca="false">[1]НАДІЙШЛО2!DO22</f>
        <v>0</v>
      </c>
      <c r="MM30" s="96" t="n">
        <f aca="false">[1]ВИБУЛО2!DO22</f>
        <v>0</v>
      </c>
      <c r="MN30" s="97" t="n">
        <f aca="false">MN29-MM30+ML30</f>
        <v>0</v>
      </c>
      <c r="MO30" s="95" t="n">
        <f aca="false">[1]НАДІЙШЛО2!DP22</f>
        <v>0</v>
      </c>
      <c r="MP30" s="96" t="n">
        <f aca="false">[1]ВИБУЛО2!DP22</f>
        <v>0</v>
      </c>
      <c r="MQ30" s="97" t="n">
        <f aca="false">MQ29-MP30+MO30</f>
        <v>0</v>
      </c>
      <c r="MR30" s="95" t="n">
        <f aca="false">[1]НАДІЙШЛО2!DQ22</f>
        <v>0</v>
      </c>
      <c r="MS30" s="96" t="n">
        <f aca="false">[1]ВИБУЛО2!DQ22</f>
        <v>0</v>
      </c>
      <c r="MT30" s="97" t="n">
        <f aca="false">MT29-MS30+MR30</f>
        <v>0</v>
      </c>
      <c r="MU30" s="95" t="n">
        <f aca="false">[1]НАДІЙШЛО2!DR22</f>
        <v>0</v>
      </c>
      <c r="MV30" s="96" t="n">
        <f aca="false">[1]ВИБУЛО2!DR22</f>
        <v>0</v>
      </c>
      <c r="MW30" s="97" t="n">
        <f aca="false">MW29-MV30+MU30</f>
        <v>0</v>
      </c>
      <c r="MX30" s="95" t="n">
        <f aca="false">[1]НАДІЙШЛО2!DS22</f>
        <v>0</v>
      </c>
      <c r="MY30" s="96" t="n">
        <f aca="false">[1]ВИБУЛО2!DS22</f>
        <v>0</v>
      </c>
      <c r="MZ30" s="97" t="n">
        <f aca="false">MZ29-MY30+MX30</f>
        <v>0</v>
      </c>
      <c r="NA30" s="95" t="n">
        <f aca="false">[1]НАДІЙШЛО2!DT22</f>
        <v>0</v>
      </c>
      <c r="NB30" s="96" t="n">
        <f aca="false">[1]ВИБУЛО2!DT22</f>
        <v>0</v>
      </c>
      <c r="NC30" s="97" t="n">
        <f aca="false">NC29-NB30+NA30</f>
        <v>0</v>
      </c>
      <c r="ND30" s="95" t="n">
        <f aca="false">[1]НАДІЙШЛО2!DU22</f>
        <v>0</v>
      </c>
      <c r="NE30" s="96" t="n">
        <f aca="false">[1]ВИБУЛО2!DU22</f>
        <v>0</v>
      </c>
      <c r="NF30" s="97" t="n">
        <f aca="false">NF29-NE30+ND30</f>
        <v>0</v>
      </c>
      <c r="NG30" s="95" t="n">
        <f aca="false">[1]НАДІЙШЛО2!DV22</f>
        <v>0</v>
      </c>
      <c r="NH30" s="96" t="n">
        <f aca="false">[1]ВИБУЛО2!DV22</f>
        <v>0</v>
      </c>
      <c r="NI30" s="97" t="n">
        <f aca="false">NI29-NH30+NG30</f>
        <v>0</v>
      </c>
      <c r="NJ30" s="95" t="n">
        <f aca="false">[1]НАДІЙШЛО2!DW22</f>
        <v>0</v>
      </c>
      <c r="NK30" s="96" t="n">
        <f aca="false">[1]ВИБУЛО2!DW22</f>
        <v>0</v>
      </c>
      <c r="NL30" s="97" t="n">
        <f aca="false">NL29-NK30+NJ30</f>
        <v>0</v>
      </c>
      <c r="NM30" s="95" t="n">
        <f aca="false">[1]НАДІЙШЛО2!DX22</f>
        <v>0</v>
      </c>
      <c r="NN30" s="96" t="n">
        <f aca="false">[1]ВИБУЛО2!DX22</f>
        <v>0</v>
      </c>
      <c r="NO30" s="97" t="n">
        <f aca="false">NO29-NN30+NM30</f>
        <v>0</v>
      </c>
      <c r="NP30" s="95" t="n">
        <f aca="false">[1]НАДІЙШЛО2!DY22</f>
        <v>0</v>
      </c>
      <c r="NQ30" s="96" t="n">
        <f aca="false">[1]ВИБУЛО2!DY22</f>
        <v>0</v>
      </c>
      <c r="NR30" s="97" t="n">
        <f aca="false">NR29-NQ30+NP30</f>
        <v>0</v>
      </c>
      <c r="NS30" s="95" t="n">
        <f aca="false">[1]НАДІЙШЛО2!DZ22</f>
        <v>0</v>
      </c>
      <c r="NT30" s="96" t="n">
        <f aca="false">[1]ВИБУЛО2!DZ22</f>
        <v>0</v>
      </c>
      <c r="NU30" s="97" t="n">
        <f aca="false">NU29-NT30+NS30</f>
        <v>0</v>
      </c>
      <c r="NV30" s="95" t="n">
        <f aca="false">[1]НАДІЙШЛО2!EA22</f>
        <v>0</v>
      </c>
      <c r="NW30" s="96" t="n">
        <f aca="false">[1]ВИБУЛО2!EA22</f>
        <v>0</v>
      </c>
      <c r="NX30" s="97" t="n">
        <f aca="false">NX29-NW30+NV30</f>
        <v>0</v>
      </c>
      <c r="NY30" s="95" t="n">
        <f aca="false">[1]НАДІЙШЛО2!EB22</f>
        <v>0</v>
      </c>
      <c r="NZ30" s="96" t="n">
        <f aca="false">[1]ВИБУЛО2!EB22</f>
        <v>0</v>
      </c>
      <c r="OA30" s="97" t="n">
        <f aca="false">OA29-NZ30+NY30</f>
        <v>0</v>
      </c>
      <c r="OB30" s="95" t="n">
        <f aca="false">[1]НАДІЙШЛО2!EC22</f>
        <v>0</v>
      </c>
      <c r="OC30" s="96" t="n">
        <f aca="false">[1]ВИБУЛО2!EC22</f>
        <v>0</v>
      </c>
      <c r="OD30" s="97" t="n">
        <f aca="false">OD29-OC30+OB30</f>
        <v>0</v>
      </c>
      <c r="OE30" s="95" t="n">
        <f aca="false">[1]НАДІЙШЛО2!ED22</f>
        <v>0</v>
      </c>
      <c r="OF30" s="96" t="n">
        <f aca="false">[1]ВИБУЛО2!ED22</f>
        <v>0</v>
      </c>
      <c r="OG30" s="97" t="n">
        <f aca="false">OG29-OF30+OE30</f>
        <v>0</v>
      </c>
      <c r="OH30" s="95" t="n">
        <f aca="false">[1]НАДІЙШЛО2!EE22</f>
        <v>0</v>
      </c>
      <c r="OI30" s="96" t="n">
        <f aca="false">[1]ВИБУЛО2!EE22</f>
        <v>0</v>
      </c>
      <c r="OJ30" s="97" t="n">
        <f aca="false">OJ29-OI30+OH30</f>
        <v>0</v>
      </c>
      <c r="OK30" s="95" t="n">
        <f aca="false">[1]НАДІЙШЛО2!EF22</f>
        <v>0</v>
      </c>
      <c r="OL30" s="96" t="n">
        <f aca="false">[1]ВИБУЛО2!EF22</f>
        <v>0</v>
      </c>
      <c r="OM30" s="97" t="n">
        <f aca="false">OM29-OL30+OK30</f>
        <v>0</v>
      </c>
      <c r="ON30" s="95" t="n">
        <f aca="false">[1]НАДІЙШЛО2!EG22</f>
        <v>0</v>
      </c>
      <c r="OO30" s="96" t="n">
        <f aca="false">[1]ВИБУЛО2!EG22</f>
        <v>0</v>
      </c>
      <c r="OP30" s="97" t="n">
        <f aca="false">OP29-OO30+ON30</f>
        <v>0</v>
      </c>
      <c r="OQ30" s="95" t="n">
        <f aca="false">[1]НАДІЙШЛО2!EH22</f>
        <v>0</v>
      </c>
      <c r="OR30" s="96" t="n">
        <f aca="false">[1]ВИБУЛО2!EH22</f>
        <v>0</v>
      </c>
      <c r="OS30" s="97" t="n">
        <f aca="false">OS29-OR30+OQ30</f>
        <v>0</v>
      </c>
      <c r="OT30" s="95" t="n">
        <f aca="false">[1]НАДІЙШЛО2!EI22</f>
        <v>0</v>
      </c>
      <c r="OU30" s="96" t="n">
        <f aca="false">[1]ВИБУЛО2!EI22</f>
        <v>0</v>
      </c>
      <c r="OV30" s="97" t="n">
        <f aca="false">OV29-OU30+OT30</f>
        <v>0</v>
      </c>
      <c r="OW30" s="95" t="n">
        <f aca="false">[1]НАДІЙШЛО2!EJ22</f>
        <v>0</v>
      </c>
      <c r="OX30" s="96" t="n">
        <f aca="false">[1]ВИБУЛО2!EJ22</f>
        <v>0</v>
      </c>
      <c r="OY30" s="97" t="n">
        <f aca="false">OY29-OX30+OW30</f>
        <v>0</v>
      </c>
      <c r="OZ30" s="95" t="n">
        <f aca="false">[1]НАДІЙШЛО2!EK22</f>
        <v>0</v>
      </c>
      <c r="PA30" s="96" t="n">
        <f aca="false">[1]ВИБУЛО2!EK22</f>
        <v>0</v>
      </c>
      <c r="PB30" s="97" t="n">
        <f aca="false">PB29-PA30+OZ30</f>
        <v>0</v>
      </c>
      <c r="PC30" s="95" t="n">
        <f aca="false">[1]НАДІЙШЛО2!EL22</f>
        <v>0</v>
      </c>
      <c r="PD30" s="96" t="n">
        <f aca="false">[1]ВИБУЛО2!EL22</f>
        <v>0</v>
      </c>
      <c r="PE30" s="97" t="n">
        <f aca="false">PE29-PD30+PC30</f>
        <v>0</v>
      </c>
      <c r="PF30" s="95" t="n">
        <f aca="false">[1]НАДІЙШЛО2!EM22</f>
        <v>0</v>
      </c>
      <c r="PG30" s="96" t="n">
        <f aca="false">[1]ВИБУЛО2!EM22</f>
        <v>0</v>
      </c>
      <c r="PH30" s="97" t="n">
        <f aca="false">PH29-PG30+PF30</f>
        <v>0</v>
      </c>
      <c r="PI30" s="95" t="n">
        <f aca="false">[1]НАДІЙШЛО2!EN22</f>
        <v>0</v>
      </c>
      <c r="PJ30" s="96" t="n">
        <f aca="false">[1]ВИБУЛО2!EN22</f>
        <v>0</v>
      </c>
      <c r="PK30" s="97" t="n">
        <f aca="false">PK29-PJ30+PI30</f>
        <v>0</v>
      </c>
      <c r="PL30" s="95" t="n">
        <f aca="false">[1]НАДІЙШЛО2!EO22</f>
        <v>0</v>
      </c>
      <c r="PM30" s="96" t="n">
        <f aca="false">[1]ВИБУЛО2!EO22</f>
        <v>0</v>
      </c>
      <c r="PN30" s="97" t="n">
        <f aca="false">PN29-PM30+PL30</f>
        <v>0</v>
      </c>
      <c r="PO30" s="95" t="n">
        <f aca="false">[1]НАДІЙШЛО2!EP22</f>
        <v>0</v>
      </c>
      <c r="PP30" s="96" t="n">
        <f aca="false">[1]ВИБУЛО2!EP22</f>
        <v>0</v>
      </c>
      <c r="PQ30" s="97" t="n">
        <f aca="false">PQ29-PP30+PO30</f>
        <v>0</v>
      </c>
      <c r="PR30" s="95" t="n">
        <f aca="false">[1]НАДІЙШЛО2!EQ22</f>
        <v>0</v>
      </c>
      <c r="PS30" s="96" t="n">
        <f aca="false">[1]ВИБУЛО2!EQ22</f>
        <v>0</v>
      </c>
      <c r="PT30" s="97" t="n">
        <f aca="false">PT29-PS30+PR30</f>
        <v>0</v>
      </c>
      <c r="PU30" s="95" t="n">
        <f aca="false">[1]НАДІЙШЛО2!ER22</f>
        <v>0</v>
      </c>
      <c r="PV30" s="96" t="n">
        <f aca="false">[1]ВИБУЛО2!ER22</f>
        <v>0</v>
      </c>
      <c r="PW30" s="97" t="n">
        <f aca="false">PW29-PV30+PU30</f>
        <v>0</v>
      </c>
      <c r="PX30" s="95" t="n">
        <f aca="false">[1]НАДІЙШЛО2!ES22</f>
        <v>0</v>
      </c>
      <c r="PY30" s="96" t="n">
        <f aca="false">[1]ВИБУЛО2!ES22</f>
        <v>0</v>
      </c>
      <c r="PZ30" s="97" t="n">
        <f aca="false">PZ29-PY30+PX30</f>
        <v>0</v>
      </c>
      <c r="QA30" s="95" t="n">
        <f aca="false">[1]НАДІЙШЛО2!ET22</f>
        <v>0</v>
      </c>
      <c r="QB30" s="96" t="n">
        <f aca="false">[1]ВИБУЛО2!ET22</f>
        <v>0</v>
      </c>
      <c r="QC30" s="97" t="n">
        <f aca="false">QC29-QB30+QA30</f>
        <v>0</v>
      </c>
      <c r="QD30" s="95" t="n">
        <f aca="false">[1]НАДІЙШЛО2!EU22</f>
        <v>0</v>
      </c>
      <c r="QE30" s="96" t="n">
        <f aca="false">[1]ВИБУЛО2!EU22</f>
        <v>0</v>
      </c>
      <c r="QF30" s="97" t="n">
        <f aca="false">QF29-QE30+QD30</f>
        <v>0</v>
      </c>
      <c r="QG30" s="95" t="n">
        <f aca="false">[1]НАДІЙШЛО2!EV22</f>
        <v>0</v>
      </c>
      <c r="QH30" s="96" t="n">
        <f aca="false">[1]ВИБУЛО2!EV22</f>
        <v>0</v>
      </c>
      <c r="QI30" s="97" t="n">
        <f aca="false">QI29-QH30+QG30</f>
        <v>0</v>
      </c>
      <c r="QJ30" s="95" t="n">
        <f aca="false">[1]НАДІЙШЛО2!EW22</f>
        <v>0</v>
      </c>
      <c r="QK30" s="96" t="n">
        <f aca="false">[1]ВИБУЛО2!EW22</f>
        <v>0</v>
      </c>
      <c r="QL30" s="97" t="n">
        <f aca="false">QL29-QK30+QJ30</f>
        <v>0</v>
      </c>
      <c r="QM30" s="95" t="n">
        <f aca="false">[1]НАДІЙШЛО2!EX22</f>
        <v>0</v>
      </c>
      <c r="QN30" s="96" t="n">
        <f aca="false">[1]ВИБУЛО2!EX22</f>
        <v>0</v>
      </c>
      <c r="QO30" s="97" t="n">
        <f aca="false">QO29-QN30+QM30</f>
        <v>0</v>
      </c>
      <c r="QP30" s="95" t="n">
        <f aca="false">[1]НАДІЙШЛО2!EY22</f>
        <v>0</v>
      </c>
      <c r="QQ30" s="96" t="n">
        <f aca="false">[1]ВИБУЛО2!EY22</f>
        <v>0</v>
      </c>
      <c r="QR30" s="97" t="n">
        <f aca="false">QR29-QQ30+QP30</f>
        <v>0</v>
      </c>
      <c r="QS30" s="95" t="n">
        <f aca="false">[1]НАДІЙШЛО2!EZ22</f>
        <v>0</v>
      </c>
      <c r="QT30" s="96" t="n">
        <f aca="false">[1]ВИБУЛО2!EZ22</f>
        <v>0</v>
      </c>
      <c r="QU30" s="97" t="n">
        <f aca="false">QU29-QT30+QS30</f>
        <v>0</v>
      </c>
      <c r="QV30" s="95" t="n">
        <f aca="false">[1]НАДІЙШЛО2!FA22</f>
        <v>0</v>
      </c>
      <c r="QW30" s="96" t="n">
        <f aca="false">[1]ВИБУЛО2!FA22</f>
        <v>0</v>
      </c>
      <c r="QX30" s="97" t="n">
        <f aca="false">QX29-QW30+QV30</f>
        <v>0</v>
      </c>
      <c r="QY30" s="95" t="n">
        <f aca="false">[1]НАДІЙШЛО2!FB22</f>
        <v>0</v>
      </c>
      <c r="QZ30" s="96" t="n">
        <f aca="false">[1]ВИБУЛО2!FB22</f>
        <v>0</v>
      </c>
      <c r="RA30" s="97" t="n">
        <f aca="false">RA29-QZ30+QY30</f>
        <v>0</v>
      </c>
      <c r="RB30" s="95" t="n">
        <f aca="false">[1]НАДІЙШЛО2!FC22</f>
        <v>0</v>
      </c>
      <c r="RC30" s="96" t="n">
        <f aca="false">[1]ВИБУЛО2!FC22</f>
        <v>0</v>
      </c>
      <c r="RD30" s="97" t="n">
        <f aca="false">RD29-RC30+RB30</f>
        <v>0</v>
      </c>
      <c r="RE30" s="95" t="n">
        <f aca="false">[1]НАДІЙШЛО2!FD22</f>
        <v>0</v>
      </c>
      <c r="RF30" s="96" t="n">
        <f aca="false">[1]ВИБУЛО2!FD22</f>
        <v>0</v>
      </c>
      <c r="RG30" s="97" t="n">
        <f aca="false">RG29-RF30+RE30</f>
        <v>0</v>
      </c>
      <c r="RH30" s="95" t="n">
        <f aca="false">[1]НАДІЙШЛО2!FE22</f>
        <v>0</v>
      </c>
      <c r="RI30" s="96" t="n">
        <f aca="false">[1]ВИБУЛО2!FE22</f>
        <v>0</v>
      </c>
      <c r="RJ30" s="97" t="n">
        <f aca="false">RJ29-RI30+RH30</f>
        <v>0</v>
      </c>
      <c r="RK30" s="95" t="n">
        <f aca="false">[1]НАДІЙШЛО2!FF22</f>
        <v>0</v>
      </c>
      <c r="RL30" s="96" t="n">
        <f aca="false">[1]ВИБУЛО2!FF22</f>
        <v>0</v>
      </c>
      <c r="RM30" s="97" t="n">
        <f aca="false">RM29-RL30+RK30</f>
        <v>0</v>
      </c>
      <c r="RN30" s="95" t="n">
        <f aca="false">[1]НАДІЙШЛО2!FG22</f>
        <v>0</v>
      </c>
      <c r="RO30" s="96" t="n">
        <f aca="false">[1]ВИБУЛО2!FG22</f>
        <v>0</v>
      </c>
      <c r="RP30" s="97" t="n">
        <f aca="false">RP29-RO30+RN30</f>
        <v>0</v>
      </c>
      <c r="RQ30" s="95" t="n">
        <f aca="false">[1]НАДІЙШЛО2!FH22</f>
        <v>0</v>
      </c>
      <c r="RR30" s="96" t="n">
        <f aca="false">[1]ВИБУЛО2!FH22</f>
        <v>0</v>
      </c>
      <c r="RS30" s="97" t="n">
        <f aca="false">RS29-RR30+RQ30</f>
        <v>0</v>
      </c>
      <c r="RT30" s="95" t="n">
        <f aca="false">[1]НАДІЙШЛО2!FI22</f>
        <v>0</v>
      </c>
      <c r="RU30" s="96" t="n">
        <f aca="false">[1]ВИБУЛО2!FI22</f>
        <v>0</v>
      </c>
      <c r="RV30" s="97" t="n">
        <f aca="false">RV29-RU30+RT30</f>
        <v>0</v>
      </c>
      <c r="RW30" s="95" t="n">
        <f aca="false">[1]НАДІЙШЛО2!FJ22</f>
        <v>0</v>
      </c>
      <c r="RX30" s="96" t="n">
        <f aca="false">[1]ВИБУЛО2!FJ22</f>
        <v>0</v>
      </c>
      <c r="RY30" s="97" t="n">
        <f aca="false">RY29-RX30+RW30</f>
        <v>0</v>
      </c>
      <c r="RZ30" s="95" t="n">
        <f aca="false">[1]НАДІЙШЛО2!FK22</f>
        <v>0</v>
      </c>
      <c r="SA30" s="96" t="n">
        <f aca="false">[1]ВИБУЛО2!FK22</f>
        <v>0</v>
      </c>
      <c r="SB30" s="97" t="n">
        <f aca="false">SB29-SA30+RZ30</f>
        <v>0</v>
      </c>
      <c r="SC30" s="95" t="n">
        <f aca="false">[1]НАДІЙШЛО2!FL22</f>
        <v>0</v>
      </c>
      <c r="SD30" s="96" t="n">
        <f aca="false">[1]ВИБУЛО2!FL22</f>
        <v>0</v>
      </c>
      <c r="SE30" s="97" t="n">
        <f aca="false">SE29-SD30+SC30</f>
        <v>0</v>
      </c>
      <c r="SF30" s="95" t="n">
        <f aca="false">[1]НАДІЙШЛО2!FM22</f>
        <v>0</v>
      </c>
      <c r="SG30" s="96" t="n">
        <f aca="false">[1]ВИБУЛО2!FM22</f>
        <v>0</v>
      </c>
      <c r="SH30" s="97" t="n">
        <f aca="false">SH29-SG30+SF30</f>
        <v>0</v>
      </c>
      <c r="SI30" s="95" t="n">
        <f aca="false">[1]НАДІЙШЛО2!FN22</f>
        <v>0</v>
      </c>
      <c r="SJ30" s="96" t="n">
        <f aca="false">[1]ВИБУЛО2!FN22</f>
        <v>0</v>
      </c>
      <c r="SK30" s="97" t="n">
        <f aca="false">SK29-SJ30+SI30</f>
        <v>0</v>
      </c>
      <c r="SL30" s="95" t="n">
        <f aca="false">[1]НАДІЙШЛО2!FO22</f>
        <v>0</v>
      </c>
      <c r="SM30" s="96" t="n">
        <f aca="false">[1]ВИБУЛО2!FO22</f>
        <v>0</v>
      </c>
      <c r="SN30" s="97" t="n">
        <f aca="false">SN29-SM30+SL30</f>
        <v>0</v>
      </c>
      <c r="SO30" s="95" t="n">
        <f aca="false">[1]НАДІЙШЛО2!FP22</f>
        <v>0</v>
      </c>
      <c r="SP30" s="96" t="n">
        <f aca="false">[1]ВИБУЛО2!FP22</f>
        <v>0</v>
      </c>
      <c r="SQ30" s="97" t="n">
        <f aca="false">SQ29-SP30+SO30</f>
        <v>0</v>
      </c>
      <c r="SR30" s="95" t="n">
        <f aca="false">[1]НАДІЙШЛО2!FQ22</f>
        <v>0</v>
      </c>
      <c r="SS30" s="96" t="n">
        <f aca="false">[1]ВИБУЛО2!FQ22</f>
        <v>0</v>
      </c>
      <c r="ST30" s="97" t="n">
        <f aca="false">ST29-SS30+SR30</f>
        <v>0</v>
      </c>
      <c r="SU30" s="95" t="n">
        <f aca="false">[1]НАДІЙШЛО2!FR22</f>
        <v>0</v>
      </c>
      <c r="SV30" s="96" t="n">
        <f aca="false">[1]ВИБУЛО2!FR22</f>
        <v>0</v>
      </c>
      <c r="SW30" s="97" t="n">
        <f aca="false">SW29-SV30+SU30</f>
        <v>0</v>
      </c>
      <c r="SX30" s="95" t="n">
        <f aca="false">[1]НАДІЙШЛО2!FS22</f>
        <v>0</v>
      </c>
      <c r="SY30" s="96" t="n">
        <f aca="false">[1]ВИБУЛО2!FS22</f>
        <v>0</v>
      </c>
      <c r="SZ30" s="97" t="n">
        <f aca="false">SZ29-SY30+SX30</f>
        <v>0</v>
      </c>
      <c r="TA30" s="95" t="n">
        <f aca="false">[1]НАДІЙШЛО2!FT22</f>
        <v>0</v>
      </c>
      <c r="TB30" s="96" t="n">
        <f aca="false">[1]ВИБУЛО2!FT22</f>
        <v>0</v>
      </c>
      <c r="TC30" s="97" t="n">
        <f aca="false">TC29-TB30+TA30</f>
        <v>0</v>
      </c>
      <c r="TD30" s="95" t="n">
        <f aca="false">[1]НАДІЙШЛО2!FU22</f>
        <v>0</v>
      </c>
      <c r="TE30" s="96" t="n">
        <f aca="false">[1]ВИБУЛО2!FU22</f>
        <v>0</v>
      </c>
      <c r="TF30" s="97" t="n">
        <f aca="false">TF29-TE30+TD30</f>
        <v>0</v>
      </c>
      <c r="TG30" s="95" t="n">
        <f aca="false">[1]НАДІЙШЛО2!FV22</f>
        <v>0</v>
      </c>
      <c r="TH30" s="96" t="n">
        <f aca="false">[1]ВИБУЛО2!FV22</f>
        <v>0</v>
      </c>
      <c r="TI30" s="97" t="n">
        <f aca="false">TI29-TH30+TG30</f>
        <v>0</v>
      </c>
      <c r="TJ30" s="95" t="n">
        <f aca="false">[1]НАДІЙШЛО2!FW22</f>
        <v>0</v>
      </c>
      <c r="TK30" s="96" t="n">
        <f aca="false">[1]ВИБУЛО2!FW22</f>
        <v>0</v>
      </c>
      <c r="TL30" s="97" t="n">
        <f aca="false">TL29-TK30+TJ30</f>
        <v>0</v>
      </c>
      <c r="TM30" s="95" t="n">
        <f aca="false">[1]НАДІЙШЛО2!FX22</f>
        <v>0</v>
      </c>
      <c r="TN30" s="96" t="n">
        <f aca="false">[1]ВИБУЛО2!FX22</f>
        <v>0</v>
      </c>
      <c r="TO30" s="97" t="n">
        <f aca="false">TO29-TN30+TM30</f>
        <v>0</v>
      </c>
      <c r="TP30" s="95" t="n">
        <f aca="false">[1]НАДІЙШЛО2!FY22</f>
        <v>0</v>
      </c>
      <c r="TQ30" s="96" t="n">
        <f aca="false">[1]ВИБУЛО2!FY22</f>
        <v>0</v>
      </c>
      <c r="TR30" s="97" t="n">
        <f aca="false">TR29-TQ30+TP30</f>
        <v>0</v>
      </c>
      <c r="TS30" s="95" t="n">
        <f aca="false">[1]НАДІЙШЛО2!FZ22</f>
        <v>0</v>
      </c>
      <c r="TT30" s="96" t="n">
        <f aca="false">[1]ВИБУЛО2!FZ22</f>
        <v>0</v>
      </c>
      <c r="TU30" s="97" t="n">
        <f aca="false">TU29-TT30+TS30</f>
        <v>0</v>
      </c>
      <c r="TV30" s="95" t="n">
        <f aca="false">[1]НАДІЙШЛО2!GA22</f>
        <v>0</v>
      </c>
      <c r="TW30" s="96" t="n">
        <f aca="false">[1]ВИБУЛО2!GA22</f>
        <v>0</v>
      </c>
      <c r="TX30" s="97" t="n">
        <f aca="false">TX29-TW30+TV30</f>
        <v>0</v>
      </c>
      <c r="TY30" s="95" t="n">
        <f aca="false">[1]НАДІЙШЛО2!GB22</f>
        <v>0</v>
      </c>
      <c r="TZ30" s="96" t="n">
        <f aca="false">[1]ВИБУЛО2!GB22</f>
        <v>0</v>
      </c>
      <c r="UA30" s="97" t="n">
        <f aca="false">UA29-TZ30+TY30</f>
        <v>0</v>
      </c>
      <c r="UB30" s="95" t="n">
        <f aca="false">[1]НАДІЙШЛО2!GC22</f>
        <v>0</v>
      </c>
      <c r="UC30" s="96" t="n">
        <f aca="false">[1]ВИБУЛО2!GC22</f>
        <v>0</v>
      </c>
      <c r="UD30" s="97" t="n">
        <f aca="false">UD29-UC30+UB30</f>
        <v>0</v>
      </c>
      <c r="UE30" s="95" t="n">
        <f aca="false">[1]НАДІЙШЛО2!GD22</f>
        <v>0</v>
      </c>
      <c r="UF30" s="96" t="n">
        <f aca="false">[1]ВИБУЛО2!GD22</f>
        <v>0</v>
      </c>
      <c r="UG30" s="97" t="n">
        <f aca="false">UG29-UF30+UE30</f>
        <v>0</v>
      </c>
      <c r="UH30" s="95" t="n">
        <f aca="false">[1]НАДІЙШЛО2!GE22</f>
        <v>0</v>
      </c>
      <c r="UI30" s="96" t="n">
        <f aca="false">[1]ВИБУЛО2!GE22</f>
        <v>0</v>
      </c>
      <c r="UJ30" s="97" t="n">
        <f aca="false">UJ29-UI30+UH30</f>
        <v>0</v>
      </c>
      <c r="UK30" s="95" t="n">
        <f aca="false">[1]НАДІЙШЛО2!GF22</f>
        <v>0</v>
      </c>
      <c r="UL30" s="96" t="n">
        <f aca="false">[1]ВИБУЛО2!GF22</f>
        <v>0</v>
      </c>
      <c r="UM30" s="97" t="n">
        <f aca="false">UM29-UL30+UK30</f>
        <v>0</v>
      </c>
      <c r="UN30" s="95" t="n">
        <f aca="false">[1]НАДІЙШЛО2!GG22</f>
        <v>0</v>
      </c>
      <c r="UO30" s="96" t="n">
        <f aca="false">[1]ВИБУЛО2!GG22</f>
        <v>0</v>
      </c>
      <c r="UP30" s="97" t="n">
        <f aca="false">UP29-UO30+UN30</f>
        <v>0</v>
      </c>
      <c r="UQ30" s="95" t="n">
        <f aca="false">[1]НАДІЙШЛО2!GH22</f>
        <v>0</v>
      </c>
      <c r="UR30" s="96" t="n">
        <f aca="false">[1]ВИБУЛО2!GH22</f>
        <v>0</v>
      </c>
      <c r="US30" s="97" t="n">
        <f aca="false">US29-UR30+UQ30</f>
        <v>0</v>
      </c>
      <c r="UT30" s="95" t="n">
        <f aca="false">[1]НАДІЙШЛО2!GI22</f>
        <v>0</v>
      </c>
      <c r="UU30" s="96" t="n">
        <f aca="false">[1]ВИБУЛО2!GI22</f>
        <v>0</v>
      </c>
      <c r="UV30" s="97" t="n">
        <f aca="false">UV29-UU30+UT30</f>
        <v>0</v>
      </c>
      <c r="UW30" s="95" t="n">
        <f aca="false">[1]НАДІЙШЛО2!GJ22</f>
        <v>0</v>
      </c>
      <c r="UX30" s="96" t="n">
        <f aca="false">[1]ВИБУЛО2!GJ22</f>
        <v>0</v>
      </c>
      <c r="UY30" s="97" t="n">
        <f aca="false">UY29-UX30+UW30</f>
        <v>0</v>
      </c>
      <c r="UZ30" s="95" t="n">
        <f aca="false">[1]НАДІЙШЛО2!GK22</f>
        <v>0</v>
      </c>
      <c r="VA30" s="96" t="n">
        <f aca="false">[1]ВИБУЛО2!GK22</f>
        <v>0</v>
      </c>
      <c r="VB30" s="97" t="n">
        <f aca="false">VB29-VA30+UZ30</f>
        <v>0</v>
      </c>
      <c r="VC30" s="95" t="n">
        <f aca="false">[1]НАДІЙШЛО2!GL22</f>
        <v>0</v>
      </c>
      <c r="VD30" s="96" t="n">
        <f aca="false">[1]ВИБУЛО2!GL22</f>
        <v>0</v>
      </c>
      <c r="VE30" s="97" t="n">
        <f aca="false">VE29-VD30+VC30</f>
        <v>0</v>
      </c>
      <c r="VF30" s="95" t="n">
        <f aca="false">[1]НАДІЙШЛО2!GM22</f>
        <v>0</v>
      </c>
      <c r="VG30" s="96" t="n">
        <f aca="false">[1]ВИБУЛО2!GM22</f>
        <v>0</v>
      </c>
      <c r="VH30" s="97" t="n">
        <f aca="false">VH29-VG30+VF30</f>
        <v>0</v>
      </c>
      <c r="VI30" s="95" t="n">
        <f aca="false">[1]НАДІЙШЛО2!GN22</f>
        <v>0</v>
      </c>
      <c r="VJ30" s="96" t="n">
        <f aca="false">[1]ВИБУЛО2!GN22</f>
        <v>0</v>
      </c>
      <c r="VK30" s="97" t="n">
        <f aca="false">VK29-VJ30+VI30</f>
        <v>0</v>
      </c>
      <c r="VL30" s="95" t="n">
        <f aca="false">[1]НАДІЙШЛО2!GO22</f>
        <v>0</v>
      </c>
      <c r="VM30" s="96" t="n">
        <f aca="false">[1]ВИБУЛО2!GO22</f>
        <v>0</v>
      </c>
      <c r="VN30" s="97" t="n">
        <f aca="false">VN29-VM30+VL30</f>
        <v>0</v>
      </c>
      <c r="VO30" s="95" t="n">
        <f aca="false">[1]НАДІЙШЛО2!GP22</f>
        <v>0</v>
      </c>
      <c r="VP30" s="96" t="n">
        <f aca="false">[1]ВИБУЛО2!GP22</f>
        <v>0</v>
      </c>
      <c r="VQ30" s="97" t="n">
        <f aca="false">VQ29-VP30+VO30</f>
        <v>0</v>
      </c>
      <c r="VR30" s="95" t="n">
        <f aca="false">[1]НАДІЙШЛО2!GQ22</f>
        <v>0</v>
      </c>
      <c r="VS30" s="96" t="n">
        <f aca="false">[1]ВИБУЛО2!GQ22</f>
        <v>0</v>
      </c>
      <c r="VT30" s="97" t="n">
        <f aca="false">VT29-VS30+VR30</f>
        <v>0</v>
      </c>
      <c r="VU30" s="95" t="n">
        <f aca="false">[1]НАДІЙШЛО2!GR22</f>
        <v>0</v>
      </c>
      <c r="VV30" s="96" t="n">
        <f aca="false">[1]ВИБУЛО2!GR22</f>
        <v>0</v>
      </c>
      <c r="VW30" s="97" t="n">
        <f aca="false">VW29-VV30+VU30</f>
        <v>0</v>
      </c>
      <c r="VX30" s="95" t="n">
        <f aca="false">[1]НАДІЙШЛО2!GS22</f>
        <v>0</v>
      </c>
      <c r="VY30" s="96" t="n">
        <f aca="false">[1]ВИБУЛО2!GS22</f>
        <v>0</v>
      </c>
      <c r="VZ30" s="97" t="n">
        <f aca="false">VZ29-VY30+VX30</f>
        <v>0</v>
      </c>
      <c r="WA30" s="95" t="n">
        <f aca="false">[1]НАДІЙШЛО2!GT22</f>
        <v>0</v>
      </c>
      <c r="WB30" s="96" t="n">
        <f aca="false">[1]ВИБУЛО2!GT22</f>
        <v>0</v>
      </c>
      <c r="WC30" s="97" t="n">
        <f aca="false">WC29-WB30+WA30</f>
        <v>0</v>
      </c>
      <c r="WD30" s="95" t="n">
        <f aca="false">[1]НАДІЙШЛО2!GU22</f>
        <v>0</v>
      </c>
      <c r="WE30" s="96" t="n">
        <f aca="false">[1]ВИБУЛО2!GU22</f>
        <v>0</v>
      </c>
      <c r="WF30" s="97" t="n">
        <f aca="false">WF29-WE30+WD30</f>
        <v>0</v>
      </c>
      <c r="WG30" s="95" t="n">
        <f aca="false">[1]НАДІЙШЛО2!GV22</f>
        <v>0</v>
      </c>
      <c r="WH30" s="96" t="n">
        <f aca="false">[1]ВИБУЛО2!GV22</f>
        <v>0</v>
      </c>
      <c r="WI30" s="97" t="n">
        <f aca="false">WI29-WH30+WG30</f>
        <v>0</v>
      </c>
      <c r="WJ30" s="95" t="n">
        <f aca="false">[1]НАДІЙШЛО2!GW22</f>
        <v>0</v>
      </c>
      <c r="WK30" s="96" t="n">
        <f aca="false">[1]ВИБУЛО2!GW22</f>
        <v>0</v>
      </c>
      <c r="WL30" s="97" t="n">
        <f aca="false">WL29-WK30+WJ30</f>
        <v>0</v>
      </c>
      <c r="WM30" s="95" t="n">
        <f aca="false">[1]НАДІЙШЛО2!GX22</f>
        <v>0</v>
      </c>
      <c r="WN30" s="96" t="n">
        <f aca="false">[1]ВИБУЛО2!GX22</f>
        <v>0</v>
      </c>
      <c r="WO30" s="97" t="n">
        <f aca="false">WO29-WN30+WM30</f>
        <v>0</v>
      </c>
      <c r="WP30" s="95" t="n">
        <f aca="false">[1]НАДІЙШЛО2!GY22</f>
        <v>0</v>
      </c>
      <c r="WQ30" s="96" t="n">
        <f aca="false">[1]ВИБУЛО2!GY22</f>
        <v>0</v>
      </c>
      <c r="WR30" s="97" t="n">
        <f aca="false">WR29-WQ30+WP30</f>
        <v>0</v>
      </c>
      <c r="WS30" s="95" t="n">
        <f aca="false">[1]НАДІЙШЛО2!GZ22</f>
        <v>0</v>
      </c>
      <c r="WT30" s="96" t="n">
        <f aca="false">[1]ВИБУЛО2!GZ22</f>
        <v>0</v>
      </c>
      <c r="WU30" s="97" t="n">
        <f aca="false">WU29-WT30+WS30</f>
        <v>0</v>
      </c>
      <c r="WV30" s="95" t="n">
        <f aca="false">[1]НАДІЙШЛО2!HA22</f>
        <v>0</v>
      </c>
      <c r="WW30" s="96" t="n">
        <f aca="false">[1]ВИБУЛО2!HA22</f>
        <v>0</v>
      </c>
      <c r="WX30" s="97" t="n">
        <f aca="false">WX29-WW30+WV30</f>
        <v>0</v>
      </c>
      <c r="WY30" s="95" t="n">
        <f aca="false">[1]НАДІЙШЛО2!HB22</f>
        <v>0</v>
      </c>
      <c r="WZ30" s="96" t="n">
        <f aca="false">[1]ВИБУЛО2!HB22</f>
        <v>0</v>
      </c>
      <c r="XA30" s="97" t="n">
        <f aca="false">XA29-WZ30+WY30</f>
        <v>0</v>
      </c>
      <c r="XB30" s="95" t="n">
        <f aca="false">[1]НАДІЙШЛО2!HC22</f>
        <v>0</v>
      </c>
      <c r="XC30" s="96" t="n">
        <f aca="false">[1]ВИБУЛО2!HC22</f>
        <v>0</v>
      </c>
      <c r="XD30" s="97" t="n">
        <f aca="false">XD29-XC30+XB30</f>
        <v>0</v>
      </c>
      <c r="XE30" s="95" t="n">
        <f aca="false">[1]НАДІЙШЛО2!HD22</f>
        <v>0</v>
      </c>
      <c r="XF30" s="96" t="n">
        <f aca="false">[1]ВИБУЛО2!HD22</f>
        <v>0</v>
      </c>
      <c r="XG30" s="97" t="n">
        <f aca="false">XG29-XF30+XE30</f>
        <v>0</v>
      </c>
      <c r="XH30" s="95" t="n">
        <f aca="false">[1]НАДІЙШЛО2!HE22</f>
        <v>0</v>
      </c>
      <c r="XI30" s="96" t="n">
        <f aca="false">[1]ВИБУЛО2!HE22</f>
        <v>0</v>
      </c>
      <c r="XJ30" s="97" t="n">
        <f aca="false">XJ29-XI30+XH30</f>
        <v>0</v>
      </c>
      <c r="XK30" s="95" t="n">
        <f aca="false">[1]НАДІЙШЛО2!HF22</f>
        <v>0</v>
      </c>
      <c r="XL30" s="96" t="n">
        <f aca="false">[1]ВИБУЛО2!HF22</f>
        <v>0</v>
      </c>
      <c r="XM30" s="97" t="n">
        <f aca="false">XM29-XL30+XK30</f>
        <v>0</v>
      </c>
      <c r="XN30" s="95" t="n">
        <f aca="false">[1]НАДІЙШЛО2!HG22</f>
        <v>0</v>
      </c>
      <c r="XO30" s="96" t="n">
        <f aca="false">[1]ВИБУЛО2!HG22</f>
        <v>0</v>
      </c>
      <c r="XP30" s="97" t="n">
        <f aca="false">XP29-XO30+XN30</f>
        <v>0</v>
      </c>
      <c r="XQ30" s="95" t="n">
        <f aca="false">[1]НАДІЙШЛО2!HH22</f>
        <v>0</v>
      </c>
      <c r="XR30" s="96" t="n">
        <f aca="false">[1]ВИБУЛО2!HH22</f>
        <v>0</v>
      </c>
      <c r="XS30" s="97" t="n">
        <f aca="false">XS29-XR30+XQ30</f>
        <v>0</v>
      </c>
      <c r="XT30" s="95" t="n">
        <f aca="false">[1]НАДІЙШЛО2!HI22</f>
        <v>0</v>
      </c>
      <c r="XU30" s="96" t="n">
        <f aca="false">[1]ВИБУЛО2!HI22</f>
        <v>0</v>
      </c>
      <c r="XV30" s="97" t="n">
        <f aca="false">XV29-XU30+XT30</f>
        <v>0</v>
      </c>
      <c r="XW30" s="95" t="n">
        <f aca="false">[1]НАДІЙШЛО2!HJ22</f>
        <v>0</v>
      </c>
      <c r="XX30" s="96" t="n">
        <f aca="false">[1]ВИБУЛО2!HJ22</f>
        <v>0</v>
      </c>
      <c r="XY30" s="97" t="n">
        <f aca="false">XY29-XX30+XW30</f>
        <v>0</v>
      </c>
      <c r="XZ30" s="95" t="n">
        <f aca="false">[1]НАДІЙШЛО2!HK22</f>
        <v>0</v>
      </c>
      <c r="YA30" s="96" t="n">
        <f aca="false">[1]ВИБУЛО2!HK22</f>
        <v>0</v>
      </c>
      <c r="YB30" s="97" t="n">
        <f aca="false">YB29-YA30+XZ30</f>
        <v>0</v>
      </c>
      <c r="YC30" s="95" t="n">
        <f aca="false">[1]НАДІЙШЛО2!HL22</f>
        <v>0</v>
      </c>
      <c r="YD30" s="96" t="n">
        <f aca="false">[1]ВИБУЛО2!HL22</f>
        <v>0</v>
      </c>
      <c r="YE30" s="97" t="n">
        <f aca="false">YE29-YD30+YC30</f>
        <v>0</v>
      </c>
      <c r="YF30" s="95" t="n">
        <f aca="false">[1]НАДІЙШЛО2!HM22</f>
        <v>0</v>
      </c>
      <c r="YG30" s="96" t="n">
        <f aca="false">[1]ВИБУЛО2!HM22</f>
        <v>0</v>
      </c>
      <c r="YH30" s="97" t="n">
        <f aca="false">YH29-YG30+YF30</f>
        <v>0</v>
      </c>
      <c r="YI30" s="95" t="n">
        <f aca="false">[1]НАДІЙШЛО2!HN22</f>
        <v>0</v>
      </c>
      <c r="YJ30" s="96" t="n">
        <f aca="false">[1]ВИБУЛО2!HN22</f>
        <v>0</v>
      </c>
      <c r="YK30" s="97" t="n">
        <f aca="false">YK29-YJ30+YI30</f>
        <v>0</v>
      </c>
      <c r="YL30" s="95" t="n">
        <f aca="false">[1]НАДІЙШЛО2!HO22</f>
        <v>0</v>
      </c>
      <c r="YM30" s="96" t="n">
        <f aca="false">[1]ВИБУЛО2!HO22</f>
        <v>0</v>
      </c>
      <c r="YN30" s="97" t="n">
        <f aca="false">YN29-YM30+YL30</f>
        <v>0</v>
      </c>
      <c r="YO30" s="95" t="n">
        <f aca="false">[1]НАДІЙШЛО2!HP22</f>
        <v>0</v>
      </c>
      <c r="YP30" s="96" t="n">
        <f aca="false">[1]ВИБУЛО2!HP22</f>
        <v>0</v>
      </c>
      <c r="YQ30" s="97" t="n">
        <f aca="false">YQ29-YP30+YO30</f>
        <v>0</v>
      </c>
      <c r="YR30" s="95" t="n">
        <f aca="false">[1]НАДІЙШЛО2!HQ22</f>
        <v>0</v>
      </c>
      <c r="YS30" s="96" t="n">
        <f aca="false">[1]ВИБУЛО2!HQ22</f>
        <v>0</v>
      </c>
      <c r="YT30" s="97" t="n">
        <f aca="false">YT29-YS30+YR30</f>
        <v>0</v>
      </c>
      <c r="YU30" s="95" t="n">
        <f aca="false">[1]НАДІЙШЛО2!HR22</f>
        <v>0</v>
      </c>
      <c r="YV30" s="96" t="n">
        <f aca="false">[1]ВИБУЛО2!HR22</f>
        <v>0</v>
      </c>
      <c r="YW30" s="97" t="n">
        <f aca="false">YW29-YV30+YU30</f>
        <v>0</v>
      </c>
      <c r="YX30" s="95" t="n">
        <f aca="false">[1]НАДІЙШЛО2!HS22</f>
        <v>0</v>
      </c>
      <c r="YY30" s="96" t="n">
        <f aca="false">[1]ВИБУЛО2!HS22</f>
        <v>0</v>
      </c>
      <c r="YZ30" s="97" t="n">
        <f aca="false">YZ29-YY30+YX30</f>
        <v>0</v>
      </c>
      <c r="ZA30" s="95" t="n">
        <f aca="false">[1]НАДІЙШЛО2!HT22</f>
        <v>0</v>
      </c>
      <c r="ZB30" s="96" t="n">
        <f aca="false">[1]ВИБУЛО2!HT22</f>
        <v>0</v>
      </c>
      <c r="ZC30" s="97" t="n">
        <f aca="false">ZC29-ZB30+ZA30</f>
        <v>0</v>
      </c>
      <c r="ZD30" s="95" t="n">
        <f aca="false">[1]НАДІЙШЛО2!HU22</f>
        <v>0</v>
      </c>
      <c r="ZE30" s="96" t="n">
        <f aca="false">[1]ВИБУЛО2!HU22</f>
        <v>0</v>
      </c>
      <c r="ZF30" s="97" t="n">
        <f aca="false">ZF29-ZE30+ZD30</f>
        <v>0</v>
      </c>
      <c r="ZG30" s="95" t="n">
        <f aca="false">[1]НАДІЙШЛО2!HV22</f>
        <v>0</v>
      </c>
      <c r="ZH30" s="96" t="n">
        <f aca="false">[1]ВИБУЛО2!HV22</f>
        <v>0</v>
      </c>
      <c r="ZI30" s="97" t="n">
        <f aca="false">ZI29-ZH30+ZG30</f>
        <v>0</v>
      </c>
      <c r="ZJ30" s="95" t="n">
        <f aca="false">[1]НАДІЙШЛО2!HW22</f>
        <v>0</v>
      </c>
      <c r="ZK30" s="96" t="n">
        <f aca="false">[1]ВИБУЛО2!HW22</f>
        <v>0</v>
      </c>
      <c r="ZL30" s="97" t="n">
        <f aca="false">ZL29-ZK30+ZJ30</f>
        <v>0</v>
      </c>
      <c r="ZM30" s="95" t="n">
        <f aca="false">[1]НАДІЙШЛО2!HX22</f>
        <v>0</v>
      </c>
      <c r="ZN30" s="96" t="n">
        <f aca="false">[1]ВИБУЛО2!HX22</f>
        <v>0</v>
      </c>
      <c r="ZO30" s="97" t="n">
        <f aca="false">ZO29-ZN30+ZM30</f>
        <v>0</v>
      </c>
      <c r="ZP30" s="95" t="n">
        <f aca="false">[1]НАДІЙШЛО2!HY22</f>
        <v>0</v>
      </c>
      <c r="ZQ30" s="96" t="n">
        <f aca="false">[1]ВИБУЛО2!HY22</f>
        <v>0</v>
      </c>
      <c r="ZR30" s="97" t="n">
        <f aca="false">ZR29-ZQ30+ZP30</f>
        <v>0</v>
      </c>
      <c r="ZS30" s="95" t="n">
        <f aca="false">[1]НАДІЙШЛО2!HZ22</f>
        <v>0</v>
      </c>
      <c r="ZT30" s="96" t="n">
        <f aca="false">[1]ВИБУЛО2!HZ22</f>
        <v>0</v>
      </c>
      <c r="ZU30" s="97" t="n">
        <f aca="false">ZU29-ZT30+ZS30</f>
        <v>0</v>
      </c>
      <c r="ZV30" s="95" t="n">
        <f aca="false">[1]НАДІЙШЛО2!IA22</f>
        <v>0</v>
      </c>
      <c r="ZW30" s="96" t="n">
        <f aca="false">[1]ВИБУЛО2!IA22</f>
        <v>0</v>
      </c>
      <c r="ZX30" s="97" t="n">
        <f aca="false">ZX29-ZW30+ZV30</f>
        <v>0</v>
      </c>
      <c r="ZY30" s="95" t="n">
        <f aca="false">[1]НАДІЙШЛО2!IB22</f>
        <v>0</v>
      </c>
      <c r="ZZ30" s="96" t="n">
        <f aca="false">[1]ВИБУЛО2!IB22</f>
        <v>0</v>
      </c>
      <c r="AAA30" s="97" t="n">
        <f aca="false">AAA29-ZZ30+ZY30</f>
        <v>0</v>
      </c>
      <c r="AAB30" s="95" t="n">
        <f aca="false">[1]НАДІЙШЛО2!IC22</f>
        <v>0</v>
      </c>
      <c r="AAC30" s="96" t="n">
        <f aca="false">[1]ВИБУЛО2!IC22</f>
        <v>0</v>
      </c>
      <c r="AAD30" s="97" t="n">
        <f aca="false">AAD29-AAC30+AAB30</f>
        <v>0</v>
      </c>
      <c r="AAE30" s="95" t="n">
        <f aca="false">[1]НАДІЙШЛО2!ID22</f>
        <v>0</v>
      </c>
      <c r="AAF30" s="96" t="n">
        <f aca="false">[1]ВИБУЛО2!ID22</f>
        <v>0</v>
      </c>
      <c r="AAG30" s="97" t="n">
        <f aca="false">AAG29-AAF30+AAE30</f>
        <v>0</v>
      </c>
      <c r="AAH30" s="95" t="n">
        <f aca="false">[1]НАДІЙШЛО2!IE22</f>
        <v>0</v>
      </c>
      <c r="AAI30" s="96" t="n">
        <f aca="false">[1]ВИБУЛО2!IE22</f>
        <v>0</v>
      </c>
      <c r="AAJ30" s="97" t="n">
        <f aca="false">AAJ29-AAI30+AAH30</f>
        <v>0</v>
      </c>
      <c r="AAK30" s="95" t="n">
        <f aca="false">[1]НАДІЙШЛО2!IF22</f>
        <v>0</v>
      </c>
      <c r="AAL30" s="96" t="n">
        <f aca="false">[1]ВИБУЛО2!IF22</f>
        <v>0</v>
      </c>
      <c r="AAM30" s="97" t="n">
        <f aca="false">AAM29-AAL30+AAK30</f>
        <v>0</v>
      </c>
      <c r="AAN30" s="95" t="n">
        <f aca="false">[1]НАДІЙШЛО2!IG22</f>
        <v>0</v>
      </c>
      <c r="AAO30" s="96" t="n">
        <f aca="false">[1]ВИБУЛО2!IG22</f>
        <v>0</v>
      </c>
      <c r="AAP30" s="97" t="n">
        <f aca="false">AAP29-AAO30+AAN30</f>
        <v>0</v>
      </c>
      <c r="AAQ30" s="95" t="n">
        <f aca="false">[1]НАДІЙШЛО2!IH22</f>
        <v>0</v>
      </c>
      <c r="AAR30" s="96" t="n">
        <f aca="false">[1]ВИБУЛО2!IH22</f>
        <v>0</v>
      </c>
      <c r="AAS30" s="97" t="n">
        <f aca="false">AAS29-AAR30+AAQ30</f>
        <v>0</v>
      </c>
      <c r="AAT30" s="95" t="n">
        <f aca="false">[1]НАДІЙШЛО2!II22</f>
        <v>0</v>
      </c>
      <c r="AAU30" s="96" t="n">
        <f aca="false">[1]ВИБУЛО2!II22</f>
        <v>0</v>
      </c>
      <c r="AAV30" s="97" t="n">
        <f aca="false">AAV29-AAU30+AAT30</f>
        <v>0</v>
      </c>
      <c r="AAW30" s="95" t="n">
        <f aca="false">[1]НАДІЙШЛО2!IJ22</f>
        <v>0</v>
      </c>
      <c r="AAX30" s="96" t="n">
        <f aca="false">[1]ВИБУЛО2!IJ22</f>
        <v>0</v>
      </c>
      <c r="AAY30" s="97" t="n">
        <f aca="false">AAY29-AAX30+AAW30</f>
        <v>0</v>
      </c>
      <c r="AAZ30" s="95" t="n">
        <f aca="false">[1]НАДІЙШЛО2!IK22</f>
        <v>0</v>
      </c>
      <c r="ABA30" s="96" t="n">
        <f aca="false">[1]ВИБУЛО2!IK22</f>
        <v>0</v>
      </c>
      <c r="ABB30" s="97" t="n">
        <f aca="false">ABB29-ABA30+AAZ30</f>
        <v>0</v>
      </c>
      <c r="ABC30" s="95" t="n">
        <f aca="false">[1]НАДІЙШЛО2!IL22</f>
        <v>0</v>
      </c>
      <c r="ABD30" s="96" t="n">
        <f aca="false">[1]ВИБУЛО2!IL22</f>
        <v>0</v>
      </c>
      <c r="ABE30" s="97" t="n">
        <f aca="false">ABE29-ABD30+ABC30</f>
        <v>0</v>
      </c>
      <c r="ABF30" s="95" t="n">
        <f aca="false">[1]НАДІЙШЛО2!IM22</f>
        <v>0</v>
      </c>
      <c r="ABG30" s="96" t="n">
        <f aca="false">[1]ВИБУЛО2!IM22</f>
        <v>0</v>
      </c>
      <c r="ABH30" s="97" t="n">
        <f aca="false">ABH29-ABG30+ABF30</f>
        <v>0</v>
      </c>
      <c r="ABI30" s="95" t="n">
        <f aca="false">[1]НАДІЙШЛО2!IN22</f>
        <v>0</v>
      </c>
      <c r="ABJ30" s="96" t="n">
        <f aca="false">[1]ВИБУЛО2!IN22</f>
        <v>0</v>
      </c>
      <c r="ABK30" s="97" t="n">
        <f aca="false">ABK29-ABJ30+ABI30</f>
        <v>0</v>
      </c>
      <c r="ABL30" s="95" t="n">
        <f aca="false">[1]НАДІЙШЛО2!IO22</f>
        <v>0</v>
      </c>
      <c r="ABM30" s="96" t="n">
        <f aca="false">[1]ВИБУЛО2!IO22</f>
        <v>0</v>
      </c>
      <c r="ABN30" s="97" t="n">
        <f aca="false">ABN29-ABM30+ABL30</f>
        <v>0</v>
      </c>
      <c r="ABO30" s="95" t="n">
        <f aca="false">[1]НАДІЙШЛО2!IP22</f>
        <v>0</v>
      </c>
      <c r="ABP30" s="96" t="n">
        <f aca="false">[1]ВИБУЛО2!IP22</f>
        <v>0</v>
      </c>
      <c r="ABQ30" s="97" t="n">
        <f aca="false">ABQ29-ABP30+ABO30</f>
        <v>0</v>
      </c>
      <c r="ABR30" s="95" t="n">
        <f aca="false">[1]НАДІЙШЛО2!IQ22</f>
        <v>0</v>
      </c>
      <c r="ABS30" s="96" t="n">
        <f aca="false">[1]ВИБУЛО2!IQ22</f>
        <v>0</v>
      </c>
      <c r="ABT30" s="97" t="n">
        <f aca="false">ABT29-ABS30+ABR30</f>
        <v>0</v>
      </c>
      <c r="ABU30" s="95" t="n">
        <f aca="false">[1]НАДІЙШЛО2!IR22</f>
        <v>0</v>
      </c>
      <c r="ABV30" s="96" t="n">
        <f aca="false">[1]ВИБУЛО2!IR22</f>
        <v>0</v>
      </c>
      <c r="ABW30" s="97" t="n">
        <f aca="false">ABW29-ABV30+ABU30</f>
        <v>0</v>
      </c>
      <c r="ABX30" s="95" t="n">
        <f aca="false">[1]НАДІЙШЛО2!IS22</f>
        <v>0</v>
      </c>
      <c r="ABY30" s="96" t="n">
        <f aca="false">[1]ВИБУЛО2!IS22</f>
        <v>0</v>
      </c>
      <c r="ABZ30" s="97" t="n">
        <f aca="false">ABZ29-ABY30+ABX30</f>
        <v>0</v>
      </c>
      <c r="ACA30" s="95" t="n">
        <f aca="false">[1]НАДІЙШЛО2!IT22</f>
        <v>0</v>
      </c>
      <c r="ACB30" s="96" t="n">
        <f aca="false">[1]ВИБУЛО2!IT22</f>
        <v>0</v>
      </c>
      <c r="ACC30" s="97" t="n">
        <f aca="false">ACC29-ACB30+ACA30</f>
        <v>0</v>
      </c>
      <c r="ACD30" s="95" t="n">
        <f aca="false">[1]НАДІЙШЛО2!IU22</f>
        <v>0</v>
      </c>
      <c r="ACE30" s="96" t="n">
        <f aca="false">[1]ВИБУЛО2!IU22</f>
        <v>0</v>
      </c>
      <c r="ACF30" s="97" t="n">
        <f aca="false">ACF29-ACE30+ACD30</f>
        <v>0</v>
      </c>
      <c r="ACG30" s="95" t="n">
        <f aca="false">[1]НАДІЙШЛО2!IV22</f>
        <v>0</v>
      </c>
      <c r="ACH30" s="96" t="n">
        <f aca="false">[1]ВИБУЛО2!IV22</f>
        <v>0</v>
      </c>
      <c r="ACI30" s="97" t="n">
        <f aca="false">ACI29-ACH30+ACG30</f>
        <v>0</v>
      </c>
      <c r="ACJ30" s="95" t="n">
        <f aca="false">[1]НАДІЙШЛО2!IW22</f>
        <v>0</v>
      </c>
      <c r="ACK30" s="96" t="n">
        <f aca="false">[1]ВИБУЛО2!IW22</f>
        <v>0</v>
      </c>
      <c r="ACL30" s="97" t="n">
        <f aca="false">ACL29-ACK30+ACJ30</f>
        <v>0</v>
      </c>
      <c r="ACM30" s="95" t="n">
        <f aca="false">[1]НАДІЙШЛО2!IX22</f>
        <v>0</v>
      </c>
      <c r="ACN30" s="96" t="n">
        <f aca="false">[1]ВИБУЛО2!IX22</f>
        <v>0</v>
      </c>
      <c r="ACO30" s="97" t="n">
        <f aca="false">ACO29-ACN30+ACM30</f>
        <v>0</v>
      </c>
      <c r="ACP30" s="95" t="n">
        <f aca="false">[1]НАДІЙШЛО2!IY22</f>
        <v>0</v>
      </c>
      <c r="ACQ30" s="96" t="n">
        <f aca="false">[1]ВИБУЛО2!IY22</f>
        <v>0</v>
      </c>
      <c r="ACR30" s="97" t="n">
        <f aca="false">ACR29-ACQ30+ACP30</f>
        <v>0</v>
      </c>
      <c r="ACS30" s="95" t="n">
        <f aca="false">[1]НАДІЙШЛО2!IZ22</f>
        <v>0</v>
      </c>
      <c r="ACT30" s="96" t="n">
        <f aca="false">[1]ВИБУЛО2!IZ22</f>
        <v>0</v>
      </c>
      <c r="ACU30" s="97" t="n">
        <f aca="false">ACU29-ACT30+ACS30</f>
        <v>0</v>
      </c>
      <c r="ACV30" s="95" t="n">
        <f aca="false">[1]НАДІЙШЛО2!JA22</f>
        <v>0</v>
      </c>
      <c r="ACW30" s="96" t="n">
        <f aca="false">[1]ВИБУЛО2!JA22</f>
        <v>0</v>
      </c>
      <c r="ACX30" s="97" t="n">
        <f aca="false">ACX29-ACW30+ACV30</f>
        <v>0</v>
      </c>
      <c r="ACY30" s="95" t="n">
        <f aca="false">[1]НАДІЙШЛО2!JB22</f>
        <v>0</v>
      </c>
      <c r="ACZ30" s="96" t="n">
        <f aca="false">[1]ВИБУЛО2!JB22</f>
        <v>0</v>
      </c>
      <c r="ADA30" s="97" t="n">
        <f aca="false">ADA29-ACZ30+ACY30</f>
        <v>0</v>
      </c>
      <c r="ADB30" s="95" t="n">
        <f aca="false">[1]НАДІЙШЛО2!JC22</f>
        <v>0</v>
      </c>
      <c r="ADC30" s="96" t="n">
        <f aca="false">[1]ВИБУЛО2!JC22</f>
        <v>0</v>
      </c>
      <c r="ADD30" s="97" t="n">
        <f aca="false">ADD29-ADC30+ADB30</f>
        <v>0</v>
      </c>
      <c r="ADE30" s="95" t="n">
        <f aca="false">[1]НАДІЙШЛО2!JD22</f>
        <v>0</v>
      </c>
      <c r="ADF30" s="96" t="n">
        <f aca="false">[1]ВИБУЛО2!JD22</f>
        <v>0</v>
      </c>
      <c r="ADG30" s="97" t="n">
        <f aca="false">ADG29-ADF30+ADE30</f>
        <v>0</v>
      </c>
      <c r="ADH30" s="95" t="n">
        <f aca="false">[1]НАДІЙШЛО2!JE22</f>
        <v>0</v>
      </c>
      <c r="ADI30" s="96" t="n">
        <f aca="false">[1]ВИБУЛО2!JE22</f>
        <v>0</v>
      </c>
      <c r="ADJ30" s="97" t="n">
        <f aca="false">ADJ29-ADI30+ADH30</f>
        <v>0</v>
      </c>
      <c r="ADK30" s="95" t="n">
        <f aca="false">[1]НАДІЙШЛО2!JF22</f>
        <v>0</v>
      </c>
      <c r="ADL30" s="96" t="n">
        <f aca="false">[1]ВИБУЛО2!JF22</f>
        <v>0</v>
      </c>
      <c r="ADM30" s="97" t="n">
        <f aca="false">ADM29-ADL30+ADK30</f>
        <v>0</v>
      </c>
      <c r="ADN30" s="95" t="n">
        <f aca="false">[1]НАДІЙШЛО2!JG22</f>
        <v>0</v>
      </c>
      <c r="ADO30" s="96" t="n">
        <f aca="false">[1]ВИБУЛО2!JG22</f>
        <v>0</v>
      </c>
      <c r="ADP30" s="97" t="n">
        <f aca="false">ADP29-ADO30+ADN30</f>
        <v>0</v>
      </c>
      <c r="ADQ30" s="95" t="n">
        <f aca="false">[1]НАДІЙШЛО2!JH22</f>
        <v>0</v>
      </c>
      <c r="ADR30" s="96" t="n">
        <f aca="false">[1]ВИБУЛО2!JH22</f>
        <v>0</v>
      </c>
      <c r="ADS30" s="97" t="n">
        <f aca="false">ADS29-ADR30+ADQ30</f>
        <v>0</v>
      </c>
      <c r="ADT30" s="95" t="n">
        <f aca="false">[1]НАДІЙШЛО2!JI22</f>
        <v>0</v>
      </c>
      <c r="ADU30" s="96" t="n">
        <f aca="false">[1]ВИБУЛО2!JI22</f>
        <v>0</v>
      </c>
      <c r="ADV30" s="97" t="n">
        <f aca="false">ADV29-ADU30+ADT30</f>
        <v>0</v>
      </c>
      <c r="ADW30" s="95" t="n">
        <f aca="false">[1]НАДІЙШЛО2!JJ22</f>
        <v>0</v>
      </c>
      <c r="ADX30" s="96" t="n">
        <f aca="false">[1]ВИБУЛО2!JJ22</f>
        <v>0</v>
      </c>
      <c r="ADY30" s="97" t="n">
        <f aca="false">ADY29-ADX30+ADW30</f>
        <v>0</v>
      </c>
      <c r="ADZ30" s="95" t="n">
        <f aca="false">[1]НАДІЙШЛО2!JK22</f>
        <v>0</v>
      </c>
      <c r="AEA30" s="96" t="n">
        <f aca="false">[1]ВИБУЛО2!JK22</f>
        <v>0</v>
      </c>
      <c r="AEB30" s="97" t="n">
        <f aca="false">AEB29-AEA30+ADZ30</f>
        <v>0</v>
      </c>
      <c r="AEC30" s="95" t="n">
        <f aca="false">[1]НАДІЙШЛО2!JL22</f>
        <v>0</v>
      </c>
      <c r="AED30" s="96" t="n">
        <f aca="false">[1]ВИБУЛО2!JL22</f>
        <v>0</v>
      </c>
      <c r="AEE30" s="97" t="n">
        <f aca="false">AEE29-AED30+AEC30</f>
        <v>0</v>
      </c>
      <c r="AEF30" s="95" t="n">
        <f aca="false">[1]НАДІЙШЛО2!JM22</f>
        <v>0</v>
      </c>
      <c r="AEG30" s="96" t="n">
        <f aca="false">[1]ВИБУЛО2!JM22</f>
        <v>0</v>
      </c>
      <c r="AEH30" s="97" t="n">
        <f aca="false">AEH29-AEG30+AEF30</f>
        <v>0</v>
      </c>
      <c r="AEI30" s="95" t="n">
        <f aca="false">[1]НАДІЙШЛО2!JN22</f>
        <v>0</v>
      </c>
      <c r="AEJ30" s="96" t="n">
        <f aca="false">[1]ВИБУЛО2!JN22</f>
        <v>0</v>
      </c>
      <c r="AEK30" s="97" t="n">
        <f aca="false">AEK29-AEJ30+AEI30</f>
        <v>0</v>
      </c>
      <c r="AEL30" s="95" t="n">
        <f aca="false">[1]НАДІЙШЛО2!JO22</f>
        <v>0</v>
      </c>
      <c r="AEM30" s="96" t="n">
        <f aca="false">[1]ВИБУЛО2!JO22</f>
        <v>0</v>
      </c>
      <c r="AEN30" s="97" t="n">
        <f aca="false">AEN29-AEM30+AEL30</f>
        <v>0</v>
      </c>
      <c r="AEO30" s="95" t="n">
        <f aca="false">[1]НАДІЙШЛО2!JP22</f>
        <v>0</v>
      </c>
      <c r="AEP30" s="96" t="n">
        <f aca="false">[1]ВИБУЛО2!JP22</f>
        <v>0</v>
      </c>
      <c r="AEQ30" s="97" t="n">
        <f aca="false">AEQ29-AEP30+AEO30</f>
        <v>0</v>
      </c>
      <c r="AER30" s="95" t="n">
        <f aca="false">[1]НАДІЙШЛО2!JQ22</f>
        <v>0</v>
      </c>
      <c r="AES30" s="96" t="n">
        <f aca="false">[1]ВИБУЛО2!JQ22</f>
        <v>0</v>
      </c>
      <c r="AET30" s="97" t="n">
        <f aca="false">AET29-AES30+AER30</f>
        <v>0</v>
      </c>
      <c r="AEU30" s="95" t="n">
        <f aca="false">[1]НАДІЙШЛО2!JR22</f>
        <v>0</v>
      </c>
      <c r="AEV30" s="96" t="n">
        <f aca="false">[1]ВИБУЛО2!JR22</f>
        <v>0</v>
      </c>
      <c r="AEW30" s="97" t="n">
        <f aca="false">AEW29-AEV30+AEU30</f>
        <v>0</v>
      </c>
      <c r="AEX30" s="95" t="n">
        <f aca="false">[1]НАДІЙШЛО2!JS22</f>
        <v>0</v>
      </c>
      <c r="AEY30" s="96" t="n">
        <f aca="false">[1]ВИБУЛО2!JS22</f>
        <v>0</v>
      </c>
      <c r="AEZ30" s="97" t="n">
        <f aca="false">AEZ29-AEY30+AEX30</f>
        <v>0</v>
      </c>
      <c r="AFA30" s="95" t="n">
        <f aca="false">[1]НАДІЙШЛО2!JT22</f>
        <v>0</v>
      </c>
      <c r="AFB30" s="96" t="n">
        <f aca="false">[1]ВИБУЛО2!JT22</f>
        <v>0</v>
      </c>
      <c r="AFC30" s="97" t="n">
        <f aca="false">AFC29-AFB30+AFA30</f>
        <v>0</v>
      </c>
      <c r="AFD30" s="95" t="n">
        <f aca="false">[1]НАДІЙШЛО2!JU22</f>
        <v>0</v>
      </c>
      <c r="AFE30" s="96" t="n">
        <f aca="false">[1]ВИБУЛО2!JU22</f>
        <v>0</v>
      </c>
      <c r="AFF30" s="97" t="n">
        <f aca="false">AFF29-AFE30+AFD30</f>
        <v>0</v>
      </c>
      <c r="AFG30" s="95" t="n">
        <f aca="false">[1]НАДІЙШЛО2!JV22</f>
        <v>0</v>
      </c>
      <c r="AFH30" s="96" t="n">
        <f aca="false">[1]ВИБУЛО2!JV22</f>
        <v>0</v>
      </c>
      <c r="AFI30" s="97" t="n">
        <f aca="false">AFI29-AFH30+AFG30</f>
        <v>0</v>
      </c>
      <c r="AFJ30" s="95" t="n">
        <f aca="false">[1]НАДІЙШЛО2!JW22</f>
        <v>0</v>
      </c>
      <c r="AFK30" s="96" t="n">
        <f aca="false">[1]ВИБУЛО2!JW22</f>
        <v>0</v>
      </c>
      <c r="AFL30" s="97" t="n">
        <f aca="false">AFL29-AFK30+AFJ30</f>
        <v>0</v>
      </c>
      <c r="AFM30" s="95" t="n">
        <f aca="false">[1]НАДІЙШЛО2!JX22</f>
        <v>0</v>
      </c>
      <c r="AFN30" s="96" t="n">
        <f aca="false">[1]ВИБУЛО2!JX22</f>
        <v>0</v>
      </c>
      <c r="AFO30" s="97" t="n">
        <f aca="false">AFO29-AFN30+AFM30</f>
        <v>0</v>
      </c>
      <c r="AFP30" s="95" t="n">
        <f aca="false">[1]НАДІЙШЛО2!JY22</f>
        <v>0</v>
      </c>
      <c r="AFQ30" s="96" t="n">
        <f aca="false">[1]ВИБУЛО2!JY22</f>
        <v>0</v>
      </c>
      <c r="AFR30" s="97" t="n">
        <f aca="false">AFR29-AFQ30+AFP30</f>
        <v>0</v>
      </c>
      <c r="AFS30" s="95" t="n">
        <f aca="false">[1]НАДІЙШЛО2!JZ22</f>
        <v>0</v>
      </c>
      <c r="AFT30" s="96" t="n">
        <f aca="false">[1]ВИБУЛО2!JZ22</f>
        <v>0</v>
      </c>
      <c r="AFU30" s="97" t="n">
        <f aca="false">AFU29-AFT30+AFS30</f>
        <v>0</v>
      </c>
      <c r="AFV30" s="95" t="n">
        <f aca="false">[1]НАДІЙШЛО2!KA22</f>
        <v>0</v>
      </c>
      <c r="AFW30" s="96" t="n">
        <f aca="false">[1]ВИБУЛО2!KA22</f>
        <v>0</v>
      </c>
      <c r="AFX30" s="97" t="n">
        <f aca="false">AFX29-AFW30+AFV30</f>
        <v>0</v>
      </c>
      <c r="AFY30" s="95" t="n">
        <f aca="false">[1]НАДІЙШЛО2!KB22</f>
        <v>0</v>
      </c>
      <c r="AFZ30" s="96" t="n">
        <f aca="false">[1]ВИБУЛО2!KB22</f>
        <v>0</v>
      </c>
      <c r="AGA30" s="97" t="n">
        <f aca="false">AGA29-AFZ30+AFY30</f>
        <v>0</v>
      </c>
      <c r="AGB30" s="95" t="n">
        <f aca="false">[1]НАДІЙШЛО2!KC22</f>
        <v>0</v>
      </c>
      <c r="AGC30" s="96" t="n">
        <f aca="false">[1]ВИБУЛО2!KC22</f>
        <v>0</v>
      </c>
      <c r="AGD30" s="97" t="n">
        <f aca="false">AGD29-AGC30+AGB30</f>
        <v>0</v>
      </c>
      <c r="AGE30" s="95" t="n">
        <f aca="false">[1]НАДІЙШЛО2!KD22</f>
        <v>0</v>
      </c>
      <c r="AGF30" s="96" t="n">
        <f aca="false">[1]ВИБУЛО2!KD22</f>
        <v>0</v>
      </c>
      <c r="AGG30" s="97" t="n">
        <f aca="false">AGG29-AGF30+AGE30</f>
        <v>0</v>
      </c>
      <c r="AGH30" s="95" t="n">
        <f aca="false">[1]НАДІЙШЛО2!KE22</f>
        <v>0</v>
      </c>
      <c r="AGI30" s="96" t="n">
        <f aca="false">[1]ВИБУЛО2!KE22</f>
        <v>0</v>
      </c>
      <c r="AGJ30" s="97" t="n">
        <f aca="false">AGJ29-AGI30+AGH30</f>
        <v>0</v>
      </c>
      <c r="AGK30" s="95" t="n">
        <f aca="false">[1]НАДІЙШЛО2!KF22</f>
        <v>0</v>
      </c>
      <c r="AGL30" s="96" t="n">
        <f aca="false">[1]ВИБУЛО2!KF22</f>
        <v>0</v>
      </c>
      <c r="AGM30" s="97" t="n">
        <f aca="false">AGM29-AGL30+AGK30</f>
        <v>0</v>
      </c>
      <c r="AGN30" s="95" t="n">
        <f aca="false">[1]НАДІЙШЛО2!KG22</f>
        <v>0</v>
      </c>
      <c r="AGO30" s="96" t="n">
        <f aca="false">[1]ВИБУЛО2!KG22</f>
        <v>0</v>
      </c>
      <c r="AGP30" s="97" t="n">
        <f aca="false">AGP29-AGO30+AGN30</f>
        <v>0</v>
      </c>
      <c r="AGQ30" s="95" t="n">
        <f aca="false">[1]НАДІЙШЛО2!KH22</f>
        <v>0</v>
      </c>
      <c r="AGR30" s="96" t="n">
        <f aca="false">[1]ВИБУЛО2!KH22</f>
        <v>0</v>
      </c>
      <c r="AGS30" s="97" t="n">
        <f aca="false">AGS29-AGR30+AGQ30</f>
        <v>0</v>
      </c>
      <c r="AGT30" s="95" t="n">
        <f aca="false">[1]НАДІЙШЛО2!KI22</f>
        <v>0</v>
      </c>
      <c r="AGU30" s="96" t="n">
        <f aca="false">[1]ВИБУЛО2!KI22</f>
        <v>0</v>
      </c>
      <c r="AGV30" s="97" t="n">
        <f aca="false">AGV29-AGU30+AGT30</f>
        <v>0</v>
      </c>
      <c r="AGW30" s="95" t="n">
        <f aca="false">[1]НАДІЙШЛО2!KJ22</f>
        <v>0</v>
      </c>
      <c r="AGX30" s="96" t="n">
        <f aca="false">[1]ВИБУЛО2!KJ22</f>
        <v>0</v>
      </c>
      <c r="AGY30" s="97" t="n">
        <f aca="false">AGY29-AGX30+AGW30</f>
        <v>0</v>
      </c>
      <c r="AGZ30" s="95" t="n">
        <f aca="false">[1]НАДІЙШЛО2!KK22</f>
        <v>0</v>
      </c>
      <c r="AHA30" s="96" t="n">
        <f aca="false">[1]ВИБУЛО2!KK22</f>
        <v>0</v>
      </c>
      <c r="AHB30" s="97" t="n">
        <f aca="false">AHB29-AHA30+AGZ30</f>
        <v>0</v>
      </c>
      <c r="AHC30" s="95" t="n">
        <f aca="false">[1]НАДІЙШЛО2!KL22</f>
        <v>0</v>
      </c>
      <c r="AHD30" s="96" t="n">
        <f aca="false">[1]ВИБУЛО2!KL22</f>
        <v>0</v>
      </c>
      <c r="AHE30" s="97" t="n">
        <f aca="false">AHE29-AHD30+AHC30</f>
        <v>0</v>
      </c>
      <c r="AHF30" s="95" t="n">
        <f aca="false">[1]НАДІЙШЛО2!KM22</f>
        <v>0</v>
      </c>
      <c r="AHG30" s="96" t="n">
        <f aca="false">[1]ВИБУЛО2!KM22</f>
        <v>0</v>
      </c>
      <c r="AHH30" s="97" t="n">
        <f aca="false">AHH29-AHG30+AHF30</f>
        <v>0</v>
      </c>
      <c r="AHI30" s="95" t="n">
        <f aca="false">[1]НАДІЙШЛО2!KN22</f>
        <v>0</v>
      </c>
      <c r="AHJ30" s="96" t="n">
        <f aca="false">[1]ВИБУЛО2!KN22</f>
        <v>0</v>
      </c>
      <c r="AHK30" s="97" t="n">
        <f aca="false">AHK29-AHJ30+AHI30</f>
        <v>0</v>
      </c>
      <c r="AHL30" s="95" t="n">
        <f aca="false">[1]НАДІЙШЛО2!KO22</f>
        <v>0</v>
      </c>
      <c r="AHM30" s="96" t="n">
        <f aca="false">[1]ВИБУЛО2!KO22</f>
        <v>0</v>
      </c>
      <c r="AHN30" s="97" t="n">
        <f aca="false">AHN29-AHM30+AHL30</f>
        <v>0</v>
      </c>
      <c r="AHO30" s="95" t="n">
        <f aca="false">[1]НАДІЙШЛО2!KP22</f>
        <v>0</v>
      </c>
      <c r="AHP30" s="96" t="n">
        <f aca="false">[1]ВИБУЛО2!KP22</f>
        <v>0</v>
      </c>
      <c r="AHQ30" s="97" t="n">
        <f aca="false">AHQ29-AHP30+AHO30</f>
        <v>0</v>
      </c>
      <c r="AHR30" s="95" t="n">
        <f aca="false">[1]НАДІЙШЛО2!KQ22</f>
        <v>0</v>
      </c>
      <c r="AHS30" s="96" t="n">
        <f aca="false">[1]ВИБУЛО2!KQ22</f>
        <v>0</v>
      </c>
      <c r="AHT30" s="97" t="n">
        <f aca="false">AHT29-AHS30+AHR30</f>
        <v>0</v>
      </c>
      <c r="AHU30" s="95" t="n">
        <f aca="false">[1]НАДІЙШЛО2!KR22</f>
        <v>0</v>
      </c>
      <c r="AHV30" s="96" t="n">
        <f aca="false">[1]ВИБУЛО2!KR22</f>
        <v>0</v>
      </c>
      <c r="AHW30" s="97" t="n">
        <f aca="false">AHW29-AHV30+AHU30</f>
        <v>0</v>
      </c>
      <c r="AHX30" s="95" t="n">
        <f aca="false">[1]НАДІЙШЛО2!KS22</f>
        <v>0</v>
      </c>
      <c r="AHY30" s="96" t="n">
        <f aca="false">[1]ВИБУЛО2!KS22</f>
        <v>0</v>
      </c>
      <c r="AHZ30" s="97" t="n">
        <f aca="false">AHZ29-AHY30+AHX30</f>
        <v>0</v>
      </c>
      <c r="AIA30" s="95" t="n">
        <f aca="false">[1]НАДІЙШЛО2!KT22</f>
        <v>0</v>
      </c>
      <c r="AIB30" s="96" t="n">
        <f aca="false">[1]ВИБУЛО2!KT22</f>
        <v>0</v>
      </c>
      <c r="AIC30" s="97" t="n">
        <f aca="false">AIC29-AIB30+AIA30</f>
        <v>0</v>
      </c>
      <c r="AID30" s="95" t="n">
        <f aca="false">[1]НАДІЙШЛО2!KU22</f>
        <v>0</v>
      </c>
      <c r="AIE30" s="96" t="n">
        <f aca="false">[1]ВИБУЛО2!KU22</f>
        <v>0</v>
      </c>
      <c r="AIF30" s="97" t="n">
        <f aca="false">AIF29-AIE30+AID30</f>
        <v>0</v>
      </c>
      <c r="AIG30" s="95" t="n">
        <f aca="false">[1]НАДІЙШЛО2!KV22</f>
        <v>0</v>
      </c>
      <c r="AIH30" s="96" t="n">
        <f aca="false">[1]ВИБУЛО2!KV22</f>
        <v>0</v>
      </c>
      <c r="AII30" s="97" t="n">
        <f aca="false">AII29-AIH30+AIG30</f>
        <v>0</v>
      </c>
      <c r="AIJ30" s="95" t="n">
        <f aca="false">[1]НАДІЙШЛО2!KW22</f>
        <v>0</v>
      </c>
      <c r="AIK30" s="96" t="n">
        <f aca="false">[1]ВИБУЛО2!KW22</f>
        <v>0</v>
      </c>
      <c r="AIL30" s="97" t="n">
        <f aca="false">AIL29-AIK30+AIJ30</f>
        <v>0</v>
      </c>
      <c r="AIM30" s="95" t="n">
        <f aca="false">[1]НАДІЙШЛО2!KX22</f>
        <v>0</v>
      </c>
      <c r="AIN30" s="96" t="n">
        <f aca="false">[1]ВИБУЛО2!KX22</f>
        <v>0</v>
      </c>
      <c r="AIO30" s="97" t="n">
        <f aca="false">AIO29-AIN30+AIM30</f>
        <v>0</v>
      </c>
      <c r="AIP30" s="95" t="n">
        <f aca="false">[1]НАДІЙШЛО2!KY22</f>
        <v>0</v>
      </c>
      <c r="AIQ30" s="96" t="n">
        <f aca="false">[1]ВИБУЛО2!KY22</f>
        <v>0</v>
      </c>
      <c r="AIR30" s="97" t="n">
        <f aca="false">AIR29-AIQ30+AIP30</f>
        <v>0</v>
      </c>
      <c r="AIS30" s="95" t="n">
        <f aca="false">[1]НАДІЙШЛО2!KZ22</f>
        <v>0</v>
      </c>
      <c r="AIT30" s="96" t="n">
        <f aca="false">[1]ВИБУЛО2!KZ22</f>
        <v>0</v>
      </c>
      <c r="AIU30" s="97" t="n">
        <f aca="false">AIU29-AIT30+AIS30</f>
        <v>0</v>
      </c>
      <c r="AIV30" s="95" t="n">
        <f aca="false">[1]НАДІЙШЛО2!LA22</f>
        <v>0</v>
      </c>
      <c r="AIW30" s="96" t="n">
        <f aca="false">[1]ВИБУЛО2!LA22</f>
        <v>0</v>
      </c>
      <c r="AIX30" s="97" t="n">
        <f aca="false">AIX29-AIW30+AIV30</f>
        <v>0</v>
      </c>
      <c r="AIY30" s="95" t="n">
        <f aca="false">[1]НАДІЙШЛО2!LB22</f>
        <v>0</v>
      </c>
      <c r="AIZ30" s="96" t="n">
        <f aca="false">[1]ВИБУЛО2!LB22</f>
        <v>0</v>
      </c>
      <c r="AJA30" s="97" t="n">
        <f aca="false">AJA29-AIZ30+AIY30</f>
        <v>0</v>
      </c>
      <c r="AJB30" s="95" t="n">
        <f aca="false">[1]НАДІЙШЛО2!LC22</f>
        <v>0</v>
      </c>
      <c r="AJC30" s="96" t="n">
        <f aca="false">[1]ВИБУЛО2!LC22</f>
        <v>0</v>
      </c>
      <c r="AJD30" s="97" t="n">
        <f aca="false">AJD29-AJC30+AJB30</f>
        <v>0</v>
      </c>
      <c r="AJE30" s="95" t="n">
        <f aca="false">[1]НАДІЙШЛО2!LD22</f>
        <v>0</v>
      </c>
      <c r="AJF30" s="96" t="n">
        <f aca="false">[1]ВИБУЛО2!LD22</f>
        <v>0</v>
      </c>
      <c r="AJG30" s="97" t="n">
        <f aca="false">AJG29-AJF30+AJE30</f>
        <v>0</v>
      </c>
      <c r="AJH30" s="95" t="n">
        <f aca="false">[1]НАДІЙШЛО2!LE22</f>
        <v>0</v>
      </c>
      <c r="AJI30" s="96" t="n">
        <f aca="false">[1]ВИБУЛО2!LE22</f>
        <v>0</v>
      </c>
      <c r="AJJ30" s="97" t="n">
        <f aca="false">AJJ29-AJI30+AJH30</f>
        <v>0</v>
      </c>
      <c r="AJK30" s="95" t="n">
        <f aca="false">[1]НАДІЙШЛО2!LF22</f>
        <v>0</v>
      </c>
      <c r="AJL30" s="96" t="n">
        <f aca="false">[1]ВИБУЛО2!LF22</f>
        <v>0</v>
      </c>
      <c r="AJM30" s="97" t="n">
        <f aca="false">AJM29-AJL30+AJK30</f>
        <v>0</v>
      </c>
      <c r="AJN30" s="95" t="n">
        <f aca="false">[1]НАДІЙШЛО2!LG22</f>
        <v>0</v>
      </c>
      <c r="AJO30" s="96" t="n">
        <f aca="false">[1]ВИБУЛО2!LG22</f>
        <v>0</v>
      </c>
      <c r="AJP30" s="97" t="n">
        <f aca="false">AJP29-AJO30+AJN30</f>
        <v>0</v>
      </c>
      <c r="AJQ30" s="95" t="n">
        <f aca="false">[1]НАДІЙШЛО2!LH22</f>
        <v>0</v>
      </c>
      <c r="AJR30" s="96" t="n">
        <f aca="false">[1]ВИБУЛО2!LH22</f>
        <v>0</v>
      </c>
      <c r="AJS30" s="97" t="n">
        <f aca="false">AJS29-AJR30+AJQ30</f>
        <v>0</v>
      </c>
      <c r="AJT30" s="95" t="n">
        <f aca="false">[1]НАДІЙШЛО2!LI22</f>
        <v>0</v>
      </c>
      <c r="AJU30" s="96" t="n">
        <f aca="false">[1]ВИБУЛО2!LI22</f>
        <v>0</v>
      </c>
      <c r="AJV30" s="97" t="n">
        <f aca="false">AJV29-AJU30+AJT30</f>
        <v>0</v>
      </c>
      <c r="AJW30" s="95" t="n">
        <f aca="false">[1]НАДІЙШЛО2!LJ22</f>
        <v>0</v>
      </c>
      <c r="AJX30" s="96" t="n">
        <f aca="false">[1]ВИБУЛО2!LJ22</f>
        <v>0</v>
      </c>
      <c r="AJY30" s="97" t="n">
        <f aca="false">AJY29-AJX30+AJW30</f>
        <v>0</v>
      </c>
      <c r="AJZ30" s="95" t="n">
        <f aca="false">[1]НАДІЙШЛО2!LK22</f>
        <v>0</v>
      </c>
      <c r="AKA30" s="96" t="n">
        <f aca="false">[1]ВИБУЛО2!LK22</f>
        <v>0</v>
      </c>
      <c r="AKB30" s="97" t="n">
        <f aca="false">AKB29-AKA30+AJZ30</f>
        <v>0</v>
      </c>
      <c r="AKC30" s="95" t="n">
        <f aca="false">[1]НАДІЙШЛО2!LL22</f>
        <v>0</v>
      </c>
      <c r="AKD30" s="96" t="n">
        <f aca="false">[1]ВИБУЛО2!LL22</f>
        <v>0</v>
      </c>
      <c r="AKE30" s="97" t="n">
        <f aca="false">AKE29-AKD30+AKC30</f>
        <v>0</v>
      </c>
      <c r="AKF30" s="95" t="n">
        <f aca="false">[1]НАДІЙШЛО2!LM22</f>
        <v>0</v>
      </c>
      <c r="AKG30" s="96" t="n">
        <f aca="false">[1]ВИБУЛО2!LM22</f>
        <v>0</v>
      </c>
      <c r="AKH30" s="97" t="n">
        <f aca="false">AKH29-AKG30+AKF30</f>
        <v>0</v>
      </c>
      <c r="AKI30" s="95" t="n">
        <f aca="false">[1]НАДІЙШЛО2!LN22</f>
        <v>0</v>
      </c>
      <c r="AKJ30" s="96" t="n">
        <f aca="false">[1]ВИБУЛО2!LN22</f>
        <v>0</v>
      </c>
      <c r="AKK30" s="97" t="n">
        <f aca="false">AKK29-AKJ30+AKI30</f>
        <v>0</v>
      </c>
      <c r="AKL30" s="95" t="n">
        <f aca="false">[1]НАДІЙШЛО2!LO22</f>
        <v>0</v>
      </c>
      <c r="AKM30" s="96" t="n">
        <f aca="false">[1]ВИБУЛО2!LO22</f>
        <v>0</v>
      </c>
      <c r="AKN30" s="97" t="n">
        <f aca="false">AKN29-AKM30+AKL30</f>
        <v>0</v>
      </c>
      <c r="AKO30" s="95" t="n">
        <f aca="false">[1]НАДІЙШЛО2!LP22</f>
        <v>0</v>
      </c>
      <c r="AKP30" s="96" t="n">
        <f aca="false">[1]ВИБУЛО2!LP22</f>
        <v>0</v>
      </c>
      <c r="AKQ30" s="97" t="n">
        <f aca="false">AKQ29-AKP30+AKO30</f>
        <v>0</v>
      </c>
      <c r="AKR30" s="95" t="n">
        <f aca="false">[1]НАДІЙШЛО2!LQ22</f>
        <v>0</v>
      </c>
      <c r="AKS30" s="96" t="n">
        <f aca="false">[1]ВИБУЛО2!LQ22</f>
        <v>0</v>
      </c>
      <c r="AKT30" s="97" t="n">
        <f aca="false">AKT29-AKS30+AKR30</f>
        <v>0</v>
      </c>
      <c r="AKU30" s="95" t="n">
        <f aca="false">[1]НАДІЙШЛО2!LR22</f>
        <v>0</v>
      </c>
      <c r="AKV30" s="96" t="n">
        <f aca="false">[1]ВИБУЛО2!LR22</f>
        <v>0</v>
      </c>
      <c r="AKW30" s="97" t="n">
        <f aca="false">AKW29-AKV30+AKU30</f>
        <v>0</v>
      </c>
      <c r="AKX30" s="95" t="n">
        <f aca="false">[1]НАДІЙШЛО2!LS22</f>
        <v>0</v>
      </c>
      <c r="AKY30" s="96" t="n">
        <f aca="false">[1]ВИБУЛО2!LS22</f>
        <v>0</v>
      </c>
      <c r="AKZ30" s="97" t="n">
        <f aca="false">AKZ29-AKY30+AKX30</f>
        <v>0</v>
      </c>
      <c r="ALA30" s="95" t="n">
        <f aca="false">[1]НАДІЙШЛО2!LT22</f>
        <v>0</v>
      </c>
      <c r="ALB30" s="96" t="n">
        <f aca="false">[1]ВИБУЛО2!LT22</f>
        <v>0</v>
      </c>
      <c r="ALC30" s="97" t="n">
        <f aca="false">ALC29-ALB30+ALA30</f>
        <v>0</v>
      </c>
      <c r="ALD30" s="95" t="n">
        <f aca="false">[1]НАДІЙШЛО2!LU22</f>
        <v>0</v>
      </c>
      <c r="ALE30" s="96" t="n">
        <f aca="false">[1]ВИБУЛО2!LU22</f>
        <v>0</v>
      </c>
      <c r="ALF30" s="97" t="n">
        <f aca="false">ALF29-ALE30+ALD30</f>
        <v>0</v>
      </c>
      <c r="ALG30" s="95" t="n">
        <f aca="false">[1]НАДІЙШЛО2!LV22</f>
        <v>0</v>
      </c>
      <c r="ALH30" s="96" t="n">
        <f aca="false">[1]ВИБУЛО2!LV22</f>
        <v>0</v>
      </c>
      <c r="ALI30" s="97" t="n">
        <f aca="false">ALI29-ALH30+ALG30</f>
        <v>0</v>
      </c>
      <c r="ALJ30" s="95" t="n">
        <f aca="false">[1]НАДІЙШЛО2!LW22</f>
        <v>0</v>
      </c>
      <c r="ALK30" s="96" t="n">
        <f aca="false">[1]ВИБУЛО2!LW22</f>
        <v>0</v>
      </c>
      <c r="ALL30" s="97" t="n">
        <f aca="false">ALL29-ALK30+ALJ30</f>
        <v>0</v>
      </c>
      <c r="ALM30" s="95" t="n">
        <f aca="false">[1]НАДІЙШЛО2!LX22</f>
        <v>0</v>
      </c>
      <c r="ALN30" s="96" t="n">
        <f aca="false">[1]ВИБУЛО2!LX22</f>
        <v>0</v>
      </c>
      <c r="ALO30" s="97" t="n">
        <f aca="false">ALO29-ALN30+ALM30</f>
        <v>0</v>
      </c>
      <c r="ALP30" s="95" t="n">
        <f aca="false">[1]НАДІЙШЛО2!LY22</f>
        <v>0</v>
      </c>
      <c r="ALQ30" s="96" t="n">
        <f aca="false">[1]ВИБУЛО2!LY22</f>
        <v>0</v>
      </c>
      <c r="ALR30" s="97" t="n">
        <f aca="false">ALR29-ALQ30+ALP30</f>
        <v>0</v>
      </c>
      <c r="ALS30" s="95" t="n">
        <f aca="false">[1]НАДІЙШЛО2!LZ22</f>
        <v>0</v>
      </c>
      <c r="ALT30" s="96" t="n">
        <f aca="false">[1]ВИБУЛО2!LZ22</f>
        <v>0</v>
      </c>
      <c r="ALU30" s="97" t="n">
        <f aca="false">ALU29-ALT30+ALS30</f>
        <v>0</v>
      </c>
      <c r="ALV30" s="95" t="n">
        <f aca="false">[1]НАДІЙШЛО2!MA22</f>
        <v>0</v>
      </c>
      <c r="ALW30" s="96" t="n">
        <f aca="false">[1]ВИБУЛО2!MA22</f>
        <v>0</v>
      </c>
      <c r="ALX30" s="97" t="n">
        <f aca="false">ALX29-ALW30+ALV30</f>
        <v>0</v>
      </c>
      <c r="ALY30" s="95" t="n">
        <f aca="false">[1]НАДІЙШЛО2!MB22</f>
        <v>0</v>
      </c>
      <c r="ALZ30" s="96" t="n">
        <f aca="false">[1]ВИБУЛО2!MB22</f>
        <v>0</v>
      </c>
      <c r="AMA30" s="97" t="n">
        <f aca="false">AMA29-ALZ30+ALY30</f>
        <v>0</v>
      </c>
      <c r="AMB30" s="95" t="n">
        <f aca="false">[1]НАДІЙШЛО2!MC22</f>
        <v>0</v>
      </c>
      <c r="AMC30" s="96" t="n">
        <f aca="false">[1]ВИБУЛО2!MC22</f>
        <v>0</v>
      </c>
      <c r="AMD30" s="97" t="n">
        <f aca="false">AMD29-AMC30+AMB30</f>
        <v>0</v>
      </c>
      <c r="AME30" s="95" t="n">
        <f aca="false">[1]НАДІЙШЛО2!MD22</f>
        <v>0</v>
      </c>
      <c r="AMF30" s="96" t="n">
        <f aca="false">[1]ВИБУЛО2!MD22</f>
        <v>0</v>
      </c>
      <c r="AMG30" s="97" t="n">
        <f aca="false">AMG29-AMF30+AME30</f>
        <v>0</v>
      </c>
      <c r="AMH30" s="95" t="n">
        <f aca="false">[1]НАДІЙШЛО2!ME22</f>
        <v>0</v>
      </c>
      <c r="AMI30" s="96" t="n">
        <f aca="false">[1]ВИБУЛО2!ME22</f>
        <v>0</v>
      </c>
      <c r="AMJ30" s="97" t="n">
        <f aca="false">AMJ29-AMI30+AMH30</f>
        <v>0</v>
      </c>
    </row>
    <row r="31" s="99" customFormat="true" ht="16.5" hidden="false" customHeight="false" outlineLevel="0" collapsed="false">
      <c r="A31" s="98"/>
      <c r="D31" s="103"/>
      <c r="E31" s="95" t="n">
        <f aca="false">[1]НАДІЙШЛО2!D23</f>
        <v>0</v>
      </c>
      <c r="F31" s="96" t="n">
        <f aca="false">[1]ВИБУЛО2!D23</f>
        <v>0</v>
      </c>
      <c r="G31" s="97" t="n">
        <f aca="false">G30-F31+E31</f>
        <v>0</v>
      </c>
      <c r="H31" s="95" t="n">
        <f aca="false">[1]НАДІЙШЛО2!E23</f>
        <v>0</v>
      </c>
      <c r="I31" s="96" t="n">
        <f aca="false">[1]ВИБУЛО2!E23</f>
        <v>0</v>
      </c>
      <c r="J31" s="97" t="n">
        <f aca="false">J30-I31+H31</f>
        <v>0</v>
      </c>
      <c r="K31" s="95" t="n">
        <f aca="false">[1]НАДІЙШЛО2!F23</f>
        <v>0</v>
      </c>
      <c r="L31" s="96" t="n">
        <f aca="false">[1]ВИБУЛО2!F23</f>
        <v>0</v>
      </c>
      <c r="M31" s="97" t="n">
        <f aca="false">M30-L31+K31</f>
        <v>2.06</v>
      </c>
      <c r="N31" s="95" t="n">
        <f aca="false">[1]НАДІЙШЛО2!G23</f>
        <v>0</v>
      </c>
      <c r="O31" s="96" t="n">
        <f aca="false">[1]ВИБУЛО2!G23</f>
        <v>0</v>
      </c>
      <c r="P31" s="97" t="n">
        <f aca="false">P30-O31+N31</f>
        <v>0</v>
      </c>
      <c r="Q31" s="95" t="n">
        <f aca="false">[1]НАДІЙШЛО2!H23</f>
        <v>0</v>
      </c>
      <c r="R31" s="96" t="n">
        <f aca="false">[1]ВИБУЛО2!H23</f>
        <v>0</v>
      </c>
      <c r="S31" s="97" t="n">
        <f aca="false">S30-R31+Q31</f>
        <v>0</v>
      </c>
      <c r="T31" s="95" t="n">
        <f aca="false">[1]НАДІЙШЛО2!I23</f>
        <v>0</v>
      </c>
      <c r="U31" s="96" t="n">
        <f aca="false">[1]ВИБУЛО2!I23</f>
        <v>0</v>
      </c>
      <c r="V31" s="97" t="n">
        <f aca="false">V30-U31+T31</f>
        <v>0</v>
      </c>
      <c r="W31" s="95" t="n">
        <f aca="false">[1]НАДІЙШЛО2!J23</f>
        <v>0</v>
      </c>
      <c r="X31" s="96" t="n">
        <f aca="false">[1]ВИБУЛО2!J23</f>
        <v>0</v>
      </c>
      <c r="Y31" s="97" t="n">
        <f aca="false">Y30-X31+W31</f>
        <v>0</v>
      </c>
      <c r="Z31" s="95" t="n">
        <f aca="false">[1]НАДІЙШЛО2!K23</f>
        <v>0</v>
      </c>
      <c r="AA31" s="96" t="n">
        <f aca="false">[1]ВИБУЛО2!K23</f>
        <v>0</v>
      </c>
      <c r="AB31" s="97" t="n">
        <f aca="false">AB30-AA31+Z31</f>
        <v>0</v>
      </c>
      <c r="AC31" s="95" t="n">
        <f aca="false">[1]НАДІЙШЛО2!L23</f>
        <v>0</v>
      </c>
      <c r="AD31" s="96" t="n">
        <f aca="false">[1]ВИБУЛО2!L23</f>
        <v>0</v>
      </c>
      <c r="AE31" s="97" t="n">
        <f aca="false">AE30-AD31+AC31</f>
        <v>0</v>
      </c>
      <c r="AF31" s="95" t="n">
        <f aca="false">[1]НАДІЙШЛО2!M23</f>
        <v>0</v>
      </c>
      <c r="AG31" s="96" t="n">
        <f aca="false">[1]ВИБУЛО2!M23</f>
        <v>0</v>
      </c>
      <c r="AH31" s="97" t="n">
        <f aca="false">AH30-AG31+AF31</f>
        <v>0</v>
      </c>
      <c r="AI31" s="95" t="n">
        <f aca="false">[1]НАДІЙШЛО2!N23</f>
        <v>0</v>
      </c>
      <c r="AJ31" s="96" t="n">
        <f aca="false">[1]ВИБУЛО2!N23</f>
        <v>0</v>
      </c>
      <c r="AK31" s="97" t="n">
        <f aca="false">AK30-AJ31+AI31</f>
        <v>0</v>
      </c>
      <c r="AL31" s="95" t="n">
        <f aca="false">[1]НАДІЙШЛО2!O23</f>
        <v>0</v>
      </c>
      <c r="AM31" s="96" t="n">
        <f aca="false">[1]ВИБУЛО2!O23</f>
        <v>0</v>
      </c>
      <c r="AN31" s="97" t="n">
        <f aca="false">AN30-AM31+AL31</f>
        <v>0</v>
      </c>
      <c r="AO31" s="95" t="n">
        <f aca="false">[1]НАДІЙШЛО2!P23</f>
        <v>0</v>
      </c>
      <c r="AP31" s="96" t="n">
        <f aca="false">[1]ВИБУЛО2!P23</f>
        <v>0</v>
      </c>
      <c r="AQ31" s="97" t="n">
        <f aca="false">AQ30-AP31+AO31</f>
        <v>0</v>
      </c>
      <c r="AR31" s="95" t="n">
        <f aca="false">[1]НАДІЙШЛО2!Q23</f>
        <v>0</v>
      </c>
      <c r="AS31" s="96" t="n">
        <f aca="false">[1]ВИБУЛО2!Q23</f>
        <v>0</v>
      </c>
      <c r="AT31" s="97" t="n">
        <f aca="false">AT30-AS31+AR31</f>
        <v>0</v>
      </c>
      <c r="AU31" s="95" t="n">
        <f aca="false">[1]НАДІЙШЛО2!R23</f>
        <v>0</v>
      </c>
      <c r="AV31" s="96" t="n">
        <f aca="false">[1]ВИБУЛО2!R23</f>
        <v>0</v>
      </c>
      <c r="AW31" s="97" t="n">
        <f aca="false">AW30-AV31+AU31</f>
        <v>0</v>
      </c>
      <c r="AX31" s="95" t="n">
        <f aca="false">[1]НАДІЙШЛО2!S23</f>
        <v>0</v>
      </c>
      <c r="AY31" s="96" t="n">
        <f aca="false">[1]ВИБУЛО2!S23</f>
        <v>0</v>
      </c>
      <c r="AZ31" s="97" t="n">
        <f aca="false">AZ30-AY31+AX31</f>
        <v>0</v>
      </c>
      <c r="BA31" s="95" t="n">
        <f aca="false">[1]НАДІЙШЛО2!T23</f>
        <v>0</v>
      </c>
      <c r="BB31" s="96" t="n">
        <f aca="false">[1]ВИБУЛО2!T23</f>
        <v>0</v>
      </c>
      <c r="BC31" s="97" t="n">
        <f aca="false">BC30-BB31+BA31</f>
        <v>0</v>
      </c>
      <c r="BD31" s="95" t="n">
        <f aca="false">[1]НАДІЙШЛО2!U23</f>
        <v>0</v>
      </c>
      <c r="BE31" s="96" t="n">
        <f aca="false">[1]ВИБУЛО2!U23</f>
        <v>0</v>
      </c>
      <c r="BF31" s="97" t="n">
        <f aca="false">BF30-BE31+BD31</f>
        <v>0</v>
      </c>
      <c r="BG31" s="95" t="n">
        <f aca="false">[1]НАДІЙШЛО2!V23</f>
        <v>0</v>
      </c>
      <c r="BH31" s="96" t="n">
        <f aca="false">[1]ВИБУЛО2!V23</f>
        <v>0</v>
      </c>
      <c r="BI31" s="97" t="n">
        <f aca="false">BI30-BH31+BG31</f>
        <v>0</v>
      </c>
      <c r="BJ31" s="95" t="n">
        <f aca="false">[1]НАДІЙШЛО2!W23</f>
        <v>0</v>
      </c>
      <c r="BK31" s="96" t="n">
        <f aca="false">[1]ВИБУЛО2!W23</f>
        <v>0</v>
      </c>
      <c r="BL31" s="97" t="n">
        <f aca="false">BL30-BK31+BJ31</f>
        <v>0</v>
      </c>
      <c r="BM31" s="95" t="n">
        <f aca="false">[1]НАДІЙШЛО2!X23</f>
        <v>0</v>
      </c>
      <c r="BN31" s="96" t="n">
        <f aca="false">[1]ВИБУЛО2!X23</f>
        <v>0</v>
      </c>
      <c r="BO31" s="97" t="n">
        <f aca="false">BO30-BN31+BM31</f>
        <v>0</v>
      </c>
      <c r="BP31" s="95" t="n">
        <f aca="false">[1]НАДІЙШЛО2!Y23</f>
        <v>0</v>
      </c>
      <c r="BQ31" s="96" t="n">
        <f aca="false">[1]ВИБУЛО2!Y23</f>
        <v>0</v>
      </c>
      <c r="BR31" s="97" t="n">
        <f aca="false">BR30-BQ31+BP31</f>
        <v>0</v>
      </c>
      <c r="BS31" s="95" t="n">
        <f aca="false">[1]НАДІЙШЛО2!Z23</f>
        <v>0</v>
      </c>
      <c r="BT31" s="96" t="n">
        <f aca="false">[1]ВИБУЛО2!Z23</f>
        <v>0</v>
      </c>
      <c r="BU31" s="97" t="n">
        <f aca="false">BU30-BT31+BS31</f>
        <v>0</v>
      </c>
      <c r="BV31" s="95" t="n">
        <f aca="false">[1]НАДІЙШЛО2!AA23</f>
        <v>0</v>
      </c>
      <c r="BW31" s="96" t="n">
        <f aca="false">[1]ВИБУЛО2!AA23</f>
        <v>0</v>
      </c>
      <c r="BX31" s="97" t="n">
        <f aca="false">BX30-BW31+BV31</f>
        <v>0</v>
      </c>
      <c r="BY31" s="95" t="n">
        <f aca="false">[1]НАДІЙШЛО2!AB23</f>
        <v>0</v>
      </c>
      <c r="BZ31" s="96" t="n">
        <f aca="false">[1]ВИБУЛО2!AB23</f>
        <v>0</v>
      </c>
      <c r="CA31" s="97" t="n">
        <f aca="false">CA30-BZ31+BY31</f>
        <v>0</v>
      </c>
      <c r="CB31" s="95" t="n">
        <f aca="false">[1]НАДІЙШЛО2!AC23</f>
        <v>0</v>
      </c>
      <c r="CC31" s="96" t="n">
        <f aca="false">[1]ВИБУЛО2!AC23</f>
        <v>0</v>
      </c>
      <c r="CD31" s="97" t="n">
        <f aca="false">CD30-CC31+CB31</f>
        <v>0</v>
      </c>
      <c r="CE31" s="95" t="n">
        <f aca="false">[1]НАДІЙШЛО2!AD23</f>
        <v>0</v>
      </c>
      <c r="CF31" s="96" t="n">
        <f aca="false">[1]ВИБУЛО2!AD23</f>
        <v>0</v>
      </c>
      <c r="CG31" s="97" t="n">
        <f aca="false">CG30-CF31+CE31</f>
        <v>0</v>
      </c>
      <c r="CH31" s="95" t="n">
        <f aca="false">[1]НАДІЙШЛО2!AE23</f>
        <v>0</v>
      </c>
      <c r="CI31" s="96" t="n">
        <f aca="false">[1]ВИБУЛО2!AE23</f>
        <v>0</v>
      </c>
      <c r="CJ31" s="97" t="n">
        <f aca="false">CJ30-CI31+CH31</f>
        <v>0</v>
      </c>
      <c r="CK31" s="95" t="n">
        <f aca="false">[1]НАДІЙШЛО2!AF23</f>
        <v>0</v>
      </c>
      <c r="CL31" s="96" t="n">
        <f aca="false">[1]ВИБУЛО2!AF23</f>
        <v>0</v>
      </c>
      <c r="CM31" s="97" t="n">
        <f aca="false">CM30-CL31+CK31</f>
        <v>0</v>
      </c>
      <c r="CN31" s="95" t="n">
        <f aca="false">[1]НАДІЙШЛО2!AG23</f>
        <v>0</v>
      </c>
      <c r="CO31" s="96" t="n">
        <f aca="false">[1]ВИБУЛО2!AG23</f>
        <v>0</v>
      </c>
      <c r="CP31" s="97" t="n">
        <f aca="false">CP30-CO31+CN31</f>
        <v>0</v>
      </c>
      <c r="CQ31" s="95" t="n">
        <f aca="false">[1]НАДІЙШЛО2!AH23</f>
        <v>0</v>
      </c>
      <c r="CR31" s="96" t="n">
        <f aca="false">[1]ВИБУЛО2!AH23</f>
        <v>0</v>
      </c>
      <c r="CS31" s="97" t="n">
        <f aca="false">CS30-CR31+CQ31</f>
        <v>0</v>
      </c>
      <c r="CT31" s="95" t="n">
        <f aca="false">[1]НАДІЙШЛО2!AI23</f>
        <v>0</v>
      </c>
      <c r="CU31" s="96" t="n">
        <f aca="false">[1]ВИБУЛО2!AI23</f>
        <v>0</v>
      </c>
      <c r="CV31" s="97" t="n">
        <f aca="false">CV30-CU31+CT31</f>
        <v>0</v>
      </c>
      <c r="CW31" s="95" t="n">
        <f aca="false">[1]НАДІЙШЛО2!AJ23</f>
        <v>0</v>
      </c>
      <c r="CX31" s="96" t="n">
        <f aca="false">[1]ВИБУЛО2!AJ23</f>
        <v>0</v>
      </c>
      <c r="CY31" s="97" t="n">
        <f aca="false">CY30-CX31+CW31</f>
        <v>0</v>
      </c>
      <c r="CZ31" s="95" t="n">
        <f aca="false">[1]НАДІЙШЛО2!AK23</f>
        <v>0</v>
      </c>
      <c r="DA31" s="96" t="n">
        <f aca="false">[1]ВИБУЛО2!AK23</f>
        <v>0</v>
      </c>
      <c r="DB31" s="97" t="n">
        <f aca="false">DB30-DA31+CZ31</f>
        <v>0</v>
      </c>
      <c r="DC31" s="95" t="n">
        <f aca="false">[1]НАДІЙШЛО2!AL23</f>
        <v>0</v>
      </c>
      <c r="DD31" s="96" t="n">
        <f aca="false">[1]ВИБУЛО2!AL23</f>
        <v>0</v>
      </c>
      <c r="DE31" s="97" t="n">
        <f aca="false">DE30-DD31+DC31</f>
        <v>0</v>
      </c>
      <c r="DF31" s="95" t="n">
        <f aca="false">[1]НАДІЙШЛО2!AM23</f>
        <v>0</v>
      </c>
      <c r="DG31" s="96" t="n">
        <f aca="false">[1]ВИБУЛО2!AM23</f>
        <v>0</v>
      </c>
      <c r="DH31" s="97" t="n">
        <f aca="false">DH30-DG31+DF31</f>
        <v>0</v>
      </c>
      <c r="DI31" s="95" t="n">
        <f aca="false">[1]НАДІЙШЛО2!AN23</f>
        <v>0</v>
      </c>
      <c r="DJ31" s="96" t="n">
        <f aca="false">[1]ВИБУЛО2!AN23</f>
        <v>0</v>
      </c>
      <c r="DK31" s="97" t="n">
        <f aca="false">DK30-DJ31+DI31</f>
        <v>0</v>
      </c>
      <c r="DL31" s="95" t="n">
        <f aca="false">[1]НАДІЙШЛО2!AO23</f>
        <v>0</v>
      </c>
      <c r="DM31" s="96" t="n">
        <f aca="false">[1]ВИБУЛО2!AO23</f>
        <v>0</v>
      </c>
      <c r="DN31" s="97" t="n">
        <f aca="false">DN30-DM31+DL31</f>
        <v>0</v>
      </c>
      <c r="DO31" s="95" t="n">
        <f aca="false">[1]НАДІЙШЛО2!AP23</f>
        <v>0</v>
      </c>
      <c r="DP31" s="96" t="n">
        <f aca="false">[1]ВИБУЛО2!AP23</f>
        <v>0</v>
      </c>
      <c r="DQ31" s="97" t="n">
        <f aca="false">DQ30-DP31+DO31</f>
        <v>0</v>
      </c>
      <c r="DR31" s="95" t="n">
        <f aca="false">[1]НАДІЙШЛО2!AQ23</f>
        <v>0</v>
      </c>
      <c r="DS31" s="96" t="n">
        <f aca="false">[1]ВИБУЛО2!AQ23</f>
        <v>0</v>
      </c>
      <c r="DT31" s="97" t="n">
        <f aca="false">DT30-DS31+DR31</f>
        <v>0</v>
      </c>
      <c r="DU31" s="95" t="n">
        <f aca="false">[1]НАДІЙШЛО2!AR23</f>
        <v>0</v>
      </c>
      <c r="DV31" s="96" t="n">
        <f aca="false">[1]ВИБУЛО2!AR23</f>
        <v>0</v>
      </c>
      <c r="DW31" s="97" t="n">
        <f aca="false">DW30-DV31+DU31</f>
        <v>0</v>
      </c>
      <c r="DX31" s="95" t="n">
        <f aca="false">[1]НАДІЙШЛО2!AS23</f>
        <v>0</v>
      </c>
      <c r="DY31" s="96" t="n">
        <f aca="false">[1]ВИБУЛО2!AS23</f>
        <v>0</v>
      </c>
      <c r="DZ31" s="97" t="n">
        <f aca="false">DZ30-DY31+DX31</f>
        <v>0</v>
      </c>
      <c r="EA31" s="95" t="n">
        <f aca="false">[1]НАДІЙШЛО2!AT23</f>
        <v>0</v>
      </c>
      <c r="EB31" s="96" t="n">
        <f aca="false">[1]ВИБУЛО2!AT23</f>
        <v>0</v>
      </c>
      <c r="EC31" s="97" t="n">
        <f aca="false">EC30-EB31+EA31</f>
        <v>0</v>
      </c>
      <c r="ED31" s="95" t="n">
        <f aca="false">[1]НАДІЙШЛО2!AU23</f>
        <v>0</v>
      </c>
      <c r="EE31" s="96" t="n">
        <f aca="false">[1]ВИБУЛО2!AU23</f>
        <v>0</v>
      </c>
      <c r="EF31" s="97" t="n">
        <f aca="false">EF30-EE31+ED31</f>
        <v>0</v>
      </c>
      <c r="EG31" s="95" t="n">
        <f aca="false">[1]НАДІЙШЛО2!AV23</f>
        <v>0</v>
      </c>
      <c r="EH31" s="96" t="n">
        <f aca="false">[1]ВИБУЛО2!AV23</f>
        <v>0</v>
      </c>
      <c r="EI31" s="97" t="n">
        <f aca="false">EI30-EH31+EG31</f>
        <v>0</v>
      </c>
      <c r="EJ31" s="95" t="n">
        <f aca="false">[1]НАДІЙШЛО2!AW23</f>
        <v>0</v>
      </c>
      <c r="EK31" s="96" t="n">
        <f aca="false">[1]ВИБУЛО2!AW23</f>
        <v>0</v>
      </c>
      <c r="EL31" s="97" t="n">
        <f aca="false">EL30-EK31+EJ31</f>
        <v>0</v>
      </c>
      <c r="EM31" s="95" t="n">
        <f aca="false">[1]НАДІЙШЛО2!AX23</f>
        <v>0</v>
      </c>
      <c r="EN31" s="96" t="n">
        <f aca="false">[1]ВИБУЛО2!AX23</f>
        <v>0</v>
      </c>
      <c r="EO31" s="97" t="n">
        <f aca="false">EO30-EN31+EM31</f>
        <v>0</v>
      </c>
      <c r="EP31" s="95" t="n">
        <f aca="false">[1]НАДІЙШЛО2!AY23</f>
        <v>0</v>
      </c>
      <c r="EQ31" s="96" t="n">
        <f aca="false">[1]ВИБУЛО2!AY23</f>
        <v>0</v>
      </c>
      <c r="ER31" s="97" t="n">
        <f aca="false">ER30-EQ31+EP31</f>
        <v>0</v>
      </c>
      <c r="ES31" s="95" t="n">
        <f aca="false">[1]НАДІЙШЛО2!AZ23</f>
        <v>0</v>
      </c>
      <c r="ET31" s="96" t="n">
        <f aca="false">[1]ВИБУЛО2!AZ23</f>
        <v>0</v>
      </c>
      <c r="EU31" s="97" t="n">
        <f aca="false">EU30-ET31+ES31</f>
        <v>0</v>
      </c>
      <c r="EV31" s="95" t="n">
        <f aca="false">[1]НАДІЙШЛО2!BA23</f>
        <v>0</v>
      </c>
      <c r="EW31" s="96" t="n">
        <f aca="false">[1]ВИБУЛО2!BA23</f>
        <v>0</v>
      </c>
      <c r="EX31" s="97" t="n">
        <f aca="false">EX30-EW31+EV31</f>
        <v>0</v>
      </c>
      <c r="EY31" s="95" t="n">
        <f aca="false">[1]НАДІЙШЛО2!BB23</f>
        <v>0</v>
      </c>
      <c r="EZ31" s="96" t="n">
        <f aca="false">[1]ВИБУЛО2!BB23</f>
        <v>0</v>
      </c>
      <c r="FA31" s="97" t="n">
        <f aca="false">FA30-EZ31+EY31</f>
        <v>0</v>
      </c>
      <c r="FB31" s="95" t="n">
        <f aca="false">[1]НАДІЙШЛО2!BC23</f>
        <v>0</v>
      </c>
      <c r="FC31" s="96" t="n">
        <f aca="false">[1]ВИБУЛО2!BC23</f>
        <v>0</v>
      </c>
      <c r="FD31" s="97" t="n">
        <f aca="false">FD30-FC31+FB31</f>
        <v>0</v>
      </c>
      <c r="FE31" s="95" t="n">
        <f aca="false">[1]НАДІЙШЛО2!BD23</f>
        <v>0</v>
      </c>
      <c r="FF31" s="96" t="n">
        <f aca="false">[1]ВИБУЛО2!BD23</f>
        <v>0</v>
      </c>
      <c r="FG31" s="97" t="n">
        <f aca="false">FG30-FF31+FE31</f>
        <v>0</v>
      </c>
      <c r="FH31" s="95" t="n">
        <f aca="false">[1]НАДІЙШЛО2!BE23</f>
        <v>0</v>
      </c>
      <c r="FI31" s="96" t="n">
        <f aca="false">[1]ВИБУЛО2!BE23</f>
        <v>0</v>
      </c>
      <c r="FJ31" s="97" t="n">
        <f aca="false">FJ30-FI31+FH31</f>
        <v>0</v>
      </c>
      <c r="FK31" s="95" t="n">
        <f aca="false">[1]НАДІЙШЛО2!BF23</f>
        <v>0</v>
      </c>
      <c r="FL31" s="96" t="n">
        <f aca="false">[1]ВИБУЛО2!BF23</f>
        <v>0</v>
      </c>
      <c r="FM31" s="97" t="n">
        <f aca="false">FM30-FL31+FK31</f>
        <v>0</v>
      </c>
      <c r="FN31" s="95" t="n">
        <f aca="false">[1]НАДІЙШЛО2!BG23</f>
        <v>0</v>
      </c>
      <c r="FO31" s="96" t="n">
        <f aca="false">[1]ВИБУЛО2!BG23</f>
        <v>0</v>
      </c>
      <c r="FP31" s="97" t="n">
        <f aca="false">FP30-FO31+FN31</f>
        <v>0</v>
      </c>
      <c r="FQ31" s="95" t="n">
        <f aca="false">[1]НАДІЙШЛО2!BH23</f>
        <v>0</v>
      </c>
      <c r="FR31" s="96" t="n">
        <f aca="false">[1]ВИБУЛО2!BH23</f>
        <v>0</v>
      </c>
      <c r="FS31" s="97" t="n">
        <f aca="false">FS30-FR31+FQ31</f>
        <v>0</v>
      </c>
      <c r="FT31" s="95" t="n">
        <f aca="false">[1]НАДІЙШЛО2!BI23</f>
        <v>0</v>
      </c>
      <c r="FU31" s="96" t="n">
        <f aca="false">[1]ВИБУЛО2!BI23</f>
        <v>0</v>
      </c>
      <c r="FV31" s="97" t="n">
        <f aca="false">FV30-FU31+FT31</f>
        <v>0</v>
      </c>
      <c r="FW31" s="95" t="n">
        <f aca="false">[1]НАДІЙШЛО2!BJ23</f>
        <v>0</v>
      </c>
      <c r="FX31" s="96" t="n">
        <f aca="false">[1]ВИБУЛО2!BJ23</f>
        <v>0</v>
      </c>
      <c r="FY31" s="97" t="n">
        <f aca="false">FY30-FX31+FW31</f>
        <v>0</v>
      </c>
      <c r="FZ31" s="95" t="n">
        <f aca="false">[1]НАДІЙШЛО2!BK23</f>
        <v>0</v>
      </c>
      <c r="GA31" s="96" t="n">
        <f aca="false">[1]ВИБУЛО2!BK23</f>
        <v>0</v>
      </c>
      <c r="GB31" s="97" t="n">
        <f aca="false">GB30-GA31+FZ31</f>
        <v>0</v>
      </c>
      <c r="GC31" s="95" t="n">
        <f aca="false">[1]НАДІЙШЛО2!BL23</f>
        <v>0</v>
      </c>
      <c r="GD31" s="96" t="n">
        <f aca="false">[1]ВИБУЛО2!BL23</f>
        <v>0</v>
      </c>
      <c r="GE31" s="97" t="n">
        <f aca="false">GE30-GD31+GC31</f>
        <v>0</v>
      </c>
      <c r="GF31" s="95" t="n">
        <f aca="false">[1]НАДІЙШЛО2!BM23</f>
        <v>0</v>
      </c>
      <c r="GG31" s="96" t="n">
        <f aca="false">[1]ВИБУЛО2!BM23</f>
        <v>0</v>
      </c>
      <c r="GH31" s="97" t="n">
        <f aca="false">GH30-GG31+GF31</f>
        <v>0</v>
      </c>
      <c r="GI31" s="95" t="n">
        <f aca="false">[1]НАДІЙШЛО2!BN23</f>
        <v>0</v>
      </c>
      <c r="GJ31" s="96" t="n">
        <f aca="false">[1]ВИБУЛО2!BN23</f>
        <v>0</v>
      </c>
      <c r="GK31" s="97" t="n">
        <f aca="false">GK30-GJ31+GI31</f>
        <v>0</v>
      </c>
      <c r="GL31" s="95" t="n">
        <f aca="false">[1]НАДІЙШЛО2!BO23</f>
        <v>0</v>
      </c>
      <c r="GM31" s="96" t="n">
        <f aca="false">[1]ВИБУЛО2!BO23</f>
        <v>0</v>
      </c>
      <c r="GN31" s="97" t="n">
        <f aca="false">GN30-GM31+GL31</f>
        <v>0</v>
      </c>
      <c r="GO31" s="95" t="n">
        <f aca="false">[1]НАДІЙШЛО2!BP23</f>
        <v>0</v>
      </c>
      <c r="GP31" s="96" t="n">
        <f aca="false">[1]ВИБУЛО2!BP23</f>
        <v>0</v>
      </c>
      <c r="GQ31" s="97" t="n">
        <f aca="false">GQ30-GP31+GO31</f>
        <v>0</v>
      </c>
      <c r="GR31" s="95" t="n">
        <f aca="false">[1]НАДІЙШЛО2!BQ23</f>
        <v>0</v>
      </c>
      <c r="GS31" s="96" t="n">
        <f aca="false">[1]ВИБУЛО2!BQ23</f>
        <v>0</v>
      </c>
      <c r="GT31" s="97" t="n">
        <f aca="false">GT30-GS31+GR31</f>
        <v>0</v>
      </c>
      <c r="GU31" s="95" t="n">
        <f aca="false">[1]НАДІЙШЛО2!BR23</f>
        <v>0</v>
      </c>
      <c r="GV31" s="96" t="n">
        <f aca="false">[1]ВИБУЛО2!BR23</f>
        <v>0</v>
      </c>
      <c r="GW31" s="97" t="n">
        <f aca="false">GW30-GV31+GU31</f>
        <v>0</v>
      </c>
      <c r="GX31" s="95" t="n">
        <f aca="false">[1]НАДІЙШЛО2!BS23</f>
        <v>0</v>
      </c>
      <c r="GY31" s="96" t="n">
        <f aca="false">[1]ВИБУЛО2!BS23</f>
        <v>0</v>
      </c>
      <c r="GZ31" s="97" t="n">
        <f aca="false">GZ30-GY31+GX31</f>
        <v>0</v>
      </c>
      <c r="HA31" s="95" t="n">
        <f aca="false">[1]НАДІЙШЛО2!BT23</f>
        <v>0</v>
      </c>
      <c r="HB31" s="96" t="n">
        <f aca="false">[1]ВИБУЛО2!BT23</f>
        <v>0</v>
      </c>
      <c r="HC31" s="97" t="n">
        <f aca="false">HC30-HB31+HA31</f>
        <v>0</v>
      </c>
      <c r="HD31" s="95" t="n">
        <f aca="false">[1]НАДІЙШЛО2!BU23</f>
        <v>0</v>
      </c>
      <c r="HE31" s="96" t="n">
        <f aca="false">[1]ВИБУЛО2!BU23</f>
        <v>0</v>
      </c>
      <c r="HF31" s="97" t="n">
        <f aca="false">HF30-HE31+HD31</f>
        <v>0</v>
      </c>
      <c r="HG31" s="95" t="n">
        <f aca="false">[1]НАДІЙШЛО2!BV23</f>
        <v>0</v>
      </c>
      <c r="HH31" s="96" t="n">
        <f aca="false">[1]ВИБУЛО2!BV23</f>
        <v>0</v>
      </c>
      <c r="HI31" s="97" t="n">
        <f aca="false">HI30-HH31+HG31</f>
        <v>0</v>
      </c>
      <c r="HJ31" s="95" t="n">
        <f aca="false">[1]НАДІЙШЛО2!BW23</f>
        <v>0</v>
      </c>
      <c r="HK31" s="96" t="n">
        <f aca="false">[1]ВИБУЛО2!BW23</f>
        <v>0</v>
      </c>
      <c r="HL31" s="97" t="n">
        <f aca="false">HL30-HK31+HJ31</f>
        <v>0</v>
      </c>
      <c r="HM31" s="95" t="n">
        <f aca="false">[1]НАДІЙШЛО2!BX23</f>
        <v>0</v>
      </c>
      <c r="HN31" s="96" t="n">
        <f aca="false">[1]ВИБУЛО2!BX23</f>
        <v>0</v>
      </c>
      <c r="HO31" s="97" t="n">
        <f aca="false">HO30-HN31+HM31</f>
        <v>0</v>
      </c>
      <c r="HP31" s="95" t="n">
        <f aca="false">[1]НАДІЙШЛО2!BY23</f>
        <v>0</v>
      </c>
      <c r="HQ31" s="96" t="n">
        <f aca="false">[1]ВИБУЛО2!BY23</f>
        <v>0</v>
      </c>
      <c r="HR31" s="97" t="n">
        <f aca="false">HR30-HQ31+HP31</f>
        <v>0</v>
      </c>
      <c r="HS31" s="95" t="n">
        <f aca="false">[1]НАДІЙШЛО2!BZ23</f>
        <v>0</v>
      </c>
      <c r="HT31" s="96" t="n">
        <f aca="false">[1]ВИБУЛО2!BZ23</f>
        <v>0</v>
      </c>
      <c r="HU31" s="97" t="n">
        <f aca="false">HU30-HT31+HS31</f>
        <v>0</v>
      </c>
      <c r="HV31" s="95" t="n">
        <f aca="false">[1]НАДІЙШЛО2!CA23</f>
        <v>0</v>
      </c>
      <c r="HW31" s="96" t="n">
        <f aca="false">[1]ВИБУЛО2!CA23</f>
        <v>0</v>
      </c>
      <c r="HX31" s="97" t="n">
        <f aca="false">HX30-HW31+HV31</f>
        <v>0</v>
      </c>
      <c r="HY31" s="95" t="n">
        <f aca="false">[1]НАДІЙШЛО2!CB23</f>
        <v>0</v>
      </c>
      <c r="HZ31" s="96" t="n">
        <f aca="false">[1]ВИБУЛО2!CB23</f>
        <v>0</v>
      </c>
      <c r="IA31" s="97" t="n">
        <f aca="false">IA30-HZ31+HY31</f>
        <v>0</v>
      </c>
      <c r="IB31" s="95" t="n">
        <f aca="false">[1]НАДІЙШЛО2!CC23</f>
        <v>0</v>
      </c>
      <c r="IC31" s="96" t="n">
        <f aca="false">[1]ВИБУЛО2!CC23</f>
        <v>0</v>
      </c>
      <c r="ID31" s="97" t="n">
        <f aca="false">ID30-IC31+IB31</f>
        <v>0</v>
      </c>
      <c r="IE31" s="95" t="n">
        <f aca="false">[1]НАДІЙШЛО2!CD23</f>
        <v>0</v>
      </c>
      <c r="IF31" s="96" t="n">
        <f aca="false">[1]ВИБУЛО2!CD23</f>
        <v>0</v>
      </c>
      <c r="IG31" s="97" t="n">
        <f aca="false">IG30-IF31+IE31</f>
        <v>0</v>
      </c>
      <c r="IH31" s="95" t="n">
        <f aca="false">[1]НАДІЙШЛО2!CE23</f>
        <v>0</v>
      </c>
      <c r="II31" s="96" t="n">
        <f aca="false">[1]ВИБУЛО2!CE23</f>
        <v>0</v>
      </c>
      <c r="IJ31" s="97" t="n">
        <f aca="false">IJ30-II31+IH31</f>
        <v>0</v>
      </c>
      <c r="IK31" s="95" t="n">
        <f aca="false">[1]НАДІЙШЛО2!CF23</f>
        <v>0</v>
      </c>
      <c r="IL31" s="96" t="n">
        <f aca="false">[1]ВИБУЛО2!CF23</f>
        <v>0</v>
      </c>
      <c r="IM31" s="97" t="n">
        <f aca="false">IM30-IL31+IK31</f>
        <v>0</v>
      </c>
      <c r="IN31" s="95" t="n">
        <f aca="false">[1]НАДІЙШЛО2!CG23</f>
        <v>0</v>
      </c>
      <c r="IO31" s="96" t="n">
        <f aca="false">[1]ВИБУЛО2!CG23</f>
        <v>0</v>
      </c>
      <c r="IP31" s="97" t="n">
        <f aca="false">IP30-IO31+IN31</f>
        <v>0</v>
      </c>
      <c r="IQ31" s="95" t="n">
        <f aca="false">[1]НАДІЙШЛО2!CH23</f>
        <v>0</v>
      </c>
      <c r="IR31" s="96" t="n">
        <f aca="false">[1]ВИБУЛО2!CH23</f>
        <v>0</v>
      </c>
      <c r="IS31" s="97" t="n">
        <f aca="false">IS30-IR31+IQ31</f>
        <v>0</v>
      </c>
      <c r="IT31" s="95" t="n">
        <f aca="false">[1]НАДІЙШЛО2!CI23</f>
        <v>0</v>
      </c>
      <c r="IU31" s="96" t="n">
        <f aca="false">[1]ВИБУЛО2!CI23</f>
        <v>0</v>
      </c>
      <c r="IV31" s="97" t="n">
        <f aca="false">IV30-IU31+IT31</f>
        <v>0</v>
      </c>
      <c r="IW31" s="95" t="n">
        <f aca="false">[1]НАДІЙШЛО2!CJ23</f>
        <v>0</v>
      </c>
      <c r="IX31" s="96" t="n">
        <f aca="false">[1]ВИБУЛО2!CJ23</f>
        <v>0</v>
      </c>
      <c r="IY31" s="97" t="n">
        <f aca="false">IY30-IX31+IW31</f>
        <v>0</v>
      </c>
      <c r="IZ31" s="95" t="n">
        <f aca="false">[1]НАДІЙШЛО2!CK23</f>
        <v>0</v>
      </c>
      <c r="JA31" s="96" t="n">
        <f aca="false">[1]ВИБУЛО2!CK23</f>
        <v>0</v>
      </c>
      <c r="JB31" s="97" t="n">
        <f aca="false">JB30-JA31+IZ31</f>
        <v>0</v>
      </c>
      <c r="JC31" s="95" t="n">
        <f aca="false">[1]НАДІЙШЛО2!CL23</f>
        <v>0</v>
      </c>
      <c r="JD31" s="96" t="n">
        <f aca="false">[1]ВИБУЛО2!CL23</f>
        <v>0</v>
      </c>
      <c r="JE31" s="97" t="n">
        <f aca="false">JE30-JD31+JC31</f>
        <v>0</v>
      </c>
      <c r="JF31" s="95" t="n">
        <f aca="false">[1]НАДІЙШЛО2!CM23</f>
        <v>0</v>
      </c>
      <c r="JG31" s="96" t="n">
        <f aca="false">[1]ВИБУЛО2!CM23</f>
        <v>0</v>
      </c>
      <c r="JH31" s="97" t="n">
        <f aca="false">JH30-JG31+JF31</f>
        <v>0</v>
      </c>
      <c r="JI31" s="95" t="n">
        <f aca="false">[1]НАДІЙШЛО2!CN23</f>
        <v>0</v>
      </c>
      <c r="JJ31" s="96" t="n">
        <f aca="false">[1]ВИБУЛО2!CN23</f>
        <v>0</v>
      </c>
      <c r="JK31" s="97" t="n">
        <f aca="false">JK30-JJ31+JI31</f>
        <v>0</v>
      </c>
      <c r="JL31" s="95" t="n">
        <f aca="false">[1]НАДІЙШЛО2!CO23</f>
        <v>0</v>
      </c>
      <c r="JM31" s="96" t="n">
        <f aca="false">[1]ВИБУЛО2!CO23</f>
        <v>0</v>
      </c>
      <c r="JN31" s="97" t="n">
        <f aca="false">JN30-JM31+JL31</f>
        <v>0</v>
      </c>
      <c r="JO31" s="95" t="n">
        <f aca="false">[1]НАДІЙШЛО2!CP23</f>
        <v>0</v>
      </c>
      <c r="JP31" s="96" t="n">
        <f aca="false">[1]ВИБУЛО2!CP23</f>
        <v>0</v>
      </c>
      <c r="JQ31" s="97" t="n">
        <f aca="false">JQ30-JP31+JO31</f>
        <v>0</v>
      </c>
      <c r="JR31" s="95" t="n">
        <f aca="false">[1]НАДІЙШЛО2!CQ23</f>
        <v>0</v>
      </c>
      <c r="JS31" s="96" t="n">
        <f aca="false">[1]ВИБУЛО2!CQ23</f>
        <v>0</v>
      </c>
      <c r="JT31" s="97" t="n">
        <f aca="false">JT30-JS31+JR31</f>
        <v>0</v>
      </c>
      <c r="JU31" s="95" t="n">
        <f aca="false">[1]НАДІЙШЛО2!CR23</f>
        <v>0</v>
      </c>
      <c r="JV31" s="96" t="n">
        <f aca="false">[1]ВИБУЛО2!CR23</f>
        <v>0</v>
      </c>
      <c r="JW31" s="97" t="n">
        <f aca="false">JW30-JV31+JU31</f>
        <v>0</v>
      </c>
      <c r="JX31" s="95" t="n">
        <f aca="false">[1]НАДІЙШЛО2!CS23</f>
        <v>0</v>
      </c>
      <c r="JY31" s="96" t="n">
        <f aca="false">[1]ВИБУЛО2!CS23</f>
        <v>0</v>
      </c>
      <c r="JZ31" s="97" t="n">
        <f aca="false">JZ30-JY31+JX31</f>
        <v>0</v>
      </c>
      <c r="KA31" s="95" t="n">
        <f aca="false">[1]НАДІЙШЛО2!CT23</f>
        <v>0</v>
      </c>
      <c r="KB31" s="96" t="n">
        <f aca="false">[1]ВИБУЛО2!CT23</f>
        <v>0</v>
      </c>
      <c r="KC31" s="97" t="n">
        <f aca="false">KC30-KB31+KA31</f>
        <v>0</v>
      </c>
      <c r="KD31" s="95" t="n">
        <f aca="false">[1]НАДІЙШЛО2!CU23</f>
        <v>0</v>
      </c>
      <c r="KE31" s="96" t="n">
        <f aca="false">[1]ВИБУЛО2!CU23</f>
        <v>0</v>
      </c>
      <c r="KF31" s="97" t="n">
        <f aca="false">KF30-KE31+KD31</f>
        <v>0</v>
      </c>
      <c r="KG31" s="95" t="n">
        <f aca="false">[1]НАДІЙШЛО2!CV23</f>
        <v>0</v>
      </c>
      <c r="KH31" s="96" t="n">
        <f aca="false">[1]ВИБУЛО2!CV23</f>
        <v>0</v>
      </c>
      <c r="KI31" s="97" t="n">
        <f aca="false">KI30-KH31+KG31</f>
        <v>0</v>
      </c>
      <c r="KJ31" s="95" t="n">
        <f aca="false">[1]НАДІЙШЛО2!CW23</f>
        <v>0</v>
      </c>
      <c r="KK31" s="96" t="n">
        <f aca="false">[1]ВИБУЛО2!CW23</f>
        <v>0</v>
      </c>
      <c r="KL31" s="97" t="n">
        <f aca="false">KL30-KK31+KJ31</f>
        <v>0</v>
      </c>
      <c r="KM31" s="95" t="n">
        <f aca="false">[1]НАДІЙШЛО2!CX23</f>
        <v>0</v>
      </c>
      <c r="KN31" s="96" t="n">
        <f aca="false">[1]ВИБУЛО2!CX23</f>
        <v>0</v>
      </c>
      <c r="KO31" s="97" t="n">
        <f aca="false">KO30-KN31+KM31</f>
        <v>0</v>
      </c>
      <c r="KP31" s="95" t="n">
        <f aca="false">[1]НАДІЙШЛО2!CY23</f>
        <v>0</v>
      </c>
      <c r="KQ31" s="96" t="n">
        <f aca="false">[1]ВИБУЛО2!CY23</f>
        <v>0</v>
      </c>
      <c r="KR31" s="97" t="n">
        <f aca="false">KR30-KQ31+KP31</f>
        <v>0</v>
      </c>
      <c r="KS31" s="95" t="n">
        <f aca="false">[1]НАДІЙШЛО2!CZ23</f>
        <v>0</v>
      </c>
      <c r="KT31" s="96" t="n">
        <f aca="false">[1]ВИБУЛО2!CZ23</f>
        <v>0</v>
      </c>
      <c r="KU31" s="97" t="n">
        <f aca="false">KU30-KT31+KS31</f>
        <v>0</v>
      </c>
      <c r="KV31" s="95" t="n">
        <f aca="false">[1]НАДІЙШЛО2!DA23</f>
        <v>0</v>
      </c>
      <c r="KW31" s="96" t="n">
        <f aca="false">[1]ВИБУЛО2!DA23</f>
        <v>0</v>
      </c>
      <c r="KX31" s="97" t="n">
        <f aca="false">KX30-KW31+KV31</f>
        <v>0</v>
      </c>
      <c r="KY31" s="95" t="n">
        <f aca="false">[1]НАДІЙШЛО2!DB23</f>
        <v>0</v>
      </c>
      <c r="KZ31" s="96" t="n">
        <f aca="false">[1]ВИБУЛО2!DB23</f>
        <v>0</v>
      </c>
      <c r="LA31" s="97" t="n">
        <f aca="false">LA30-KZ31+KY31</f>
        <v>0</v>
      </c>
      <c r="LB31" s="95" t="n">
        <f aca="false">[1]НАДІЙШЛО2!DC23</f>
        <v>0</v>
      </c>
      <c r="LC31" s="96" t="n">
        <f aca="false">[1]ВИБУЛО2!DC23</f>
        <v>0</v>
      </c>
      <c r="LD31" s="97" t="n">
        <f aca="false">LD30-LC31+LB31</f>
        <v>0</v>
      </c>
      <c r="LE31" s="95" t="n">
        <f aca="false">[1]НАДІЙШЛО2!DD23</f>
        <v>0</v>
      </c>
      <c r="LF31" s="96" t="n">
        <f aca="false">[1]ВИБУЛО2!DD23</f>
        <v>0</v>
      </c>
      <c r="LG31" s="97" t="n">
        <f aca="false">LG30-LF31+LE31</f>
        <v>0</v>
      </c>
      <c r="LH31" s="95" t="n">
        <f aca="false">[1]НАДІЙШЛО2!DE23</f>
        <v>0</v>
      </c>
      <c r="LI31" s="96" t="n">
        <f aca="false">[1]ВИБУЛО2!DE23</f>
        <v>0</v>
      </c>
      <c r="LJ31" s="97" t="n">
        <f aca="false">LJ30-LI31+LH31</f>
        <v>0</v>
      </c>
      <c r="LK31" s="95" t="n">
        <f aca="false">[1]НАДІЙШЛО2!DF23</f>
        <v>0</v>
      </c>
      <c r="LL31" s="96" t="n">
        <f aca="false">[1]ВИБУЛО2!DF23</f>
        <v>0</v>
      </c>
      <c r="LM31" s="97" t="n">
        <f aca="false">LM30-LL31+LK31</f>
        <v>0</v>
      </c>
      <c r="LN31" s="95" t="n">
        <f aca="false">[1]НАДІЙШЛО2!DG23</f>
        <v>0</v>
      </c>
      <c r="LO31" s="96" t="n">
        <f aca="false">[1]ВИБУЛО2!DG23</f>
        <v>0</v>
      </c>
      <c r="LP31" s="97" t="n">
        <f aca="false">LP30-LO31+LN31</f>
        <v>0</v>
      </c>
      <c r="LQ31" s="95" t="n">
        <f aca="false">[1]НАДІЙШЛО2!DH23</f>
        <v>0</v>
      </c>
      <c r="LR31" s="96" t="n">
        <f aca="false">[1]ВИБУЛО2!DH23</f>
        <v>0</v>
      </c>
      <c r="LS31" s="97" t="n">
        <f aca="false">LS30-LR31+LQ31</f>
        <v>0</v>
      </c>
      <c r="LT31" s="95" t="n">
        <f aca="false">[1]НАДІЙШЛО2!DI23</f>
        <v>0</v>
      </c>
      <c r="LU31" s="96" t="n">
        <f aca="false">[1]ВИБУЛО2!DI23</f>
        <v>0</v>
      </c>
      <c r="LV31" s="97" t="n">
        <f aca="false">LV30-LU31+LT31</f>
        <v>0</v>
      </c>
      <c r="LW31" s="95" t="n">
        <f aca="false">[1]НАДІЙШЛО2!DJ23</f>
        <v>0</v>
      </c>
      <c r="LX31" s="96" t="n">
        <f aca="false">[1]ВИБУЛО2!DJ23</f>
        <v>0</v>
      </c>
      <c r="LY31" s="97" t="n">
        <f aca="false">LY30-LX31+LW31</f>
        <v>0</v>
      </c>
      <c r="LZ31" s="95" t="n">
        <f aca="false">[1]НАДІЙШЛО2!DK23</f>
        <v>0</v>
      </c>
      <c r="MA31" s="96" t="n">
        <f aca="false">[1]ВИБУЛО2!DK23</f>
        <v>0</v>
      </c>
      <c r="MB31" s="97" t="n">
        <f aca="false">MB30-MA31+LZ31</f>
        <v>0</v>
      </c>
      <c r="MC31" s="95" t="n">
        <f aca="false">[1]НАДІЙШЛО2!DL23</f>
        <v>0</v>
      </c>
      <c r="MD31" s="96" t="n">
        <f aca="false">[1]ВИБУЛО2!DL23</f>
        <v>0</v>
      </c>
      <c r="ME31" s="97" t="n">
        <f aca="false">ME30-MD31+MC31</f>
        <v>0</v>
      </c>
      <c r="MF31" s="95" t="n">
        <f aca="false">[1]НАДІЙШЛО2!DM23</f>
        <v>0</v>
      </c>
      <c r="MG31" s="96" t="n">
        <f aca="false">[1]ВИБУЛО2!DM23</f>
        <v>0</v>
      </c>
      <c r="MH31" s="97" t="n">
        <f aca="false">MH30-MG31+MF31</f>
        <v>0</v>
      </c>
      <c r="MI31" s="95" t="n">
        <f aca="false">[1]НАДІЙШЛО2!DN23</f>
        <v>0</v>
      </c>
      <c r="MJ31" s="96" t="n">
        <f aca="false">[1]ВИБУЛО2!DN23</f>
        <v>0</v>
      </c>
      <c r="MK31" s="97" t="n">
        <f aca="false">MK30-MJ31+MI31</f>
        <v>0</v>
      </c>
      <c r="ML31" s="95" t="n">
        <f aca="false">[1]НАДІЙШЛО2!DO23</f>
        <v>0</v>
      </c>
      <c r="MM31" s="96" t="n">
        <f aca="false">[1]ВИБУЛО2!DO23</f>
        <v>0</v>
      </c>
      <c r="MN31" s="97" t="n">
        <f aca="false">MN30-MM31+ML31</f>
        <v>0</v>
      </c>
      <c r="MO31" s="95" t="n">
        <f aca="false">[1]НАДІЙШЛО2!DP23</f>
        <v>0</v>
      </c>
      <c r="MP31" s="96" t="n">
        <f aca="false">[1]ВИБУЛО2!DP23</f>
        <v>0</v>
      </c>
      <c r="MQ31" s="97" t="n">
        <f aca="false">MQ30-MP31+MO31</f>
        <v>0</v>
      </c>
      <c r="MR31" s="95" t="n">
        <f aca="false">[1]НАДІЙШЛО2!DQ23</f>
        <v>0</v>
      </c>
      <c r="MS31" s="96" t="n">
        <f aca="false">[1]ВИБУЛО2!DQ23</f>
        <v>0</v>
      </c>
      <c r="MT31" s="97" t="n">
        <f aca="false">MT30-MS31+MR31</f>
        <v>0</v>
      </c>
      <c r="MU31" s="95" t="n">
        <f aca="false">[1]НАДІЙШЛО2!DR23</f>
        <v>0</v>
      </c>
      <c r="MV31" s="96" t="n">
        <f aca="false">[1]ВИБУЛО2!DR23</f>
        <v>0</v>
      </c>
      <c r="MW31" s="97" t="n">
        <f aca="false">MW30-MV31+MU31</f>
        <v>0</v>
      </c>
      <c r="MX31" s="95" t="n">
        <f aca="false">[1]НАДІЙШЛО2!DS23</f>
        <v>0</v>
      </c>
      <c r="MY31" s="96" t="n">
        <f aca="false">[1]ВИБУЛО2!DS23</f>
        <v>0</v>
      </c>
      <c r="MZ31" s="97" t="n">
        <f aca="false">MZ30-MY31+MX31</f>
        <v>0</v>
      </c>
      <c r="NA31" s="95" t="n">
        <f aca="false">[1]НАДІЙШЛО2!DT23</f>
        <v>0</v>
      </c>
      <c r="NB31" s="96" t="n">
        <f aca="false">[1]ВИБУЛО2!DT23</f>
        <v>0</v>
      </c>
      <c r="NC31" s="97" t="n">
        <f aca="false">NC30-NB31+NA31</f>
        <v>0</v>
      </c>
      <c r="ND31" s="95" t="n">
        <f aca="false">[1]НАДІЙШЛО2!DU23</f>
        <v>0</v>
      </c>
      <c r="NE31" s="96" t="n">
        <f aca="false">[1]ВИБУЛО2!DU23</f>
        <v>0</v>
      </c>
      <c r="NF31" s="97" t="n">
        <f aca="false">NF30-NE31+ND31</f>
        <v>0</v>
      </c>
      <c r="NG31" s="95" t="n">
        <f aca="false">[1]НАДІЙШЛО2!DV23</f>
        <v>0</v>
      </c>
      <c r="NH31" s="96" t="n">
        <f aca="false">[1]ВИБУЛО2!DV23</f>
        <v>0</v>
      </c>
      <c r="NI31" s="97" t="n">
        <f aca="false">NI30-NH31+NG31</f>
        <v>0</v>
      </c>
      <c r="NJ31" s="95" t="n">
        <f aca="false">[1]НАДІЙШЛО2!DW23</f>
        <v>0</v>
      </c>
      <c r="NK31" s="96" t="n">
        <f aca="false">[1]ВИБУЛО2!DW23</f>
        <v>0</v>
      </c>
      <c r="NL31" s="97" t="n">
        <f aca="false">NL30-NK31+NJ31</f>
        <v>0</v>
      </c>
      <c r="NM31" s="95" t="n">
        <f aca="false">[1]НАДІЙШЛО2!DX23</f>
        <v>0</v>
      </c>
      <c r="NN31" s="96" t="n">
        <f aca="false">[1]ВИБУЛО2!DX23</f>
        <v>0</v>
      </c>
      <c r="NO31" s="97" t="n">
        <f aca="false">NO30-NN31+NM31</f>
        <v>0</v>
      </c>
      <c r="NP31" s="95" t="n">
        <f aca="false">[1]НАДІЙШЛО2!DY23</f>
        <v>0</v>
      </c>
      <c r="NQ31" s="96" t="n">
        <f aca="false">[1]ВИБУЛО2!DY23</f>
        <v>0</v>
      </c>
      <c r="NR31" s="97" t="n">
        <f aca="false">NR30-NQ31+NP31</f>
        <v>0</v>
      </c>
      <c r="NS31" s="95" t="n">
        <f aca="false">[1]НАДІЙШЛО2!DZ23</f>
        <v>0</v>
      </c>
      <c r="NT31" s="96" t="n">
        <f aca="false">[1]ВИБУЛО2!DZ23</f>
        <v>0</v>
      </c>
      <c r="NU31" s="97" t="n">
        <f aca="false">NU30-NT31+NS31</f>
        <v>0</v>
      </c>
      <c r="NV31" s="95" t="n">
        <f aca="false">[1]НАДІЙШЛО2!EA23</f>
        <v>0</v>
      </c>
      <c r="NW31" s="96" t="n">
        <f aca="false">[1]ВИБУЛО2!EA23</f>
        <v>0</v>
      </c>
      <c r="NX31" s="97" t="n">
        <f aca="false">NX30-NW31+NV31</f>
        <v>0</v>
      </c>
      <c r="NY31" s="95" t="n">
        <f aca="false">[1]НАДІЙШЛО2!EB23</f>
        <v>0</v>
      </c>
      <c r="NZ31" s="96" t="n">
        <f aca="false">[1]ВИБУЛО2!EB23</f>
        <v>0</v>
      </c>
      <c r="OA31" s="97" t="n">
        <f aca="false">OA30-NZ31+NY31</f>
        <v>0</v>
      </c>
      <c r="OB31" s="95" t="n">
        <f aca="false">[1]НАДІЙШЛО2!EC23</f>
        <v>0</v>
      </c>
      <c r="OC31" s="96" t="n">
        <f aca="false">[1]ВИБУЛО2!EC23</f>
        <v>0</v>
      </c>
      <c r="OD31" s="97" t="n">
        <f aca="false">OD30-OC31+OB31</f>
        <v>0</v>
      </c>
      <c r="OE31" s="95" t="n">
        <f aca="false">[1]НАДІЙШЛО2!ED23</f>
        <v>0</v>
      </c>
      <c r="OF31" s="96" t="n">
        <f aca="false">[1]ВИБУЛО2!ED23</f>
        <v>0</v>
      </c>
      <c r="OG31" s="97" t="n">
        <f aca="false">OG30-OF31+OE31</f>
        <v>0</v>
      </c>
      <c r="OH31" s="95" t="n">
        <f aca="false">[1]НАДІЙШЛО2!EE23</f>
        <v>0</v>
      </c>
      <c r="OI31" s="96" t="n">
        <f aca="false">[1]ВИБУЛО2!EE23</f>
        <v>0</v>
      </c>
      <c r="OJ31" s="97" t="n">
        <f aca="false">OJ30-OI31+OH31</f>
        <v>0</v>
      </c>
      <c r="OK31" s="95" t="n">
        <f aca="false">[1]НАДІЙШЛО2!EF23</f>
        <v>0</v>
      </c>
      <c r="OL31" s="96" t="n">
        <f aca="false">[1]ВИБУЛО2!EF23</f>
        <v>0</v>
      </c>
      <c r="OM31" s="97" t="n">
        <f aca="false">OM30-OL31+OK31</f>
        <v>0</v>
      </c>
      <c r="ON31" s="95" t="n">
        <f aca="false">[1]НАДІЙШЛО2!EG23</f>
        <v>0</v>
      </c>
      <c r="OO31" s="96" t="n">
        <f aca="false">[1]ВИБУЛО2!EG23</f>
        <v>0</v>
      </c>
      <c r="OP31" s="97" t="n">
        <f aca="false">OP30-OO31+ON31</f>
        <v>0</v>
      </c>
      <c r="OQ31" s="95" t="n">
        <f aca="false">[1]НАДІЙШЛО2!EH23</f>
        <v>0</v>
      </c>
      <c r="OR31" s="96" t="n">
        <f aca="false">[1]ВИБУЛО2!EH23</f>
        <v>0</v>
      </c>
      <c r="OS31" s="97" t="n">
        <f aca="false">OS30-OR31+OQ31</f>
        <v>0</v>
      </c>
      <c r="OT31" s="95" t="n">
        <f aca="false">[1]НАДІЙШЛО2!EI23</f>
        <v>0</v>
      </c>
      <c r="OU31" s="96" t="n">
        <f aca="false">[1]ВИБУЛО2!EI23</f>
        <v>0</v>
      </c>
      <c r="OV31" s="97" t="n">
        <f aca="false">OV30-OU31+OT31</f>
        <v>0</v>
      </c>
      <c r="OW31" s="95" t="n">
        <f aca="false">[1]НАДІЙШЛО2!EJ23</f>
        <v>0</v>
      </c>
      <c r="OX31" s="96" t="n">
        <f aca="false">[1]ВИБУЛО2!EJ23</f>
        <v>0</v>
      </c>
      <c r="OY31" s="97" t="n">
        <f aca="false">OY30-OX31+OW31</f>
        <v>0</v>
      </c>
      <c r="OZ31" s="95" t="n">
        <f aca="false">[1]НАДІЙШЛО2!EK23</f>
        <v>0</v>
      </c>
      <c r="PA31" s="96" t="n">
        <f aca="false">[1]ВИБУЛО2!EK23</f>
        <v>0</v>
      </c>
      <c r="PB31" s="97" t="n">
        <f aca="false">PB30-PA31+OZ31</f>
        <v>0</v>
      </c>
      <c r="PC31" s="95" t="n">
        <f aca="false">[1]НАДІЙШЛО2!EL23</f>
        <v>0</v>
      </c>
      <c r="PD31" s="96" t="n">
        <f aca="false">[1]ВИБУЛО2!EL23</f>
        <v>0</v>
      </c>
      <c r="PE31" s="97" t="n">
        <f aca="false">PE30-PD31+PC31</f>
        <v>0</v>
      </c>
      <c r="PF31" s="95" t="n">
        <f aca="false">[1]НАДІЙШЛО2!EM23</f>
        <v>0</v>
      </c>
      <c r="PG31" s="96" t="n">
        <f aca="false">[1]ВИБУЛО2!EM23</f>
        <v>0</v>
      </c>
      <c r="PH31" s="97" t="n">
        <f aca="false">PH30-PG31+PF31</f>
        <v>0</v>
      </c>
      <c r="PI31" s="95" t="n">
        <f aca="false">[1]НАДІЙШЛО2!EN23</f>
        <v>0</v>
      </c>
      <c r="PJ31" s="96" t="n">
        <f aca="false">[1]ВИБУЛО2!EN23</f>
        <v>0</v>
      </c>
      <c r="PK31" s="97" t="n">
        <f aca="false">PK30-PJ31+PI31</f>
        <v>0</v>
      </c>
      <c r="PL31" s="95" t="n">
        <f aca="false">[1]НАДІЙШЛО2!EO23</f>
        <v>0</v>
      </c>
      <c r="PM31" s="96" t="n">
        <f aca="false">[1]ВИБУЛО2!EO23</f>
        <v>0</v>
      </c>
      <c r="PN31" s="97" t="n">
        <f aca="false">PN30-PM31+PL31</f>
        <v>0</v>
      </c>
      <c r="PO31" s="95" t="n">
        <f aca="false">[1]НАДІЙШЛО2!EP23</f>
        <v>0</v>
      </c>
      <c r="PP31" s="96" t="n">
        <f aca="false">[1]ВИБУЛО2!EP23</f>
        <v>0</v>
      </c>
      <c r="PQ31" s="97" t="n">
        <f aca="false">PQ30-PP31+PO31</f>
        <v>0</v>
      </c>
      <c r="PR31" s="95" t="n">
        <f aca="false">[1]НАДІЙШЛО2!EQ23</f>
        <v>0</v>
      </c>
      <c r="PS31" s="96" t="n">
        <f aca="false">[1]ВИБУЛО2!EQ23</f>
        <v>0</v>
      </c>
      <c r="PT31" s="97" t="n">
        <f aca="false">PT30-PS31+PR31</f>
        <v>0</v>
      </c>
      <c r="PU31" s="95" t="n">
        <f aca="false">[1]НАДІЙШЛО2!ER23</f>
        <v>0</v>
      </c>
      <c r="PV31" s="96" t="n">
        <f aca="false">[1]ВИБУЛО2!ER23</f>
        <v>0</v>
      </c>
      <c r="PW31" s="97" t="n">
        <f aca="false">PW30-PV31+PU31</f>
        <v>0</v>
      </c>
      <c r="PX31" s="95" t="n">
        <f aca="false">[1]НАДІЙШЛО2!ES23</f>
        <v>0</v>
      </c>
      <c r="PY31" s="96" t="n">
        <f aca="false">[1]ВИБУЛО2!ES23</f>
        <v>0</v>
      </c>
      <c r="PZ31" s="97" t="n">
        <f aca="false">PZ30-PY31+PX31</f>
        <v>0</v>
      </c>
      <c r="QA31" s="95" t="n">
        <f aca="false">[1]НАДІЙШЛО2!ET23</f>
        <v>0</v>
      </c>
      <c r="QB31" s="96" t="n">
        <f aca="false">[1]ВИБУЛО2!ET23</f>
        <v>0</v>
      </c>
      <c r="QC31" s="97" t="n">
        <f aca="false">QC30-QB31+QA31</f>
        <v>0</v>
      </c>
      <c r="QD31" s="95" t="n">
        <f aca="false">[1]НАДІЙШЛО2!EU23</f>
        <v>0</v>
      </c>
      <c r="QE31" s="96" t="n">
        <f aca="false">[1]ВИБУЛО2!EU23</f>
        <v>0</v>
      </c>
      <c r="QF31" s="97" t="n">
        <f aca="false">QF30-QE31+QD31</f>
        <v>0</v>
      </c>
      <c r="QG31" s="95" t="n">
        <f aca="false">[1]НАДІЙШЛО2!EV23</f>
        <v>0</v>
      </c>
      <c r="QH31" s="96" t="n">
        <f aca="false">[1]ВИБУЛО2!EV23</f>
        <v>0</v>
      </c>
      <c r="QI31" s="97" t="n">
        <f aca="false">QI30-QH31+QG31</f>
        <v>0</v>
      </c>
      <c r="QJ31" s="95" t="n">
        <f aca="false">[1]НАДІЙШЛО2!EW23</f>
        <v>0</v>
      </c>
      <c r="QK31" s="96" t="n">
        <f aca="false">[1]ВИБУЛО2!EW23</f>
        <v>0</v>
      </c>
      <c r="QL31" s="97" t="n">
        <f aca="false">QL30-QK31+QJ31</f>
        <v>0</v>
      </c>
      <c r="QM31" s="95" t="n">
        <f aca="false">[1]НАДІЙШЛО2!EX23</f>
        <v>0</v>
      </c>
      <c r="QN31" s="96" t="n">
        <f aca="false">[1]ВИБУЛО2!EX23</f>
        <v>0</v>
      </c>
      <c r="QO31" s="97" t="n">
        <f aca="false">QO30-QN31+QM31</f>
        <v>0</v>
      </c>
      <c r="QP31" s="95" t="n">
        <f aca="false">[1]НАДІЙШЛО2!EY23</f>
        <v>0</v>
      </c>
      <c r="QQ31" s="96" t="n">
        <f aca="false">[1]ВИБУЛО2!EY23</f>
        <v>0</v>
      </c>
      <c r="QR31" s="97" t="n">
        <f aca="false">QR30-QQ31+QP31</f>
        <v>0</v>
      </c>
      <c r="QS31" s="95" t="n">
        <f aca="false">[1]НАДІЙШЛО2!EZ23</f>
        <v>0</v>
      </c>
      <c r="QT31" s="96" t="n">
        <f aca="false">[1]ВИБУЛО2!EZ23</f>
        <v>0</v>
      </c>
      <c r="QU31" s="97" t="n">
        <f aca="false">QU30-QT31+QS31</f>
        <v>0</v>
      </c>
      <c r="QV31" s="95" t="n">
        <f aca="false">[1]НАДІЙШЛО2!FA23</f>
        <v>0</v>
      </c>
      <c r="QW31" s="96" t="n">
        <f aca="false">[1]ВИБУЛО2!FA23</f>
        <v>0</v>
      </c>
      <c r="QX31" s="97" t="n">
        <f aca="false">QX30-QW31+QV31</f>
        <v>0</v>
      </c>
      <c r="QY31" s="95" t="n">
        <f aca="false">[1]НАДІЙШЛО2!FB23</f>
        <v>0</v>
      </c>
      <c r="QZ31" s="96" t="n">
        <f aca="false">[1]ВИБУЛО2!FB23</f>
        <v>0</v>
      </c>
      <c r="RA31" s="97" t="n">
        <f aca="false">RA30-QZ31+QY31</f>
        <v>0</v>
      </c>
      <c r="RB31" s="95" t="n">
        <f aca="false">[1]НАДІЙШЛО2!FC23</f>
        <v>0</v>
      </c>
      <c r="RC31" s="96" t="n">
        <f aca="false">[1]ВИБУЛО2!FC23</f>
        <v>0</v>
      </c>
      <c r="RD31" s="97" t="n">
        <f aca="false">RD30-RC31+RB31</f>
        <v>0</v>
      </c>
      <c r="RE31" s="95" t="n">
        <f aca="false">[1]НАДІЙШЛО2!FD23</f>
        <v>0</v>
      </c>
      <c r="RF31" s="96" t="n">
        <f aca="false">[1]ВИБУЛО2!FD23</f>
        <v>0</v>
      </c>
      <c r="RG31" s="97" t="n">
        <f aca="false">RG30-RF31+RE31</f>
        <v>0</v>
      </c>
      <c r="RH31" s="95" t="n">
        <f aca="false">[1]НАДІЙШЛО2!FE23</f>
        <v>0</v>
      </c>
      <c r="RI31" s="96" t="n">
        <f aca="false">[1]ВИБУЛО2!FE23</f>
        <v>0</v>
      </c>
      <c r="RJ31" s="97" t="n">
        <f aca="false">RJ30-RI31+RH31</f>
        <v>0</v>
      </c>
      <c r="RK31" s="95" t="n">
        <f aca="false">[1]НАДІЙШЛО2!FF23</f>
        <v>0</v>
      </c>
      <c r="RL31" s="96" t="n">
        <f aca="false">[1]ВИБУЛО2!FF23</f>
        <v>0</v>
      </c>
      <c r="RM31" s="97" t="n">
        <f aca="false">RM30-RL31+RK31</f>
        <v>0</v>
      </c>
      <c r="RN31" s="95" t="n">
        <f aca="false">[1]НАДІЙШЛО2!FG23</f>
        <v>0</v>
      </c>
      <c r="RO31" s="96" t="n">
        <f aca="false">[1]ВИБУЛО2!FG23</f>
        <v>0</v>
      </c>
      <c r="RP31" s="97" t="n">
        <f aca="false">RP30-RO31+RN31</f>
        <v>0</v>
      </c>
      <c r="RQ31" s="95" t="n">
        <f aca="false">[1]НАДІЙШЛО2!FH23</f>
        <v>0</v>
      </c>
      <c r="RR31" s="96" t="n">
        <f aca="false">[1]ВИБУЛО2!FH23</f>
        <v>0</v>
      </c>
      <c r="RS31" s="97" t="n">
        <f aca="false">RS30-RR31+RQ31</f>
        <v>0</v>
      </c>
      <c r="RT31" s="95" t="n">
        <f aca="false">[1]НАДІЙШЛО2!FI23</f>
        <v>0</v>
      </c>
      <c r="RU31" s="96" t="n">
        <f aca="false">[1]ВИБУЛО2!FI23</f>
        <v>0</v>
      </c>
      <c r="RV31" s="97" t="n">
        <f aca="false">RV30-RU31+RT31</f>
        <v>0</v>
      </c>
      <c r="RW31" s="95" t="n">
        <f aca="false">[1]НАДІЙШЛО2!FJ23</f>
        <v>0</v>
      </c>
      <c r="RX31" s="96" t="n">
        <f aca="false">[1]ВИБУЛО2!FJ23</f>
        <v>0</v>
      </c>
      <c r="RY31" s="97" t="n">
        <f aca="false">RY30-RX31+RW31</f>
        <v>0</v>
      </c>
      <c r="RZ31" s="95" t="n">
        <f aca="false">[1]НАДІЙШЛО2!FK23</f>
        <v>0</v>
      </c>
      <c r="SA31" s="96" t="n">
        <f aca="false">[1]ВИБУЛО2!FK23</f>
        <v>0</v>
      </c>
      <c r="SB31" s="97" t="n">
        <f aca="false">SB30-SA31+RZ31</f>
        <v>0</v>
      </c>
      <c r="SC31" s="95" t="n">
        <f aca="false">[1]НАДІЙШЛО2!FL23</f>
        <v>0</v>
      </c>
      <c r="SD31" s="96" t="n">
        <f aca="false">[1]ВИБУЛО2!FL23</f>
        <v>0</v>
      </c>
      <c r="SE31" s="97" t="n">
        <f aca="false">SE30-SD31+SC31</f>
        <v>0</v>
      </c>
      <c r="SF31" s="95" t="n">
        <f aca="false">[1]НАДІЙШЛО2!FM23</f>
        <v>0</v>
      </c>
      <c r="SG31" s="96" t="n">
        <f aca="false">[1]ВИБУЛО2!FM23</f>
        <v>0</v>
      </c>
      <c r="SH31" s="97" t="n">
        <f aca="false">SH30-SG31+SF31</f>
        <v>0</v>
      </c>
      <c r="SI31" s="95" t="n">
        <f aca="false">[1]НАДІЙШЛО2!FN23</f>
        <v>0</v>
      </c>
      <c r="SJ31" s="96" t="n">
        <f aca="false">[1]ВИБУЛО2!FN23</f>
        <v>0</v>
      </c>
      <c r="SK31" s="97" t="n">
        <f aca="false">SK30-SJ31+SI31</f>
        <v>0</v>
      </c>
      <c r="SL31" s="95" t="n">
        <f aca="false">[1]НАДІЙШЛО2!FO23</f>
        <v>0</v>
      </c>
      <c r="SM31" s="96" t="n">
        <f aca="false">[1]ВИБУЛО2!FO23</f>
        <v>0</v>
      </c>
      <c r="SN31" s="97" t="n">
        <f aca="false">SN30-SM31+SL31</f>
        <v>0</v>
      </c>
      <c r="SO31" s="95" t="n">
        <f aca="false">[1]НАДІЙШЛО2!FP23</f>
        <v>0</v>
      </c>
      <c r="SP31" s="96" t="n">
        <f aca="false">[1]ВИБУЛО2!FP23</f>
        <v>0</v>
      </c>
      <c r="SQ31" s="97" t="n">
        <f aca="false">SQ30-SP31+SO31</f>
        <v>0</v>
      </c>
      <c r="SR31" s="95" t="n">
        <f aca="false">[1]НАДІЙШЛО2!FQ23</f>
        <v>0</v>
      </c>
      <c r="SS31" s="96" t="n">
        <f aca="false">[1]ВИБУЛО2!FQ23</f>
        <v>0</v>
      </c>
      <c r="ST31" s="97" t="n">
        <f aca="false">ST30-SS31+SR31</f>
        <v>0</v>
      </c>
      <c r="SU31" s="95" t="n">
        <f aca="false">[1]НАДІЙШЛО2!FR23</f>
        <v>0</v>
      </c>
      <c r="SV31" s="96" t="n">
        <f aca="false">[1]ВИБУЛО2!FR23</f>
        <v>0</v>
      </c>
      <c r="SW31" s="97" t="n">
        <f aca="false">SW30-SV31+SU31</f>
        <v>0</v>
      </c>
      <c r="SX31" s="95" t="n">
        <f aca="false">[1]НАДІЙШЛО2!FS23</f>
        <v>0</v>
      </c>
      <c r="SY31" s="96" t="n">
        <f aca="false">[1]ВИБУЛО2!FS23</f>
        <v>0</v>
      </c>
      <c r="SZ31" s="97" t="n">
        <f aca="false">SZ30-SY31+SX31</f>
        <v>0</v>
      </c>
      <c r="TA31" s="95" t="n">
        <f aca="false">[1]НАДІЙШЛО2!FT23</f>
        <v>0</v>
      </c>
      <c r="TB31" s="96" t="n">
        <f aca="false">[1]ВИБУЛО2!FT23</f>
        <v>0</v>
      </c>
      <c r="TC31" s="97" t="n">
        <f aca="false">TC30-TB31+TA31</f>
        <v>0</v>
      </c>
      <c r="TD31" s="95" t="n">
        <f aca="false">[1]НАДІЙШЛО2!FU23</f>
        <v>0</v>
      </c>
      <c r="TE31" s="96" t="n">
        <f aca="false">[1]ВИБУЛО2!FU23</f>
        <v>0</v>
      </c>
      <c r="TF31" s="97" t="n">
        <f aca="false">TF30-TE31+TD31</f>
        <v>0</v>
      </c>
      <c r="TG31" s="95" t="n">
        <f aca="false">[1]НАДІЙШЛО2!FV23</f>
        <v>0</v>
      </c>
      <c r="TH31" s="96" t="n">
        <f aca="false">[1]ВИБУЛО2!FV23</f>
        <v>0</v>
      </c>
      <c r="TI31" s="97" t="n">
        <f aca="false">TI30-TH31+TG31</f>
        <v>0</v>
      </c>
      <c r="TJ31" s="95" t="n">
        <f aca="false">[1]НАДІЙШЛО2!FW23</f>
        <v>0</v>
      </c>
      <c r="TK31" s="96" t="n">
        <f aca="false">[1]ВИБУЛО2!FW23</f>
        <v>0</v>
      </c>
      <c r="TL31" s="97" t="n">
        <f aca="false">TL30-TK31+TJ31</f>
        <v>0</v>
      </c>
      <c r="TM31" s="95" t="n">
        <f aca="false">[1]НАДІЙШЛО2!FX23</f>
        <v>0</v>
      </c>
      <c r="TN31" s="96" t="n">
        <f aca="false">[1]ВИБУЛО2!FX23</f>
        <v>0</v>
      </c>
      <c r="TO31" s="97" t="n">
        <f aca="false">TO30-TN31+TM31</f>
        <v>0</v>
      </c>
      <c r="TP31" s="95" t="n">
        <f aca="false">[1]НАДІЙШЛО2!FY23</f>
        <v>0</v>
      </c>
      <c r="TQ31" s="96" t="n">
        <f aca="false">[1]ВИБУЛО2!FY23</f>
        <v>0</v>
      </c>
      <c r="TR31" s="97" t="n">
        <f aca="false">TR30-TQ31+TP31</f>
        <v>0</v>
      </c>
      <c r="TS31" s="95" t="n">
        <f aca="false">[1]НАДІЙШЛО2!FZ23</f>
        <v>0</v>
      </c>
      <c r="TT31" s="96" t="n">
        <f aca="false">[1]ВИБУЛО2!FZ23</f>
        <v>0</v>
      </c>
      <c r="TU31" s="97" t="n">
        <f aca="false">TU30-TT31+TS31</f>
        <v>0</v>
      </c>
      <c r="TV31" s="95" t="n">
        <f aca="false">[1]НАДІЙШЛО2!GA23</f>
        <v>0</v>
      </c>
      <c r="TW31" s="96" t="n">
        <f aca="false">[1]ВИБУЛО2!GA23</f>
        <v>0</v>
      </c>
      <c r="TX31" s="97" t="n">
        <f aca="false">TX30-TW31+TV31</f>
        <v>0</v>
      </c>
      <c r="TY31" s="95" t="n">
        <f aca="false">[1]НАДІЙШЛО2!GB23</f>
        <v>0</v>
      </c>
      <c r="TZ31" s="96" t="n">
        <f aca="false">[1]ВИБУЛО2!GB23</f>
        <v>0</v>
      </c>
      <c r="UA31" s="97" t="n">
        <f aca="false">UA30-TZ31+TY31</f>
        <v>0</v>
      </c>
      <c r="UB31" s="95" t="n">
        <f aca="false">[1]НАДІЙШЛО2!GC23</f>
        <v>0</v>
      </c>
      <c r="UC31" s="96" t="n">
        <f aca="false">[1]ВИБУЛО2!GC23</f>
        <v>0</v>
      </c>
      <c r="UD31" s="97" t="n">
        <f aca="false">UD30-UC31+UB31</f>
        <v>0</v>
      </c>
      <c r="UE31" s="95" t="n">
        <f aca="false">[1]НАДІЙШЛО2!GD23</f>
        <v>0</v>
      </c>
      <c r="UF31" s="96" t="n">
        <f aca="false">[1]ВИБУЛО2!GD23</f>
        <v>0</v>
      </c>
      <c r="UG31" s="97" t="n">
        <f aca="false">UG30-UF31+UE31</f>
        <v>0</v>
      </c>
      <c r="UH31" s="95" t="n">
        <f aca="false">[1]НАДІЙШЛО2!GE23</f>
        <v>0</v>
      </c>
      <c r="UI31" s="96" t="n">
        <f aca="false">[1]ВИБУЛО2!GE23</f>
        <v>0</v>
      </c>
      <c r="UJ31" s="97" t="n">
        <f aca="false">UJ30-UI31+UH31</f>
        <v>0</v>
      </c>
      <c r="UK31" s="95" t="n">
        <f aca="false">[1]НАДІЙШЛО2!GF23</f>
        <v>0</v>
      </c>
      <c r="UL31" s="96" t="n">
        <f aca="false">[1]ВИБУЛО2!GF23</f>
        <v>0</v>
      </c>
      <c r="UM31" s="97" t="n">
        <f aca="false">UM30-UL31+UK31</f>
        <v>0</v>
      </c>
      <c r="UN31" s="95" t="n">
        <f aca="false">[1]НАДІЙШЛО2!GG23</f>
        <v>0</v>
      </c>
      <c r="UO31" s="96" t="n">
        <f aca="false">[1]ВИБУЛО2!GG23</f>
        <v>0</v>
      </c>
      <c r="UP31" s="97" t="n">
        <f aca="false">UP30-UO31+UN31</f>
        <v>0</v>
      </c>
      <c r="UQ31" s="95" t="n">
        <f aca="false">[1]НАДІЙШЛО2!GH23</f>
        <v>0</v>
      </c>
      <c r="UR31" s="96" t="n">
        <f aca="false">[1]ВИБУЛО2!GH23</f>
        <v>0</v>
      </c>
      <c r="US31" s="97" t="n">
        <f aca="false">US30-UR31+UQ31</f>
        <v>0</v>
      </c>
      <c r="UT31" s="95" t="n">
        <f aca="false">[1]НАДІЙШЛО2!GI23</f>
        <v>0</v>
      </c>
      <c r="UU31" s="96" t="n">
        <f aca="false">[1]ВИБУЛО2!GI23</f>
        <v>0</v>
      </c>
      <c r="UV31" s="97" t="n">
        <f aca="false">UV30-UU31+UT31</f>
        <v>0</v>
      </c>
      <c r="UW31" s="95" t="n">
        <f aca="false">[1]НАДІЙШЛО2!GJ23</f>
        <v>0</v>
      </c>
      <c r="UX31" s="96" t="n">
        <f aca="false">[1]ВИБУЛО2!GJ23</f>
        <v>0</v>
      </c>
      <c r="UY31" s="97" t="n">
        <f aca="false">UY30-UX31+UW31</f>
        <v>0</v>
      </c>
      <c r="UZ31" s="95" t="n">
        <f aca="false">[1]НАДІЙШЛО2!GK23</f>
        <v>0</v>
      </c>
      <c r="VA31" s="96" t="n">
        <f aca="false">[1]ВИБУЛО2!GK23</f>
        <v>0</v>
      </c>
      <c r="VB31" s="97" t="n">
        <f aca="false">VB30-VA31+UZ31</f>
        <v>0</v>
      </c>
      <c r="VC31" s="95" t="n">
        <f aca="false">[1]НАДІЙШЛО2!GL23</f>
        <v>0</v>
      </c>
      <c r="VD31" s="96" t="n">
        <f aca="false">[1]ВИБУЛО2!GL23</f>
        <v>0</v>
      </c>
      <c r="VE31" s="97" t="n">
        <f aca="false">VE30-VD31+VC31</f>
        <v>0</v>
      </c>
      <c r="VF31" s="95" t="n">
        <f aca="false">[1]НАДІЙШЛО2!GM23</f>
        <v>0</v>
      </c>
      <c r="VG31" s="96" t="n">
        <f aca="false">[1]ВИБУЛО2!GM23</f>
        <v>0</v>
      </c>
      <c r="VH31" s="97" t="n">
        <f aca="false">VH30-VG31+VF31</f>
        <v>0</v>
      </c>
      <c r="VI31" s="95" t="n">
        <f aca="false">[1]НАДІЙШЛО2!GN23</f>
        <v>0</v>
      </c>
      <c r="VJ31" s="96" t="n">
        <f aca="false">[1]ВИБУЛО2!GN23</f>
        <v>0</v>
      </c>
      <c r="VK31" s="97" t="n">
        <f aca="false">VK30-VJ31+VI31</f>
        <v>0</v>
      </c>
      <c r="VL31" s="95" t="n">
        <f aca="false">[1]НАДІЙШЛО2!GO23</f>
        <v>0</v>
      </c>
      <c r="VM31" s="96" t="n">
        <f aca="false">[1]ВИБУЛО2!GO23</f>
        <v>0</v>
      </c>
      <c r="VN31" s="97" t="n">
        <f aca="false">VN30-VM31+VL31</f>
        <v>0</v>
      </c>
      <c r="VO31" s="95" t="n">
        <f aca="false">[1]НАДІЙШЛО2!GP23</f>
        <v>0</v>
      </c>
      <c r="VP31" s="96" t="n">
        <f aca="false">[1]ВИБУЛО2!GP23</f>
        <v>0</v>
      </c>
      <c r="VQ31" s="97" t="n">
        <f aca="false">VQ30-VP31+VO31</f>
        <v>0</v>
      </c>
      <c r="VR31" s="95" t="n">
        <f aca="false">[1]НАДІЙШЛО2!GQ23</f>
        <v>0</v>
      </c>
      <c r="VS31" s="96" t="n">
        <f aca="false">[1]ВИБУЛО2!GQ23</f>
        <v>0</v>
      </c>
      <c r="VT31" s="97" t="n">
        <f aca="false">VT30-VS31+VR31</f>
        <v>0</v>
      </c>
      <c r="VU31" s="95" t="n">
        <f aca="false">[1]НАДІЙШЛО2!GR23</f>
        <v>0</v>
      </c>
      <c r="VV31" s="96" t="n">
        <f aca="false">[1]ВИБУЛО2!GR23</f>
        <v>0</v>
      </c>
      <c r="VW31" s="97" t="n">
        <f aca="false">VW30-VV31+VU31</f>
        <v>0</v>
      </c>
      <c r="VX31" s="95" t="n">
        <f aca="false">[1]НАДІЙШЛО2!GS23</f>
        <v>0</v>
      </c>
      <c r="VY31" s="96" t="n">
        <f aca="false">[1]ВИБУЛО2!GS23</f>
        <v>0</v>
      </c>
      <c r="VZ31" s="97" t="n">
        <f aca="false">VZ30-VY31+VX31</f>
        <v>0</v>
      </c>
      <c r="WA31" s="95" t="n">
        <f aca="false">[1]НАДІЙШЛО2!GT23</f>
        <v>0</v>
      </c>
      <c r="WB31" s="96" t="n">
        <f aca="false">[1]ВИБУЛО2!GT23</f>
        <v>0</v>
      </c>
      <c r="WC31" s="97" t="n">
        <f aca="false">WC30-WB31+WA31</f>
        <v>0</v>
      </c>
      <c r="WD31" s="95" t="n">
        <f aca="false">[1]НАДІЙШЛО2!GU23</f>
        <v>0</v>
      </c>
      <c r="WE31" s="96" t="n">
        <f aca="false">[1]ВИБУЛО2!GU23</f>
        <v>0</v>
      </c>
      <c r="WF31" s="97" t="n">
        <f aca="false">WF30-WE31+WD31</f>
        <v>0</v>
      </c>
      <c r="WG31" s="95" t="n">
        <f aca="false">[1]НАДІЙШЛО2!GV23</f>
        <v>0</v>
      </c>
      <c r="WH31" s="96" t="n">
        <f aca="false">[1]ВИБУЛО2!GV23</f>
        <v>0</v>
      </c>
      <c r="WI31" s="97" t="n">
        <f aca="false">WI30-WH31+WG31</f>
        <v>0</v>
      </c>
      <c r="WJ31" s="95" t="n">
        <f aca="false">[1]НАДІЙШЛО2!GW23</f>
        <v>0</v>
      </c>
      <c r="WK31" s="96" t="n">
        <f aca="false">[1]ВИБУЛО2!GW23</f>
        <v>0</v>
      </c>
      <c r="WL31" s="97" t="n">
        <f aca="false">WL30-WK31+WJ31</f>
        <v>0</v>
      </c>
      <c r="WM31" s="95" t="n">
        <f aca="false">[1]НАДІЙШЛО2!GX23</f>
        <v>0</v>
      </c>
      <c r="WN31" s="96" t="n">
        <f aca="false">[1]ВИБУЛО2!GX23</f>
        <v>0</v>
      </c>
      <c r="WO31" s="97" t="n">
        <f aca="false">WO30-WN31+WM31</f>
        <v>0</v>
      </c>
      <c r="WP31" s="95" t="n">
        <f aca="false">[1]НАДІЙШЛО2!GY23</f>
        <v>0</v>
      </c>
      <c r="WQ31" s="96" t="n">
        <f aca="false">[1]ВИБУЛО2!GY23</f>
        <v>0</v>
      </c>
      <c r="WR31" s="97" t="n">
        <f aca="false">WR30-WQ31+WP31</f>
        <v>0</v>
      </c>
      <c r="WS31" s="95" t="n">
        <f aca="false">[1]НАДІЙШЛО2!GZ23</f>
        <v>0</v>
      </c>
      <c r="WT31" s="96" t="n">
        <f aca="false">[1]ВИБУЛО2!GZ23</f>
        <v>0</v>
      </c>
      <c r="WU31" s="97" t="n">
        <f aca="false">WU30-WT31+WS31</f>
        <v>0</v>
      </c>
      <c r="WV31" s="95" t="n">
        <f aca="false">[1]НАДІЙШЛО2!HA23</f>
        <v>0</v>
      </c>
      <c r="WW31" s="96" t="n">
        <f aca="false">[1]ВИБУЛО2!HA23</f>
        <v>0</v>
      </c>
      <c r="WX31" s="97" t="n">
        <f aca="false">WX30-WW31+WV31</f>
        <v>0</v>
      </c>
      <c r="WY31" s="95" t="n">
        <f aca="false">[1]НАДІЙШЛО2!HB23</f>
        <v>0</v>
      </c>
      <c r="WZ31" s="96" t="n">
        <f aca="false">[1]ВИБУЛО2!HB23</f>
        <v>0</v>
      </c>
      <c r="XA31" s="97" t="n">
        <f aca="false">XA30-WZ31+WY31</f>
        <v>0</v>
      </c>
      <c r="XB31" s="95" t="n">
        <f aca="false">[1]НАДІЙШЛО2!HC23</f>
        <v>0</v>
      </c>
      <c r="XC31" s="96" t="n">
        <f aca="false">[1]ВИБУЛО2!HC23</f>
        <v>0</v>
      </c>
      <c r="XD31" s="97" t="n">
        <f aca="false">XD30-XC31+XB31</f>
        <v>0</v>
      </c>
      <c r="XE31" s="95" t="n">
        <f aca="false">[1]НАДІЙШЛО2!HD23</f>
        <v>0</v>
      </c>
      <c r="XF31" s="96" t="n">
        <f aca="false">[1]ВИБУЛО2!HD23</f>
        <v>0</v>
      </c>
      <c r="XG31" s="97" t="n">
        <f aca="false">XG30-XF31+XE31</f>
        <v>0</v>
      </c>
      <c r="XH31" s="95" t="n">
        <f aca="false">[1]НАДІЙШЛО2!HE23</f>
        <v>0</v>
      </c>
      <c r="XI31" s="96" t="n">
        <f aca="false">[1]ВИБУЛО2!HE23</f>
        <v>0</v>
      </c>
      <c r="XJ31" s="97" t="n">
        <f aca="false">XJ30-XI31+XH31</f>
        <v>0</v>
      </c>
      <c r="XK31" s="95" t="n">
        <f aca="false">[1]НАДІЙШЛО2!HF23</f>
        <v>0</v>
      </c>
      <c r="XL31" s="96" t="n">
        <f aca="false">[1]ВИБУЛО2!HF23</f>
        <v>0</v>
      </c>
      <c r="XM31" s="97" t="n">
        <f aca="false">XM30-XL31+XK31</f>
        <v>0</v>
      </c>
      <c r="XN31" s="95" t="n">
        <f aca="false">[1]НАДІЙШЛО2!HG23</f>
        <v>0</v>
      </c>
      <c r="XO31" s="96" t="n">
        <f aca="false">[1]ВИБУЛО2!HG23</f>
        <v>0</v>
      </c>
      <c r="XP31" s="97" t="n">
        <f aca="false">XP30-XO31+XN31</f>
        <v>0</v>
      </c>
      <c r="XQ31" s="95" t="n">
        <f aca="false">[1]НАДІЙШЛО2!HH23</f>
        <v>0</v>
      </c>
      <c r="XR31" s="96" t="n">
        <f aca="false">[1]ВИБУЛО2!HH23</f>
        <v>0</v>
      </c>
      <c r="XS31" s="97" t="n">
        <f aca="false">XS30-XR31+XQ31</f>
        <v>0</v>
      </c>
      <c r="XT31" s="95" t="n">
        <f aca="false">[1]НАДІЙШЛО2!HI23</f>
        <v>0</v>
      </c>
      <c r="XU31" s="96" t="n">
        <f aca="false">[1]ВИБУЛО2!HI23</f>
        <v>0</v>
      </c>
      <c r="XV31" s="97" t="n">
        <f aca="false">XV30-XU31+XT31</f>
        <v>0</v>
      </c>
      <c r="XW31" s="95" t="n">
        <f aca="false">[1]НАДІЙШЛО2!HJ23</f>
        <v>0</v>
      </c>
      <c r="XX31" s="96" t="n">
        <f aca="false">[1]ВИБУЛО2!HJ23</f>
        <v>0</v>
      </c>
      <c r="XY31" s="97" t="n">
        <f aca="false">XY30-XX31+XW31</f>
        <v>0</v>
      </c>
      <c r="XZ31" s="95" t="n">
        <f aca="false">[1]НАДІЙШЛО2!HK23</f>
        <v>0</v>
      </c>
      <c r="YA31" s="96" t="n">
        <f aca="false">[1]ВИБУЛО2!HK23</f>
        <v>0</v>
      </c>
      <c r="YB31" s="97" t="n">
        <f aca="false">YB30-YA31+XZ31</f>
        <v>0</v>
      </c>
      <c r="YC31" s="95" t="n">
        <f aca="false">[1]НАДІЙШЛО2!HL23</f>
        <v>0</v>
      </c>
      <c r="YD31" s="96" t="n">
        <f aca="false">[1]ВИБУЛО2!HL23</f>
        <v>0</v>
      </c>
      <c r="YE31" s="97" t="n">
        <f aca="false">YE30-YD31+YC31</f>
        <v>0</v>
      </c>
      <c r="YF31" s="95" t="n">
        <f aca="false">[1]НАДІЙШЛО2!HM23</f>
        <v>0</v>
      </c>
      <c r="YG31" s="96" t="n">
        <f aca="false">[1]ВИБУЛО2!HM23</f>
        <v>0</v>
      </c>
      <c r="YH31" s="97" t="n">
        <f aca="false">YH30-YG31+YF31</f>
        <v>0</v>
      </c>
      <c r="YI31" s="95" t="n">
        <f aca="false">[1]НАДІЙШЛО2!HN23</f>
        <v>0</v>
      </c>
      <c r="YJ31" s="96" t="n">
        <f aca="false">[1]ВИБУЛО2!HN23</f>
        <v>0</v>
      </c>
      <c r="YK31" s="97" t="n">
        <f aca="false">YK30-YJ31+YI31</f>
        <v>0</v>
      </c>
      <c r="YL31" s="95" t="n">
        <f aca="false">[1]НАДІЙШЛО2!HO23</f>
        <v>0</v>
      </c>
      <c r="YM31" s="96" t="n">
        <f aca="false">[1]ВИБУЛО2!HO23</f>
        <v>0</v>
      </c>
      <c r="YN31" s="97" t="n">
        <f aca="false">YN30-YM31+YL31</f>
        <v>0</v>
      </c>
      <c r="YO31" s="95" t="n">
        <f aca="false">[1]НАДІЙШЛО2!HP23</f>
        <v>0</v>
      </c>
      <c r="YP31" s="96" t="n">
        <f aca="false">[1]ВИБУЛО2!HP23</f>
        <v>0</v>
      </c>
      <c r="YQ31" s="97" t="n">
        <f aca="false">YQ30-YP31+YO31</f>
        <v>0</v>
      </c>
      <c r="YR31" s="95" t="n">
        <f aca="false">[1]НАДІЙШЛО2!HQ23</f>
        <v>0</v>
      </c>
      <c r="YS31" s="96" t="n">
        <f aca="false">[1]ВИБУЛО2!HQ23</f>
        <v>0</v>
      </c>
      <c r="YT31" s="97" t="n">
        <f aca="false">YT30-YS31+YR31</f>
        <v>0</v>
      </c>
      <c r="YU31" s="95" t="n">
        <f aca="false">[1]НАДІЙШЛО2!HR23</f>
        <v>0</v>
      </c>
      <c r="YV31" s="96" t="n">
        <f aca="false">[1]ВИБУЛО2!HR23</f>
        <v>0</v>
      </c>
      <c r="YW31" s="97" t="n">
        <f aca="false">YW30-YV31+YU31</f>
        <v>0</v>
      </c>
      <c r="YX31" s="95" t="n">
        <f aca="false">[1]НАДІЙШЛО2!HS23</f>
        <v>0</v>
      </c>
      <c r="YY31" s="96" t="n">
        <f aca="false">[1]ВИБУЛО2!HS23</f>
        <v>0</v>
      </c>
      <c r="YZ31" s="97" t="n">
        <f aca="false">YZ30-YY31+YX31</f>
        <v>0</v>
      </c>
      <c r="ZA31" s="95" t="n">
        <f aca="false">[1]НАДІЙШЛО2!HT23</f>
        <v>0</v>
      </c>
      <c r="ZB31" s="96" t="n">
        <f aca="false">[1]ВИБУЛО2!HT23</f>
        <v>0</v>
      </c>
      <c r="ZC31" s="97" t="n">
        <f aca="false">ZC30-ZB31+ZA31</f>
        <v>0</v>
      </c>
      <c r="ZD31" s="95" t="n">
        <f aca="false">[1]НАДІЙШЛО2!HU23</f>
        <v>0</v>
      </c>
      <c r="ZE31" s="96" t="n">
        <f aca="false">[1]ВИБУЛО2!HU23</f>
        <v>0</v>
      </c>
      <c r="ZF31" s="97" t="n">
        <f aca="false">ZF30-ZE31+ZD31</f>
        <v>0</v>
      </c>
      <c r="ZG31" s="95" t="n">
        <f aca="false">[1]НАДІЙШЛО2!HV23</f>
        <v>0</v>
      </c>
      <c r="ZH31" s="96" t="n">
        <f aca="false">[1]ВИБУЛО2!HV23</f>
        <v>0</v>
      </c>
      <c r="ZI31" s="97" t="n">
        <f aca="false">ZI30-ZH31+ZG31</f>
        <v>0</v>
      </c>
      <c r="ZJ31" s="95" t="n">
        <f aca="false">[1]НАДІЙШЛО2!HW23</f>
        <v>0</v>
      </c>
      <c r="ZK31" s="96" t="n">
        <f aca="false">[1]ВИБУЛО2!HW23</f>
        <v>0</v>
      </c>
      <c r="ZL31" s="97" t="n">
        <f aca="false">ZL30-ZK31+ZJ31</f>
        <v>0</v>
      </c>
      <c r="ZM31" s="95" t="n">
        <f aca="false">[1]НАДІЙШЛО2!HX23</f>
        <v>0</v>
      </c>
      <c r="ZN31" s="96" t="n">
        <f aca="false">[1]ВИБУЛО2!HX23</f>
        <v>0</v>
      </c>
      <c r="ZO31" s="97" t="n">
        <f aca="false">ZO30-ZN31+ZM31</f>
        <v>0</v>
      </c>
      <c r="ZP31" s="95" t="n">
        <f aca="false">[1]НАДІЙШЛО2!HY23</f>
        <v>0</v>
      </c>
      <c r="ZQ31" s="96" t="n">
        <f aca="false">[1]ВИБУЛО2!HY23</f>
        <v>0</v>
      </c>
      <c r="ZR31" s="97" t="n">
        <f aca="false">ZR30-ZQ31+ZP31</f>
        <v>0</v>
      </c>
      <c r="ZS31" s="95" t="n">
        <f aca="false">[1]НАДІЙШЛО2!HZ23</f>
        <v>0</v>
      </c>
      <c r="ZT31" s="96" t="n">
        <f aca="false">[1]ВИБУЛО2!HZ23</f>
        <v>0</v>
      </c>
      <c r="ZU31" s="97" t="n">
        <f aca="false">ZU30-ZT31+ZS31</f>
        <v>0</v>
      </c>
      <c r="ZV31" s="95" t="n">
        <f aca="false">[1]НАДІЙШЛО2!IA23</f>
        <v>0</v>
      </c>
      <c r="ZW31" s="96" t="n">
        <f aca="false">[1]ВИБУЛО2!IA23</f>
        <v>0</v>
      </c>
      <c r="ZX31" s="97" t="n">
        <f aca="false">ZX30-ZW31+ZV31</f>
        <v>0</v>
      </c>
      <c r="ZY31" s="95" t="n">
        <f aca="false">[1]НАДІЙШЛО2!IB23</f>
        <v>0</v>
      </c>
      <c r="ZZ31" s="96" t="n">
        <f aca="false">[1]ВИБУЛО2!IB23</f>
        <v>0</v>
      </c>
      <c r="AAA31" s="97" t="n">
        <f aca="false">AAA30-ZZ31+ZY31</f>
        <v>0</v>
      </c>
      <c r="AAB31" s="95" t="n">
        <f aca="false">[1]НАДІЙШЛО2!IC23</f>
        <v>0</v>
      </c>
      <c r="AAC31" s="96" t="n">
        <f aca="false">[1]ВИБУЛО2!IC23</f>
        <v>0</v>
      </c>
      <c r="AAD31" s="97" t="n">
        <f aca="false">AAD30-AAC31+AAB31</f>
        <v>0</v>
      </c>
      <c r="AAE31" s="95" t="n">
        <f aca="false">[1]НАДІЙШЛО2!ID23</f>
        <v>0</v>
      </c>
      <c r="AAF31" s="96" t="n">
        <f aca="false">[1]ВИБУЛО2!ID23</f>
        <v>0</v>
      </c>
      <c r="AAG31" s="97" t="n">
        <f aca="false">AAG30-AAF31+AAE31</f>
        <v>0</v>
      </c>
      <c r="AAH31" s="95" t="n">
        <f aca="false">[1]НАДІЙШЛО2!IE23</f>
        <v>0</v>
      </c>
      <c r="AAI31" s="96" t="n">
        <f aca="false">[1]ВИБУЛО2!IE23</f>
        <v>0</v>
      </c>
      <c r="AAJ31" s="97" t="n">
        <f aca="false">AAJ30-AAI31+AAH31</f>
        <v>0</v>
      </c>
      <c r="AAK31" s="95" t="n">
        <f aca="false">[1]НАДІЙШЛО2!IF23</f>
        <v>0</v>
      </c>
      <c r="AAL31" s="96" t="n">
        <f aca="false">[1]ВИБУЛО2!IF23</f>
        <v>0</v>
      </c>
      <c r="AAM31" s="97" t="n">
        <f aca="false">AAM30-AAL31+AAK31</f>
        <v>0</v>
      </c>
      <c r="AAN31" s="95" t="n">
        <f aca="false">[1]НАДІЙШЛО2!IG23</f>
        <v>0</v>
      </c>
      <c r="AAO31" s="96" t="n">
        <f aca="false">[1]ВИБУЛО2!IG23</f>
        <v>0</v>
      </c>
      <c r="AAP31" s="97" t="n">
        <f aca="false">AAP30-AAO31+AAN31</f>
        <v>0</v>
      </c>
      <c r="AAQ31" s="95" t="n">
        <f aca="false">[1]НАДІЙШЛО2!IH23</f>
        <v>0</v>
      </c>
      <c r="AAR31" s="96" t="n">
        <f aca="false">[1]ВИБУЛО2!IH23</f>
        <v>0</v>
      </c>
      <c r="AAS31" s="97" t="n">
        <f aca="false">AAS30-AAR31+AAQ31</f>
        <v>0</v>
      </c>
      <c r="AAT31" s="95" t="n">
        <f aca="false">[1]НАДІЙШЛО2!II23</f>
        <v>0</v>
      </c>
      <c r="AAU31" s="96" t="n">
        <f aca="false">[1]ВИБУЛО2!II23</f>
        <v>0</v>
      </c>
      <c r="AAV31" s="97" t="n">
        <f aca="false">AAV30-AAU31+AAT31</f>
        <v>0</v>
      </c>
      <c r="AAW31" s="95" t="n">
        <f aca="false">[1]НАДІЙШЛО2!IJ23</f>
        <v>0</v>
      </c>
      <c r="AAX31" s="96" t="n">
        <f aca="false">[1]ВИБУЛО2!IJ23</f>
        <v>0</v>
      </c>
      <c r="AAY31" s="97" t="n">
        <f aca="false">AAY30-AAX31+AAW31</f>
        <v>0</v>
      </c>
      <c r="AAZ31" s="95" t="n">
        <f aca="false">[1]НАДІЙШЛО2!IK23</f>
        <v>0</v>
      </c>
      <c r="ABA31" s="96" t="n">
        <f aca="false">[1]ВИБУЛО2!IK23</f>
        <v>0</v>
      </c>
      <c r="ABB31" s="97" t="n">
        <f aca="false">ABB30-ABA31+AAZ31</f>
        <v>0</v>
      </c>
      <c r="ABC31" s="95" t="n">
        <f aca="false">[1]НАДІЙШЛО2!IL23</f>
        <v>0</v>
      </c>
      <c r="ABD31" s="96" t="n">
        <f aca="false">[1]ВИБУЛО2!IL23</f>
        <v>0</v>
      </c>
      <c r="ABE31" s="97" t="n">
        <f aca="false">ABE30-ABD31+ABC31</f>
        <v>0</v>
      </c>
      <c r="ABF31" s="95" t="n">
        <f aca="false">[1]НАДІЙШЛО2!IM23</f>
        <v>0</v>
      </c>
      <c r="ABG31" s="96" t="n">
        <f aca="false">[1]ВИБУЛО2!IM23</f>
        <v>0</v>
      </c>
      <c r="ABH31" s="97" t="n">
        <f aca="false">ABH30-ABG31+ABF31</f>
        <v>0</v>
      </c>
      <c r="ABI31" s="95" t="n">
        <f aca="false">[1]НАДІЙШЛО2!IN23</f>
        <v>0</v>
      </c>
      <c r="ABJ31" s="96" t="n">
        <f aca="false">[1]ВИБУЛО2!IN23</f>
        <v>0</v>
      </c>
      <c r="ABK31" s="97" t="n">
        <f aca="false">ABK30-ABJ31+ABI31</f>
        <v>0</v>
      </c>
      <c r="ABL31" s="95" t="n">
        <f aca="false">[1]НАДІЙШЛО2!IO23</f>
        <v>0</v>
      </c>
      <c r="ABM31" s="96" t="n">
        <f aca="false">[1]ВИБУЛО2!IO23</f>
        <v>0</v>
      </c>
      <c r="ABN31" s="97" t="n">
        <f aca="false">ABN30-ABM31+ABL31</f>
        <v>0</v>
      </c>
      <c r="ABO31" s="95" t="n">
        <f aca="false">[1]НАДІЙШЛО2!IP23</f>
        <v>0</v>
      </c>
      <c r="ABP31" s="96" t="n">
        <f aca="false">[1]ВИБУЛО2!IP23</f>
        <v>0</v>
      </c>
      <c r="ABQ31" s="97" t="n">
        <f aca="false">ABQ30-ABP31+ABO31</f>
        <v>0</v>
      </c>
      <c r="ABR31" s="95" t="n">
        <f aca="false">[1]НАДІЙШЛО2!IQ23</f>
        <v>0</v>
      </c>
      <c r="ABS31" s="96" t="n">
        <f aca="false">[1]ВИБУЛО2!IQ23</f>
        <v>0</v>
      </c>
      <c r="ABT31" s="97" t="n">
        <f aca="false">ABT30-ABS31+ABR31</f>
        <v>0</v>
      </c>
      <c r="ABU31" s="95" t="n">
        <f aca="false">[1]НАДІЙШЛО2!IR23</f>
        <v>0</v>
      </c>
      <c r="ABV31" s="96" t="n">
        <f aca="false">[1]ВИБУЛО2!IR23</f>
        <v>0</v>
      </c>
      <c r="ABW31" s="97" t="n">
        <f aca="false">ABW30-ABV31+ABU31</f>
        <v>0</v>
      </c>
      <c r="ABX31" s="95" t="n">
        <f aca="false">[1]НАДІЙШЛО2!IS23</f>
        <v>0</v>
      </c>
      <c r="ABY31" s="96" t="n">
        <f aca="false">[1]ВИБУЛО2!IS23</f>
        <v>0</v>
      </c>
      <c r="ABZ31" s="97" t="n">
        <f aca="false">ABZ30-ABY31+ABX31</f>
        <v>0</v>
      </c>
      <c r="ACA31" s="95" t="n">
        <f aca="false">[1]НАДІЙШЛО2!IT23</f>
        <v>0</v>
      </c>
      <c r="ACB31" s="96" t="n">
        <f aca="false">[1]ВИБУЛО2!IT23</f>
        <v>0</v>
      </c>
      <c r="ACC31" s="97" t="n">
        <f aca="false">ACC30-ACB31+ACA31</f>
        <v>0</v>
      </c>
      <c r="ACD31" s="95" t="n">
        <f aca="false">[1]НАДІЙШЛО2!IU23</f>
        <v>0</v>
      </c>
      <c r="ACE31" s="96" t="n">
        <f aca="false">[1]ВИБУЛО2!IU23</f>
        <v>0</v>
      </c>
      <c r="ACF31" s="97" t="n">
        <f aca="false">ACF30-ACE31+ACD31</f>
        <v>0</v>
      </c>
      <c r="ACG31" s="95" t="n">
        <f aca="false">[1]НАДІЙШЛО2!IV23</f>
        <v>0</v>
      </c>
      <c r="ACH31" s="96" t="n">
        <f aca="false">[1]ВИБУЛО2!IV23</f>
        <v>0</v>
      </c>
      <c r="ACI31" s="97" t="n">
        <f aca="false">ACI30-ACH31+ACG31</f>
        <v>0</v>
      </c>
      <c r="ACJ31" s="95" t="n">
        <f aca="false">[1]НАДІЙШЛО2!IW23</f>
        <v>0</v>
      </c>
      <c r="ACK31" s="96" t="n">
        <f aca="false">[1]ВИБУЛО2!IW23</f>
        <v>0</v>
      </c>
      <c r="ACL31" s="97" t="n">
        <f aca="false">ACL30-ACK31+ACJ31</f>
        <v>0</v>
      </c>
      <c r="ACM31" s="95" t="n">
        <f aca="false">[1]НАДІЙШЛО2!IX23</f>
        <v>0</v>
      </c>
      <c r="ACN31" s="96" t="n">
        <f aca="false">[1]ВИБУЛО2!IX23</f>
        <v>0</v>
      </c>
      <c r="ACO31" s="97" t="n">
        <f aca="false">ACO30-ACN31+ACM31</f>
        <v>0</v>
      </c>
      <c r="ACP31" s="95" t="n">
        <f aca="false">[1]НАДІЙШЛО2!IY23</f>
        <v>0</v>
      </c>
      <c r="ACQ31" s="96" t="n">
        <f aca="false">[1]ВИБУЛО2!IY23</f>
        <v>0</v>
      </c>
      <c r="ACR31" s="97" t="n">
        <f aca="false">ACR30-ACQ31+ACP31</f>
        <v>0</v>
      </c>
      <c r="ACS31" s="95" t="n">
        <f aca="false">[1]НАДІЙШЛО2!IZ23</f>
        <v>0</v>
      </c>
      <c r="ACT31" s="96" t="n">
        <f aca="false">[1]ВИБУЛО2!IZ23</f>
        <v>0</v>
      </c>
      <c r="ACU31" s="97" t="n">
        <f aca="false">ACU30-ACT31+ACS31</f>
        <v>0</v>
      </c>
      <c r="ACV31" s="95" t="n">
        <f aca="false">[1]НАДІЙШЛО2!JA23</f>
        <v>0</v>
      </c>
      <c r="ACW31" s="96" t="n">
        <f aca="false">[1]ВИБУЛО2!JA23</f>
        <v>0</v>
      </c>
      <c r="ACX31" s="97" t="n">
        <f aca="false">ACX30-ACW31+ACV31</f>
        <v>0</v>
      </c>
      <c r="ACY31" s="95" t="n">
        <f aca="false">[1]НАДІЙШЛО2!JB23</f>
        <v>0</v>
      </c>
      <c r="ACZ31" s="96" t="n">
        <f aca="false">[1]ВИБУЛО2!JB23</f>
        <v>0</v>
      </c>
      <c r="ADA31" s="97" t="n">
        <f aca="false">ADA30-ACZ31+ACY31</f>
        <v>0</v>
      </c>
      <c r="ADB31" s="95" t="n">
        <f aca="false">[1]НАДІЙШЛО2!JC23</f>
        <v>0</v>
      </c>
      <c r="ADC31" s="96" t="n">
        <f aca="false">[1]ВИБУЛО2!JC23</f>
        <v>0</v>
      </c>
      <c r="ADD31" s="97" t="n">
        <f aca="false">ADD30-ADC31+ADB31</f>
        <v>0</v>
      </c>
      <c r="ADE31" s="95" t="n">
        <f aca="false">[1]НАДІЙШЛО2!JD23</f>
        <v>0</v>
      </c>
      <c r="ADF31" s="96" t="n">
        <f aca="false">[1]ВИБУЛО2!JD23</f>
        <v>0</v>
      </c>
      <c r="ADG31" s="97" t="n">
        <f aca="false">ADG30-ADF31+ADE31</f>
        <v>0</v>
      </c>
      <c r="ADH31" s="95" t="n">
        <f aca="false">[1]НАДІЙШЛО2!JE23</f>
        <v>0</v>
      </c>
      <c r="ADI31" s="96" t="n">
        <f aca="false">[1]ВИБУЛО2!JE23</f>
        <v>0</v>
      </c>
      <c r="ADJ31" s="97" t="n">
        <f aca="false">ADJ30-ADI31+ADH31</f>
        <v>0</v>
      </c>
      <c r="ADK31" s="95" t="n">
        <f aca="false">[1]НАДІЙШЛО2!JF23</f>
        <v>0</v>
      </c>
      <c r="ADL31" s="96" t="n">
        <f aca="false">[1]ВИБУЛО2!JF23</f>
        <v>0</v>
      </c>
      <c r="ADM31" s="97" t="n">
        <f aca="false">ADM30-ADL31+ADK31</f>
        <v>0</v>
      </c>
      <c r="ADN31" s="95" t="n">
        <f aca="false">[1]НАДІЙШЛО2!JG23</f>
        <v>0</v>
      </c>
      <c r="ADO31" s="96" t="n">
        <f aca="false">[1]ВИБУЛО2!JG23</f>
        <v>0</v>
      </c>
      <c r="ADP31" s="97" t="n">
        <f aca="false">ADP30-ADO31+ADN31</f>
        <v>0</v>
      </c>
      <c r="ADQ31" s="95" t="n">
        <f aca="false">[1]НАДІЙШЛО2!JH23</f>
        <v>0</v>
      </c>
      <c r="ADR31" s="96" t="n">
        <f aca="false">[1]ВИБУЛО2!JH23</f>
        <v>0</v>
      </c>
      <c r="ADS31" s="97" t="n">
        <f aca="false">ADS30-ADR31+ADQ31</f>
        <v>0</v>
      </c>
      <c r="ADT31" s="95" t="n">
        <f aca="false">[1]НАДІЙШЛО2!JI23</f>
        <v>0</v>
      </c>
      <c r="ADU31" s="96" t="n">
        <f aca="false">[1]ВИБУЛО2!JI23</f>
        <v>0</v>
      </c>
      <c r="ADV31" s="97" t="n">
        <f aca="false">ADV30-ADU31+ADT31</f>
        <v>0</v>
      </c>
      <c r="ADW31" s="95" t="n">
        <f aca="false">[1]НАДІЙШЛО2!JJ23</f>
        <v>0</v>
      </c>
      <c r="ADX31" s="96" t="n">
        <f aca="false">[1]ВИБУЛО2!JJ23</f>
        <v>0</v>
      </c>
      <c r="ADY31" s="97" t="n">
        <f aca="false">ADY30-ADX31+ADW31</f>
        <v>0</v>
      </c>
      <c r="ADZ31" s="95" t="n">
        <f aca="false">[1]НАДІЙШЛО2!JK23</f>
        <v>0</v>
      </c>
      <c r="AEA31" s="96" t="n">
        <f aca="false">[1]ВИБУЛО2!JK23</f>
        <v>0</v>
      </c>
      <c r="AEB31" s="97" t="n">
        <f aca="false">AEB30-AEA31+ADZ31</f>
        <v>0</v>
      </c>
      <c r="AEC31" s="95" t="n">
        <f aca="false">[1]НАДІЙШЛО2!JL23</f>
        <v>0</v>
      </c>
      <c r="AED31" s="96" t="n">
        <f aca="false">[1]ВИБУЛО2!JL23</f>
        <v>0</v>
      </c>
      <c r="AEE31" s="97" t="n">
        <f aca="false">AEE30-AED31+AEC31</f>
        <v>0</v>
      </c>
      <c r="AEF31" s="95" t="n">
        <f aca="false">[1]НАДІЙШЛО2!JM23</f>
        <v>0</v>
      </c>
      <c r="AEG31" s="96" t="n">
        <f aca="false">[1]ВИБУЛО2!JM23</f>
        <v>0</v>
      </c>
      <c r="AEH31" s="97" t="n">
        <f aca="false">AEH30-AEG31+AEF31</f>
        <v>0</v>
      </c>
      <c r="AEI31" s="95" t="n">
        <f aca="false">[1]НАДІЙШЛО2!JN23</f>
        <v>0</v>
      </c>
      <c r="AEJ31" s="96" t="n">
        <f aca="false">[1]ВИБУЛО2!JN23</f>
        <v>0</v>
      </c>
      <c r="AEK31" s="97" t="n">
        <f aca="false">AEK30-AEJ31+AEI31</f>
        <v>0</v>
      </c>
      <c r="AEL31" s="95" t="n">
        <f aca="false">[1]НАДІЙШЛО2!JO23</f>
        <v>0</v>
      </c>
      <c r="AEM31" s="96" t="n">
        <f aca="false">[1]ВИБУЛО2!JO23</f>
        <v>0</v>
      </c>
      <c r="AEN31" s="97" t="n">
        <f aca="false">AEN30-AEM31+AEL31</f>
        <v>0</v>
      </c>
      <c r="AEO31" s="95" t="n">
        <f aca="false">[1]НАДІЙШЛО2!JP23</f>
        <v>0</v>
      </c>
      <c r="AEP31" s="96" t="n">
        <f aca="false">[1]ВИБУЛО2!JP23</f>
        <v>0</v>
      </c>
      <c r="AEQ31" s="97" t="n">
        <f aca="false">AEQ30-AEP31+AEO31</f>
        <v>0</v>
      </c>
      <c r="AER31" s="95" t="n">
        <f aca="false">[1]НАДІЙШЛО2!JQ23</f>
        <v>0</v>
      </c>
      <c r="AES31" s="96" t="n">
        <f aca="false">[1]ВИБУЛО2!JQ23</f>
        <v>0</v>
      </c>
      <c r="AET31" s="97" t="n">
        <f aca="false">AET30-AES31+AER31</f>
        <v>0</v>
      </c>
      <c r="AEU31" s="95" t="n">
        <f aca="false">[1]НАДІЙШЛО2!JR23</f>
        <v>0</v>
      </c>
      <c r="AEV31" s="96" t="n">
        <f aca="false">[1]ВИБУЛО2!JR23</f>
        <v>0</v>
      </c>
      <c r="AEW31" s="97" t="n">
        <f aca="false">AEW30-AEV31+AEU31</f>
        <v>0</v>
      </c>
      <c r="AEX31" s="95" t="n">
        <f aca="false">[1]НАДІЙШЛО2!JS23</f>
        <v>0</v>
      </c>
      <c r="AEY31" s="96" t="n">
        <f aca="false">[1]ВИБУЛО2!JS23</f>
        <v>0</v>
      </c>
      <c r="AEZ31" s="97" t="n">
        <f aca="false">AEZ30-AEY31+AEX31</f>
        <v>0</v>
      </c>
      <c r="AFA31" s="95" t="n">
        <f aca="false">[1]НАДІЙШЛО2!JT23</f>
        <v>0</v>
      </c>
      <c r="AFB31" s="96" t="n">
        <f aca="false">[1]ВИБУЛО2!JT23</f>
        <v>0</v>
      </c>
      <c r="AFC31" s="97" t="n">
        <f aca="false">AFC30-AFB31+AFA31</f>
        <v>0</v>
      </c>
      <c r="AFD31" s="95" t="n">
        <f aca="false">[1]НАДІЙШЛО2!JU23</f>
        <v>0</v>
      </c>
      <c r="AFE31" s="96" t="n">
        <f aca="false">[1]ВИБУЛО2!JU23</f>
        <v>0</v>
      </c>
      <c r="AFF31" s="97" t="n">
        <f aca="false">AFF30-AFE31+AFD31</f>
        <v>0</v>
      </c>
      <c r="AFG31" s="95" t="n">
        <f aca="false">[1]НАДІЙШЛО2!JV23</f>
        <v>0</v>
      </c>
      <c r="AFH31" s="96" t="n">
        <f aca="false">[1]ВИБУЛО2!JV23</f>
        <v>0</v>
      </c>
      <c r="AFI31" s="97" t="n">
        <f aca="false">AFI30-AFH31+AFG31</f>
        <v>0</v>
      </c>
      <c r="AFJ31" s="95" t="n">
        <f aca="false">[1]НАДІЙШЛО2!JW23</f>
        <v>0</v>
      </c>
      <c r="AFK31" s="96" t="n">
        <f aca="false">[1]ВИБУЛО2!JW23</f>
        <v>0</v>
      </c>
      <c r="AFL31" s="97" t="n">
        <f aca="false">AFL30-AFK31+AFJ31</f>
        <v>0</v>
      </c>
      <c r="AFM31" s="95" t="n">
        <f aca="false">[1]НАДІЙШЛО2!JX23</f>
        <v>0</v>
      </c>
      <c r="AFN31" s="96" t="n">
        <f aca="false">[1]ВИБУЛО2!JX23</f>
        <v>0</v>
      </c>
      <c r="AFO31" s="97" t="n">
        <f aca="false">AFO30-AFN31+AFM31</f>
        <v>0</v>
      </c>
      <c r="AFP31" s="95" t="n">
        <f aca="false">[1]НАДІЙШЛО2!JY23</f>
        <v>0</v>
      </c>
      <c r="AFQ31" s="96" t="n">
        <f aca="false">[1]ВИБУЛО2!JY23</f>
        <v>0</v>
      </c>
      <c r="AFR31" s="97" t="n">
        <f aca="false">AFR30-AFQ31+AFP31</f>
        <v>0</v>
      </c>
      <c r="AFS31" s="95" t="n">
        <f aca="false">[1]НАДІЙШЛО2!JZ23</f>
        <v>0</v>
      </c>
      <c r="AFT31" s="96" t="n">
        <f aca="false">[1]ВИБУЛО2!JZ23</f>
        <v>0</v>
      </c>
      <c r="AFU31" s="97" t="n">
        <f aca="false">AFU30-AFT31+AFS31</f>
        <v>0</v>
      </c>
      <c r="AFV31" s="95" t="n">
        <f aca="false">[1]НАДІЙШЛО2!KA23</f>
        <v>0</v>
      </c>
      <c r="AFW31" s="96" t="n">
        <f aca="false">[1]ВИБУЛО2!KA23</f>
        <v>0</v>
      </c>
      <c r="AFX31" s="97" t="n">
        <f aca="false">AFX30-AFW31+AFV31</f>
        <v>0</v>
      </c>
      <c r="AFY31" s="95" t="n">
        <f aca="false">[1]НАДІЙШЛО2!KB23</f>
        <v>0</v>
      </c>
      <c r="AFZ31" s="96" t="n">
        <f aca="false">[1]ВИБУЛО2!KB23</f>
        <v>0</v>
      </c>
      <c r="AGA31" s="97" t="n">
        <f aca="false">AGA30-AFZ31+AFY31</f>
        <v>0</v>
      </c>
      <c r="AGB31" s="95" t="n">
        <f aca="false">[1]НАДІЙШЛО2!KC23</f>
        <v>0</v>
      </c>
      <c r="AGC31" s="96" t="n">
        <f aca="false">[1]ВИБУЛО2!KC23</f>
        <v>0</v>
      </c>
      <c r="AGD31" s="97" t="n">
        <f aca="false">AGD30-AGC31+AGB31</f>
        <v>0</v>
      </c>
      <c r="AGE31" s="95" t="n">
        <f aca="false">[1]НАДІЙШЛО2!KD23</f>
        <v>0</v>
      </c>
      <c r="AGF31" s="96" t="n">
        <f aca="false">[1]ВИБУЛО2!KD23</f>
        <v>0</v>
      </c>
      <c r="AGG31" s="97" t="n">
        <f aca="false">AGG30-AGF31+AGE31</f>
        <v>0</v>
      </c>
      <c r="AGH31" s="95" t="n">
        <f aca="false">[1]НАДІЙШЛО2!KE23</f>
        <v>0</v>
      </c>
      <c r="AGI31" s="96" t="n">
        <f aca="false">[1]ВИБУЛО2!KE23</f>
        <v>0</v>
      </c>
      <c r="AGJ31" s="97" t="n">
        <f aca="false">AGJ30-AGI31+AGH31</f>
        <v>0</v>
      </c>
      <c r="AGK31" s="95" t="n">
        <f aca="false">[1]НАДІЙШЛО2!KF23</f>
        <v>0</v>
      </c>
      <c r="AGL31" s="96" t="n">
        <f aca="false">[1]ВИБУЛО2!KF23</f>
        <v>0</v>
      </c>
      <c r="AGM31" s="97" t="n">
        <f aca="false">AGM30-AGL31+AGK31</f>
        <v>0</v>
      </c>
      <c r="AGN31" s="95" t="n">
        <f aca="false">[1]НАДІЙШЛО2!KG23</f>
        <v>0</v>
      </c>
      <c r="AGO31" s="96" t="n">
        <f aca="false">[1]ВИБУЛО2!KG23</f>
        <v>0</v>
      </c>
      <c r="AGP31" s="97" t="n">
        <f aca="false">AGP30-AGO31+AGN31</f>
        <v>0</v>
      </c>
      <c r="AGQ31" s="95" t="n">
        <f aca="false">[1]НАДІЙШЛО2!KH23</f>
        <v>0</v>
      </c>
      <c r="AGR31" s="96" t="n">
        <f aca="false">[1]ВИБУЛО2!KH23</f>
        <v>0</v>
      </c>
      <c r="AGS31" s="97" t="n">
        <f aca="false">AGS30-AGR31+AGQ31</f>
        <v>0</v>
      </c>
      <c r="AGT31" s="95" t="n">
        <f aca="false">[1]НАДІЙШЛО2!KI23</f>
        <v>0</v>
      </c>
      <c r="AGU31" s="96" t="n">
        <f aca="false">[1]ВИБУЛО2!KI23</f>
        <v>0</v>
      </c>
      <c r="AGV31" s="97" t="n">
        <f aca="false">AGV30-AGU31+AGT31</f>
        <v>0</v>
      </c>
      <c r="AGW31" s="95" t="n">
        <f aca="false">[1]НАДІЙШЛО2!KJ23</f>
        <v>0</v>
      </c>
      <c r="AGX31" s="96" t="n">
        <f aca="false">[1]ВИБУЛО2!KJ23</f>
        <v>0</v>
      </c>
      <c r="AGY31" s="97" t="n">
        <f aca="false">AGY30-AGX31+AGW31</f>
        <v>0</v>
      </c>
      <c r="AGZ31" s="95" t="n">
        <f aca="false">[1]НАДІЙШЛО2!KK23</f>
        <v>0</v>
      </c>
      <c r="AHA31" s="96" t="n">
        <f aca="false">[1]ВИБУЛО2!KK23</f>
        <v>0</v>
      </c>
      <c r="AHB31" s="97" t="n">
        <f aca="false">AHB30-AHA31+AGZ31</f>
        <v>0</v>
      </c>
      <c r="AHC31" s="95" t="n">
        <f aca="false">[1]НАДІЙШЛО2!KL23</f>
        <v>0</v>
      </c>
      <c r="AHD31" s="96" t="n">
        <f aca="false">[1]ВИБУЛО2!KL23</f>
        <v>0</v>
      </c>
      <c r="AHE31" s="97" t="n">
        <f aca="false">AHE30-AHD31+AHC31</f>
        <v>0</v>
      </c>
      <c r="AHF31" s="95" t="n">
        <f aca="false">[1]НАДІЙШЛО2!KM23</f>
        <v>0</v>
      </c>
      <c r="AHG31" s="96" t="n">
        <f aca="false">[1]ВИБУЛО2!KM23</f>
        <v>0</v>
      </c>
      <c r="AHH31" s="97" t="n">
        <f aca="false">AHH30-AHG31+AHF31</f>
        <v>0</v>
      </c>
      <c r="AHI31" s="95" t="n">
        <f aca="false">[1]НАДІЙШЛО2!KN23</f>
        <v>0</v>
      </c>
      <c r="AHJ31" s="96" t="n">
        <f aca="false">[1]ВИБУЛО2!KN23</f>
        <v>0</v>
      </c>
      <c r="AHK31" s="97" t="n">
        <f aca="false">AHK30-AHJ31+AHI31</f>
        <v>0</v>
      </c>
      <c r="AHL31" s="95" t="n">
        <f aca="false">[1]НАДІЙШЛО2!KO23</f>
        <v>0</v>
      </c>
      <c r="AHM31" s="96" t="n">
        <f aca="false">[1]ВИБУЛО2!KO23</f>
        <v>0</v>
      </c>
      <c r="AHN31" s="97" t="n">
        <f aca="false">AHN30-AHM31+AHL31</f>
        <v>0</v>
      </c>
      <c r="AHO31" s="95" t="n">
        <f aca="false">[1]НАДІЙШЛО2!KP23</f>
        <v>0</v>
      </c>
      <c r="AHP31" s="96" t="n">
        <f aca="false">[1]ВИБУЛО2!KP23</f>
        <v>0</v>
      </c>
      <c r="AHQ31" s="97" t="n">
        <f aca="false">AHQ30-AHP31+AHO31</f>
        <v>0</v>
      </c>
      <c r="AHR31" s="95" t="n">
        <f aca="false">[1]НАДІЙШЛО2!KQ23</f>
        <v>0</v>
      </c>
      <c r="AHS31" s="96" t="n">
        <f aca="false">[1]ВИБУЛО2!KQ23</f>
        <v>0</v>
      </c>
      <c r="AHT31" s="97" t="n">
        <f aca="false">AHT30-AHS31+AHR31</f>
        <v>0</v>
      </c>
      <c r="AHU31" s="95" t="n">
        <f aca="false">[1]НАДІЙШЛО2!KR23</f>
        <v>0</v>
      </c>
      <c r="AHV31" s="96" t="n">
        <f aca="false">[1]ВИБУЛО2!KR23</f>
        <v>0</v>
      </c>
      <c r="AHW31" s="97" t="n">
        <f aca="false">AHW30-AHV31+AHU31</f>
        <v>0</v>
      </c>
      <c r="AHX31" s="95" t="n">
        <f aca="false">[1]НАДІЙШЛО2!KS23</f>
        <v>0</v>
      </c>
      <c r="AHY31" s="96" t="n">
        <f aca="false">[1]ВИБУЛО2!KS23</f>
        <v>0</v>
      </c>
      <c r="AHZ31" s="97" t="n">
        <f aca="false">AHZ30-AHY31+AHX31</f>
        <v>0</v>
      </c>
      <c r="AIA31" s="95" t="n">
        <f aca="false">[1]НАДІЙШЛО2!KT23</f>
        <v>0</v>
      </c>
      <c r="AIB31" s="96" t="n">
        <f aca="false">[1]ВИБУЛО2!KT23</f>
        <v>0</v>
      </c>
      <c r="AIC31" s="97" t="n">
        <f aca="false">AIC30-AIB31+AIA31</f>
        <v>0</v>
      </c>
      <c r="AID31" s="95" t="n">
        <f aca="false">[1]НАДІЙШЛО2!KU23</f>
        <v>0</v>
      </c>
      <c r="AIE31" s="96" t="n">
        <f aca="false">[1]ВИБУЛО2!KU23</f>
        <v>0</v>
      </c>
      <c r="AIF31" s="97" t="n">
        <f aca="false">AIF30-AIE31+AID31</f>
        <v>0</v>
      </c>
      <c r="AIG31" s="95" t="n">
        <f aca="false">[1]НАДІЙШЛО2!KV23</f>
        <v>0</v>
      </c>
      <c r="AIH31" s="96" t="n">
        <f aca="false">[1]ВИБУЛО2!KV23</f>
        <v>0</v>
      </c>
      <c r="AII31" s="97" t="n">
        <f aca="false">AII30-AIH31+AIG31</f>
        <v>0</v>
      </c>
      <c r="AIJ31" s="95" t="n">
        <f aca="false">[1]НАДІЙШЛО2!KW23</f>
        <v>0</v>
      </c>
      <c r="AIK31" s="96" t="n">
        <f aca="false">[1]ВИБУЛО2!KW23</f>
        <v>0</v>
      </c>
      <c r="AIL31" s="97" t="n">
        <f aca="false">AIL30-AIK31+AIJ31</f>
        <v>0</v>
      </c>
      <c r="AIM31" s="95" t="n">
        <f aca="false">[1]НАДІЙШЛО2!KX23</f>
        <v>0</v>
      </c>
      <c r="AIN31" s="96" t="n">
        <f aca="false">[1]ВИБУЛО2!KX23</f>
        <v>0</v>
      </c>
      <c r="AIO31" s="97" t="n">
        <f aca="false">AIO30-AIN31+AIM31</f>
        <v>0</v>
      </c>
      <c r="AIP31" s="95" t="n">
        <f aca="false">[1]НАДІЙШЛО2!KY23</f>
        <v>0</v>
      </c>
      <c r="AIQ31" s="96" t="n">
        <f aca="false">[1]ВИБУЛО2!KY23</f>
        <v>0</v>
      </c>
      <c r="AIR31" s="97" t="n">
        <f aca="false">AIR30-AIQ31+AIP31</f>
        <v>0</v>
      </c>
      <c r="AIS31" s="95" t="n">
        <f aca="false">[1]НАДІЙШЛО2!KZ23</f>
        <v>0</v>
      </c>
      <c r="AIT31" s="96" t="n">
        <f aca="false">[1]ВИБУЛО2!KZ23</f>
        <v>0</v>
      </c>
      <c r="AIU31" s="97" t="n">
        <f aca="false">AIU30-AIT31+AIS31</f>
        <v>0</v>
      </c>
      <c r="AIV31" s="95" t="n">
        <f aca="false">[1]НАДІЙШЛО2!LA23</f>
        <v>0</v>
      </c>
      <c r="AIW31" s="96" t="n">
        <f aca="false">[1]ВИБУЛО2!LA23</f>
        <v>0</v>
      </c>
      <c r="AIX31" s="97" t="n">
        <f aca="false">AIX30-AIW31+AIV31</f>
        <v>0</v>
      </c>
      <c r="AIY31" s="95" t="n">
        <f aca="false">[1]НАДІЙШЛО2!LB23</f>
        <v>0</v>
      </c>
      <c r="AIZ31" s="96" t="n">
        <f aca="false">[1]ВИБУЛО2!LB23</f>
        <v>0</v>
      </c>
      <c r="AJA31" s="97" t="n">
        <f aca="false">AJA30-AIZ31+AIY31</f>
        <v>0</v>
      </c>
      <c r="AJB31" s="95" t="n">
        <f aca="false">[1]НАДІЙШЛО2!LC23</f>
        <v>0</v>
      </c>
      <c r="AJC31" s="96" t="n">
        <f aca="false">[1]ВИБУЛО2!LC23</f>
        <v>0</v>
      </c>
      <c r="AJD31" s="97" t="n">
        <f aca="false">AJD30-AJC31+AJB31</f>
        <v>0</v>
      </c>
      <c r="AJE31" s="95" t="n">
        <f aca="false">[1]НАДІЙШЛО2!LD23</f>
        <v>0</v>
      </c>
      <c r="AJF31" s="96" t="n">
        <f aca="false">[1]ВИБУЛО2!LD23</f>
        <v>0</v>
      </c>
      <c r="AJG31" s="97" t="n">
        <f aca="false">AJG30-AJF31+AJE31</f>
        <v>0</v>
      </c>
      <c r="AJH31" s="95" t="n">
        <f aca="false">[1]НАДІЙШЛО2!LE23</f>
        <v>0</v>
      </c>
      <c r="AJI31" s="96" t="n">
        <f aca="false">[1]ВИБУЛО2!LE23</f>
        <v>0</v>
      </c>
      <c r="AJJ31" s="97" t="n">
        <f aca="false">AJJ30-AJI31+AJH31</f>
        <v>0</v>
      </c>
      <c r="AJK31" s="95" t="n">
        <f aca="false">[1]НАДІЙШЛО2!LF23</f>
        <v>0</v>
      </c>
      <c r="AJL31" s="96" t="n">
        <f aca="false">[1]ВИБУЛО2!LF23</f>
        <v>0</v>
      </c>
      <c r="AJM31" s="97" t="n">
        <f aca="false">AJM30-AJL31+AJK31</f>
        <v>0</v>
      </c>
      <c r="AJN31" s="95" t="n">
        <f aca="false">[1]НАДІЙШЛО2!LG23</f>
        <v>0</v>
      </c>
      <c r="AJO31" s="96" t="n">
        <f aca="false">[1]ВИБУЛО2!LG23</f>
        <v>0</v>
      </c>
      <c r="AJP31" s="97" t="n">
        <f aca="false">AJP30-AJO31+AJN31</f>
        <v>0</v>
      </c>
      <c r="AJQ31" s="95" t="n">
        <f aca="false">[1]НАДІЙШЛО2!LH23</f>
        <v>0</v>
      </c>
      <c r="AJR31" s="96" t="n">
        <f aca="false">[1]ВИБУЛО2!LH23</f>
        <v>0</v>
      </c>
      <c r="AJS31" s="97" t="n">
        <f aca="false">AJS30-AJR31+AJQ31</f>
        <v>0</v>
      </c>
      <c r="AJT31" s="95" t="n">
        <f aca="false">[1]НАДІЙШЛО2!LI23</f>
        <v>0</v>
      </c>
      <c r="AJU31" s="96" t="n">
        <f aca="false">[1]ВИБУЛО2!LI23</f>
        <v>0</v>
      </c>
      <c r="AJV31" s="97" t="n">
        <f aca="false">AJV30-AJU31+AJT31</f>
        <v>0</v>
      </c>
      <c r="AJW31" s="95" t="n">
        <f aca="false">[1]НАДІЙШЛО2!LJ23</f>
        <v>0</v>
      </c>
      <c r="AJX31" s="96" t="n">
        <f aca="false">[1]ВИБУЛО2!LJ23</f>
        <v>0</v>
      </c>
      <c r="AJY31" s="97" t="n">
        <f aca="false">AJY30-AJX31+AJW31</f>
        <v>0</v>
      </c>
      <c r="AJZ31" s="95" t="n">
        <f aca="false">[1]НАДІЙШЛО2!LK23</f>
        <v>0</v>
      </c>
      <c r="AKA31" s="96" t="n">
        <f aca="false">[1]ВИБУЛО2!LK23</f>
        <v>0</v>
      </c>
      <c r="AKB31" s="97" t="n">
        <f aca="false">AKB30-AKA31+AJZ31</f>
        <v>0</v>
      </c>
      <c r="AKC31" s="95" t="n">
        <f aca="false">[1]НАДІЙШЛО2!LL23</f>
        <v>0</v>
      </c>
      <c r="AKD31" s="96" t="n">
        <f aca="false">[1]ВИБУЛО2!LL23</f>
        <v>0</v>
      </c>
      <c r="AKE31" s="97" t="n">
        <f aca="false">AKE30-AKD31+AKC31</f>
        <v>0</v>
      </c>
      <c r="AKF31" s="95" t="n">
        <f aca="false">[1]НАДІЙШЛО2!LM23</f>
        <v>0</v>
      </c>
      <c r="AKG31" s="96" t="n">
        <f aca="false">[1]ВИБУЛО2!LM23</f>
        <v>0</v>
      </c>
      <c r="AKH31" s="97" t="n">
        <f aca="false">AKH30-AKG31+AKF31</f>
        <v>0</v>
      </c>
      <c r="AKI31" s="95" t="n">
        <f aca="false">[1]НАДІЙШЛО2!LN23</f>
        <v>0</v>
      </c>
      <c r="AKJ31" s="96" t="n">
        <f aca="false">[1]ВИБУЛО2!LN23</f>
        <v>0</v>
      </c>
      <c r="AKK31" s="97" t="n">
        <f aca="false">AKK30-AKJ31+AKI31</f>
        <v>0</v>
      </c>
      <c r="AKL31" s="95" t="n">
        <f aca="false">[1]НАДІЙШЛО2!LO23</f>
        <v>0</v>
      </c>
      <c r="AKM31" s="96" t="n">
        <f aca="false">[1]ВИБУЛО2!LO23</f>
        <v>0</v>
      </c>
      <c r="AKN31" s="97" t="n">
        <f aca="false">AKN30-AKM31+AKL31</f>
        <v>0</v>
      </c>
      <c r="AKO31" s="95" t="n">
        <f aca="false">[1]НАДІЙШЛО2!LP23</f>
        <v>0</v>
      </c>
      <c r="AKP31" s="96" t="n">
        <f aca="false">[1]ВИБУЛО2!LP23</f>
        <v>0</v>
      </c>
      <c r="AKQ31" s="97" t="n">
        <f aca="false">AKQ30-AKP31+AKO31</f>
        <v>0</v>
      </c>
      <c r="AKR31" s="95" t="n">
        <f aca="false">[1]НАДІЙШЛО2!LQ23</f>
        <v>0</v>
      </c>
      <c r="AKS31" s="96" t="n">
        <f aca="false">[1]ВИБУЛО2!LQ23</f>
        <v>0</v>
      </c>
      <c r="AKT31" s="97" t="n">
        <f aca="false">AKT30-AKS31+AKR31</f>
        <v>0</v>
      </c>
      <c r="AKU31" s="95" t="n">
        <f aca="false">[1]НАДІЙШЛО2!LR23</f>
        <v>0</v>
      </c>
      <c r="AKV31" s="96" t="n">
        <f aca="false">[1]ВИБУЛО2!LR23</f>
        <v>0</v>
      </c>
      <c r="AKW31" s="97" t="n">
        <f aca="false">AKW30-AKV31+AKU31</f>
        <v>0</v>
      </c>
      <c r="AKX31" s="95" t="n">
        <f aca="false">[1]НАДІЙШЛО2!LS23</f>
        <v>0</v>
      </c>
      <c r="AKY31" s="96" t="n">
        <f aca="false">[1]ВИБУЛО2!LS23</f>
        <v>0</v>
      </c>
      <c r="AKZ31" s="97" t="n">
        <f aca="false">AKZ30-AKY31+AKX31</f>
        <v>0</v>
      </c>
      <c r="ALA31" s="95" t="n">
        <f aca="false">[1]НАДІЙШЛО2!LT23</f>
        <v>0</v>
      </c>
      <c r="ALB31" s="96" t="n">
        <f aca="false">[1]ВИБУЛО2!LT23</f>
        <v>0</v>
      </c>
      <c r="ALC31" s="97" t="n">
        <f aca="false">ALC30-ALB31+ALA31</f>
        <v>0</v>
      </c>
      <c r="ALD31" s="95" t="n">
        <f aca="false">[1]НАДІЙШЛО2!LU23</f>
        <v>0</v>
      </c>
      <c r="ALE31" s="96" t="n">
        <f aca="false">[1]ВИБУЛО2!LU23</f>
        <v>0</v>
      </c>
      <c r="ALF31" s="97" t="n">
        <f aca="false">ALF30-ALE31+ALD31</f>
        <v>0</v>
      </c>
      <c r="ALG31" s="95" t="n">
        <f aca="false">[1]НАДІЙШЛО2!LV23</f>
        <v>0</v>
      </c>
      <c r="ALH31" s="96" t="n">
        <f aca="false">[1]ВИБУЛО2!LV23</f>
        <v>0</v>
      </c>
      <c r="ALI31" s="97" t="n">
        <f aca="false">ALI30-ALH31+ALG31</f>
        <v>0</v>
      </c>
      <c r="ALJ31" s="95" t="n">
        <f aca="false">[1]НАДІЙШЛО2!LW23</f>
        <v>0</v>
      </c>
      <c r="ALK31" s="96" t="n">
        <f aca="false">[1]ВИБУЛО2!LW23</f>
        <v>0</v>
      </c>
      <c r="ALL31" s="97" t="n">
        <f aca="false">ALL30-ALK31+ALJ31</f>
        <v>0</v>
      </c>
      <c r="ALM31" s="95" t="n">
        <f aca="false">[1]НАДІЙШЛО2!LX23</f>
        <v>0</v>
      </c>
      <c r="ALN31" s="96" t="n">
        <f aca="false">[1]ВИБУЛО2!LX23</f>
        <v>0</v>
      </c>
      <c r="ALO31" s="97" t="n">
        <f aca="false">ALO30-ALN31+ALM31</f>
        <v>0</v>
      </c>
      <c r="ALP31" s="95" t="n">
        <f aca="false">[1]НАДІЙШЛО2!LY23</f>
        <v>0</v>
      </c>
      <c r="ALQ31" s="96" t="n">
        <f aca="false">[1]ВИБУЛО2!LY23</f>
        <v>0</v>
      </c>
      <c r="ALR31" s="97" t="n">
        <f aca="false">ALR30-ALQ31+ALP31</f>
        <v>0</v>
      </c>
      <c r="ALS31" s="95" t="n">
        <f aca="false">[1]НАДІЙШЛО2!LZ23</f>
        <v>0</v>
      </c>
      <c r="ALT31" s="96" t="n">
        <f aca="false">[1]ВИБУЛО2!LZ23</f>
        <v>0</v>
      </c>
      <c r="ALU31" s="97" t="n">
        <f aca="false">ALU30-ALT31+ALS31</f>
        <v>0</v>
      </c>
      <c r="ALV31" s="95" t="n">
        <f aca="false">[1]НАДІЙШЛО2!MA23</f>
        <v>0</v>
      </c>
      <c r="ALW31" s="96" t="n">
        <f aca="false">[1]ВИБУЛО2!MA23</f>
        <v>0</v>
      </c>
      <c r="ALX31" s="97" t="n">
        <f aca="false">ALX30-ALW31+ALV31</f>
        <v>0</v>
      </c>
      <c r="ALY31" s="95" t="n">
        <f aca="false">[1]НАДІЙШЛО2!MB23</f>
        <v>0</v>
      </c>
      <c r="ALZ31" s="96" t="n">
        <f aca="false">[1]ВИБУЛО2!MB23</f>
        <v>0</v>
      </c>
      <c r="AMA31" s="97" t="n">
        <f aca="false">AMA30-ALZ31+ALY31</f>
        <v>0</v>
      </c>
      <c r="AMB31" s="95" t="n">
        <f aca="false">[1]НАДІЙШЛО2!MC23</f>
        <v>0</v>
      </c>
      <c r="AMC31" s="96" t="n">
        <f aca="false">[1]ВИБУЛО2!MC23</f>
        <v>0</v>
      </c>
      <c r="AMD31" s="97" t="n">
        <f aca="false">AMD30-AMC31+AMB31</f>
        <v>0</v>
      </c>
      <c r="AME31" s="95" t="n">
        <f aca="false">[1]НАДІЙШЛО2!MD23</f>
        <v>0</v>
      </c>
      <c r="AMF31" s="96" t="n">
        <f aca="false">[1]ВИБУЛО2!MD23</f>
        <v>0</v>
      </c>
      <c r="AMG31" s="97" t="n">
        <f aca="false">AMG30-AMF31+AME31</f>
        <v>0</v>
      </c>
      <c r="AMH31" s="95" t="n">
        <f aca="false">[1]НАДІЙШЛО2!ME23</f>
        <v>0</v>
      </c>
      <c r="AMI31" s="96" t="n">
        <f aca="false">[1]ВИБУЛО2!ME23</f>
        <v>0</v>
      </c>
      <c r="AMJ31" s="97" t="n">
        <f aca="false">AMJ30-AMI31+AMH31</f>
        <v>0</v>
      </c>
    </row>
    <row r="32" s="99" customFormat="true" ht="16.5" hidden="false" customHeight="false" outlineLevel="0" collapsed="false">
      <c r="A32" s="98"/>
      <c r="D32" s="103"/>
      <c r="E32" s="95" t="n">
        <f aca="false">[1]НАДІЙШЛО2!D24</f>
        <v>0</v>
      </c>
      <c r="F32" s="96" t="n">
        <f aca="false">[1]ВИБУЛО2!D24</f>
        <v>0</v>
      </c>
      <c r="G32" s="97" t="n">
        <f aca="false">G31-F32+E32</f>
        <v>0</v>
      </c>
      <c r="H32" s="95" t="n">
        <f aca="false">[1]НАДІЙШЛО2!E24</f>
        <v>0</v>
      </c>
      <c r="I32" s="96" t="n">
        <f aca="false">[1]ВИБУЛО2!E24</f>
        <v>0</v>
      </c>
      <c r="J32" s="97" t="n">
        <f aca="false">J31-I32+H32</f>
        <v>0</v>
      </c>
      <c r="K32" s="95" t="n">
        <f aca="false">[1]НАДІЙШЛО2!F24</f>
        <v>0</v>
      </c>
      <c r="L32" s="96" t="n">
        <f aca="false">[1]ВИБУЛО2!F24</f>
        <v>0</v>
      </c>
      <c r="M32" s="97" t="n">
        <f aca="false">M31-L32+K32</f>
        <v>2.06</v>
      </c>
      <c r="N32" s="95" t="n">
        <f aca="false">[1]НАДІЙШЛО2!G24</f>
        <v>0</v>
      </c>
      <c r="O32" s="96" t="n">
        <f aca="false">[1]ВИБУЛО2!G24</f>
        <v>0</v>
      </c>
      <c r="P32" s="97" t="n">
        <f aca="false">P31-O32+N32</f>
        <v>0</v>
      </c>
      <c r="Q32" s="95" t="n">
        <f aca="false">[1]НАДІЙШЛО2!H24</f>
        <v>0</v>
      </c>
      <c r="R32" s="96" t="n">
        <f aca="false">[1]ВИБУЛО2!H24</f>
        <v>0</v>
      </c>
      <c r="S32" s="97" t="n">
        <f aca="false">S31-R32+Q32</f>
        <v>0</v>
      </c>
      <c r="T32" s="95" t="n">
        <f aca="false">[1]НАДІЙШЛО2!I24</f>
        <v>0</v>
      </c>
      <c r="U32" s="96" t="n">
        <f aca="false">[1]ВИБУЛО2!I24</f>
        <v>0</v>
      </c>
      <c r="V32" s="97" t="n">
        <f aca="false">V31-U32+T32</f>
        <v>0</v>
      </c>
      <c r="W32" s="95" t="n">
        <f aca="false">[1]НАДІЙШЛО2!J24</f>
        <v>0</v>
      </c>
      <c r="X32" s="96" t="n">
        <f aca="false">[1]ВИБУЛО2!J24</f>
        <v>0</v>
      </c>
      <c r="Y32" s="97" t="n">
        <f aca="false">Y31-X32+W32</f>
        <v>0</v>
      </c>
      <c r="Z32" s="95" t="n">
        <f aca="false">[1]НАДІЙШЛО2!K24</f>
        <v>0</v>
      </c>
      <c r="AA32" s="96" t="n">
        <f aca="false">[1]ВИБУЛО2!K24</f>
        <v>0</v>
      </c>
      <c r="AB32" s="97" t="n">
        <f aca="false">AB31-AA32+Z32</f>
        <v>0</v>
      </c>
      <c r="AC32" s="95" t="n">
        <f aca="false">[1]НАДІЙШЛО2!L24</f>
        <v>0</v>
      </c>
      <c r="AD32" s="96" t="n">
        <f aca="false">[1]ВИБУЛО2!L24</f>
        <v>0</v>
      </c>
      <c r="AE32" s="97" t="n">
        <f aca="false">AE31-AD32+AC32</f>
        <v>0</v>
      </c>
      <c r="AF32" s="95" t="n">
        <f aca="false">[1]НАДІЙШЛО2!M24</f>
        <v>0</v>
      </c>
      <c r="AG32" s="96" t="n">
        <f aca="false">[1]ВИБУЛО2!M24</f>
        <v>0</v>
      </c>
      <c r="AH32" s="97" t="n">
        <f aca="false">AH31-AG32+AF32</f>
        <v>0</v>
      </c>
      <c r="AI32" s="95" t="n">
        <f aca="false">[1]НАДІЙШЛО2!N24</f>
        <v>0</v>
      </c>
      <c r="AJ32" s="96" t="n">
        <f aca="false">[1]ВИБУЛО2!N24</f>
        <v>0</v>
      </c>
      <c r="AK32" s="97" t="n">
        <f aca="false">AK31-AJ32+AI32</f>
        <v>0</v>
      </c>
      <c r="AL32" s="95" t="n">
        <f aca="false">[1]НАДІЙШЛО2!O24</f>
        <v>0</v>
      </c>
      <c r="AM32" s="96" t="n">
        <f aca="false">[1]ВИБУЛО2!O24</f>
        <v>0</v>
      </c>
      <c r="AN32" s="97" t="n">
        <f aca="false">AN31-AM32+AL32</f>
        <v>0</v>
      </c>
      <c r="AO32" s="95" t="n">
        <f aca="false">[1]НАДІЙШЛО2!P24</f>
        <v>0</v>
      </c>
      <c r="AP32" s="96" t="n">
        <f aca="false">[1]ВИБУЛО2!P24</f>
        <v>0</v>
      </c>
      <c r="AQ32" s="97" t="n">
        <f aca="false">AQ31-AP32+AO32</f>
        <v>0</v>
      </c>
      <c r="AR32" s="95" t="n">
        <f aca="false">[1]НАДІЙШЛО2!Q24</f>
        <v>0</v>
      </c>
      <c r="AS32" s="96" t="n">
        <f aca="false">[1]ВИБУЛО2!Q24</f>
        <v>0</v>
      </c>
      <c r="AT32" s="97" t="n">
        <f aca="false">AT31-AS32+AR32</f>
        <v>0</v>
      </c>
      <c r="AU32" s="95" t="n">
        <f aca="false">[1]НАДІЙШЛО2!R24</f>
        <v>0</v>
      </c>
      <c r="AV32" s="96" t="n">
        <f aca="false">[1]ВИБУЛО2!R24</f>
        <v>0</v>
      </c>
      <c r="AW32" s="97" t="n">
        <f aca="false">AW31-AV32+AU32</f>
        <v>0</v>
      </c>
      <c r="AX32" s="95" t="n">
        <f aca="false">[1]НАДІЙШЛО2!S24</f>
        <v>0</v>
      </c>
      <c r="AY32" s="96" t="n">
        <f aca="false">[1]ВИБУЛО2!S24</f>
        <v>0</v>
      </c>
      <c r="AZ32" s="97" t="n">
        <f aca="false">AZ31-AY32+AX32</f>
        <v>0</v>
      </c>
      <c r="BA32" s="95" t="n">
        <f aca="false">[1]НАДІЙШЛО2!T24</f>
        <v>0</v>
      </c>
      <c r="BB32" s="96" t="n">
        <f aca="false">[1]ВИБУЛО2!T24</f>
        <v>0</v>
      </c>
      <c r="BC32" s="97" t="n">
        <f aca="false">BC31-BB32+BA32</f>
        <v>0</v>
      </c>
      <c r="BD32" s="95" t="n">
        <f aca="false">[1]НАДІЙШЛО2!U24</f>
        <v>0</v>
      </c>
      <c r="BE32" s="96" t="n">
        <f aca="false">[1]ВИБУЛО2!U24</f>
        <v>0</v>
      </c>
      <c r="BF32" s="97" t="n">
        <f aca="false">BF31-BE32+BD32</f>
        <v>0</v>
      </c>
      <c r="BG32" s="95" t="n">
        <f aca="false">[1]НАДІЙШЛО2!V24</f>
        <v>0</v>
      </c>
      <c r="BH32" s="96" t="n">
        <f aca="false">[1]ВИБУЛО2!V24</f>
        <v>0</v>
      </c>
      <c r="BI32" s="97" t="n">
        <f aca="false">BI31-BH32+BG32</f>
        <v>0</v>
      </c>
      <c r="BJ32" s="95" t="n">
        <f aca="false">[1]НАДІЙШЛО2!W24</f>
        <v>0</v>
      </c>
      <c r="BK32" s="96" t="n">
        <f aca="false">[1]ВИБУЛО2!W24</f>
        <v>0</v>
      </c>
      <c r="BL32" s="97" t="n">
        <f aca="false">BL31-BK32+BJ32</f>
        <v>0</v>
      </c>
      <c r="BM32" s="95" t="n">
        <f aca="false">[1]НАДІЙШЛО2!X24</f>
        <v>0</v>
      </c>
      <c r="BN32" s="96" t="n">
        <f aca="false">[1]ВИБУЛО2!X24</f>
        <v>0</v>
      </c>
      <c r="BO32" s="97" t="n">
        <f aca="false">BO31-BN32+BM32</f>
        <v>0</v>
      </c>
      <c r="BP32" s="95" t="n">
        <f aca="false">[1]НАДІЙШЛО2!Y24</f>
        <v>0</v>
      </c>
      <c r="BQ32" s="96" t="n">
        <f aca="false">[1]ВИБУЛО2!Y24</f>
        <v>0</v>
      </c>
      <c r="BR32" s="97" t="n">
        <f aca="false">BR31-BQ32+BP32</f>
        <v>0</v>
      </c>
      <c r="BS32" s="95" t="n">
        <f aca="false">[1]НАДІЙШЛО2!Z24</f>
        <v>0</v>
      </c>
      <c r="BT32" s="96" t="n">
        <f aca="false">[1]ВИБУЛО2!Z24</f>
        <v>0</v>
      </c>
      <c r="BU32" s="97" t="n">
        <f aca="false">BU31-BT32+BS32</f>
        <v>0</v>
      </c>
      <c r="BV32" s="95" t="n">
        <f aca="false">[1]НАДІЙШЛО2!AA24</f>
        <v>0</v>
      </c>
      <c r="BW32" s="96" t="n">
        <f aca="false">[1]ВИБУЛО2!AA24</f>
        <v>0</v>
      </c>
      <c r="BX32" s="97" t="n">
        <f aca="false">BX31-BW32+BV32</f>
        <v>0</v>
      </c>
      <c r="BY32" s="95" t="n">
        <f aca="false">[1]НАДІЙШЛО2!AB24</f>
        <v>0</v>
      </c>
      <c r="BZ32" s="96" t="n">
        <f aca="false">[1]ВИБУЛО2!AB24</f>
        <v>0</v>
      </c>
      <c r="CA32" s="97" t="n">
        <f aca="false">CA31-BZ32+BY32</f>
        <v>0</v>
      </c>
      <c r="CB32" s="95" t="n">
        <f aca="false">[1]НАДІЙШЛО2!AC24</f>
        <v>0</v>
      </c>
      <c r="CC32" s="96" t="n">
        <f aca="false">[1]ВИБУЛО2!AC24</f>
        <v>0</v>
      </c>
      <c r="CD32" s="97" t="n">
        <f aca="false">CD31-CC32+CB32</f>
        <v>0</v>
      </c>
      <c r="CE32" s="95" t="n">
        <f aca="false">[1]НАДІЙШЛО2!AD24</f>
        <v>0</v>
      </c>
      <c r="CF32" s="96" t="n">
        <f aca="false">[1]ВИБУЛО2!AD24</f>
        <v>0</v>
      </c>
      <c r="CG32" s="97" t="n">
        <f aca="false">CG31-CF32+CE32</f>
        <v>0</v>
      </c>
      <c r="CH32" s="95" t="n">
        <f aca="false">[1]НАДІЙШЛО2!AE24</f>
        <v>0</v>
      </c>
      <c r="CI32" s="96" t="n">
        <f aca="false">[1]ВИБУЛО2!AE24</f>
        <v>0</v>
      </c>
      <c r="CJ32" s="97" t="n">
        <f aca="false">CJ31-CI32+CH32</f>
        <v>0</v>
      </c>
      <c r="CK32" s="95" t="n">
        <f aca="false">[1]НАДІЙШЛО2!AF24</f>
        <v>0</v>
      </c>
      <c r="CL32" s="96" t="n">
        <f aca="false">[1]ВИБУЛО2!AF24</f>
        <v>0</v>
      </c>
      <c r="CM32" s="97" t="n">
        <f aca="false">CM31-CL32+CK32</f>
        <v>0</v>
      </c>
      <c r="CN32" s="95" t="n">
        <f aca="false">[1]НАДІЙШЛО2!AG24</f>
        <v>0</v>
      </c>
      <c r="CO32" s="96" t="n">
        <f aca="false">[1]ВИБУЛО2!AG24</f>
        <v>0</v>
      </c>
      <c r="CP32" s="97" t="n">
        <f aca="false">CP31-CO32+CN32</f>
        <v>0</v>
      </c>
      <c r="CQ32" s="95" t="n">
        <f aca="false">[1]НАДІЙШЛО2!AH24</f>
        <v>0</v>
      </c>
      <c r="CR32" s="96" t="n">
        <f aca="false">[1]ВИБУЛО2!AH24</f>
        <v>0</v>
      </c>
      <c r="CS32" s="97" t="n">
        <f aca="false">CS31-CR32+CQ32</f>
        <v>0</v>
      </c>
      <c r="CT32" s="95" t="n">
        <f aca="false">[1]НАДІЙШЛО2!AI24</f>
        <v>0</v>
      </c>
      <c r="CU32" s="96" t="n">
        <f aca="false">[1]ВИБУЛО2!AI24</f>
        <v>0</v>
      </c>
      <c r="CV32" s="97" t="n">
        <f aca="false">CV31-CU32+CT32</f>
        <v>0</v>
      </c>
      <c r="CW32" s="95" t="n">
        <f aca="false">[1]НАДІЙШЛО2!AJ24</f>
        <v>0</v>
      </c>
      <c r="CX32" s="96" t="n">
        <f aca="false">[1]ВИБУЛО2!AJ24</f>
        <v>0</v>
      </c>
      <c r="CY32" s="97" t="n">
        <f aca="false">CY31-CX32+CW32</f>
        <v>0</v>
      </c>
      <c r="CZ32" s="95" t="n">
        <f aca="false">[1]НАДІЙШЛО2!AK24</f>
        <v>0</v>
      </c>
      <c r="DA32" s="96" t="n">
        <f aca="false">[1]ВИБУЛО2!AK24</f>
        <v>0</v>
      </c>
      <c r="DB32" s="97" t="n">
        <f aca="false">DB31-DA32+CZ32</f>
        <v>0</v>
      </c>
      <c r="DC32" s="95" t="n">
        <f aca="false">[1]НАДІЙШЛО2!AL24</f>
        <v>0</v>
      </c>
      <c r="DD32" s="96" t="n">
        <f aca="false">[1]ВИБУЛО2!AL24</f>
        <v>0</v>
      </c>
      <c r="DE32" s="97" t="n">
        <f aca="false">DE31-DD32+DC32</f>
        <v>0</v>
      </c>
      <c r="DF32" s="95" t="n">
        <f aca="false">[1]НАДІЙШЛО2!AM24</f>
        <v>0</v>
      </c>
      <c r="DG32" s="96" t="n">
        <f aca="false">[1]ВИБУЛО2!AM24</f>
        <v>0</v>
      </c>
      <c r="DH32" s="97" t="n">
        <f aca="false">DH31-DG32+DF32</f>
        <v>0</v>
      </c>
      <c r="DI32" s="95" t="n">
        <f aca="false">[1]НАДІЙШЛО2!AN24</f>
        <v>0</v>
      </c>
      <c r="DJ32" s="96" t="n">
        <f aca="false">[1]ВИБУЛО2!AN24</f>
        <v>0</v>
      </c>
      <c r="DK32" s="97" t="n">
        <f aca="false">DK31-DJ32+DI32</f>
        <v>0</v>
      </c>
      <c r="DL32" s="95" t="n">
        <f aca="false">[1]НАДІЙШЛО2!AO24</f>
        <v>0</v>
      </c>
      <c r="DM32" s="96" t="n">
        <f aca="false">[1]ВИБУЛО2!AO24</f>
        <v>0</v>
      </c>
      <c r="DN32" s="97" t="n">
        <f aca="false">DN31-DM32+DL32</f>
        <v>0</v>
      </c>
      <c r="DO32" s="95" t="n">
        <f aca="false">[1]НАДІЙШЛО2!AP24</f>
        <v>0</v>
      </c>
      <c r="DP32" s="96" t="n">
        <f aca="false">[1]ВИБУЛО2!AP24</f>
        <v>0</v>
      </c>
      <c r="DQ32" s="97" t="n">
        <f aca="false">DQ31-DP32+DO32</f>
        <v>0</v>
      </c>
      <c r="DR32" s="95" t="n">
        <f aca="false">[1]НАДІЙШЛО2!AQ24</f>
        <v>0</v>
      </c>
      <c r="DS32" s="96" t="n">
        <f aca="false">[1]ВИБУЛО2!AQ24</f>
        <v>0</v>
      </c>
      <c r="DT32" s="97" t="n">
        <f aca="false">DT31-DS32+DR32</f>
        <v>0</v>
      </c>
      <c r="DU32" s="95" t="n">
        <f aca="false">[1]НАДІЙШЛО2!AR24</f>
        <v>0</v>
      </c>
      <c r="DV32" s="96" t="n">
        <f aca="false">[1]ВИБУЛО2!AR24</f>
        <v>0</v>
      </c>
      <c r="DW32" s="97" t="n">
        <f aca="false">DW31-DV32+DU32</f>
        <v>0</v>
      </c>
      <c r="DX32" s="95" t="n">
        <f aca="false">[1]НАДІЙШЛО2!AS24</f>
        <v>0</v>
      </c>
      <c r="DY32" s="96" t="n">
        <f aca="false">[1]ВИБУЛО2!AS24</f>
        <v>0</v>
      </c>
      <c r="DZ32" s="97" t="n">
        <f aca="false">DZ31-DY32+DX32</f>
        <v>0</v>
      </c>
      <c r="EA32" s="95" t="n">
        <f aca="false">[1]НАДІЙШЛО2!AT24</f>
        <v>0</v>
      </c>
      <c r="EB32" s="96" t="n">
        <f aca="false">[1]ВИБУЛО2!AT24</f>
        <v>0</v>
      </c>
      <c r="EC32" s="97" t="n">
        <f aca="false">EC31-EB32+EA32</f>
        <v>0</v>
      </c>
      <c r="ED32" s="95" t="n">
        <f aca="false">[1]НАДІЙШЛО2!AU24</f>
        <v>0</v>
      </c>
      <c r="EE32" s="96" t="n">
        <f aca="false">[1]ВИБУЛО2!AU24</f>
        <v>0</v>
      </c>
      <c r="EF32" s="97" t="n">
        <f aca="false">EF31-EE32+ED32</f>
        <v>0</v>
      </c>
      <c r="EG32" s="95" t="n">
        <f aca="false">[1]НАДІЙШЛО2!AV24</f>
        <v>0</v>
      </c>
      <c r="EH32" s="96" t="n">
        <f aca="false">[1]ВИБУЛО2!AV24</f>
        <v>0</v>
      </c>
      <c r="EI32" s="97" t="n">
        <f aca="false">EI31-EH32+EG32</f>
        <v>0</v>
      </c>
      <c r="EJ32" s="95" t="n">
        <f aca="false">[1]НАДІЙШЛО2!AW24</f>
        <v>0</v>
      </c>
      <c r="EK32" s="96" t="n">
        <f aca="false">[1]ВИБУЛО2!AW24</f>
        <v>0</v>
      </c>
      <c r="EL32" s="97" t="n">
        <f aca="false">EL31-EK32+EJ32</f>
        <v>0</v>
      </c>
      <c r="EM32" s="95" t="n">
        <f aca="false">[1]НАДІЙШЛО2!AX24</f>
        <v>0</v>
      </c>
      <c r="EN32" s="96" t="n">
        <f aca="false">[1]ВИБУЛО2!AX24</f>
        <v>0</v>
      </c>
      <c r="EO32" s="97" t="n">
        <f aca="false">EO31-EN32+EM32</f>
        <v>0</v>
      </c>
      <c r="EP32" s="95" t="n">
        <f aca="false">[1]НАДІЙШЛО2!AY24</f>
        <v>0</v>
      </c>
      <c r="EQ32" s="96" t="n">
        <f aca="false">[1]ВИБУЛО2!AY24</f>
        <v>0</v>
      </c>
      <c r="ER32" s="97" t="n">
        <f aca="false">ER31-EQ32+EP32</f>
        <v>0</v>
      </c>
      <c r="ES32" s="95" t="n">
        <f aca="false">[1]НАДІЙШЛО2!AZ24</f>
        <v>0</v>
      </c>
      <c r="ET32" s="96" t="n">
        <f aca="false">[1]ВИБУЛО2!AZ24</f>
        <v>0</v>
      </c>
      <c r="EU32" s="97" t="n">
        <f aca="false">EU31-ET32+ES32</f>
        <v>0</v>
      </c>
      <c r="EV32" s="95" t="n">
        <f aca="false">[1]НАДІЙШЛО2!BA24</f>
        <v>0</v>
      </c>
      <c r="EW32" s="96" t="n">
        <f aca="false">[1]ВИБУЛО2!BA24</f>
        <v>0</v>
      </c>
      <c r="EX32" s="97" t="n">
        <f aca="false">EX31-EW32+EV32</f>
        <v>0</v>
      </c>
      <c r="EY32" s="95" t="n">
        <f aca="false">[1]НАДІЙШЛО2!BB24</f>
        <v>0</v>
      </c>
      <c r="EZ32" s="96" t="n">
        <f aca="false">[1]ВИБУЛО2!BB24</f>
        <v>0</v>
      </c>
      <c r="FA32" s="97" t="n">
        <f aca="false">FA31-EZ32+EY32</f>
        <v>0</v>
      </c>
      <c r="FB32" s="95" t="n">
        <f aca="false">[1]НАДІЙШЛО2!BC24</f>
        <v>0</v>
      </c>
      <c r="FC32" s="96" t="n">
        <f aca="false">[1]ВИБУЛО2!BC24</f>
        <v>0</v>
      </c>
      <c r="FD32" s="97" t="n">
        <f aca="false">FD31-FC32+FB32</f>
        <v>0</v>
      </c>
      <c r="FE32" s="95" t="n">
        <f aca="false">[1]НАДІЙШЛО2!BD24</f>
        <v>0</v>
      </c>
      <c r="FF32" s="96" t="n">
        <f aca="false">[1]ВИБУЛО2!BD24</f>
        <v>0</v>
      </c>
      <c r="FG32" s="97" t="n">
        <f aca="false">FG31-FF32+FE32</f>
        <v>0</v>
      </c>
      <c r="FH32" s="95" t="n">
        <f aca="false">[1]НАДІЙШЛО2!BE24</f>
        <v>0</v>
      </c>
      <c r="FI32" s="96" t="n">
        <f aca="false">[1]ВИБУЛО2!BE24</f>
        <v>0</v>
      </c>
      <c r="FJ32" s="97" t="n">
        <f aca="false">FJ31-FI32+FH32</f>
        <v>0</v>
      </c>
      <c r="FK32" s="95" t="n">
        <f aca="false">[1]НАДІЙШЛО2!BF24</f>
        <v>0</v>
      </c>
      <c r="FL32" s="96" t="n">
        <f aca="false">[1]ВИБУЛО2!BF24</f>
        <v>0</v>
      </c>
      <c r="FM32" s="97" t="n">
        <f aca="false">FM31-FL32+FK32</f>
        <v>0</v>
      </c>
      <c r="FN32" s="95" t="n">
        <f aca="false">[1]НАДІЙШЛО2!BG24</f>
        <v>0</v>
      </c>
      <c r="FO32" s="96" t="n">
        <f aca="false">[1]ВИБУЛО2!BG24</f>
        <v>0</v>
      </c>
      <c r="FP32" s="97" t="n">
        <f aca="false">FP31-FO32+FN32</f>
        <v>0</v>
      </c>
      <c r="FQ32" s="95" t="n">
        <f aca="false">[1]НАДІЙШЛО2!BH24</f>
        <v>0</v>
      </c>
      <c r="FR32" s="96" t="n">
        <f aca="false">[1]ВИБУЛО2!BH24</f>
        <v>0</v>
      </c>
      <c r="FS32" s="97" t="n">
        <f aca="false">FS31-FR32+FQ32</f>
        <v>0</v>
      </c>
      <c r="FT32" s="95" t="n">
        <f aca="false">[1]НАДІЙШЛО2!BI24</f>
        <v>0</v>
      </c>
      <c r="FU32" s="96" t="n">
        <f aca="false">[1]ВИБУЛО2!BI24</f>
        <v>0</v>
      </c>
      <c r="FV32" s="97" t="n">
        <f aca="false">FV31-FU32+FT32</f>
        <v>0</v>
      </c>
      <c r="FW32" s="95" t="n">
        <f aca="false">[1]НАДІЙШЛО2!BJ24</f>
        <v>0</v>
      </c>
      <c r="FX32" s="96" t="n">
        <f aca="false">[1]ВИБУЛО2!BJ24</f>
        <v>0</v>
      </c>
      <c r="FY32" s="97" t="n">
        <f aca="false">FY31-FX32+FW32</f>
        <v>0</v>
      </c>
      <c r="FZ32" s="95" t="n">
        <f aca="false">[1]НАДІЙШЛО2!BK24</f>
        <v>0</v>
      </c>
      <c r="GA32" s="96" t="n">
        <f aca="false">[1]ВИБУЛО2!BK24</f>
        <v>0</v>
      </c>
      <c r="GB32" s="97" t="n">
        <f aca="false">GB31-GA32+FZ32</f>
        <v>0</v>
      </c>
      <c r="GC32" s="95" t="n">
        <f aca="false">[1]НАДІЙШЛО2!BL24</f>
        <v>0</v>
      </c>
      <c r="GD32" s="96" t="n">
        <f aca="false">[1]ВИБУЛО2!BL24</f>
        <v>0</v>
      </c>
      <c r="GE32" s="97" t="n">
        <f aca="false">GE31-GD32+GC32</f>
        <v>0</v>
      </c>
      <c r="GF32" s="95" t="n">
        <f aca="false">[1]НАДІЙШЛО2!BM24</f>
        <v>0</v>
      </c>
      <c r="GG32" s="96" t="n">
        <f aca="false">[1]ВИБУЛО2!BM24</f>
        <v>0</v>
      </c>
      <c r="GH32" s="97" t="n">
        <f aca="false">GH31-GG32+GF32</f>
        <v>0</v>
      </c>
      <c r="GI32" s="95" t="n">
        <f aca="false">[1]НАДІЙШЛО2!BN24</f>
        <v>0</v>
      </c>
      <c r="GJ32" s="96" t="n">
        <f aca="false">[1]ВИБУЛО2!BN24</f>
        <v>0</v>
      </c>
      <c r="GK32" s="97" t="n">
        <f aca="false">GK31-GJ32+GI32</f>
        <v>0</v>
      </c>
      <c r="GL32" s="95" t="n">
        <f aca="false">[1]НАДІЙШЛО2!BO24</f>
        <v>0</v>
      </c>
      <c r="GM32" s="96" t="n">
        <f aca="false">[1]ВИБУЛО2!BO24</f>
        <v>0</v>
      </c>
      <c r="GN32" s="97" t="n">
        <f aca="false">GN31-GM32+GL32</f>
        <v>0</v>
      </c>
      <c r="GO32" s="95" t="n">
        <f aca="false">[1]НАДІЙШЛО2!BP24</f>
        <v>0</v>
      </c>
      <c r="GP32" s="96" t="n">
        <f aca="false">[1]ВИБУЛО2!BP24</f>
        <v>0</v>
      </c>
      <c r="GQ32" s="97" t="n">
        <f aca="false">GQ31-GP32+GO32</f>
        <v>0</v>
      </c>
      <c r="GR32" s="95" t="n">
        <f aca="false">[1]НАДІЙШЛО2!BQ24</f>
        <v>0</v>
      </c>
      <c r="GS32" s="96" t="n">
        <f aca="false">[1]ВИБУЛО2!BQ24</f>
        <v>0</v>
      </c>
      <c r="GT32" s="97" t="n">
        <f aca="false">GT31-GS32+GR32</f>
        <v>0</v>
      </c>
      <c r="GU32" s="95" t="n">
        <f aca="false">[1]НАДІЙШЛО2!BR24</f>
        <v>0</v>
      </c>
      <c r="GV32" s="96" t="n">
        <f aca="false">[1]ВИБУЛО2!BR24</f>
        <v>0</v>
      </c>
      <c r="GW32" s="97" t="n">
        <f aca="false">GW31-GV32+GU32</f>
        <v>0</v>
      </c>
      <c r="GX32" s="95" t="n">
        <f aca="false">[1]НАДІЙШЛО2!BS24</f>
        <v>0</v>
      </c>
      <c r="GY32" s="96" t="n">
        <f aca="false">[1]ВИБУЛО2!BS24</f>
        <v>0</v>
      </c>
      <c r="GZ32" s="97" t="n">
        <f aca="false">GZ31-GY32+GX32</f>
        <v>0</v>
      </c>
      <c r="HA32" s="95" t="n">
        <f aca="false">[1]НАДІЙШЛО2!BT24</f>
        <v>0</v>
      </c>
      <c r="HB32" s="96" t="n">
        <f aca="false">[1]ВИБУЛО2!BT24</f>
        <v>0</v>
      </c>
      <c r="HC32" s="97" t="n">
        <f aca="false">HC31-HB32+HA32</f>
        <v>0</v>
      </c>
      <c r="HD32" s="95" t="n">
        <f aca="false">[1]НАДІЙШЛО2!BU24</f>
        <v>0</v>
      </c>
      <c r="HE32" s="96" t="n">
        <f aca="false">[1]ВИБУЛО2!BU24</f>
        <v>0</v>
      </c>
      <c r="HF32" s="97" t="n">
        <f aca="false">HF31-HE32+HD32</f>
        <v>0</v>
      </c>
      <c r="HG32" s="95" t="n">
        <f aca="false">[1]НАДІЙШЛО2!BV24</f>
        <v>0</v>
      </c>
      <c r="HH32" s="96" t="n">
        <f aca="false">[1]ВИБУЛО2!BV24</f>
        <v>0</v>
      </c>
      <c r="HI32" s="97" t="n">
        <f aca="false">HI31-HH32+HG32</f>
        <v>0</v>
      </c>
      <c r="HJ32" s="95" t="n">
        <f aca="false">[1]НАДІЙШЛО2!BW24</f>
        <v>0</v>
      </c>
      <c r="HK32" s="96" t="n">
        <f aca="false">[1]ВИБУЛО2!BW24</f>
        <v>0</v>
      </c>
      <c r="HL32" s="97" t="n">
        <f aca="false">HL31-HK32+HJ32</f>
        <v>0</v>
      </c>
      <c r="HM32" s="95" t="n">
        <f aca="false">[1]НАДІЙШЛО2!BX24</f>
        <v>0</v>
      </c>
      <c r="HN32" s="96" t="n">
        <f aca="false">[1]ВИБУЛО2!BX24</f>
        <v>0</v>
      </c>
      <c r="HO32" s="97" t="n">
        <f aca="false">HO31-HN32+HM32</f>
        <v>0</v>
      </c>
      <c r="HP32" s="95" t="n">
        <f aca="false">[1]НАДІЙШЛО2!BY24</f>
        <v>0</v>
      </c>
      <c r="HQ32" s="96" t="n">
        <f aca="false">[1]ВИБУЛО2!BY24</f>
        <v>0</v>
      </c>
      <c r="HR32" s="97" t="n">
        <f aca="false">HR31-HQ32+HP32</f>
        <v>0</v>
      </c>
      <c r="HS32" s="95" t="n">
        <f aca="false">[1]НАДІЙШЛО2!BZ24</f>
        <v>0</v>
      </c>
      <c r="HT32" s="96" t="n">
        <f aca="false">[1]ВИБУЛО2!BZ24</f>
        <v>0</v>
      </c>
      <c r="HU32" s="97" t="n">
        <f aca="false">HU31-HT32+HS32</f>
        <v>0</v>
      </c>
      <c r="HV32" s="95" t="n">
        <f aca="false">[1]НАДІЙШЛО2!CA24</f>
        <v>0</v>
      </c>
      <c r="HW32" s="96" t="n">
        <f aca="false">[1]ВИБУЛО2!CA24</f>
        <v>0</v>
      </c>
      <c r="HX32" s="97" t="n">
        <f aca="false">HX31-HW32+HV32</f>
        <v>0</v>
      </c>
      <c r="HY32" s="95" t="n">
        <f aca="false">[1]НАДІЙШЛО2!CB24</f>
        <v>0</v>
      </c>
      <c r="HZ32" s="96" t="n">
        <f aca="false">[1]ВИБУЛО2!CB24</f>
        <v>0</v>
      </c>
      <c r="IA32" s="97" t="n">
        <f aca="false">IA31-HZ32+HY32</f>
        <v>0</v>
      </c>
      <c r="IB32" s="95" t="n">
        <f aca="false">[1]НАДІЙШЛО2!CC24</f>
        <v>0</v>
      </c>
      <c r="IC32" s="96" t="n">
        <f aca="false">[1]ВИБУЛО2!CC24</f>
        <v>0</v>
      </c>
      <c r="ID32" s="97" t="n">
        <f aca="false">ID31-IC32+IB32</f>
        <v>0</v>
      </c>
      <c r="IE32" s="95" t="n">
        <f aca="false">[1]НАДІЙШЛО2!CD24</f>
        <v>0</v>
      </c>
      <c r="IF32" s="96" t="n">
        <f aca="false">[1]ВИБУЛО2!CD24</f>
        <v>0</v>
      </c>
      <c r="IG32" s="97" t="n">
        <f aca="false">IG31-IF32+IE32</f>
        <v>0</v>
      </c>
      <c r="IH32" s="95" t="n">
        <f aca="false">[1]НАДІЙШЛО2!CE24</f>
        <v>0</v>
      </c>
      <c r="II32" s="96" t="n">
        <f aca="false">[1]ВИБУЛО2!CE24</f>
        <v>0</v>
      </c>
      <c r="IJ32" s="97" t="n">
        <f aca="false">IJ31-II32+IH32</f>
        <v>0</v>
      </c>
      <c r="IK32" s="95" t="n">
        <f aca="false">[1]НАДІЙШЛО2!CF24</f>
        <v>0</v>
      </c>
      <c r="IL32" s="96" t="n">
        <f aca="false">[1]ВИБУЛО2!CF24</f>
        <v>0</v>
      </c>
      <c r="IM32" s="97" t="n">
        <f aca="false">IM31-IL32+IK32</f>
        <v>0</v>
      </c>
      <c r="IN32" s="95" t="n">
        <f aca="false">[1]НАДІЙШЛО2!CG24</f>
        <v>0</v>
      </c>
      <c r="IO32" s="96" t="n">
        <f aca="false">[1]ВИБУЛО2!CG24</f>
        <v>0</v>
      </c>
      <c r="IP32" s="97" t="n">
        <f aca="false">IP31-IO32+IN32</f>
        <v>0</v>
      </c>
      <c r="IQ32" s="95" t="n">
        <f aca="false">[1]НАДІЙШЛО2!CH24</f>
        <v>0</v>
      </c>
      <c r="IR32" s="96" t="n">
        <f aca="false">[1]ВИБУЛО2!CH24</f>
        <v>0</v>
      </c>
      <c r="IS32" s="97" t="n">
        <f aca="false">IS31-IR32+IQ32</f>
        <v>0</v>
      </c>
      <c r="IT32" s="95" t="n">
        <f aca="false">[1]НАДІЙШЛО2!CI24</f>
        <v>0</v>
      </c>
      <c r="IU32" s="96" t="n">
        <f aca="false">[1]ВИБУЛО2!CI24</f>
        <v>0</v>
      </c>
      <c r="IV32" s="97" t="n">
        <f aca="false">IV31-IU32+IT32</f>
        <v>0</v>
      </c>
      <c r="IW32" s="95" t="n">
        <f aca="false">[1]НАДІЙШЛО2!CJ24</f>
        <v>0</v>
      </c>
      <c r="IX32" s="96" t="n">
        <f aca="false">[1]ВИБУЛО2!CJ24</f>
        <v>0</v>
      </c>
      <c r="IY32" s="97" t="n">
        <f aca="false">IY31-IX32+IW32</f>
        <v>0</v>
      </c>
      <c r="IZ32" s="95" t="n">
        <f aca="false">[1]НАДІЙШЛО2!CK24</f>
        <v>0</v>
      </c>
      <c r="JA32" s="96" t="n">
        <f aca="false">[1]ВИБУЛО2!CK24</f>
        <v>0</v>
      </c>
      <c r="JB32" s="97" t="n">
        <f aca="false">JB31-JA32+IZ32</f>
        <v>0</v>
      </c>
      <c r="JC32" s="95" t="n">
        <f aca="false">[1]НАДІЙШЛО2!CL24</f>
        <v>0</v>
      </c>
      <c r="JD32" s="96" t="n">
        <f aca="false">[1]ВИБУЛО2!CL24</f>
        <v>0</v>
      </c>
      <c r="JE32" s="97" t="n">
        <f aca="false">JE31-JD32+JC32</f>
        <v>0</v>
      </c>
      <c r="JF32" s="95" t="n">
        <f aca="false">[1]НАДІЙШЛО2!CM24</f>
        <v>0</v>
      </c>
      <c r="JG32" s="96" t="n">
        <f aca="false">[1]ВИБУЛО2!CM24</f>
        <v>0</v>
      </c>
      <c r="JH32" s="97" t="n">
        <f aca="false">JH31-JG32+JF32</f>
        <v>0</v>
      </c>
      <c r="JI32" s="95" t="n">
        <f aca="false">[1]НАДІЙШЛО2!CN24</f>
        <v>0</v>
      </c>
      <c r="JJ32" s="96" t="n">
        <f aca="false">[1]ВИБУЛО2!CN24</f>
        <v>0</v>
      </c>
      <c r="JK32" s="97" t="n">
        <f aca="false">JK31-JJ32+JI32</f>
        <v>0</v>
      </c>
      <c r="JL32" s="95" t="n">
        <f aca="false">[1]НАДІЙШЛО2!CO24</f>
        <v>0</v>
      </c>
      <c r="JM32" s="96" t="n">
        <f aca="false">[1]ВИБУЛО2!CO24</f>
        <v>0</v>
      </c>
      <c r="JN32" s="97" t="n">
        <f aca="false">JN31-JM32+JL32</f>
        <v>0</v>
      </c>
      <c r="JO32" s="95" t="n">
        <f aca="false">[1]НАДІЙШЛО2!CP24</f>
        <v>0</v>
      </c>
      <c r="JP32" s="96" t="n">
        <f aca="false">[1]ВИБУЛО2!CP24</f>
        <v>0</v>
      </c>
      <c r="JQ32" s="97" t="n">
        <f aca="false">JQ31-JP32+JO32</f>
        <v>0</v>
      </c>
      <c r="JR32" s="95" t="n">
        <f aca="false">[1]НАДІЙШЛО2!CQ24</f>
        <v>0</v>
      </c>
      <c r="JS32" s="96" t="n">
        <f aca="false">[1]ВИБУЛО2!CQ24</f>
        <v>0</v>
      </c>
      <c r="JT32" s="97" t="n">
        <f aca="false">JT31-JS32+JR32</f>
        <v>0</v>
      </c>
      <c r="JU32" s="95" t="n">
        <f aca="false">[1]НАДІЙШЛО2!CR24</f>
        <v>0</v>
      </c>
      <c r="JV32" s="96" t="n">
        <f aca="false">[1]ВИБУЛО2!CR24</f>
        <v>0</v>
      </c>
      <c r="JW32" s="97" t="n">
        <f aca="false">JW31-JV32+JU32</f>
        <v>0</v>
      </c>
      <c r="JX32" s="95" t="n">
        <f aca="false">[1]НАДІЙШЛО2!CS24</f>
        <v>0</v>
      </c>
      <c r="JY32" s="96" t="n">
        <f aca="false">[1]ВИБУЛО2!CS24</f>
        <v>0</v>
      </c>
      <c r="JZ32" s="97" t="n">
        <f aca="false">JZ31-JY32+JX32</f>
        <v>0</v>
      </c>
      <c r="KA32" s="95" t="n">
        <f aca="false">[1]НАДІЙШЛО2!CT24</f>
        <v>0</v>
      </c>
      <c r="KB32" s="96" t="n">
        <f aca="false">[1]ВИБУЛО2!CT24</f>
        <v>0</v>
      </c>
      <c r="KC32" s="97" t="n">
        <f aca="false">KC31-KB32+KA32</f>
        <v>0</v>
      </c>
      <c r="KD32" s="95" t="n">
        <f aca="false">[1]НАДІЙШЛО2!CU24</f>
        <v>0</v>
      </c>
      <c r="KE32" s="96" t="n">
        <f aca="false">[1]ВИБУЛО2!CU24</f>
        <v>0</v>
      </c>
      <c r="KF32" s="97" t="n">
        <f aca="false">KF31-KE32+KD32</f>
        <v>0</v>
      </c>
      <c r="KG32" s="95" t="n">
        <f aca="false">[1]НАДІЙШЛО2!CV24</f>
        <v>0</v>
      </c>
      <c r="KH32" s="96" t="n">
        <f aca="false">[1]ВИБУЛО2!CV24</f>
        <v>0</v>
      </c>
      <c r="KI32" s="97" t="n">
        <f aca="false">KI31-KH32+KG32</f>
        <v>0</v>
      </c>
      <c r="KJ32" s="95" t="n">
        <f aca="false">[1]НАДІЙШЛО2!CW24</f>
        <v>0</v>
      </c>
      <c r="KK32" s="96" t="n">
        <f aca="false">[1]ВИБУЛО2!CW24</f>
        <v>0</v>
      </c>
      <c r="KL32" s="97" t="n">
        <f aca="false">KL31-KK32+KJ32</f>
        <v>0</v>
      </c>
      <c r="KM32" s="95" t="n">
        <f aca="false">[1]НАДІЙШЛО2!CX24</f>
        <v>0</v>
      </c>
      <c r="KN32" s="96" t="n">
        <f aca="false">[1]ВИБУЛО2!CX24</f>
        <v>0</v>
      </c>
      <c r="KO32" s="97" t="n">
        <f aca="false">KO31-KN32+KM32</f>
        <v>0</v>
      </c>
      <c r="KP32" s="95" t="n">
        <f aca="false">[1]НАДІЙШЛО2!CY24</f>
        <v>0</v>
      </c>
      <c r="KQ32" s="96" t="n">
        <f aca="false">[1]ВИБУЛО2!CY24</f>
        <v>0</v>
      </c>
      <c r="KR32" s="97" t="n">
        <f aca="false">KR31-KQ32+KP32</f>
        <v>0</v>
      </c>
      <c r="KS32" s="95" t="n">
        <f aca="false">[1]НАДІЙШЛО2!CZ24</f>
        <v>0</v>
      </c>
      <c r="KT32" s="96" t="n">
        <f aca="false">[1]ВИБУЛО2!CZ24</f>
        <v>0</v>
      </c>
      <c r="KU32" s="97" t="n">
        <f aca="false">KU31-KT32+KS32</f>
        <v>0</v>
      </c>
      <c r="KV32" s="95" t="n">
        <f aca="false">[1]НАДІЙШЛО2!DA24</f>
        <v>0</v>
      </c>
      <c r="KW32" s="96" t="n">
        <f aca="false">[1]ВИБУЛО2!DA24</f>
        <v>0</v>
      </c>
      <c r="KX32" s="97" t="n">
        <f aca="false">KX31-KW32+KV32</f>
        <v>0</v>
      </c>
      <c r="KY32" s="95" t="n">
        <f aca="false">[1]НАДІЙШЛО2!DB24</f>
        <v>0</v>
      </c>
      <c r="KZ32" s="96" t="n">
        <f aca="false">[1]ВИБУЛО2!DB24</f>
        <v>0</v>
      </c>
      <c r="LA32" s="97" t="n">
        <f aca="false">LA31-KZ32+KY32</f>
        <v>0</v>
      </c>
      <c r="LB32" s="95" t="n">
        <f aca="false">[1]НАДІЙШЛО2!DC24</f>
        <v>0</v>
      </c>
      <c r="LC32" s="96" t="n">
        <f aca="false">[1]ВИБУЛО2!DC24</f>
        <v>0</v>
      </c>
      <c r="LD32" s="97" t="n">
        <f aca="false">LD31-LC32+LB32</f>
        <v>0</v>
      </c>
      <c r="LE32" s="95" t="n">
        <f aca="false">[1]НАДІЙШЛО2!DD24</f>
        <v>0</v>
      </c>
      <c r="LF32" s="96" t="n">
        <f aca="false">[1]ВИБУЛО2!DD24</f>
        <v>0</v>
      </c>
      <c r="LG32" s="97" t="n">
        <f aca="false">LG31-LF32+LE32</f>
        <v>0</v>
      </c>
      <c r="LH32" s="95" t="n">
        <f aca="false">[1]НАДІЙШЛО2!DE24</f>
        <v>0</v>
      </c>
      <c r="LI32" s="96" t="n">
        <f aca="false">[1]ВИБУЛО2!DE24</f>
        <v>0</v>
      </c>
      <c r="LJ32" s="97" t="n">
        <f aca="false">LJ31-LI32+LH32</f>
        <v>0</v>
      </c>
      <c r="LK32" s="95" t="n">
        <f aca="false">[1]НАДІЙШЛО2!DF24</f>
        <v>0</v>
      </c>
      <c r="LL32" s="96" t="n">
        <f aca="false">[1]ВИБУЛО2!DF24</f>
        <v>0</v>
      </c>
      <c r="LM32" s="97" t="n">
        <f aca="false">LM31-LL32+LK32</f>
        <v>0</v>
      </c>
      <c r="LN32" s="95" t="n">
        <f aca="false">[1]НАДІЙШЛО2!DG24</f>
        <v>0</v>
      </c>
      <c r="LO32" s="96" t="n">
        <f aca="false">[1]ВИБУЛО2!DG24</f>
        <v>0</v>
      </c>
      <c r="LP32" s="97" t="n">
        <f aca="false">LP31-LO32+LN32</f>
        <v>0</v>
      </c>
      <c r="LQ32" s="95" t="n">
        <f aca="false">[1]НАДІЙШЛО2!DH24</f>
        <v>0</v>
      </c>
      <c r="LR32" s="96" t="n">
        <f aca="false">[1]ВИБУЛО2!DH24</f>
        <v>0</v>
      </c>
      <c r="LS32" s="97" t="n">
        <f aca="false">LS31-LR32+LQ32</f>
        <v>0</v>
      </c>
      <c r="LT32" s="95" t="n">
        <f aca="false">[1]НАДІЙШЛО2!DI24</f>
        <v>0</v>
      </c>
      <c r="LU32" s="96" t="n">
        <f aca="false">[1]ВИБУЛО2!DI24</f>
        <v>0</v>
      </c>
      <c r="LV32" s="97" t="n">
        <f aca="false">LV31-LU32+LT32</f>
        <v>0</v>
      </c>
      <c r="LW32" s="95" t="n">
        <f aca="false">[1]НАДІЙШЛО2!DJ24</f>
        <v>0</v>
      </c>
      <c r="LX32" s="96" t="n">
        <f aca="false">[1]ВИБУЛО2!DJ24</f>
        <v>0</v>
      </c>
      <c r="LY32" s="97" t="n">
        <f aca="false">LY31-LX32+LW32</f>
        <v>0</v>
      </c>
      <c r="LZ32" s="95" t="n">
        <f aca="false">[1]НАДІЙШЛО2!DK24</f>
        <v>0</v>
      </c>
      <c r="MA32" s="96" t="n">
        <f aca="false">[1]ВИБУЛО2!DK24</f>
        <v>0</v>
      </c>
      <c r="MB32" s="97" t="n">
        <f aca="false">MB31-MA32+LZ32</f>
        <v>0</v>
      </c>
      <c r="MC32" s="95" t="n">
        <f aca="false">[1]НАДІЙШЛО2!DL24</f>
        <v>0</v>
      </c>
      <c r="MD32" s="96" t="n">
        <f aca="false">[1]ВИБУЛО2!DL24</f>
        <v>0</v>
      </c>
      <c r="ME32" s="97" t="n">
        <f aca="false">ME31-MD32+MC32</f>
        <v>0</v>
      </c>
      <c r="MF32" s="95" t="n">
        <f aca="false">[1]НАДІЙШЛО2!DM24</f>
        <v>0</v>
      </c>
      <c r="MG32" s="96" t="n">
        <f aca="false">[1]ВИБУЛО2!DM24</f>
        <v>0</v>
      </c>
      <c r="MH32" s="97" t="n">
        <f aca="false">MH31-MG32+MF32</f>
        <v>0</v>
      </c>
      <c r="MI32" s="95" t="n">
        <f aca="false">[1]НАДІЙШЛО2!DN24</f>
        <v>0</v>
      </c>
      <c r="MJ32" s="96" t="n">
        <f aca="false">[1]ВИБУЛО2!DN24</f>
        <v>0</v>
      </c>
      <c r="MK32" s="97" t="n">
        <f aca="false">MK31-MJ32+MI32</f>
        <v>0</v>
      </c>
      <c r="ML32" s="95" t="n">
        <f aca="false">[1]НАДІЙШЛО2!DO24</f>
        <v>0</v>
      </c>
      <c r="MM32" s="96" t="n">
        <f aca="false">[1]ВИБУЛО2!DO24</f>
        <v>0</v>
      </c>
      <c r="MN32" s="97" t="n">
        <f aca="false">MN31-MM32+ML32</f>
        <v>0</v>
      </c>
      <c r="MO32" s="95" t="n">
        <f aca="false">[1]НАДІЙШЛО2!DP24</f>
        <v>0</v>
      </c>
      <c r="MP32" s="96" t="n">
        <f aca="false">[1]ВИБУЛО2!DP24</f>
        <v>0</v>
      </c>
      <c r="MQ32" s="97" t="n">
        <f aca="false">MQ31-MP32+MO32</f>
        <v>0</v>
      </c>
      <c r="MR32" s="95" t="n">
        <f aca="false">[1]НАДІЙШЛО2!DQ24</f>
        <v>0</v>
      </c>
      <c r="MS32" s="96" t="n">
        <f aca="false">[1]ВИБУЛО2!DQ24</f>
        <v>0</v>
      </c>
      <c r="MT32" s="97" t="n">
        <f aca="false">MT31-MS32+MR32</f>
        <v>0</v>
      </c>
      <c r="MU32" s="95" t="n">
        <f aca="false">[1]НАДІЙШЛО2!DR24</f>
        <v>0</v>
      </c>
      <c r="MV32" s="96" t="n">
        <f aca="false">[1]ВИБУЛО2!DR24</f>
        <v>0</v>
      </c>
      <c r="MW32" s="97" t="n">
        <f aca="false">MW31-MV32+MU32</f>
        <v>0</v>
      </c>
      <c r="MX32" s="95" t="n">
        <f aca="false">[1]НАДІЙШЛО2!DS24</f>
        <v>0</v>
      </c>
      <c r="MY32" s="96" t="n">
        <f aca="false">[1]ВИБУЛО2!DS24</f>
        <v>0</v>
      </c>
      <c r="MZ32" s="97" t="n">
        <f aca="false">MZ31-MY32+MX32</f>
        <v>0</v>
      </c>
      <c r="NA32" s="95" t="n">
        <f aca="false">[1]НАДІЙШЛО2!DT24</f>
        <v>0</v>
      </c>
      <c r="NB32" s="96" t="n">
        <f aca="false">[1]ВИБУЛО2!DT24</f>
        <v>0</v>
      </c>
      <c r="NC32" s="97" t="n">
        <f aca="false">NC31-NB32+NA32</f>
        <v>0</v>
      </c>
      <c r="ND32" s="95" t="n">
        <f aca="false">[1]НАДІЙШЛО2!DU24</f>
        <v>0</v>
      </c>
      <c r="NE32" s="96" t="n">
        <f aca="false">[1]ВИБУЛО2!DU24</f>
        <v>0</v>
      </c>
      <c r="NF32" s="97" t="n">
        <f aca="false">NF31-NE32+ND32</f>
        <v>0</v>
      </c>
      <c r="NG32" s="95" t="n">
        <f aca="false">[1]НАДІЙШЛО2!DV24</f>
        <v>0</v>
      </c>
      <c r="NH32" s="96" t="n">
        <f aca="false">[1]ВИБУЛО2!DV24</f>
        <v>0</v>
      </c>
      <c r="NI32" s="97" t="n">
        <f aca="false">NI31-NH32+NG32</f>
        <v>0</v>
      </c>
      <c r="NJ32" s="95" t="n">
        <f aca="false">[1]НАДІЙШЛО2!DW24</f>
        <v>0</v>
      </c>
      <c r="NK32" s="96" t="n">
        <f aca="false">[1]ВИБУЛО2!DW24</f>
        <v>0</v>
      </c>
      <c r="NL32" s="97" t="n">
        <f aca="false">NL31-NK32+NJ32</f>
        <v>0</v>
      </c>
      <c r="NM32" s="95" t="n">
        <f aca="false">[1]НАДІЙШЛО2!DX24</f>
        <v>0</v>
      </c>
      <c r="NN32" s="96" t="n">
        <f aca="false">[1]ВИБУЛО2!DX24</f>
        <v>0</v>
      </c>
      <c r="NO32" s="97" t="n">
        <f aca="false">NO31-NN32+NM32</f>
        <v>0</v>
      </c>
      <c r="NP32" s="95" t="n">
        <f aca="false">[1]НАДІЙШЛО2!DY24</f>
        <v>0</v>
      </c>
      <c r="NQ32" s="96" t="n">
        <f aca="false">[1]ВИБУЛО2!DY24</f>
        <v>0</v>
      </c>
      <c r="NR32" s="97" t="n">
        <f aca="false">NR31-NQ32+NP32</f>
        <v>0</v>
      </c>
      <c r="NS32" s="95" t="n">
        <f aca="false">[1]НАДІЙШЛО2!DZ24</f>
        <v>0</v>
      </c>
      <c r="NT32" s="96" t="n">
        <f aca="false">[1]ВИБУЛО2!DZ24</f>
        <v>0</v>
      </c>
      <c r="NU32" s="97" t="n">
        <f aca="false">NU31-NT32+NS32</f>
        <v>0</v>
      </c>
      <c r="NV32" s="95" t="n">
        <f aca="false">[1]НАДІЙШЛО2!EA24</f>
        <v>0</v>
      </c>
      <c r="NW32" s="96" t="n">
        <f aca="false">[1]ВИБУЛО2!EA24</f>
        <v>0</v>
      </c>
      <c r="NX32" s="97" t="n">
        <f aca="false">NX31-NW32+NV32</f>
        <v>0</v>
      </c>
      <c r="NY32" s="95" t="n">
        <f aca="false">[1]НАДІЙШЛО2!EB24</f>
        <v>0</v>
      </c>
      <c r="NZ32" s="96" t="n">
        <f aca="false">[1]ВИБУЛО2!EB24</f>
        <v>0</v>
      </c>
      <c r="OA32" s="97" t="n">
        <f aca="false">OA31-NZ32+NY32</f>
        <v>0</v>
      </c>
      <c r="OB32" s="95" t="n">
        <f aca="false">[1]НАДІЙШЛО2!EC24</f>
        <v>0</v>
      </c>
      <c r="OC32" s="96" t="n">
        <f aca="false">[1]ВИБУЛО2!EC24</f>
        <v>0</v>
      </c>
      <c r="OD32" s="97" t="n">
        <f aca="false">OD31-OC32+OB32</f>
        <v>0</v>
      </c>
      <c r="OE32" s="95" t="n">
        <f aca="false">[1]НАДІЙШЛО2!ED24</f>
        <v>0</v>
      </c>
      <c r="OF32" s="96" t="n">
        <f aca="false">[1]ВИБУЛО2!ED24</f>
        <v>0</v>
      </c>
      <c r="OG32" s="97" t="n">
        <f aca="false">OG31-OF32+OE32</f>
        <v>0</v>
      </c>
      <c r="OH32" s="95" t="n">
        <f aca="false">[1]НАДІЙШЛО2!EE24</f>
        <v>0</v>
      </c>
      <c r="OI32" s="96" t="n">
        <f aca="false">[1]ВИБУЛО2!EE24</f>
        <v>0</v>
      </c>
      <c r="OJ32" s="97" t="n">
        <f aca="false">OJ31-OI32+OH32</f>
        <v>0</v>
      </c>
      <c r="OK32" s="95" t="n">
        <f aca="false">[1]НАДІЙШЛО2!EF24</f>
        <v>0</v>
      </c>
      <c r="OL32" s="96" t="n">
        <f aca="false">[1]ВИБУЛО2!EF24</f>
        <v>0</v>
      </c>
      <c r="OM32" s="97" t="n">
        <f aca="false">OM31-OL32+OK32</f>
        <v>0</v>
      </c>
      <c r="ON32" s="95" t="n">
        <f aca="false">[1]НАДІЙШЛО2!EG24</f>
        <v>0</v>
      </c>
      <c r="OO32" s="96" t="n">
        <f aca="false">[1]ВИБУЛО2!EG24</f>
        <v>0</v>
      </c>
      <c r="OP32" s="97" t="n">
        <f aca="false">OP31-OO32+ON32</f>
        <v>0</v>
      </c>
      <c r="OQ32" s="95" t="n">
        <f aca="false">[1]НАДІЙШЛО2!EH24</f>
        <v>0</v>
      </c>
      <c r="OR32" s="96" t="n">
        <f aca="false">[1]ВИБУЛО2!EH24</f>
        <v>0</v>
      </c>
      <c r="OS32" s="97" t="n">
        <f aca="false">OS31-OR32+OQ32</f>
        <v>0</v>
      </c>
      <c r="OT32" s="95" t="n">
        <f aca="false">[1]НАДІЙШЛО2!EI24</f>
        <v>0</v>
      </c>
      <c r="OU32" s="96" t="n">
        <f aca="false">[1]ВИБУЛО2!EI24</f>
        <v>0</v>
      </c>
      <c r="OV32" s="97" t="n">
        <f aca="false">OV31-OU32+OT32</f>
        <v>0</v>
      </c>
      <c r="OW32" s="95" t="n">
        <f aca="false">[1]НАДІЙШЛО2!EJ24</f>
        <v>0</v>
      </c>
      <c r="OX32" s="96" t="n">
        <f aca="false">[1]ВИБУЛО2!EJ24</f>
        <v>0</v>
      </c>
      <c r="OY32" s="97" t="n">
        <f aca="false">OY31-OX32+OW32</f>
        <v>0</v>
      </c>
      <c r="OZ32" s="95" t="n">
        <f aca="false">[1]НАДІЙШЛО2!EK24</f>
        <v>0</v>
      </c>
      <c r="PA32" s="96" t="n">
        <f aca="false">[1]ВИБУЛО2!EK24</f>
        <v>0</v>
      </c>
      <c r="PB32" s="97" t="n">
        <f aca="false">PB31-PA32+OZ32</f>
        <v>0</v>
      </c>
      <c r="PC32" s="95" t="n">
        <f aca="false">[1]НАДІЙШЛО2!EL24</f>
        <v>0</v>
      </c>
      <c r="PD32" s="96" t="n">
        <f aca="false">[1]ВИБУЛО2!EL24</f>
        <v>0</v>
      </c>
      <c r="PE32" s="97" t="n">
        <f aca="false">PE31-PD32+PC32</f>
        <v>0</v>
      </c>
      <c r="PF32" s="95" t="n">
        <f aca="false">[1]НАДІЙШЛО2!EM24</f>
        <v>0</v>
      </c>
      <c r="PG32" s="96" t="n">
        <f aca="false">[1]ВИБУЛО2!EM24</f>
        <v>0</v>
      </c>
      <c r="PH32" s="97" t="n">
        <f aca="false">PH31-PG32+PF32</f>
        <v>0</v>
      </c>
      <c r="PI32" s="95" t="n">
        <f aca="false">[1]НАДІЙШЛО2!EN24</f>
        <v>0</v>
      </c>
      <c r="PJ32" s="96" t="n">
        <f aca="false">[1]ВИБУЛО2!EN24</f>
        <v>0</v>
      </c>
      <c r="PK32" s="97" t="n">
        <f aca="false">PK31-PJ32+PI32</f>
        <v>0</v>
      </c>
      <c r="PL32" s="95" t="n">
        <f aca="false">[1]НАДІЙШЛО2!EO24</f>
        <v>0</v>
      </c>
      <c r="PM32" s="96" t="n">
        <f aca="false">[1]ВИБУЛО2!EO24</f>
        <v>0</v>
      </c>
      <c r="PN32" s="97" t="n">
        <f aca="false">PN31-PM32+PL32</f>
        <v>0</v>
      </c>
      <c r="PO32" s="95" t="n">
        <f aca="false">[1]НАДІЙШЛО2!EP24</f>
        <v>0</v>
      </c>
      <c r="PP32" s="96" t="n">
        <f aca="false">[1]ВИБУЛО2!EP24</f>
        <v>0</v>
      </c>
      <c r="PQ32" s="97" t="n">
        <f aca="false">PQ31-PP32+PO32</f>
        <v>0</v>
      </c>
      <c r="PR32" s="95" t="n">
        <f aca="false">[1]НАДІЙШЛО2!EQ24</f>
        <v>0</v>
      </c>
      <c r="PS32" s="96" t="n">
        <f aca="false">[1]ВИБУЛО2!EQ24</f>
        <v>0</v>
      </c>
      <c r="PT32" s="97" t="n">
        <f aca="false">PT31-PS32+PR32</f>
        <v>0</v>
      </c>
      <c r="PU32" s="95" t="n">
        <f aca="false">[1]НАДІЙШЛО2!ER24</f>
        <v>0</v>
      </c>
      <c r="PV32" s="96" t="n">
        <f aca="false">[1]ВИБУЛО2!ER24</f>
        <v>0</v>
      </c>
      <c r="PW32" s="97" t="n">
        <f aca="false">PW31-PV32+PU32</f>
        <v>0</v>
      </c>
      <c r="PX32" s="95" t="n">
        <f aca="false">[1]НАДІЙШЛО2!ES24</f>
        <v>0</v>
      </c>
      <c r="PY32" s="96" t="n">
        <f aca="false">[1]ВИБУЛО2!ES24</f>
        <v>0</v>
      </c>
      <c r="PZ32" s="97" t="n">
        <f aca="false">PZ31-PY32+PX32</f>
        <v>0</v>
      </c>
      <c r="QA32" s="95" t="n">
        <f aca="false">[1]НАДІЙШЛО2!ET24</f>
        <v>0</v>
      </c>
      <c r="QB32" s="96" t="n">
        <f aca="false">[1]ВИБУЛО2!ET24</f>
        <v>0</v>
      </c>
      <c r="QC32" s="97" t="n">
        <f aca="false">QC31-QB32+QA32</f>
        <v>0</v>
      </c>
      <c r="QD32" s="95" t="n">
        <f aca="false">[1]НАДІЙШЛО2!EU24</f>
        <v>0</v>
      </c>
      <c r="QE32" s="96" t="n">
        <f aca="false">[1]ВИБУЛО2!EU24</f>
        <v>0</v>
      </c>
      <c r="QF32" s="97" t="n">
        <f aca="false">QF31-QE32+QD32</f>
        <v>0</v>
      </c>
      <c r="QG32" s="95" t="n">
        <f aca="false">[1]НАДІЙШЛО2!EV24</f>
        <v>0</v>
      </c>
      <c r="QH32" s="96" t="n">
        <f aca="false">[1]ВИБУЛО2!EV24</f>
        <v>0</v>
      </c>
      <c r="QI32" s="97" t="n">
        <f aca="false">QI31-QH32+QG32</f>
        <v>0</v>
      </c>
      <c r="QJ32" s="95" t="n">
        <f aca="false">[1]НАДІЙШЛО2!EW24</f>
        <v>0</v>
      </c>
      <c r="QK32" s="96" t="n">
        <f aca="false">[1]ВИБУЛО2!EW24</f>
        <v>0</v>
      </c>
      <c r="QL32" s="97" t="n">
        <f aca="false">QL31-QK32+QJ32</f>
        <v>0</v>
      </c>
      <c r="QM32" s="95" t="n">
        <f aca="false">[1]НАДІЙШЛО2!EX24</f>
        <v>0</v>
      </c>
      <c r="QN32" s="96" t="n">
        <f aca="false">[1]ВИБУЛО2!EX24</f>
        <v>0</v>
      </c>
      <c r="QO32" s="97" t="n">
        <f aca="false">QO31-QN32+QM32</f>
        <v>0</v>
      </c>
      <c r="QP32" s="95" t="n">
        <f aca="false">[1]НАДІЙШЛО2!EY24</f>
        <v>0</v>
      </c>
      <c r="QQ32" s="96" t="n">
        <f aca="false">[1]ВИБУЛО2!EY24</f>
        <v>0</v>
      </c>
      <c r="QR32" s="97" t="n">
        <f aca="false">QR31-QQ32+QP32</f>
        <v>0</v>
      </c>
      <c r="QS32" s="95" t="n">
        <f aca="false">[1]НАДІЙШЛО2!EZ24</f>
        <v>0</v>
      </c>
      <c r="QT32" s="96" t="n">
        <f aca="false">[1]ВИБУЛО2!EZ24</f>
        <v>0</v>
      </c>
      <c r="QU32" s="97" t="n">
        <f aca="false">QU31-QT32+QS32</f>
        <v>0</v>
      </c>
      <c r="QV32" s="95" t="n">
        <f aca="false">[1]НАДІЙШЛО2!FA24</f>
        <v>0</v>
      </c>
      <c r="QW32" s="96" t="n">
        <f aca="false">[1]ВИБУЛО2!FA24</f>
        <v>0</v>
      </c>
      <c r="QX32" s="97" t="n">
        <f aca="false">QX31-QW32+QV32</f>
        <v>0</v>
      </c>
      <c r="QY32" s="95" t="n">
        <f aca="false">[1]НАДІЙШЛО2!FB24</f>
        <v>0</v>
      </c>
      <c r="QZ32" s="96" t="n">
        <f aca="false">[1]ВИБУЛО2!FB24</f>
        <v>0</v>
      </c>
      <c r="RA32" s="97" t="n">
        <f aca="false">RA31-QZ32+QY32</f>
        <v>0</v>
      </c>
      <c r="RB32" s="95" t="n">
        <f aca="false">[1]НАДІЙШЛО2!FC24</f>
        <v>0</v>
      </c>
      <c r="RC32" s="96" t="n">
        <f aca="false">[1]ВИБУЛО2!FC24</f>
        <v>0</v>
      </c>
      <c r="RD32" s="97" t="n">
        <f aca="false">RD31-RC32+RB32</f>
        <v>0</v>
      </c>
      <c r="RE32" s="95" t="n">
        <f aca="false">[1]НАДІЙШЛО2!FD24</f>
        <v>0</v>
      </c>
      <c r="RF32" s="96" t="n">
        <f aca="false">[1]ВИБУЛО2!FD24</f>
        <v>0</v>
      </c>
      <c r="RG32" s="97" t="n">
        <f aca="false">RG31-RF32+RE32</f>
        <v>0</v>
      </c>
      <c r="RH32" s="95" t="n">
        <f aca="false">[1]НАДІЙШЛО2!FE24</f>
        <v>0</v>
      </c>
      <c r="RI32" s="96" t="n">
        <f aca="false">[1]ВИБУЛО2!FE24</f>
        <v>0</v>
      </c>
      <c r="RJ32" s="97" t="n">
        <f aca="false">RJ31-RI32+RH32</f>
        <v>0</v>
      </c>
      <c r="RK32" s="95" t="n">
        <f aca="false">[1]НАДІЙШЛО2!FF24</f>
        <v>0</v>
      </c>
      <c r="RL32" s="96" t="n">
        <f aca="false">[1]ВИБУЛО2!FF24</f>
        <v>0</v>
      </c>
      <c r="RM32" s="97" t="n">
        <f aca="false">RM31-RL32+RK32</f>
        <v>0</v>
      </c>
      <c r="RN32" s="95" t="n">
        <f aca="false">[1]НАДІЙШЛО2!FG24</f>
        <v>0</v>
      </c>
      <c r="RO32" s="96" t="n">
        <f aca="false">[1]ВИБУЛО2!FG24</f>
        <v>0</v>
      </c>
      <c r="RP32" s="97" t="n">
        <f aca="false">RP31-RO32+RN32</f>
        <v>0</v>
      </c>
      <c r="RQ32" s="95" t="n">
        <f aca="false">[1]НАДІЙШЛО2!FH24</f>
        <v>0</v>
      </c>
      <c r="RR32" s="96" t="n">
        <f aca="false">[1]ВИБУЛО2!FH24</f>
        <v>0</v>
      </c>
      <c r="RS32" s="97" t="n">
        <f aca="false">RS31-RR32+RQ32</f>
        <v>0</v>
      </c>
      <c r="RT32" s="95" t="n">
        <f aca="false">[1]НАДІЙШЛО2!FI24</f>
        <v>0</v>
      </c>
      <c r="RU32" s="96" t="n">
        <f aca="false">[1]ВИБУЛО2!FI24</f>
        <v>0</v>
      </c>
      <c r="RV32" s="97" t="n">
        <f aca="false">RV31-RU32+RT32</f>
        <v>0</v>
      </c>
      <c r="RW32" s="95" t="n">
        <f aca="false">[1]НАДІЙШЛО2!FJ24</f>
        <v>0</v>
      </c>
      <c r="RX32" s="96" t="n">
        <f aca="false">[1]ВИБУЛО2!FJ24</f>
        <v>0</v>
      </c>
      <c r="RY32" s="97" t="n">
        <f aca="false">RY31-RX32+RW32</f>
        <v>0</v>
      </c>
      <c r="RZ32" s="95" t="n">
        <f aca="false">[1]НАДІЙШЛО2!FK24</f>
        <v>0</v>
      </c>
      <c r="SA32" s="96" t="n">
        <f aca="false">[1]ВИБУЛО2!FK24</f>
        <v>0</v>
      </c>
      <c r="SB32" s="97" t="n">
        <f aca="false">SB31-SA32+RZ32</f>
        <v>0</v>
      </c>
      <c r="SC32" s="95" t="n">
        <f aca="false">[1]НАДІЙШЛО2!FL24</f>
        <v>0</v>
      </c>
      <c r="SD32" s="96" t="n">
        <f aca="false">[1]ВИБУЛО2!FL24</f>
        <v>0</v>
      </c>
      <c r="SE32" s="97" t="n">
        <f aca="false">SE31-SD32+SC32</f>
        <v>0</v>
      </c>
      <c r="SF32" s="95" t="n">
        <f aca="false">[1]НАДІЙШЛО2!FM24</f>
        <v>0</v>
      </c>
      <c r="SG32" s="96" t="n">
        <f aca="false">[1]ВИБУЛО2!FM24</f>
        <v>0</v>
      </c>
      <c r="SH32" s="97" t="n">
        <f aca="false">SH31-SG32+SF32</f>
        <v>0</v>
      </c>
      <c r="SI32" s="95" t="n">
        <f aca="false">[1]НАДІЙШЛО2!FN24</f>
        <v>0</v>
      </c>
      <c r="SJ32" s="96" t="n">
        <f aca="false">[1]ВИБУЛО2!FN24</f>
        <v>0</v>
      </c>
      <c r="SK32" s="97" t="n">
        <f aca="false">SK31-SJ32+SI32</f>
        <v>0</v>
      </c>
      <c r="SL32" s="95" t="n">
        <f aca="false">[1]НАДІЙШЛО2!FO24</f>
        <v>0</v>
      </c>
      <c r="SM32" s="96" t="n">
        <f aca="false">[1]ВИБУЛО2!FO24</f>
        <v>0</v>
      </c>
      <c r="SN32" s="97" t="n">
        <f aca="false">SN31-SM32+SL32</f>
        <v>0</v>
      </c>
      <c r="SO32" s="95" t="n">
        <f aca="false">[1]НАДІЙШЛО2!FP24</f>
        <v>0</v>
      </c>
      <c r="SP32" s="96" t="n">
        <f aca="false">[1]ВИБУЛО2!FP24</f>
        <v>0</v>
      </c>
      <c r="SQ32" s="97" t="n">
        <f aca="false">SQ31-SP32+SO32</f>
        <v>0</v>
      </c>
      <c r="SR32" s="95" t="n">
        <f aca="false">[1]НАДІЙШЛО2!FQ24</f>
        <v>0</v>
      </c>
      <c r="SS32" s="96" t="n">
        <f aca="false">[1]ВИБУЛО2!FQ24</f>
        <v>0</v>
      </c>
      <c r="ST32" s="97" t="n">
        <f aca="false">ST31-SS32+SR32</f>
        <v>0</v>
      </c>
      <c r="SU32" s="95" t="n">
        <f aca="false">[1]НАДІЙШЛО2!FR24</f>
        <v>0</v>
      </c>
      <c r="SV32" s="96" t="n">
        <f aca="false">[1]ВИБУЛО2!FR24</f>
        <v>0</v>
      </c>
      <c r="SW32" s="97" t="n">
        <f aca="false">SW31-SV32+SU32</f>
        <v>0</v>
      </c>
      <c r="SX32" s="95" t="n">
        <f aca="false">[1]НАДІЙШЛО2!FS24</f>
        <v>0</v>
      </c>
      <c r="SY32" s="96" t="n">
        <f aca="false">[1]ВИБУЛО2!FS24</f>
        <v>0</v>
      </c>
      <c r="SZ32" s="97" t="n">
        <f aca="false">SZ31-SY32+SX32</f>
        <v>0</v>
      </c>
      <c r="TA32" s="95" t="n">
        <f aca="false">[1]НАДІЙШЛО2!FT24</f>
        <v>0</v>
      </c>
      <c r="TB32" s="96" t="n">
        <f aca="false">[1]ВИБУЛО2!FT24</f>
        <v>0</v>
      </c>
      <c r="TC32" s="97" t="n">
        <f aca="false">TC31-TB32+TA32</f>
        <v>0</v>
      </c>
      <c r="TD32" s="95" t="n">
        <f aca="false">[1]НАДІЙШЛО2!FU24</f>
        <v>0</v>
      </c>
      <c r="TE32" s="96" t="n">
        <f aca="false">[1]ВИБУЛО2!FU24</f>
        <v>0</v>
      </c>
      <c r="TF32" s="97" t="n">
        <f aca="false">TF31-TE32+TD32</f>
        <v>0</v>
      </c>
      <c r="TG32" s="95" t="n">
        <f aca="false">[1]НАДІЙШЛО2!FV24</f>
        <v>0</v>
      </c>
      <c r="TH32" s="96" t="n">
        <f aca="false">[1]ВИБУЛО2!FV24</f>
        <v>0</v>
      </c>
      <c r="TI32" s="97" t="n">
        <f aca="false">TI31-TH32+TG32</f>
        <v>0</v>
      </c>
      <c r="TJ32" s="95" t="n">
        <f aca="false">[1]НАДІЙШЛО2!FW24</f>
        <v>0</v>
      </c>
      <c r="TK32" s="96" t="n">
        <f aca="false">[1]ВИБУЛО2!FW24</f>
        <v>0</v>
      </c>
      <c r="TL32" s="97" t="n">
        <f aca="false">TL31-TK32+TJ32</f>
        <v>0</v>
      </c>
      <c r="TM32" s="95" t="n">
        <f aca="false">[1]НАДІЙШЛО2!FX24</f>
        <v>0</v>
      </c>
      <c r="TN32" s="96" t="n">
        <f aca="false">[1]ВИБУЛО2!FX24</f>
        <v>0</v>
      </c>
      <c r="TO32" s="97" t="n">
        <f aca="false">TO31-TN32+TM32</f>
        <v>0</v>
      </c>
      <c r="TP32" s="95" t="n">
        <f aca="false">[1]НАДІЙШЛО2!FY24</f>
        <v>0</v>
      </c>
      <c r="TQ32" s="96" t="n">
        <f aca="false">[1]ВИБУЛО2!FY24</f>
        <v>0</v>
      </c>
      <c r="TR32" s="97" t="n">
        <f aca="false">TR31-TQ32+TP32</f>
        <v>0</v>
      </c>
      <c r="TS32" s="95" t="n">
        <f aca="false">[1]НАДІЙШЛО2!FZ24</f>
        <v>0</v>
      </c>
      <c r="TT32" s="96" t="n">
        <f aca="false">[1]ВИБУЛО2!FZ24</f>
        <v>0</v>
      </c>
      <c r="TU32" s="97" t="n">
        <f aca="false">TU31-TT32+TS32</f>
        <v>0</v>
      </c>
      <c r="TV32" s="95" t="n">
        <f aca="false">[1]НАДІЙШЛО2!GA24</f>
        <v>0</v>
      </c>
      <c r="TW32" s="96" t="n">
        <f aca="false">[1]ВИБУЛО2!GA24</f>
        <v>0</v>
      </c>
      <c r="TX32" s="97" t="n">
        <f aca="false">TX31-TW32+TV32</f>
        <v>0</v>
      </c>
      <c r="TY32" s="95" t="n">
        <f aca="false">[1]НАДІЙШЛО2!GB24</f>
        <v>0</v>
      </c>
      <c r="TZ32" s="96" t="n">
        <f aca="false">[1]ВИБУЛО2!GB24</f>
        <v>0</v>
      </c>
      <c r="UA32" s="97" t="n">
        <f aca="false">UA31-TZ32+TY32</f>
        <v>0</v>
      </c>
      <c r="UB32" s="95" t="n">
        <f aca="false">[1]НАДІЙШЛО2!GC24</f>
        <v>0</v>
      </c>
      <c r="UC32" s="96" t="n">
        <f aca="false">[1]ВИБУЛО2!GC24</f>
        <v>0</v>
      </c>
      <c r="UD32" s="97" t="n">
        <f aca="false">UD31-UC32+UB32</f>
        <v>0</v>
      </c>
      <c r="UE32" s="95" t="n">
        <f aca="false">[1]НАДІЙШЛО2!GD24</f>
        <v>0</v>
      </c>
      <c r="UF32" s="96" t="n">
        <f aca="false">[1]ВИБУЛО2!GD24</f>
        <v>0</v>
      </c>
      <c r="UG32" s="97" t="n">
        <f aca="false">UG31-UF32+UE32</f>
        <v>0</v>
      </c>
      <c r="UH32" s="95" t="n">
        <f aca="false">[1]НАДІЙШЛО2!GE24</f>
        <v>0</v>
      </c>
      <c r="UI32" s="96" t="n">
        <f aca="false">[1]ВИБУЛО2!GE24</f>
        <v>0</v>
      </c>
      <c r="UJ32" s="97" t="n">
        <f aca="false">UJ31-UI32+UH32</f>
        <v>0</v>
      </c>
      <c r="UK32" s="95" t="n">
        <f aca="false">[1]НАДІЙШЛО2!GF24</f>
        <v>0</v>
      </c>
      <c r="UL32" s="96" t="n">
        <f aca="false">[1]ВИБУЛО2!GF24</f>
        <v>0</v>
      </c>
      <c r="UM32" s="97" t="n">
        <f aca="false">UM31-UL32+UK32</f>
        <v>0</v>
      </c>
      <c r="UN32" s="95" t="n">
        <f aca="false">[1]НАДІЙШЛО2!GG24</f>
        <v>0</v>
      </c>
      <c r="UO32" s="96" t="n">
        <f aca="false">[1]ВИБУЛО2!GG24</f>
        <v>0</v>
      </c>
      <c r="UP32" s="97" t="n">
        <f aca="false">UP31-UO32+UN32</f>
        <v>0</v>
      </c>
      <c r="UQ32" s="95" t="n">
        <f aca="false">[1]НАДІЙШЛО2!GH24</f>
        <v>0</v>
      </c>
      <c r="UR32" s="96" t="n">
        <f aca="false">[1]ВИБУЛО2!GH24</f>
        <v>0</v>
      </c>
      <c r="US32" s="97" t="n">
        <f aca="false">US31-UR32+UQ32</f>
        <v>0</v>
      </c>
      <c r="UT32" s="95" t="n">
        <f aca="false">[1]НАДІЙШЛО2!GI24</f>
        <v>0</v>
      </c>
      <c r="UU32" s="96" t="n">
        <f aca="false">[1]ВИБУЛО2!GI24</f>
        <v>0</v>
      </c>
      <c r="UV32" s="97" t="n">
        <f aca="false">UV31-UU32+UT32</f>
        <v>0</v>
      </c>
      <c r="UW32" s="95" t="n">
        <f aca="false">[1]НАДІЙШЛО2!GJ24</f>
        <v>0</v>
      </c>
      <c r="UX32" s="96" t="n">
        <f aca="false">[1]ВИБУЛО2!GJ24</f>
        <v>0</v>
      </c>
      <c r="UY32" s="97" t="n">
        <f aca="false">UY31-UX32+UW32</f>
        <v>0</v>
      </c>
      <c r="UZ32" s="95" t="n">
        <f aca="false">[1]НАДІЙШЛО2!GK24</f>
        <v>0</v>
      </c>
      <c r="VA32" s="96" t="n">
        <f aca="false">[1]ВИБУЛО2!GK24</f>
        <v>0</v>
      </c>
      <c r="VB32" s="97" t="n">
        <f aca="false">VB31-VA32+UZ32</f>
        <v>0</v>
      </c>
      <c r="VC32" s="95" t="n">
        <f aca="false">[1]НАДІЙШЛО2!GL24</f>
        <v>0</v>
      </c>
      <c r="VD32" s="96" t="n">
        <f aca="false">[1]ВИБУЛО2!GL24</f>
        <v>0</v>
      </c>
      <c r="VE32" s="97" t="n">
        <f aca="false">VE31-VD32+VC32</f>
        <v>0</v>
      </c>
      <c r="VF32" s="95" t="n">
        <f aca="false">[1]НАДІЙШЛО2!GM24</f>
        <v>0</v>
      </c>
      <c r="VG32" s="96" t="n">
        <f aca="false">[1]ВИБУЛО2!GM24</f>
        <v>0</v>
      </c>
      <c r="VH32" s="97" t="n">
        <f aca="false">VH31-VG32+VF32</f>
        <v>0</v>
      </c>
      <c r="VI32" s="95" t="n">
        <f aca="false">[1]НАДІЙШЛО2!GN24</f>
        <v>0</v>
      </c>
      <c r="VJ32" s="96" t="n">
        <f aca="false">[1]ВИБУЛО2!GN24</f>
        <v>0</v>
      </c>
      <c r="VK32" s="97" t="n">
        <f aca="false">VK31-VJ32+VI32</f>
        <v>0</v>
      </c>
      <c r="VL32" s="95" t="n">
        <f aca="false">[1]НАДІЙШЛО2!GO24</f>
        <v>0</v>
      </c>
      <c r="VM32" s="96" t="n">
        <f aca="false">[1]ВИБУЛО2!GO24</f>
        <v>0</v>
      </c>
      <c r="VN32" s="97" t="n">
        <f aca="false">VN31-VM32+VL32</f>
        <v>0</v>
      </c>
      <c r="VO32" s="95" t="n">
        <f aca="false">[1]НАДІЙШЛО2!GP24</f>
        <v>0</v>
      </c>
      <c r="VP32" s="96" t="n">
        <f aca="false">[1]ВИБУЛО2!GP24</f>
        <v>0</v>
      </c>
      <c r="VQ32" s="97" t="n">
        <f aca="false">VQ31-VP32+VO32</f>
        <v>0</v>
      </c>
      <c r="VR32" s="95" t="n">
        <f aca="false">[1]НАДІЙШЛО2!GQ24</f>
        <v>0</v>
      </c>
      <c r="VS32" s="96" t="n">
        <f aca="false">[1]ВИБУЛО2!GQ24</f>
        <v>0</v>
      </c>
      <c r="VT32" s="97" t="n">
        <f aca="false">VT31-VS32+VR32</f>
        <v>0</v>
      </c>
      <c r="VU32" s="95" t="n">
        <f aca="false">[1]НАДІЙШЛО2!GR24</f>
        <v>0</v>
      </c>
      <c r="VV32" s="96" t="n">
        <f aca="false">[1]ВИБУЛО2!GR24</f>
        <v>0</v>
      </c>
      <c r="VW32" s="97" t="n">
        <f aca="false">VW31-VV32+VU32</f>
        <v>0</v>
      </c>
      <c r="VX32" s="95" t="n">
        <f aca="false">[1]НАДІЙШЛО2!GS24</f>
        <v>0</v>
      </c>
      <c r="VY32" s="96" t="n">
        <f aca="false">[1]ВИБУЛО2!GS24</f>
        <v>0</v>
      </c>
      <c r="VZ32" s="97" t="n">
        <f aca="false">VZ31-VY32+VX32</f>
        <v>0</v>
      </c>
      <c r="WA32" s="95" t="n">
        <f aca="false">[1]НАДІЙШЛО2!GT24</f>
        <v>0</v>
      </c>
      <c r="WB32" s="96" t="n">
        <f aca="false">[1]ВИБУЛО2!GT24</f>
        <v>0</v>
      </c>
      <c r="WC32" s="97" t="n">
        <f aca="false">WC31-WB32+WA32</f>
        <v>0</v>
      </c>
      <c r="WD32" s="95" t="n">
        <f aca="false">[1]НАДІЙШЛО2!GU24</f>
        <v>0</v>
      </c>
      <c r="WE32" s="96" t="n">
        <f aca="false">[1]ВИБУЛО2!GU24</f>
        <v>0</v>
      </c>
      <c r="WF32" s="97" t="n">
        <f aca="false">WF31-WE32+WD32</f>
        <v>0</v>
      </c>
      <c r="WG32" s="95" t="n">
        <f aca="false">[1]НАДІЙШЛО2!GV24</f>
        <v>0</v>
      </c>
      <c r="WH32" s="96" t="n">
        <f aca="false">[1]ВИБУЛО2!GV24</f>
        <v>0</v>
      </c>
      <c r="WI32" s="97" t="n">
        <f aca="false">WI31-WH32+WG32</f>
        <v>0</v>
      </c>
      <c r="WJ32" s="95" t="n">
        <f aca="false">[1]НАДІЙШЛО2!GW24</f>
        <v>0</v>
      </c>
      <c r="WK32" s="96" t="n">
        <f aca="false">[1]ВИБУЛО2!GW24</f>
        <v>0</v>
      </c>
      <c r="WL32" s="97" t="n">
        <f aca="false">WL31-WK32+WJ32</f>
        <v>0</v>
      </c>
      <c r="WM32" s="95" t="n">
        <f aca="false">[1]НАДІЙШЛО2!GX24</f>
        <v>0</v>
      </c>
      <c r="WN32" s="96" t="n">
        <f aca="false">[1]ВИБУЛО2!GX24</f>
        <v>0</v>
      </c>
      <c r="WO32" s="97" t="n">
        <f aca="false">WO31-WN32+WM32</f>
        <v>0</v>
      </c>
      <c r="WP32" s="95" t="n">
        <f aca="false">[1]НАДІЙШЛО2!GY24</f>
        <v>0</v>
      </c>
      <c r="WQ32" s="96" t="n">
        <f aca="false">[1]ВИБУЛО2!GY24</f>
        <v>0</v>
      </c>
      <c r="WR32" s="97" t="n">
        <f aca="false">WR31-WQ32+WP32</f>
        <v>0</v>
      </c>
      <c r="WS32" s="95" t="n">
        <f aca="false">[1]НАДІЙШЛО2!GZ24</f>
        <v>0</v>
      </c>
      <c r="WT32" s="96" t="n">
        <f aca="false">[1]ВИБУЛО2!GZ24</f>
        <v>0</v>
      </c>
      <c r="WU32" s="97" t="n">
        <f aca="false">WU31-WT32+WS32</f>
        <v>0</v>
      </c>
      <c r="WV32" s="95" t="n">
        <f aca="false">[1]НАДІЙШЛО2!HA24</f>
        <v>0</v>
      </c>
      <c r="WW32" s="96" t="n">
        <f aca="false">[1]ВИБУЛО2!HA24</f>
        <v>0</v>
      </c>
      <c r="WX32" s="97" t="n">
        <f aca="false">WX31-WW32+WV32</f>
        <v>0</v>
      </c>
      <c r="WY32" s="95" t="n">
        <f aca="false">[1]НАДІЙШЛО2!HB24</f>
        <v>0</v>
      </c>
      <c r="WZ32" s="96" t="n">
        <f aca="false">[1]ВИБУЛО2!HB24</f>
        <v>0</v>
      </c>
      <c r="XA32" s="97" t="n">
        <f aca="false">XA31-WZ32+WY32</f>
        <v>0</v>
      </c>
      <c r="XB32" s="95" t="n">
        <f aca="false">[1]НАДІЙШЛО2!HC24</f>
        <v>0</v>
      </c>
      <c r="XC32" s="96" t="n">
        <f aca="false">[1]ВИБУЛО2!HC24</f>
        <v>0</v>
      </c>
      <c r="XD32" s="97" t="n">
        <f aca="false">XD31-XC32+XB32</f>
        <v>0</v>
      </c>
      <c r="XE32" s="95" t="n">
        <f aca="false">[1]НАДІЙШЛО2!HD24</f>
        <v>0</v>
      </c>
      <c r="XF32" s="96" t="n">
        <f aca="false">[1]ВИБУЛО2!HD24</f>
        <v>0</v>
      </c>
      <c r="XG32" s="97" t="n">
        <f aca="false">XG31-XF32+XE32</f>
        <v>0</v>
      </c>
      <c r="XH32" s="95" t="n">
        <f aca="false">[1]НАДІЙШЛО2!HE24</f>
        <v>0</v>
      </c>
      <c r="XI32" s="96" t="n">
        <f aca="false">[1]ВИБУЛО2!HE24</f>
        <v>0</v>
      </c>
      <c r="XJ32" s="97" t="n">
        <f aca="false">XJ31-XI32+XH32</f>
        <v>0</v>
      </c>
      <c r="XK32" s="95" t="n">
        <f aca="false">[1]НАДІЙШЛО2!HF24</f>
        <v>0</v>
      </c>
      <c r="XL32" s="96" t="n">
        <f aca="false">[1]ВИБУЛО2!HF24</f>
        <v>0</v>
      </c>
      <c r="XM32" s="97" t="n">
        <f aca="false">XM31-XL32+XK32</f>
        <v>0</v>
      </c>
      <c r="XN32" s="95" t="n">
        <f aca="false">[1]НАДІЙШЛО2!HG24</f>
        <v>0</v>
      </c>
      <c r="XO32" s="96" t="n">
        <f aca="false">[1]ВИБУЛО2!HG24</f>
        <v>0</v>
      </c>
      <c r="XP32" s="97" t="n">
        <f aca="false">XP31-XO32+XN32</f>
        <v>0</v>
      </c>
      <c r="XQ32" s="95" t="n">
        <f aca="false">[1]НАДІЙШЛО2!HH24</f>
        <v>0</v>
      </c>
      <c r="XR32" s="96" t="n">
        <f aca="false">[1]ВИБУЛО2!HH24</f>
        <v>0</v>
      </c>
      <c r="XS32" s="97" t="n">
        <f aca="false">XS31-XR32+XQ32</f>
        <v>0</v>
      </c>
      <c r="XT32" s="95" t="n">
        <f aca="false">[1]НАДІЙШЛО2!HI24</f>
        <v>0</v>
      </c>
      <c r="XU32" s="96" t="n">
        <f aca="false">[1]ВИБУЛО2!HI24</f>
        <v>0</v>
      </c>
      <c r="XV32" s="97" t="n">
        <f aca="false">XV31-XU32+XT32</f>
        <v>0</v>
      </c>
      <c r="XW32" s="95" t="n">
        <f aca="false">[1]НАДІЙШЛО2!HJ24</f>
        <v>0</v>
      </c>
      <c r="XX32" s="96" t="n">
        <f aca="false">[1]ВИБУЛО2!HJ24</f>
        <v>0</v>
      </c>
      <c r="XY32" s="97" t="n">
        <f aca="false">XY31-XX32+XW32</f>
        <v>0</v>
      </c>
      <c r="XZ32" s="95" t="n">
        <f aca="false">[1]НАДІЙШЛО2!HK24</f>
        <v>0</v>
      </c>
      <c r="YA32" s="96" t="n">
        <f aca="false">[1]ВИБУЛО2!HK24</f>
        <v>0</v>
      </c>
      <c r="YB32" s="97" t="n">
        <f aca="false">YB31-YA32+XZ32</f>
        <v>0</v>
      </c>
      <c r="YC32" s="95" t="n">
        <f aca="false">[1]НАДІЙШЛО2!HL24</f>
        <v>0</v>
      </c>
      <c r="YD32" s="96" t="n">
        <f aca="false">[1]ВИБУЛО2!HL24</f>
        <v>0</v>
      </c>
      <c r="YE32" s="97" t="n">
        <f aca="false">YE31-YD32+YC32</f>
        <v>0</v>
      </c>
      <c r="YF32" s="95" t="n">
        <f aca="false">[1]НАДІЙШЛО2!HM24</f>
        <v>0</v>
      </c>
      <c r="YG32" s="96" t="n">
        <f aca="false">[1]ВИБУЛО2!HM24</f>
        <v>0</v>
      </c>
      <c r="YH32" s="97" t="n">
        <f aca="false">YH31-YG32+YF32</f>
        <v>0</v>
      </c>
      <c r="YI32" s="95" t="n">
        <f aca="false">[1]НАДІЙШЛО2!HN24</f>
        <v>0</v>
      </c>
      <c r="YJ32" s="96" t="n">
        <f aca="false">[1]ВИБУЛО2!HN24</f>
        <v>0</v>
      </c>
      <c r="YK32" s="97" t="n">
        <f aca="false">YK31-YJ32+YI32</f>
        <v>0</v>
      </c>
      <c r="YL32" s="95" t="n">
        <f aca="false">[1]НАДІЙШЛО2!HO24</f>
        <v>0</v>
      </c>
      <c r="YM32" s="96" t="n">
        <f aca="false">[1]ВИБУЛО2!HO24</f>
        <v>0</v>
      </c>
      <c r="YN32" s="97" t="n">
        <f aca="false">YN31-YM32+YL32</f>
        <v>0</v>
      </c>
      <c r="YO32" s="95" t="n">
        <f aca="false">[1]НАДІЙШЛО2!HP24</f>
        <v>0</v>
      </c>
      <c r="YP32" s="96" t="n">
        <f aca="false">[1]ВИБУЛО2!HP24</f>
        <v>0</v>
      </c>
      <c r="YQ32" s="97" t="n">
        <f aca="false">YQ31-YP32+YO32</f>
        <v>0</v>
      </c>
      <c r="YR32" s="95" t="n">
        <f aca="false">[1]НАДІЙШЛО2!HQ24</f>
        <v>0</v>
      </c>
      <c r="YS32" s="96" t="n">
        <f aca="false">[1]ВИБУЛО2!HQ24</f>
        <v>0</v>
      </c>
      <c r="YT32" s="97" t="n">
        <f aca="false">YT31-YS32+YR32</f>
        <v>0</v>
      </c>
      <c r="YU32" s="95" t="n">
        <f aca="false">[1]НАДІЙШЛО2!HR24</f>
        <v>0</v>
      </c>
      <c r="YV32" s="96" t="n">
        <f aca="false">[1]ВИБУЛО2!HR24</f>
        <v>0</v>
      </c>
      <c r="YW32" s="97" t="n">
        <f aca="false">YW31-YV32+YU32</f>
        <v>0</v>
      </c>
      <c r="YX32" s="95" t="n">
        <f aca="false">[1]НАДІЙШЛО2!HS24</f>
        <v>0</v>
      </c>
      <c r="YY32" s="96" t="n">
        <f aca="false">[1]ВИБУЛО2!HS24</f>
        <v>0</v>
      </c>
      <c r="YZ32" s="97" t="n">
        <f aca="false">YZ31-YY32+YX32</f>
        <v>0</v>
      </c>
      <c r="ZA32" s="95" t="n">
        <f aca="false">[1]НАДІЙШЛО2!HT24</f>
        <v>0</v>
      </c>
      <c r="ZB32" s="96" t="n">
        <f aca="false">[1]ВИБУЛО2!HT24</f>
        <v>0</v>
      </c>
      <c r="ZC32" s="97" t="n">
        <f aca="false">ZC31-ZB32+ZA32</f>
        <v>0</v>
      </c>
      <c r="ZD32" s="95" t="n">
        <f aca="false">[1]НАДІЙШЛО2!HU24</f>
        <v>0</v>
      </c>
      <c r="ZE32" s="96" t="n">
        <f aca="false">[1]ВИБУЛО2!HU24</f>
        <v>0</v>
      </c>
      <c r="ZF32" s="97" t="n">
        <f aca="false">ZF31-ZE32+ZD32</f>
        <v>0</v>
      </c>
      <c r="ZG32" s="95" t="n">
        <f aca="false">[1]НАДІЙШЛО2!HV24</f>
        <v>0</v>
      </c>
      <c r="ZH32" s="96" t="n">
        <f aca="false">[1]ВИБУЛО2!HV24</f>
        <v>0</v>
      </c>
      <c r="ZI32" s="97" t="n">
        <f aca="false">ZI31-ZH32+ZG32</f>
        <v>0</v>
      </c>
      <c r="ZJ32" s="95" t="n">
        <f aca="false">[1]НАДІЙШЛО2!HW24</f>
        <v>0</v>
      </c>
      <c r="ZK32" s="96" t="n">
        <f aca="false">[1]ВИБУЛО2!HW24</f>
        <v>0</v>
      </c>
      <c r="ZL32" s="97" t="n">
        <f aca="false">ZL31-ZK32+ZJ32</f>
        <v>0</v>
      </c>
      <c r="ZM32" s="95" t="n">
        <f aca="false">[1]НАДІЙШЛО2!HX24</f>
        <v>0</v>
      </c>
      <c r="ZN32" s="96" t="n">
        <f aca="false">[1]ВИБУЛО2!HX24</f>
        <v>0</v>
      </c>
      <c r="ZO32" s="97" t="n">
        <f aca="false">ZO31-ZN32+ZM32</f>
        <v>0</v>
      </c>
      <c r="ZP32" s="95" t="n">
        <f aca="false">[1]НАДІЙШЛО2!HY24</f>
        <v>0</v>
      </c>
      <c r="ZQ32" s="96" t="n">
        <f aca="false">[1]ВИБУЛО2!HY24</f>
        <v>0</v>
      </c>
      <c r="ZR32" s="97" t="n">
        <f aca="false">ZR31-ZQ32+ZP32</f>
        <v>0</v>
      </c>
      <c r="ZS32" s="95" t="n">
        <f aca="false">[1]НАДІЙШЛО2!HZ24</f>
        <v>0</v>
      </c>
      <c r="ZT32" s="96" t="n">
        <f aca="false">[1]ВИБУЛО2!HZ24</f>
        <v>0</v>
      </c>
      <c r="ZU32" s="97" t="n">
        <f aca="false">ZU31-ZT32+ZS32</f>
        <v>0</v>
      </c>
      <c r="ZV32" s="95" t="n">
        <f aca="false">[1]НАДІЙШЛО2!IA24</f>
        <v>0</v>
      </c>
      <c r="ZW32" s="96" t="n">
        <f aca="false">[1]ВИБУЛО2!IA24</f>
        <v>0</v>
      </c>
      <c r="ZX32" s="97" t="n">
        <f aca="false">ZX31-ZW32+ZV32</f>
        <v>0</v>
      </c>
      <c r="ZY32" s="95" t="n">
        <f aca="false">[1]НАДІЙШЛО2!IB24</f>
        <v>0</v>
      </c>
      <c r="ZZ32" s="96" t="n">
        <f aca="false">[1]ВИБУЛО2!IB24</f>
        <v>0</v>
      </c>
      <c r="AAA32" s="97" t="n">
        <f aca="false">AAA31-ZZ32+ZY32</f>
        <v>0</v>
      </c>
      <c r="AAB32" s="95" t="n">
        <f aca="false">[1]НАДІЙШЛО2!IC24</f>
        <v>0</v>
      </c>
      <c r="AAC32" s="96" t="n">
        <f aca="false">[1]ВИБУЛО2!IC24</f>
        <v>0</v>
      </c>
      <c r="AAD32" s="97" t="n">
        <f aca="false">AAD31-AAC32+AAB32</f>
        <v>0</v>
      </c>
      <c r="AAE32" s="95" t="n">
        <f aca="false">[1]НАДІЙШЛО2!ID24</f>
        <v>0</v>
      </c>
      <c r="AAF32" s="96" t="n">
        <f aca="false">[1]ВИБУЛО2!ID24</f>
        <v>0</v>
      </c>
      <c r="AAG32" s="97" t="n">
        <f aca="false">AAG31-AAF32+AAE32</f>
        <v>0</v>
      </c>
      <c r="AAH32" s="95" t="n">
        <f aca="false">[1]НАДІЙШЛО2!IE24</f>
        <v>0</v>
      </c>
      <c r="AAI32" s="96" t="n">
        <f aca="false">[1]ВИБУЛО2!IE24</f>
        <v>0</v>
      </c>
      <c r="AAJ32" s="97" t="n">
        <f aca="false">AAJ31-AAI32+AAH32</f>
        <v>0</v>
      </c>
      <c r="AAK32" s="95" t="n">
        <f aca="false">[1]НАДІЙШЛО2!IF24</f>
        <v>0</v>
      </c>
      <c r="AAL32" s="96" t="n">
        <f aca="false">[1]ВИБУЛО2!IF24</f>
        <v>0</v>
      </c>
      <c r="AAM32" s="97" t="n">
        <f aca="false">AAM31-AAL32+AAK32</f>
        <v>0</v>
      </c>
      <c r="AAN32" s="95" t="n">
        <f aca="false">[1]НАДІЙШЛО2!IG24</f>
        <v>0</v>
      </c>
      <c r="AAO32" s="96" t="n">
        <f aca="false">[1]ВИБУЛО2!IG24</f>
        <v>0</v>
      </c>
      <c r="AAP32" s="97" t="n">
        <f aca="false">AAP31-AAO32+AAN32</f>
        <v>0</v>
      </c>
      <c r="AAQ32" s="95" t="n">
        <f aca="false">[1]НАДІЙШЛО2!IH24</f>
        <v>0</v>
      </c>
      <c r="AAR32" s="96" t="n">
        <f aca="false">[1]ВИБУЛО2!IH24</f>
        <v>0</v>
      </c>
      <c r="AAS32" s="97" t="n">
        <f aca="false">AAS31-AAR32+AAQ32</f>
        <v>0</v>
      </c>
      <c r="AAT32" s="95" t="n">
        <f aca="false">[1]НАДІЙШЛО2!II24</f>
        <v>0</v>
      </c>
      <c r="AAU32" s="96" t="n">
        <f aca="false">[1]ВИБУЛО2!II24</f>
        <v>0</v>
      </c>
      <c r="AAV32" s="97" t="n">
        <f aca="false">AAV31-AAU32+AAT32</f>
        <v>0</v>
      </c>
      <c r="AAW32" s="95" t="n">
        <f aca="false">[1]НАДІЙШЛО2!IJ24</f>
        <v>0</v>
      </c>
      <c r="AAX32" s="96" t="n">
        <f aca="false">[1]ВИБУЛО2!IJ24</f>
        <v>0</v>
      </c>
      <c r="AAY32" s="97" t="n">
        <f aca="false">AAY31-AAX32+AAW32</f>
        <v>0</v>
      </c>
      <c r="AAZ32" s="95" t="n">
        <f aca="false">[1]НАДІЙШЛО2!IK24</f>
        <v>0</v>
      </c>
      <c r="ABA32" s="96" t="n">
        <f aca="false">[1]ВИБУЛО2!IK24</f>
        <v>0</v>
      </c>
      <c r="ABB32" s="97" t="n">
        <f aca="false">ABB31-ABA32+AAZ32</f>
        <v>0</v>
      </c>
      <c r="ABC32" s="95" t="n">
        <f aca="false">[1]НАДІЙШЛО2!IL24</f>
        <v>0</v>
      </c>
      <c r="ABD32" s="96" t="n">
        <f aca="false">[1]ВИБУЛО2!IL24</f>
        <v>0</v>
      </c>
      <c r="ABE32" s="97" t="n">
        <f aca="false">ABE31-ABD32+ABC32</f>
        <v>0</v>
      </c>
      <c r="ABF32" s="95" t="n">
        <f aca="false">[1]НАДІЙШЛО2!IM24</f>
        <v>0</v>
      </c>
      <c r="ABG32" s="96" t="n">
        <f aca="false">[1]ВИБУЛО2!IM24</f>
        <v>0</v>
      </c>
      <c r="ABH32" s="97" t="n">
        <f aca="false">ABH31-ABG32+ABF32</f>
        <v>0</v>
      </c>
      <c r="ABI32" s="95" t="n">
        <f aca="false">[1]НАДІЙШЛО2!IN24</f>
        <v>0</v>
      </c>
      <c r="ABJ32" s="96" t="n">
        <f aca="false">[1]ВИБУЛО2!IN24</f>
        <v>0</v>
      </c>
      <c r="ABK32" s="97" t="n">
        <f aca="false">ABK31-ABJ32+ABI32</f>
        <v>0</v>
      </c>
      <c r="ABL32" s="95" t="n">
        <f aca="false">[1]НАДІЙШЛО2!IO24</f>
        <v>0</v>
      </c>
      <c r="ABM32" s="96" t="n">
        <f aca="false">[1]ВИБУЛО2!IO24</f>
        <v>0</v>
      </c>
      <c r="ABN32" s="97" t="n">
        <f aca="false">ABN31-ABM32+ABL32</f>
        <v>0</v>
      </c>
      <c r="ABO32" s="95" t="n">
        <f aca="false">[1]НАДІЙШЛО2!IP24</f>
        <v>0</v>
      </c>
      <c r="ABP32" s="96" t="n">
        <f aca="false">[1]ВИБУЛО2!IP24</f>
        <v>0</v>
      </c>
      <c r="ABQ32" s="97" t="n">
        <f aca="false">ABQ31-ABP32+ABO32</f>
        <v>0</v>
      </c>
      <c r="ABR32" s="95" t="n">
        <f aca="false">[1]НАДІЙШЛО2!IQ24</f>
        <v>0</v>
      </c>
      <c r="ABS32" s="96" t="n">
        <f aca="false">[1]ВИБУЛО2!IQ24</f>
        <v>0</v>
      </c>
      <c r="ABT32" s="97" t="n">
        <f aca="false">ABT31-ABS32+ABR32</f>
        <v>0</v>
      </c>
      <c r="ABU32" s="95" t="n">
        <f aca="false">[1]НАДІЙШЛО2!IR24</f>
        <v>0</v>
      </c>
      <c r="ABV32" s="96" t="n">
        <f aca="false">[1]ВИБУЛО2!IR24</f>
        <v>0</v>
      </c>
      <c r="ABW32" s="97" t="n">
        <f aca="false">ABW31-ABV32+ABU32</f>
        <v>0</v>
      </c>
      <c r="ABX32" s="95" t="n">
        <f aca="false">[1]НАДІЙШЛО2!IS24</f>
        <v>0</v>
      </c>
      <c r="ABY32" s="96" t="n">
        <f aca="false">[1]ВИБУЛО2!IS24</f>
        <v>0</v>
      </c>
      <c r="ABZ32" s="97" t="n">
        <f aca="false">ABZ31-ABY32+ABX32</f>
        <v>0</v>
      </c>
      <c r="ACA32" s="95" t="n">
        <f aca="false">[1]НАДІЙШЛО2!IT24</f>
        <v>0</v>
      </c>
      <c r="ACB32" s="96" t="n">
        <f aca="false">[1]ВИБУЛО2!IT24</f>
        <v>0</v>
      </c>
      <c r="ACC32" s="97" t="n">
        <f aca="false">ACC31-ACB32+ACA32</f>
        <v>0</v>
      </c>
      <c r="ACD32" s="95" t="n">
        <f aca="false">[1]НАДІЙШЛО2!IU24</f>
        <v>0</v>
      </c>
      <c r="ACE32" s="96" t="n">
        <f aca="false">[1]ВИБУЛО2!IU24</f>
        <v>0</v>
      </c>
      <c r="ACF32" s="97" t="n">
        <f aca="false">ACF31-ACE32+ACD32</f>
        <v>0</v>
      </c>
      <c r="ACG32" s="95" t="n">
        <f aca="false">[1]НАДІЙШЛО2!IV24</f>
        <v>0</v>
      </c>
      <c r="ACH32" s="96" t="n">
        <f aca="false">[1]ВИБУЛО2!IV24</f>
        <v>0</v>
      </c>
      <c r="ACI32" s="97" t="n">
        <f aca="false">ACI31-ACH32+ACG32</f>
        <v>0</v>
      </c>
      <c r="ACJ32" s="95" t="n">
        <f aca="false">[1]НАДІЙШЛО2!IW24</f>
        <v>0</v>
      </c>
      <c r="ACK32" s="96" t="n">
        <f aca="false">[1]ВИБУЛО2!IW24</f>
        <v>0</v>
      </c>
      <c r="ACL32" s="97" t="n">
        <f aca="false">ACL31-ACK32+ACJ32</f>
        <v>0</v>
      </c>
      <c r="ACM32" s="95" t="n">
        <f aca="false">[1]НАДІЙШЛО2!IX24</f>
        <v>0</v>
      </c>
      <c r="ACN32" s="96" t="n">
        <f aca="false">[1]ВИБУЛО2!IX24</f>
        <v>0</v>
      </c>
      <c r="ACO32" s="97" t="n">
        <f aca="false">ACO31-ACN32+ACM32</f>
        <v>0</v>
      </c>
      <c r="ACP32" s="95" t="n">
        <f aca="false">[1]НАДІЙШЛО2!IY24</f>
        <v>0</v>
      </c>
      <c r="ACQ32" s="96" t="n">
        <f aca="false">[1]ВИБУЛО2!IY24</f>
        <v>0</v>
      </c>
      <c r="ACR32" s="97" t="n">
        <f aca="false">ACR31-ACQ32+ACP32</f>
        <v>0</v>
      </c>
      <c r="ACS32" s="95" t="n">
        <f aca="false">[1]НАДІЙШЛО2!IZ24</f>
        <v>0</v>
      </c>
      <c r="ACT32" s="96" t="n">
        <f aca="false">[1]ВИБУЛО2!IZ24</f>
        <v>0</v>
      </c>
      <c r="ACU32" s="97" t="n">
        <f aca="false">ACU31-ACT32+ACS32</f>
        <v>0</v>
      </c>
      <c r="ACV32" s="95" t="n">
        <f aca="false">[1]НАДІЙШЛО2!JA24</f>
        <v>0</v>
      </c>
      <c r="ACW32" s="96" t="n">
        <f aca="false">[1]ВИБУЛО2!JA24</f>
        <v>0</v>
      </c>
      <c r="ACX32" s="97" t="n">
        <f aca="false">ACX31-ACW32+ACV32</f>
        <v>0</v>
      </c>
      <c r="ACY32" s="95" t="n">
        <f aca="false">[1]НАДІЙШЛО2!JB24</f>
        <v>0</v>
      </c>
      <c r="ACZ32" s="96" t="n">
        <f aca="false">[1]ВИБУЛО2!JB24</f>
        <v>0</v>
      </c>
      <c r="ADA32" s="97" t="n">
        <f aca="false">ADA31-ACZ32+ACY32</f>
        <v>0</v>
      </c>
      <c r="ADB32" s="95" t="n">
        <f aca="false">[1]НАДІЙШЛО2!JC24</f>
        <v>0</v>
      </c>
      <c r="ADC32" s="96" t="n">
        <f aca="false">[1]ВИБУЛО2!JC24</f>
        <v>0</v>
      </c>
      <c r="ADD32" s="97" t="n">
        <f aca="false">ADD31-ADC32+ADB32</f>
        <v>0</v>
      </c>
      <c r="ADE32" s="95" t="n">
        <f aca="false">[1]НАДІЙШЛО2!JD24</f>
        <v>0</v>
      </c>
      <c r="ADF32" s="96" t="n">
        <f aca="false">[1]ВИБУЛО2!JD24</f>
        <v>0</v>
      </c>
      <c r="ADG32" s="97" t="n">
        <f aca="false">ADG31-ADF32+ADE32</f>
        <v>0</v>
      </c>
      <c r="ADH32" s="95" t="n">
        <f aca="false">[1]НАДІЙШЛО2!JE24</f>
        <v>0</v>
      </c>
      <c r="ADI32" s="96" t="n">
        <f aca="false">[1]ВИБУЛО2!JE24</f>
        <v>0</v>
      </c>
      <c r="ADJ32" s="97" t="n">
        <f aca="false">ADJ31-ADI32+ADH32</f>
        <v>0</v>
      </c>
      <c r="ADK32" s="95" t="n">
        <f aca="false">[1]НАДІЙШЛО2!JF24</f>
        <v>0</v>
      </c>
      <c r="ADL32" s="96" t="n">
        <f aca="false">[1]ВИБУЛО2!JF24</f>
        <v>0</v>
      </c>
      <c r="ADM32" s="97" t="n">
        <f aca="false">ADM31-ADL32+ADK32</f>
        <v>0</v>
      </c>
      <c r="ADN32" s="95" t="n">
        <f aca="false">[1]НАДІЙШЛО2!JG24</f>
        <v>0</v>
      </c>
      <c r="ADO32" s="96" t="n">
        <f aca="false">[1]ВИБУЛО2!JG24</f>
        <v>0</v>
      </c>
      <c r="ADP32" s="97" t="n">
        <f aca="false">ADP31-ADO32+ADN32</f>
        <v>0</v>
      </c>
      <c r="ADQ32" s="95" t="n">
        <f aca="false">[1]НАДІЙШЛО2!JH24</f>
        <v>0</v>
      </c>
      <c r="ADR32" s="96" t="n">
        <f aca="false">[1]ВИБУЛО2!JH24</f>
        <v>0</v>
      </c>
      <c r="ADS32" s="97" t="n">
        <f aca="false">ADS31-ADR32+ADQ32</f>
        <v>0</v>
      </c>
      <c r="ADT32" s="95" t="n">
        <f aca="false">[1]НАДІЙШЛО2!JI24</f>
        <v>0</v>
      </c>
      <c r="ADU32" s="96" t="n">
        <f aca="false">[1]ВИБУЛО2!JI24</f>
        <v>0</v>
      </c>
      <c r="ADV32" s="97" t="n">
        <f aca="false">ADV31-ADU32+ADT32</f>
        <v>0</v>
      </c>
      <c r="ADW32" s="95" t="n">
        <f aca="false">[1]НАДІЙШЛО2!JJ24</f>
        <v>0</v>
      </c>
      <c r="ADX32" s="96" t="n">
        <f aca="false">[1]ВИБУЛО2!JJ24</f>
        <v>0</v>
      </c>
      <c r="ADY32" s="97" t="n">
        <f aca="false">ADY31-ADX32+ADW32</f>
        <v>0</v>
      </c>
      <c r="ADZ32" s="95" t="n">
        <f aca="false">[1]НАДІЙШЛО2!JK24</f>
        <v>0</v>
      </c>
      <c r="AEA32" s="96" t="n">
        <f aca="false">[1]ВИБУЛО2!JK24</f>
        <v>0</v>
      </c>
      <c r="AEB32" s="97" t="n">
        <f aca="false">AEB31-AEA32+ADZ32</f>
        <v>0</v>
      </c>
      <c r="AEC32" s="95" t="n">
        <f aca="false">[1]НАДІЙШЛО2!JL24</f>
        <v>0</v>
      </c>
      <c r="AED32" s="96" t="n">
        <f aca="false">[1]ВИБУЛО2!JL24</f>
        <v>0</v>
      </c>
      <c r="AEE32" s="97" t="n">
        <f aca="false">AEE31-AED32+AEC32</f>
        <v>0</v>
      </c>
      <c r="AEF32" s="95" t="n">
        <f aca="false">[1]НАДІЙШЛО2!JM24</f>
        <v>0</v>
      </c>
      <c r="AEG32" s="96" t="n">
        <f aca="false">[1]ВИБУЛО2!JM24</f>
        <v>0</v>
      </c>
      <c r="AEH32" s="97" t="n">
        <f aca="false">AEH31-AEG32+AEF32</f>
        <v>0</v>
      </c>
      <c r="AEI32" s="95" t="n">
        <f aca="false">[1]НАДІЙШЛО2!JN24</f>
        <v>0</v>
      </c>
      <c r="AEJ32" s="96" t="n">
        <f aca="false">[1]ВИБУЛО2!JN24</f>
        <v>0</v>
      </c>
      <c r="AEK32" s="97" t="n">
        <f aca="false">AEK31-AEJ32+AEI32</f>
        <v>0</v>
      </c>
      <c r="AEL32" s="95" t="n">
        <f aca="false">[1]НАДІЙШЛО2!JO24</f>
        <v>0</v>
      </c>
      <c r="AEM32" s="96" t="n">
        <f aca="false">[1]ВИБУЛО2!JO24</f>
        <v>0</v>
      </c>
      <c r="AEN32" s="97" t="n">
        <f aca="false">AEN31-AEM32+AEL32</f>
        <v>0</v>
      </c>
      <c r="AEO32" s="95" t="n">
        <f aca="false">[1]НАДІЙШЛО2!JP24</f>
        <v>0</v>
      </c>
      <c r="AEP32" s="96" t="n">
        <f aca="false">[1]ВИБУЛО2!JP24</f>
        <v>0</v>
      </c>
      <c r="AEQ32" s="97" t="n">
        <f aca="false">AEQ31-AEP32+AEO32</f>
        <v>0</v>
      </c>
      <c r="AER32" s="95" t="n">
        <f aca="false">[1]НАДІЙШЛО2!JQ24</f>
        <v>0</v>
      </c>
      <c r="AES32" s="96" t="n">
        <f aca="false">[1]ВИБУЛО2!JQ24</f>
        <v>0</v>
      </c>
      <c r="AET32" s="97" t="n">
        <f aca="false">AET31-AES32+AER32</f>
        <v>0</v>
      </c>
      <c r="AEU32" s="95" t="n">
        <f aca="false">[1]НАДІЙШЛО2!JR24</f>
        <v>0</v>
      </c>
      <c r="AEV32" s="96" t="n">
        <f aca="false">[1]ВИБУЛО2!JR24</f>
        <v>0</v>
      </c>
      <c r="AEW32" s="97" t="n">
        <f aca="false">AEW31-AEV32+AEU32</f>
        <v>0</v>
      </c>
      <c r="AEX32" s="95" t="n">
        <f aca="false">[1]НАДІЙШЛО2!JS24</f>
        <v>0</v>
      </c>
      <c r="AEY32" s="96" t="n">
        <f aca="false">[1]ВИБУЛО2!JS24</f>
        <v>0</v>
      </c>
      <c r="AEZ32" s="97" t="n">
        <f aca="false">AEZ31-AEY32+AEX32</f>
        <v>0</v>
      </c>
      <c r="AFA32" s="95" t="n">
        <f aca="false">[1]НАДІЙШЛО2!JT24</f>
        <v>0</v>
      </c>
      <c r="AFB32" s="96" t="n">
        <f aca="false">[1]ВИБУЛО2!JT24</f>
        <v>0</v>
      </c>
      <c r="AFC32" s="97" t="n">
        <f aca="false">AFC31-AFB32+AFA32</f>
        <v>0</v>
      </c>
      <c r="AFD32" s="95" t="n">
        <f aca="false">[1]НАДІЙШЛО2!JU24</f>
        <v>0</v>
      </c>
      <c r="AFE32" s="96" t="n">
        <f aca="false">[1]ВИБУЛО2!JU24</f>
        <v>0</v>
      </c>
      <c r="AFF32" s="97" t="n">
        <f aca="false">AFF31-AFE32+AFD32</f>
        <v>0</v>
      </c>
      <c r="AFG32" s="95" t="n">
        <f aca="false">[1]НАДІЙШЛО2!JV24</f>
        <v>0</v>
      </c>
      <c r="AFH32" s="96" t="n">
        <f aca="false">[1]ВИБУЛО2!JV24</f>
        <v>0</v>
      </c>
      <c r="AFI32" s="97" t="n">
        <f aca="false">AFI31-AFH32+AFG32</f>
        <v>0</v>
      </c>
      <c r="AFJ32" s="95" t="n">
        <f aca="false">[1]НАДІЙШЛО2!JW24</f>
        <v>0</v>
      </c>
      <c r="AFK32" s="96" t="n">
        <f aca="false">[1]ВИБУЛО2!JW24</f>
        <v>0</v>
      </c>
      <c r="AFL32" s="97" t="n">
        <f aca="false">AFL31-AFK32+AFJ32</f>
        <v>0</v>
      </c>
      <c r="AFM32" s="95" t="n">
        <f aca="false">[1]НАДІЙШЛО2!JX24</f>
        <v>0</v>
      </c>
      <c r="AFN32" s="96" t="n">
        <f aca="false">[1]ВИБУЛО2!JX24</f>
        <v>0</v>
      </c>
      <c r="AFO32" s="97" t="n">
        <f aca="false">AFO31-AFN32+AFM32</f>
        <v>0</v>
      </c>
      <c r="AFP32" s="95" t="n">
        <f aca="false">[1]НАДІЙШЛО2!JY24</f>
        <v>0</v>
      </c>
      <c r="AFQ32" s="96" t="n">
        <f aca="false">[1]ВИБУЛО2!JY24</f>
        <v>0</v>
      </c>
      <c r="AFR32" s="97" t="n">
        <f aca="false">AFR31-AFQ32+AFP32</f>
        <v>0</v>
      </c>
      <c r="AFS32" s="95" t="n">
        <f aca="false">[1]НАДІЙШЛО2!JZ24</f>
        <v>0</v>
      </c>
      <c r="AFT32" s="96" t="n">
        <f aca="false">[1]ВИБУЛО2!JZ24</f>
        <v>0</v>
      </c>
      <c r="AFU32" s="97" t="n">
        <f aca="false">AFU31-AFT32+AFS32</f>
        <v>0</v>
      </c>
      <c r="AFV32" s="95" t="n">
        <f aca="false">[1]НАДІЙШЛО2!KA24</f>
        <v>0</v>
      </c>
      <c r="AFW32" s="96" t="n">
        <f aca="false">[1]ВИБУЛО2!KA24</f>
        <v>0</v>
      </c>
      <c r="AFX32" s="97" t="n">
        <f aca="false">AFX31-AFW32+AFV32</f>
        <v>0</v>
      </c>
      <c r="AFY32" s="95" t="n">
        <f aca="false">[1]НАДІЙШЛО2!KB24</f>
        <v>0</v>
      </c>
      <c r="AFZ32" s="96" t="n">
        <f aca="false">[1]ВИБУЛО2!KB24</f>
        <v>0</v>
      </c>
      <c r="AGA32" s="97" t="n">
        <f aca="false">AGA31-AFZ32+AFY32</f>
        <v>0</v>
      </c>
      <c r="AGB32" s="95" t="n">
        <f aca="false">[1]НАДІЙШЛО2!KC24</f>
        <v>0</v>
      </c>
      <c r="AGC32" s="96" t="n">
        <f aca="false">[1]ВИБУЛО2!KC24</f>
        <v>0</v>
      </c>
      <c r="AGD32" s="97" t="n">
        <f aca="false">AGD31-AGC32+AGB32</f>
        <v>0</v>
      </c>
      <c r="AGE32" s="95" t="n">
        <f aca="false">[1]НАДІЙШЛО2!KD24</f>
        <v>0</v>
      </c>
      <c r="AGF32" s="96" t="n">
        <f aca="false">[1]ВИБУЛО2!KD24</f>
        <v>0</v>
      </c>
      <c r="AGG32" s="97" t="n">
        <f aca="false">AGG31-AGF32+AGE32</f>
        <v>0</v>
      </c>
      <c r="AGH32" s="95" t="n">
        <f aca="false">[1]НАДІЙШЛО2!KE24</f>
        <v>0</v>
      </c>
      <c r="AGI32" s="96" t="n">
        <f aca="false">[1]ВИБУЛО2!KE24</f>
        <v>0</v>
      </c>
      <c r="AGJ32" s="97" t="n">
        <f aca="false">AGJ31-AGI32+AGH32</f>
        <v>0</v>
      </c>
      <c r="AGK32" s="95" t="n">
        <f aca="false">[1]НАДІЙШЛО2!KF24</f>
        <v>0</v>
      </c>
      <c r="AGL32" s="96" t="n">
        <f aca="false">[1]ВИБУЛО2!KF24</f>
        <v>0</v>
      </c>
      <c r="AGM32" s="97" t="n">
        <f aca="false">AGM31-AGL32+AGK32</f>
        <v>0</v>
      </c>
      <c r="AGN32" s="95" t="n">
        <f aca="false">[1]НАДІЙШЛО2!KG24</f>
        <v>0</v>
      </c>
      <c r="AGO32" s="96" t="n">
        <f aca="false">[1]ВИБУЛО2!KG24</f>
        <v>0</v>
      </c>
      <c r="AGP32" s="97" t="n">
        <f aca="false">AGP31-AGO32+AGN32</f>
        <v>0</v>
      </c>
      <c r="AGQ32" s="95" t="n">
        <f aca="false">[1]НАДІЙШЛО2!KH24</f>
        <v>0</v>
      </c>
      <c r="AGR32" s="96" t="n">
        <f aca="false">[1]ВИБУЛО2!KH24</f>
        <v>0</v>
      </c>
      <c r="AGS32" s="97" t="n">
        <f aca="false">AGS31-AGR32+AGQ32</f>
        <v>0</v>
      </c>
      <c r="AGT32" s="95" t="n">
        <f aca="false">[1]НАДІЙШЛО2!KI24</f>
        <v>0</v>
      </c>
      <c r="AGU32" s="96" t="n">
        <f aca="false">[1]ВИБУЛО2!KI24</f>
        <v>0</v>
      </c>
      <c r="AGV32" s="97" t="n">
        <f aca="false">AGV31-AGU32+AGT32</f>
        <v>0</v>
      </c>
      <c r="AGW32" s="95" t="n">
        <f aca="false">[1]НАДІЙШЛО2!KJ24</f>
        <v>0</v>
      </c>
      <c r="AGX32" s="96" t="n">
        <f aca="false">[1]ВИБУЛО2!KJ24</f>
        <v>0</v>
      </c>
      <c r="AGY32" s="97" t="n">
        <f aca="false">AGY31-AGX32+AGW32</f>
        <v>0</v>
      </c>
      <c r="AGZ32" s="95" t="n">
        <f aca="false">[1]НАДІЙШЛО2!KK24</f>
        <v>0</v>
      </c>
      <c r="AHA32" s="96" t="n">
        <f aca="false">[1]ВИБУЛО2!KK24</f>
        <v>0</v>
      </c>
      <c r="AHB32" s="97" t="n">
        <f aca="false">AHB31-AHA32+AGZ32</f>
        <v>0</v>
      </c>
      <c r="AHC32" s="95" t="n">
        <f aca="false">[1]НАДІЙШЛО2!KL24</f>
        <v>0</v>
      </c>
      <c r="AHD32" s="96" t="n">
        <f aca="false">[1]ВИБУЛО2!KL24</f>
        <v>0</v>
      </c>
      <c r="AHE32" s="97" t="n">
        <f aca="false">AHE31-AHD32+AHC32</f>
        <v>0</v>
      </c>
      <c r="AHF32" s="95" t="n">
        <f aca="false">[1]НАДІЙШЛО2!KM24</f>
        <v>0</v>
      </c>
      <c r="AHG32" s="96" t="n">
        <f aca="false">[1]ВИБУЛО2!KM24</f>
        <v>0</v>
      </c>
      <c r="AHH32" s="97" t="n">
        <f aca="false">AHH31-AHG32+AHF32</f>
        <v>0</v>
      </c>
      <c r="AHI32" s="95" t="n">
        <f aca="false">[1]НАДІЙШЛО2!KN24</f>
        <v>0</v>
      </c>
      <c r="AHJ32" s="96" t="n">
        <f aca="false">[1]ВИБУЛО2!KN24</f>
        <v>0</v>
      </c>
      <c r="AHK32" s="97" t="n">
        <f aca="false">AHK31-AHJ32+AHI32</f>
        <v>0</v>
      </c>
      <c r="AHL32" s="95" t="n">
        <f aca="false">[1]НАДІЙШЛО2!KO24</f>
        <v>0</v>
      </c>
      <c r="AHM32" s="96" t="n">
        <f aca="false">[1]ВИБУЛО2!KO24</f>
        <v>0</v>
      </c>
      <c r="AHN32" s="97" t="n">
        <f aca="false">AHN31-AHM32+AHL32</f>
        <v>0</v>
      </c>
      <c r="AHO32" s="95" t="n">
        <f aca="false">[1]НАДІЙШЛО2!KP24</f>
        <v>0</v>
      </c>
      <c r="AHP32" s="96" t="n">
        <f aca="false">[1]ВИБУЛО2!KP24</f>
        <v>0</v>
      </c>
      <c r="AHQ32" s="97" t="n">
        <f aca="false">AHQ31-AHP32+AHO32</f>
        <v>0</v>
      </c>
      <c r="AHR32" s="95" t="n">
        <f aca="false">[1]НАДІЙШЛО2!KQ24</f>
        <v>0</v>
      </c>
      <c r="AHS32" s="96" t="n">
        <f aca="false">[1]ВИБУЛО2!KQ24</f>
        <v>0</v>
      </c>
      <c r="AHT32" s="97" t="n">
        <f aca="false">AHT31-AHS32+AHR32</f>
        <v>0</v>
      </c>
      <c r="AHU32" s="95" t="n">
        <f aca="false">[1]НАДІЙШЛО2!KR24</f>
        <v>0</v>
      </c>
      <c r="AHV32" s="96" t="n">
        <f aca="false">[1]ВИБУЛО2!KR24</f>
        <v>0</v>
      </c>
      <c r="AHW32" s="97" t="n">
        <f aca="false">AHW31-AHV32+AHU32</f>
        <v>0</v>
      </c>
      <c r="AHX32" s="95" t="n">
        <f aca="false">[1]НАДІЙШЛО2!KS24</f>
        <v>0</v>
      </c>
      <c r="AHY32" s="96" t="n">
        <f aca="false">[1]ВИБУЛО2!KS24</f>
        <v>0</v>
      </c>
      <c r="AHZ32" s="97" t="n">
        <f aca="false">AHZ31-AHY32+AHX32</f>
        <v>0</v>
      </c>
      <c r="AIA32" s="95" t="n">
        <f aca="false">[1]НАДІЙШЛО2!KT24</f>
        <v>0</v>
      </c>
      <c r="AIB32" s="96" t="n">
        <f aca="false">[1]ВИБУЛО2!KT24</f>
        <v>0</v>
      </c>
      <c r="AIC32" s="97" t="n">
        <f aca="false">AIC31-AIB32+AIA32</f>
        <v>0</v>
      </c>
      <c r="AID32" s="95" t="n">
        <f aca="false">[1]НАДІЙШЛО2!KU24</f>
        <v>0</v>
      </c>
      <c r="AIE32" s="96" t="n">
        <f aca="false">[1]ВИБУЛО2!KU24</f>
        <v>0</v>
      </c>
      <c r="AIF32" s="97" t="n">
        <f aca="false">AIF31-AIE32+AID32</f>
        <v>0</v>
      </c>
      <c r="AIG32" s="95" t="n">
        <f aca="false">[1]НАДІЙШЛО2!KV24</f>
        <v>0</v>
      </c>
      <c r="AIH32" s="96" t="n">
        <f aca="false">[1]ВИБУЛО2!KV24</f>
        <v>0</v>
      </c>
      <c r="AII32" s="97" t="n">
        <f aca="false">AII31-AIH32+AIG32</f>
        <v>0</v>
      </c>
      <c r="AIJ32" s="95" t="n">
        <f aca="false">[1]НАДІЙШЛО2!KW24</f>
        <v>0</v>
      </c>
      <c r="AIK32" s="96" t="n">
        <f aca="false">[1]ВИБУЛО2!KW24</f>
        <v>0</v>
      </c>
      <c r="AIL32" s="97" t="n">
        <f aca="false">AIL31-AIK32+AIJ32</f>
        <v>0</v>
      </c>
      <c r="AIM32" s="95" t="n">
        <f aca="false">[1]НАДІЙШЛО2!KX24</f>
        <v>0</v>
      </c>
      <c r="AIN32" s="96" t="n">
        <f aca="false">[1]ВИБУЛО2!KX24</f>
        <v>0</v>
      </c>
      <c r="AIO32" s="97" t="n">
        <f aca="false">AIO31-AIN32+AIM32</f>
        <v>0</v>
      </c>
      <c r="AIP32" s="95" t="n">
        <f aca="false">[1]НАДІЙШЛО2!KY24</f>
        <v>0</v>
      </c>
      <c r="AIQ32" s="96" t="n">
        <f aca="false">[1]ВИБУЛО2!KY24</f>
        <v>0</v>
      </c>
      <c r="AIR32" s="97" t="n">
        <f aca="false">AIR31-AIQ32+AIP32</f>
        <v>0</v>
      </c>
      <c r="AIS32" s="95" t="n">
        <f aca="false">[1]НАДІЙШЛО2!KZ24</f>
        <v>0</v>
      </c>
      <c r="AIT32" s="96" t="n">
        <f aca="false">[1]ВИБУЛО2!KZ24</f>
        <v>0</v>
      </c>
      <c r="AIU32" s="97" t="n">
        <f aca="false">AIU31-AIT32+AIS32</f>
        <v>0</v>
      </c>
      <c r="AIV32" s="95" t="n">
        <f aca="false">[1]НАДІЙШЛО2!LA24</f>
        <v>0</v>
      </c>
      <c r="AIW32" s="96" t="n">
        <f aca="false">[1]ВИБУЛО2!LA24</f>
        <v>0</v>
      </c>
      <c r="AIX32" s="97" t="n">
        <f aca="false">AIX31-AIW32+AIV32</f>
        <v>0</v>
      </c>
      <c r="AIY32" s="95" t="n">
        <f aca="false">[1]НАДІЙШЛО2!LB24</f>
        <v>0</v>
      </c>
      <c r="AIZ32" s="96" t="n">
        <f aca="false">[1]ВИБУЛО2!LB24</f>
        <v>0</v>
      </c>
      <c r="AJA32" s="97" t="n">
        <f aca="false">AJA31-AIZ32+AIY32</f>
        <v>0</v>
      </c>
      <c r="AJB32" s="95" t="n">
        <f aca="false">[1]НАДІЙШЛО2!LC24</f>
        <v>0</v>
      </c>
      <c r="AJC32" s="96" t="n">
        <f aca="false">[1]ВИБУЛО2!LC24</f>
        <v>0</v>
      </c>
      <c r="AJD32" s="97" t="n">
        <f aca="false">AJD31-AJC32+AJB32</f>
        <v>0</v>
      </c>
      <c r="AJE32" s="95" t="n">
        <f aca="false">[1]НАДІЙШЛО2!LD24</f>
        <v>0</v>
      </c>
      <c r="AJF32" s="96" t="n">
        <f aca="false">[1]ВИБУЛО2!LD24</f>
        <v>0</v>
      </c>
      <c r="AJG32" s="97" t="n">
        <f aca="false">AJG31-AJF32+AJE32</f>
        <v>0</v>
      </c>
      <c r="AJH32" s="95" t="n">
        <f aca="false">[1]НАДІЙШЛО2!LE24</f>
        <v>0</v>
      </c>
      <c r="AJI32" s="96" t="n">
        <f aca="false">[1]ВИБУЛО2!LE24</f>
        <v>0</v>
      </c>
      <c r="AJJ32" s="97" t="n">
        <f aca="false">AJJ31-AJI32+AJH32</f>
        <v>0</v>
      </c>
      <c r="AJK32" s="95" t="n">
        <f aca="false">[1]НАДІЙШЛО2!LF24</f>
        <v>0</v>
      </c>
      <c r="AJL32" s="96" t="n">
        <f aca="false">[1]ВИБУЛО2!LF24</f>
        <v>0</v>
      </c>
      <c r="AJM32" s="97" t="n">
        <f aca="false">AJM31-AJL32+AJK32</f>
        <v>0</v>
      </c>
      <c r="AJN32" s="95" t="n">
        <f aca="false">[1]НАДІЙШЛО2!LG24</f>
        <v>0</v>
      </c>
      <c r="AJO32" s="96" t="n">
        <f aca="false">[1]ВИБУЛО2!LG24</f>
        <v>0</v>
      </c>
      <c r="AJP32" s="97" t="n">
        <f aca="false">AJP31-AJO32+AJN32</f>
        <v>0</v>
      </c>
      <c r="AJQ32" s="95" t="n">
        <f aca="false">[1]НАДІЙШЛО2!LH24</f>
        <v>0</v>
      </c>
      <c r="AJR32" s="96" t="n">
        <f aca="false">[1]ВИБУЛО2!LH24</f>
        <v>0</v>
      </c>
      <c r="AJS32" s="97" t="n">
        <f aca="false">AJS31-AJR32+AJQ32</f>
        <v>0</v>
      </c>
      <c r="AJT32" s="95" t="n">
        <f aca="false">[1]НАДІЙШЛО2!LI24</f>
        <v>0</v>
      </c>
      <c r="AJU32" s="96" t="n">
        <f aca="false">[1]ВИБУЛО2!LI24</f>
        <v>0</v>
      </c>
      <c r="AJV32" s="97" t="n">
        <f aca="false">AJV31-AJU32+AJT32</f>
        <v>0</v>
      </c>
      <c r="AJW32" s="95" t="n">
        <f aca="false">[1]НАДІЙШЛО2!LJ24</f>
        <v>0</v>
      </c>
      <c r="AJX32" s="96" t="n">
        <f aca="false">[1]ВИБУЛО2!LJ24</f>
        <v>0</v>
      </c>
      <c r="AJY32" s="97" t="n">
        <f aca="false">AJY31-AJX32+AJW32</f>
        <v>0</v>
      </c>
      <c r="AJZ32" s="95" t="n">
        <f aca="false">[1]НАДІЙШЛО2!LK24</f>
        <v>0</v>
      </c>
      <c r="AKA32" s="96" t="n">
        <f aca="false">[1]ВИБУЛО2!LK24</f>
        <v>0</v>
      </c>
      <c r="AKB32" s="97" t="n">
        <f aca="false">AKB31-AKA32+AJZ32</f>
        <v>0</v>
      </c>
      <c r="AKC32" s="95" t="n">
        <f aca="false">[1]НАДІЙШЛО2!LL24</f>
        <v>0</v>
      </c>
      <c r="AKD32" s="96" t="n">
        <f aca="false">[1]ВИБУЛО2!LL24</f>
        <v>0</v>
      </c>
      <c r="AKE32" s="97" t="n">
        <f aca="false">AKE31-AKD32+AKC32</f>
        <v>0</v>
      </c>
      <c r="AKF32" s="95" t="n">
        <f aca="false">[1]НАДІЙШЛО2!LM24</f>
        <v>0</v>
      </c>
      <c r="AKG32" s="96" t="n">
        <f aca="false">[1]ВИБУЛО2!LM24</f>
        <v>0</v>
      </c>
      <c r="AKH32" s="97" t="n">
        <f aca="false">AKH31-AKG32+AKF32</f>
        <v>0</v>
      </c>
      <c r="AKI32" s="95" t="n">
        <f aca="false">[1]НАДІЙШЛО2!LN24</f>
        <v>0</v>
      </c>
      <c r="AKJ32" s="96" t="n">
        <f aca="false">[1]ВИБУЛО2!LN24</f>
        <v>0</v>
      </c>
      <c r="AKK32" s="97" t="n">
        <f aca="false">AKK31-AKJ32+AKI32</f>
        <v>0</v>
      </c>
      <c r="AKL32" s="95" t="n">
        <f aca="false">[1]НАДІЙШЛО2!LO24</f>
        <v>0</v>
      </c>
      <c r="AKM32" s="96" t="n">
        <f aca="false">[1]ВИБУЛО2!LO24</f>
        <v>0</v>
      </c>
      <c r="AKN32" s="97" t="n">
        <f aca="false">AKN31-AKM32+AKL32</f>
        <v>0</v>
      </c>
      <c r="AKO32" s="95" t="n">
        <f aca="false">[1]НАДІЙШЛО2!LP24</f>
        <v>0</v>
      </c>
      <c r="AKP32" s="96" t="n">
        <f aca="false">[1]ВИБУЛО2!LP24</f>
        <v>0</v>
      </c>
      <c r="AKQ32" s="97" t="n">
        <f aca="false">AKQ31-AKP32+AKO32</f>
        <v>0</v>
      </c>
      <c r="AKR32" s="95" t="n">
        <f aca="false">[1]НАДІЙШЛО2!LQ24</f>
        <v>0</v>
      </c>
      <c r="AKS32" s="96" t="n">
        <f aca="false">[1]ВИБУЛО2!LQ24</f>
        <v>0</v>
      </c>
      <c r="AKT32" s="97" t="n">
        <f aca="false">AKT31-AKS32+AKR32</f>
        <v>0</v>
      </c>
      <c r="AKU32" s="95" t="n">
        <f aca="false">[1]НАДІЙШЛО2!LR24</f>
        <v>0</v>
      </c>
      <c r="AKV32" s="96" t="n">
        <f aca="false">[1]ВИБУЛО2!LR24</f>
        <v>0</v>
      </c>
      <c r="AKW32" s="97" t="n">
        <f aca="false">AKW31-AKV32+AKU32</f>
        <v>0</v>
      </c>
      <c r="AKX32" s="95" t="n">
        <f aca="false">[1]НАДІЙШЛО2!LS24</f>
        <v>0</v>
      </c>
      <c r="AKY32" s="96" t="n">
        <f aca="false">[1]ВИБУЛО2!LS24</f>
        <v>0</v>
      </c>
      <c r="AKZ32" s="97" t="n">
        <f aca="false">AKZ31-AKY32+AKX32</f>
        <v>0</v>
      </c>
      <c r="ALA32" s="95" t="n">
        <f aca="false">[1]НАДІЙШЛО2!LT24</f>
        <v>0</v>
      </c>
      <c r="ALB32" s="96" t="n">
        <f aca="false">[1]ВИБУЛО2!LT24</f>
        <v>0</v>
      </c>
      <c r="ALC32" s="97" t="n">
        <f aca="false">ALC31-ALB32+ALA32</f>
        <v>0</v>
      </c>
      <c r="ALD32" s="95" t="n">
        <f aca="false">[1]НАДІЙШЛО2!LU24</f>
        <v>0</v>
      </c>
      <c r="ALE32" s="96" t="n">
        <f aca="false">[1]ВИБУЛО2!LU24</f>
        <v>0</v>
      </c>
      <c r="ALF32" s="97" t="n">
        <f aca="false">ALF31-ALE32+ALD32</f>
        <v>0</v>
      </c>
      <c r="ALG32" s="95" t="n">
        <f aca="false">[1]НАДІЙШЛО2!LV24</f>
        <v>0</v>
      </c>
      <c r="ALH32" s="96" t="n">
        <f aca="false">[1]ВИБУЛО2!LV24</f>
        <v>0</v>
      </c>
      <c r="ALI32" s="97" t="n">
        <f aca="false">ALI31-ALH32+ALG32</f>
        <v>0</v>
      </c>
      <c r="ALJ32" s="95" t="n">
        <f aca="false">[1]НАДІЙШЛО2!LW24</f>
        <v>0</v>
      </c>
      <c r="ALK32" s="96" t="n">
        <f aca="false">[1]ВИБУЛО2!LW24</f>
        <v>0</v>
      </c>
      <c r="ALL32" s="97" t="n">
        <f aca="false">ALL31-ALK32+ALJ32</f>
        <v>0</v>
      </c>
      <c r="ALM32" s="95" t="n">
        <f aca="false">[1]НАДІЙШЛО2!LX24</f>
        <v>0</v>
      </c>
      <c r="ALN32" s="96" t="n">
        <f aca="false">[1]ВИБУЛО2!LX24</f>
        <v>0</v>
      </c>
      <c r="ALO32" s="97" t="n">
        <f aca="false">ALO31-ALN32+ALM32</f>
        <v>0</v>
      </c>
      <c r="ALP32" s="95" t="n">
        <f aca="false">[1]НАДІЙШЛО2!LY24</f>
        <v>0</v>
      </c>
      <c r="ALQ32" s="96" t="n">
        <f aca="false">[1]ВИБУЛО2!LY24</f>
        <v>0</v>
      </c>
      <c r="ALR32" s="97" t="n">
        <f aca="false">ALR31-ALQ32+ALP32</f>
        <v>0</v>
      </c>
      <c r="ALS32" s="95" t="n">
        <f aca="false">[1]НАДІЙШЛО2!LZ24</f>
        <v>0</v>
      </c>
      <c r="ALT32" s="96" t="n">
        <f aca="false">[1]ВИБУЛО2!LZ24</f>
        <v>0</v>
      </c>
      <c r="ALU32" s="97" t="n">
        <f aca="false">ALU31-ALT32+ALS32</f>
        <v>0</v>
      </c>
      <c r="ALV32" s="95" t="n">
        <f aca="false">[1]НАДІЙШЛО2!MA24</f>
        <v>0</v>
      </c>
      <c r="ALW32" s="96" t="n">
        <f aca="false">[1]ВИБУЛО2!MA24</f>
        <v>0</v>
      </c>
      <c r="ALX32" s="97" t="n">
        <f aca="false">ALX31-ALW32+ALV32</f>
        <v>0</v>
      </c>
      <c r="ALY32" s="95" t="n">
        <f aca="false">[1]НАДІЙШЛО2!MB24</f>
        <v>0</v>
      </c>
      <c r="ALZ32" s="96" t="n">
        <f aca="false">[1]ВИБУЛО2!MB24</f>
        <v>0</v>
      </c>
      <c r="AMA32" s="97" t="n">
        <f aca="false">AMA31-ALZ32+ALY32</f>
        <v>0</v>
      </c>
      <c r="AMB32" s="95" t="n">
        <f aca="false">[1]НАДІЙШЛО2!MC24</f>
        <v>0</v>
      </c>
      <c r="AMC32" s="96" t="n">
        <f aca="false">[1]ВИБУЛО2!MC24</f>
        <v>0</v>
      </c>
      <c r="AMD32" s="97" t="n">
        <f aca="false">AMD31-AMC32+AMB32</f>
        <v>0</v>
      </c>
      <c r="AME32" s="95" t="n">
        <f aca="false">[1]НАДІЙШЛО2!MD24</f>
        <v>0</v>
      </c>
      <c r="AMF32" s="96" t="n">
        <f aca="false">[1]ВИБУЛО2!MD24</f>
        <v>0</v>
      </c>
      <c r="AMG32" s="97" t="n">
        <f aca="false">AMG31-AMF32+AME32</f>
        <v>0</v>
      </c>
      <c r="AMH32" s="95" t="n">
        <f aca="false">[1]НАДІЙШЛО2!ME24</f>
        <v>0</v>
      </c>
      <c r="AMI32" s="96" t="n">
        <f aca="false">[1]ВИБУЛО2!ME24</f>
        <v>0</v>
      </c>
      <c r="AMJ32" s="97" t="n">
        <f aca="false">AMJ31-AMI32+AMH32</f>
        <v>0</v>
      </c>
    </row>
    <row r="33" s="99" customFormat="true" ht="16.5" hidden="false" customHeight="false" outlineLevel="0" collapsed="false">
      <c r="A33" s="98"/>
      <c r="D33" s="103"/>
      <c r="E33" s="95" t="n">
        <f aca="false">[1]НАДІЙШЛО2!D25</f>
        <v>0</v>
      </c>
      <c r="F33" s="96" t="n">
        <f aca="false">[1]ВИБУЛО2!D25</f>
        <v>0</v>
      </c>
      <c r="G33" s="97" t="n">
        <f aca="false">G32-F33+E33</f>
        <v>0</v>
      </c>
      <c r="H33" s="95" t="n">
        <f aca="false">[1]НАДІЙШЛО2!E25</f>
        <v>0</v>
      </c>
      <c r="I33" s="96" t="n">
        <f aca="false">[1]ВИБУЛО2!E25</f>
        <v>0</v>
      </c>
      <c r="J33" s="97" t="n">
        <f aca="false">J32-I33+H33</f>
        <v>0</v>
      </c>
      <c r="K33" s="95" t="n">
        <f aca="false">[1]НАДІЙШЛО2!F25</f>
        <v>0</v>
      </c>
      <c r="L33" s="96" t="n">
        <f aca="false">[1]ВИБУЛО2!F25</f>
        <v>0</v>
      </c>
      <c r="M33" s="97" t="n">
        <f aca="false">M32-L33+K33</f>
        <v>2.06</v>
      </c>
      <c r="N33" s="95" t="n">
        <f aca="false">[1]НАДІЙШЛО2!G25</f>
        <v>0</v>
      </c>
      <c r="O33" s="96" t="n">
        <f aca="false">[1]ВИБУЛО2!G25</f>
        <v>0</v>
      </c>
      <c r="P33" s="97" t="n">
        <f aca="false">P32-O33+N33</f>
        <v>0</v>
      </c>
      <c r="Q33" s="95" t="n">
        <f aca="false">[1]НАДІЙШЛО2!H25</f>
        <v>0</v>
      </c>
      <c r="R33" s="96" t="n">
        <f aca="false">[1]ВИБУЛО2!H25</f>
        <v>0</v>
      </c>
      <c r="S33" s="97" t="n">
        <f aca="false">S32-R33+Q33</f>
        <v>0</v>
      </c>
      <c r="T33" s="95" t="n">
        <f aca="false">[1]НАДІЙШЛО2!I25</f>
        <v>0</v>
      </c>
      <c r="U33" s="96" t="n">
        <f aca="false">[1]ВИБУЛО2!I25</f>
        <v>0</v>
      </c>
      <c r="V33" s="97" t="n">
        <f aca="false">V32-U33+T33</f>
        <v>0</v>
      </c>
      <c r="W33" s="95" t="n">
        <f aca="false">[1]НАДІЙШЛО2!J25</f>
        <v>0</v>
      </c>
      <c r="X33" s="96" t="n">
        <f aca="false">[1]ВИБУЛО2!J25</f>
        <v>0</v>
      </c>
      <c r="Y33" s="97" t="n">
        <f aca="false">Y32-X33+W33</f>
        <v>0</v>
      </c>
      <c r="Z33" s="95" t="n">
        <f aca="false">[1]НАДІЙШЛО2!K25</f>
        <v>0</v>
      </c>
      <c r="AA33" s="96" t="n">
        <f aca="false">[1]ВИБУЛО2!K25</f>
        <v>0</v>
      </c>
      <c r="AB33" s="97" t="n">
        <f aca="false">AB32-AA33+Z33</f>
        <v>0</v>
      </c>
      <c r="AC33" s="95" t="n">
        <f aca="false">[1]НАДІЙШЛО2!L25</f>
        <v>0</v>
      </c>
      <c r="AD33" s="96" t="n">
        <f aca="false">[1]ВИБУЛО2!L25</f>
        <v>0</v>
      </c>
      <c r="AE33" s="97" t="n">
        <f aca="false">AE32-AD33+AC33</f>
        <v>0</v>
      </c>
      <c r="AF33" s="95" t="n">
        <f aca="false">[1]НАДІЙШЛО2!M25</f>
        <v>0</v>
      </c>
      <c r="AG33" s="96" t="n">
        <f aca="false">[1]ВИБУЛО2!M25</f>
        <v>0</v>
      </c>
      <c r="AH33" s="97" t="n">
        <f aca="false">AH32-AG33+AF33</f>
        <v>0</v>
      </c>
      <c r="AI33" s="95" t="n">
        <f aca="false">[1]НАДІЙШЛО2!N25</f>
        <v>0</v>
      </c>
      <c r="AJ33" s="96" t="n">
        <f aca="false">[1]ВИБУЛО2!N25</f>
        <v>0</v>
      </c>
      <c r="AK33" s="97" t="n">
        <f aca="false">AK32-AJ33+AI33</f>
        <v>0</v>
      </c>
      <c r="AL33" s="95" t="n">
        <f aca="false">[1]НАДІЙШЛО2!O25</f>
        <v>0</v>
      </c>
      <c r="AM33" s="96" t="n">
        <f aca="false">[1]ВИБУЛО2!O25</f>
        <v>0</v>
      </c>
      <c r="AN33" s="97" t="n">
        <f aca="false">AN32-AM33+AL33</f>
        <v>0</v>
      </c>
      <c r="AO33" s="95" t="n">
        <f aca="false">[1]НАДІЙШЛО2!P25</f>
        <v>0</v>
      </c>
      <c r="AP33" s="96" t="n">
        <f aca="false">[1]ВИБУЛО2!P25</f>
        <v>0</v>
      </c>
      <c r="AQ33" s="97" t="n">
        <f aca="false">AQ32-AP33+AO33</f>
        <v>0</v>
      </c>
      <c r="AR33" s="95" t="n">
        <f aca="false">[1]НАДІЙШЛО2!Q25</f>
        <v>0</v>
      </c>
      <c r="AS33" s="96" t="n">
        <f aca="false">[1]ВИБУЛО2!Q25</f>
        <v>0</v>
      </c>
      <c r="AT33" s="97" t="n">
        <f aca="false">AT32-AS33+AR33</f>
        <v>0</v>
      </c>
      <c r="AU33" s="95" t="n">
        <f aca="false">[1]НАДІЙШЛО2!R25</f>
        <v>0</v>
      </c>
      <c r="AV33" s="96" t="n">
        <f aca="false">[1]ВИБУЛО2!R25</f>
        <v>0</v>
      </c>
      <c r="AW33" s="97" t="n">
        <f aca="false">AW32-AV33+AU33</f>
        <v>0</v>
      </c>
      <c r="AX33" s="95" t="n">
        <f aca="false">[1]НАДІЙШЛО2!S25</f>
        <v>0</v>
      </c>
      <c r="AY33" s="96" t="n">
        <f aca="false">[1]ВИБУЛО2!S25</f>
        <v>0</v>
      </c>
      <c r="AZ33" s="97" t="n">
        <f aca="false">AZ32-AY33+AX33</f>
        <v>0</v>
      </c>
      <c r="BA33" s="95" t="n">
        <f aca="false">[1]НАДІЙШЛО2!T25</f>
        <v>0</v>
      </c>
      <c r="BB33" s="96" t="n">
        <f aca="false">[1]ВИБУЛО2!T25</f>
        <v>0</v>
      </c>
      <c r="BC33" s="97" t="n">
        <f aca="false">BC32-BB33+BA33</f>
        <v>0</v>
      </c>
      <c r="BD33" s="95" t="n">
        <f aca="false">[1]НАДІЙШЛО2!U25</f>
        <v>0</v>
      </c>
      <c r="BE33" s="96" t="n">
        <f aca="false">[1]ВИБУЛО2!U25</f>
        <v>0</v>
      </c>
      <c r="BF33" s="97" t="n">
        <f aca="false">BF32-BE33+BD33</f>
        <v>0</v>
      </c>
      <c r="BG33" s="95" t="n">
        <f aca="false">[1]НАДІЙШЛО2!V25</f>
        <v>0</v>
      </c>
      <c r="BH33" s="96" t="n">
        <f aca="false">[1]ВИБУЛО2!V25</f>
        <v>0</v>
      </c>
      <c r="BI33" s="97" t="n">
        <f aca="false">BI32-BH33+BG33</f>
        <v>0</v>
      </c>
      <c r="BJ33" s="95" t="n">
        <f aca="false">[1]НАДІЙШЛО2!W25</f>
        <v>0</v>
      </c>
      <c r="BK33" s="96" t="n">
        <f aca="false">[1]ВИБУЛО2!W25</f>
        <v>0</v>
      </c>
      <c r="BL33" s="97" t="n">
        <f aca="false">BL32-BK33+BJ33</f>
        <v>0</v>
      </c>
      <c r="BM33" s="95" t="n">
        <f aca="false">[1]НАДІЙШЛО2!X25</f>
        <v>0</v>
      </c>
      <c r="BN33" s="96" t="n">
        <f aca="false">[1]ВИБУЛО2!X25</f>
        <v>0</v>
      </c>
      <c r="BO33" s="97" t="n">
        <f aca="false">BO32-BN33+BM33</f>
        <v>0</v>
      </c>
      <c r="BP33" s="95" t="n">
        <f aca="false">[1]НАДІЙШЛО2!Y25</f>
        <v>0</v>
      </c>
      <c r="BQ33" s="96" t="n">
        <f aca="false">[1]ВИБУЛО2!Y25</f>
        <v>0</v>
      </c>
      <c r="BR33" s="97" t="n">
        <f aca="false">BR32-BQ33+BP33</f>
        <v>0</v>
      </c>
      <c r="BS33" s="95" t="n">
        <f aca="false">[1]НАДІЙШЛО2!Z25</f>
        <v>0</v>
      </c>
      <c r="BT33" s="96" t="n">
        <f aca="false">[1]ВИБУЛО2!Z25</f>
        <v>0</v>
      </c>
      <c r="BU33" s="97" t="n">
        <f aca="false">BU32-BT33+BS33</f>
        <v>0</v>
      </c>
      <c r="BV33" s="95" t="n">
        <f aca="false">[1]НАДІЙШЛО2!AA25</f>
        <v>0</v>
      </c>
      <c r="BW33" s="96" t="n">
        <f aca="false">[1]ВИБУЛО2!AA25</f>
        <v>0</v>
      </c>
      <c r="BX33" s="97" t="n">
        <f aca="false">BX32-BW33+BV33</f>
        <v>0</v>
      </c>
      <c r="BY33" s="95" t="n">
        <f aca="false">[1]НАДІЙШЛО2!AB25</f>
        <v>0</v>
      </c>
      <c r="BZ33" s="96" t="n">
        <f aca="false">[1]ВИБУЛО2!AB25</f>
        <v>0</v>
      </c>
      <c r="CA33" s="97" t="n">
        <f aca="false">CA32-BZ33+BY33</f>
        <v>0</v>
      </c>
      <c r="CB33" s="95" t="n">
        <f aca="false">[1]НАДІЙШЛО2!AC25</f>
        <v>0</v>
      </c>
      <c r="CC33" s="96" t="n">
        <f aca="false">[1]ВИБУЛО2!AC25</f>
        <v>0</v>
      </c>
      <c r="CD33" s="97" t="n">
        <f aca="false">CD32-CC33+CB33</f>
        <v>0</v>
      </c>
      <c r="CE33" s="95" t="n">
        <f aca="false">[1]НАДІЙШЛО2!AD25</f>
        <v>0</v>
      </c>
      <c r="CF33" s="96" t="n">
        <f aca="false">[1]ВИБУЛО2!AD25</f>
        <v>0</v>
      </c>
      <c r="CG33" s="97" t="n">
        <f aca="false">CG32-CF33+CE33</f>
        <v>0</v>
      </c>
      <c r="CH33" s="95" t="n">
        <f aca="false">[1]НАДІЙШЛО2!AE25</f>
        <v>0</v>
      </c>
      <c r="CI33" s="96" t="n">
        <f aca="false">[1]ВИБУЛО2!AE25</f>
        <v>0</v>
      </c>
      <c r="CJ33" s="97" t="n">
        <f aca="false">CJ32-CI33+CH33</f>
        <v>0</v>
      </c>
      <c r="CK33" s="95" t="n">
        <f aca="false">[1]НАДІЙШЛО2!AF25</f>
        <v>0</v>
      </c>
      <c r="CL33" s="96" t="n">
        <f aca="false">[1]ВИБУЛО2!AF25</f>
        <v>0</v>
      </c>
      <c r="CM33" s="97" t="n">
        <f aca="false">CM32-CL33+CK33</f>
        <v>0</v>
      </c>
      <c r="CN33" s="95" t="n">
        <f aca="false">[1]НАДІЙШЛО2!AG25</f>
        <v>0</v>
      </c>
      <c r="CO33" s="96" t="n">
        <f aca="false">[1]ВИБУЛО2!AG25</f>
        <v>0</v>
      </c>
      <c r="CP33" s="97" t="n">
        <f aca="false">CP32-CO33+CN33</f>
        <v>0</v>
      </c>
      <c r="CQ33" s="95" t="n">
        <f aca="false">[1]НАДІЙШЛО2!AH25</f>
        <v>0</v>
      </c>
      <c r="CR33" s="96" t="n">
        <f aca="false">[1]ВИБУЛО2!AH25</f>
        <v>0</v>
      </c>
      <c r="CS33" s="97" t="n">
        <f aca="false">CS32-CR33+CQ33</f>
        <v>0</v>
      </c>
      <c r="CT33" s="95" t="n">
        <f aca="false">[1]НАДІЙШЛО2!AI25</f>
        <v>0</v>
      </c>
      <c r="CU33" s="96" t="n">
        <f aca="false">[1]ВИБУЛО2!AI25</f>
        <v>0</v>
      </c>
      <c r="CV33" s="97" t="n">
        <f aca="false">CV32-CU33+CT33</f>
        <v>0</v>
      </c>
      <c r="CW33" s="95" t="n">
        <f aca="false">[1]НАДІЙШЛО2!AJ25</f>
        <v>0</v>
      </c>
      <c r="CX33" s="96" t="n">
        <f aca="false">[1]ВИБУЛО2!AJ25</f>
        <v>0</v>
      </c>
      <c r="CY33" s="97" t="n">
        <f aca="false">CY32-CX33+CW33</f>
        <v>0</v>
      </c>
      <c r="CZ33" s="95" t="n">
        <f aca="false">[1]НАДІЙШЛО2!AK25</f>
        <v>0</v>
      </c>
      <c r="DA33" s="96" t="n">
        <f aca="false">[1]ВИБУЛО2!AK25</f>
        <v>0</v>
      </c>
      <c r="DB33" s="97" t="n">
        <f aca="false">DB32-DA33+CZ33</f>
        <v>0</v>
      </c>
      <c r="DC33" s="95" t="n">
        <f aca="false">[1]НАДІЙШЛО2!AL25</f>
        <v>0</v>
      </c>
      <c r="DD33" s="96" t="n">
        <f aca="false">[1]ВИБУЛО2!AL25</f>
        <v>0</v>
      </c>
      <c r="DE33" s="97" t="n">
        <f aca="false">DE32-DD33+DC33</f>
        <v>0</v>
      </c>
      <c r="DF33" s="95" t="n">
        <f aca="false">[1]НАДІЙШЛО2!AM25</f>
        <v>0</v>
      </c>
      <c r="DG33" s="96" t="n">
        <f aca="false">[1]ВИБУЛО2!AM25</f>
        <v>0</v>
      </c>
      <c r="DH33" s="97" t="n">
        <f aca="false">DH32-DG33+DF33</f>
        <v>0</v>
      </c>
      <c r="DI33" s="95" t="n">
        <f aca="false">[1]НАДІЙШЛО2!AN25</f>
        <v>0</v>
      </c>
      <c r="DJ33" s="96" t="n">
        <f aca="false">[1]ВИБУЛО2!AN25</f>
        <v>0</v>
      </c>
      <c r="DK33" s="97" t="n">
        <f aca="false">DK32-DJ33+DI33</f>
        <v>0</v>
      </c>
      <c r="DL33" s="95" t="n">
        <f aca="false">[1]НАДІЙШЛО2!AO25</f>
        <v>0</v>
      </c>
      <c r="DM33" s="96" t="n">
        <f aca="false">[1]ВИБУЛО2!AO25</f>
        <v>0</v>
      </c>
      <c r="DN33" s="97" t="n">
        <f aca="false">DN32-DM33+DL33</f>
        <v>0</v>
      </c>
      <c r="DO33" s="95" t="n">
        <f aca="false">[1]НАДІЙШЛО2!AP25</f>
        <v>0</v>
      </c>
      <c r="DP33" s="96" t="n">
        <f aca="false">[1]ВИБУЛО2!AP25</f>
        <v>0</v>
      </c>
      <c r="DQ33" s="97" t="n">
        <f aca="false">DQ32-DP33+DO33</f>
        <v>0</v>
      </c>
      <c r="DR33" s="95" t="n">
        <f aca="false">[1]НАДІЙШЛО2!AQ25</f>
        <v>0</v>
      </c>
      <c r="DS33" s="96" t="n">
        <f aca="false">[1]ВИБУЛО2!AQ25</f>
        <v>0</v>
      </c>
      <c r="DT33" s="97" t="n">
        <f aca="false">DT32-DS33+DR33</f>
        <v>0</v>
      </c>
      <c r="DU33" s="95" t="n">
        <f aca="false">[1]НАДІЙШЛО2!AR25</f>
        <v>0</v>
      </c>
      <c r="DV33" s="96" t="n">
        <f aca="false">[1]ВИБУЛО2!AR25</f>
        <v>0</v>
      </c>
      <c r="DW33" s="97" t="n">
        <f aca="false">DW32-DV33+DU33</f>
        <v>0</v>
      </c>
      <c r="DX33" s="95" t="n">
        <f aca="false">[1]НАДІЙШЛО2!AS25</f>
        <v>0</v>
      </c>
      <c r="DY33" s="96" t="n">
        <f aca="false">[1]ВИБУЛО2!AS25</f>
        <v>0</v>
      </c>
      <c r="DZ33" s="97" t="n">
        <f aca="false">DZ32-DY33+DX33</f>
        <v>0</v>
      </c>
      <c r="EA33" s="95" t="n">
        <f aca="false">[1]НАДІЙШЛО2!AT25</f>
        <v>0</v>
      </c>
      <c r="EB33" s="96" t="n">
        <f aca="false">[1]ВИБУЛО2!AT25</f>
        <v>0</v>
      </c>
      <c r="EC33" s="97" t="n">
        <f aca="false">EC32-EB33+EA33</f>
        <v>0</v>
      </c>
      <c r="ED33" s="95" t="n">
        <f aca="false">[1]НАДІЙШЛО2!AU25</f>
        <v>0</v>
      </c>
      <c r="EE33" s="96" t="n">
        <f aca="false">[1]ВИБУЛО2!AU25</f>
        <v>0</v>
      </c>
      <c r="EF33" s="97" t="n">
        <f aca="false">EF32-EE33+ED33</f>
        <v>0</v>
      </c>
      <c r="EG33" s="95" t="n">
        <f aca="false">[1]НАДІЙШЛО2!AV25</f>
        <v>0</v>
      </c>
      <c r="EH33" s="96" t="n">
        <f aca="false">[1]ВИБУЛО2!AV25</f>
        <v>0</v>
      </c>
      <c r="EI33" s="97" t="n">
        <f aca="false">EI32-EH33+EG33</f>
        <v>0</v>
      </c>
      <c r="EJ33" s="95" t="n">
        <f aca="false">[1]НАДІЙШЛО2!AW25</f>
        <v>0</v>
      </c>
      <c r="EK33" s="96" t="n">
        <f aca="false">[1]ВИБУЛО2!AW25</f>
        <v>0</v>
      </c>
      <c r="EL33" s="97" t="n">
        <f aca="false">EL32-EK33+EJ33</f>
        <v>0</v>
      </c>
      <c r="EM33" s="95" t="n">
        <f aca="false">[1]НАДІЙШЛО2!AX25</f>
        <v>0</v>
      </c>
      <c r="EN33" s="96" t="n">
        <f aca="false">[1]ВИБУЛО2!AX25</f>
        <v>0</v>
      </c>
      <c r="EO33" s="97" t="n">
        <f aca="false">EO32-EN33+EM33</f>
        <v>0</v>
      </c>
      <c r="EP33" s="95" t="n">
        <f aca="false">[1]НАДІЙШЛО2!AY25</f>
        <v>0</v>
      </c>
      <c r="EQ33" s="96" t="n">
        <f aca="false">[1]ВИБУЛО2!AY25</f>
        <v>0</v>
      </c>
      <c r="ER33" s="97" t="n">
        <f aca="false">ER32-EQ33+EP33</f>
        <v>0</v>
      </c>
      <c r="ES33" s="95" t="n">
        <f aca="false">[1]НАДІЙШЛО2!AZ25</f>
        <v>0</v>
      </c>
      <c r="ET33" s="96" t="n">
        <f aca="false">[1]ВИБУЛО2!AZ25</f>
        <v>0</v>
      </c>
      <c r="EU33" s="97" t="n">
        <f aca="false">EU32-ET33+ES33</f>
        <v>0</v>
      </c>
      <c r="EV33" s="95" t="n">
        <f aca="false">[1]НАДІЙШЛО2!BA25</f>
        <v>0</v>
      </c>
      <c r="EW33" s="96" t="n">
        <f aca="false">[1]ВИБУЛО2!BA25</f>
        <v>0</v>
      </c>
      <c r="EX33" s="97" t="n">
        <f aca="false">EX32-EW33+EV33</f>
        <v>0</v>
      </c>
      <c r="EY33" s="95" t="n">
        <f aca="false">[1]НАДІЙШЛО2!BB25</f>
        <v>0</v>
      </c>
      <c r="EZ33" s="96" t="n">
        <f aca="false">[1]ВИБУЛО2!BB25</f>
        <v>0</v>
      </c>
      <c r="FA33" s="97" t="n">
        <f aca="false">FA32-EZ33+EY33</f>
        <v>0</v>
      </c>
      <c r="FB33" s="95" t="n">
        <f aca="false">[1]НАДІЙШЛО2!BC25</f>
        <v>0</v>
      </c>
      <c r="FC33" s="96" t="n">
        <f aca="false">[1]ВИБУЛО2!BC25</f>
        <v>0</v>
      </c>
      <c r="FD33" s="97" t="n">
        <f aca="false">FD32-FC33+FB33</f>
        <v>0</v>
      </c>
      <c r="FE33" s="95" t="n">
        <f aca="false">[1]НАДІЙШЛО2!BD25</f>
        <v>0</v>
      </c>
      <c r="FF33" s="96" t="n">
        <f aca="false">[1]ВИБУЛО2!BD25</f>
        <v>0</v>
      </c>
      <c r="FG33" s="97" t="n">
        <f aca="false">FG32-FF33+FE33</f>
        <v>0</v>
      </c>
      <c r="FH33" s="95" t="n">
        <f aca="false">[1]НАДІЙШЛО2!BE25</f>
        <v>0</v>
      </c>
      <c r="FI33" s="96" t="n">
        <f aca="false">[1]ВИБУЛО2!BE25</f>
        <v>0</v>
      </c>
      <c r="FJ33" s="97" t="n">
        <f aca="false">FJ32-FI33+FH33</f>
        <v>0</v>
      </c>
      <c r="FK33" s="95" t="n">
        <f aca="false">[1]НАДІЙШЛО2!BF25</f>
        <v>0</v>
      </c>
      <c r="FL33" s="96" t="n">
        <f aca="false">[1]ВИБУЛО2!BF25</f>
        <v>0</v>
      </c>
      <c r="FM33" s="97" t="n">
        <f aca="false">FM32-FL33+FK33</f>
        <v>0</v>
      </c>
      <c r="FN33" s="95" t="n">
        <f aca="false">[1]НАДІЙШЛО2!BG25</f>
        <v>0</v>
      </c>
      <c r="FO33" s="96" t="n">
        <f aca="false">[1]ВИБУЛО2!BG25</f>
        <v>0</v>
      </c>
      <c r="FP33" s="97" t="n">
        <f aca="false">FP32-FO33+FN33</f>
        <v>0</v>
      </c>
      <c r="FQ33" s="95" t="n">
        <f aca="false">[1]НАДІЙШЛО2!BH25</f>
        <v>0</v>
      </c>
      <c r="FR33" s="96" t="n">
        <f aca="false">[1]ВИБУЛО2!BH25</f>
        <v>0</v>
      </c>
      <c r="FS33" s="97" t="n">
        <f aca="false">FS32-FR33+FQ33</f>
        <v>0</v>
      </c>
      <c r="FT33" s="95" t="n">
        <f aca="false">[1]НАДІЙШЛО2!BI25</f>
        <v>0</v>
      </c>
      <c r="FU33" s="96" t="n">
        <f aca="false">[1]ВИБУЛО2!BI25</f>
        <v>0</v>
      </c>
      <c r="FV33" s="97" t="n">
        <f aca="false">FV32-FU33+FT33</f>
        <v>0</v>
      </c>
      <c r="FW33" s="95" t="n">
        <f aca="false">[1]НАДІЙШЛО2!BJ25</f>
        <v>0</v>
      </c>
      <c r="FX33" s="96" t="n">
        <f aca="false">[1]ВИБУЛО2!BJ25</f>
        <v>0</v>
      </c>
      <c r="FY33" s="97" t="n">
        <f aca="false">FY32-FX33+FW33</f>
        <v>0</v>
      </c>
      <c r="FZ33" s="95" t="n">
        <f aca="false">[1]НАДІЙШЛО2!BK25</f>
        <v>0</v>
      </c>
      <c r="GA33" s="96" t="n">
        <f aca="false">[1]ВИБУЛО2!BK25</f>
        <v>0</v>
      </c>
      <c r="GB33" s="97" t="n">
        <f aca="false">GB32-GA33+FZ33</f>
        <v>0</v>
      </c>
      <c r="GC33" s="95" t="n">
        <f aca="false">[1]НАДІЙШЛО2!BL25</f>
        <v>0</v>
      </c>
      <c r="GD33" s="96" t="n">
        <f aca="false">[1]ВИБУЛО2!BL25</f>
        <v>0</v>
      </c>
      <c r="GE33" s="97" t="n">
        <f aca="false">GE32-GD33+GC33</f>
        <v>0</v>
      </c>
      <c r="GF33" s="95" t="n">
        <f aca="false">[1]НАДІЙШЛО2!BM25</f>
        <v>0</v>
      </c>
      <c r="GG33" s="96" t="n">
        <f aca="false">[1]ВИБУЛО2!BM25</f>
        <v>0</v>
      </c>
      <c r="GH33" s="97" t="n">
        <f aca="false">GH32-GG33+GF33</f>
        <v>0</v>
      </c>
      <c r="GI33" s="95" t="n">
        <f aca="false">[1]НАДІЙШЛО2!BN25</f>
        <v>0</v>
      </c>
      <c r="GJ33" s="96" t="n">
        <f aca="false">[1]ВИБУЛО2!BN25</f>
        <v>0</v>
      </c>
      <c r="GK33" s="97" t="n">
        <f aca="false">GK32-GJ33+GI33</f>
        <v>0</v>
      </c>
      <c r="GL33" s="95" t="n">
        <f aca="false">[1]НАДІЙШЛО2!BO25</f>
        <v>0</v>
      </c>
      <c r="GM33" s="96" t="n">
        <f aca="false">[1]ВИБУЛО2!BO25</f>
        <v>0</v>
      </c>
      <c r="GN33" s="97" t="n">
        <f aca="false">GN32-GM33+GL33</f>
        <v>0</v>
      </c>
      <c r="GO33" s="95" t="n">
        <f aca="false">[1]НАДІЙШЛО2!BP25</f>
        <v>0</v>
      </c>
      <c r="GP33" s="96" t="n">
        <f aca="false">[1]ВИБУЛО2!BP25</f>
        <v>0</v>
      </c>
      <c r="GQ33" s="97" t="n">
        <f aca="false">GQ32-GP33+GO33</f>
        <v>0</v>
      </c>
      <c r="GR33" s="95" t="n">
        <f aca="false">[1]НАДІЙШЛО2!BQ25</f>
        <v>0</v>
      </c>
      <c r="GS33" s="96" t="n">
        <f aca="false">[1]ВИБУЛО2!BQ25</f>
        <v>0</v>
      </c>
      <c r="GT33" s="97" t="n">
        <f aca="false">GT32-GS33+GR33</f>
        <v>0</v>
      </c>
      <c r="GU33" s="95" t="n">
        <f aca="false">[1]НАДІЙШЛО2!BR25</f>
        <v>0</v>
      </c>
      <c r="GV33" s="96" t="n">
        <f aca="false">[1]ВИБУЛО2!BR25</f>
        <v>0</v>
      </c>
      <c r="GW33" s="97" t="n">
        <f aca="false">GW32-GV33+GU33</f>
        <v>0</v>
      </c>
      <c r="GX33" s="95" t="n">
        <f aca="false">[1]НАДІЙШЛО2!BS25</f>
        <v>0</v>
      </c>
      <c r="GY33" s="96" t="n">
        <f aca="false">[1]ВИБУЛО2!BS25</f>
        <v>0</v>
      </c>
      <c r="GZ33" s="97" t="n">
        <f aca="false">GZ32-GY33+GX33</f>
        <v>0</v>
      </c>
      <c r="HA33" s="95" t="n">
        <f aca="false">[1]НАДІЙШЛО2!BT25</f>
        <v>0</v>
      </c>
      <c r="HB33" s="96" t="n">
        <f aca="false">[1]ВИБУЛО2!BT25</f>
        <v>0</v>
      </c>
      <c r="HC33" s="97" t="n">
        <f aca="false">HC32-HB33+HA33</f>
        <v>0</v>
      </c>
      <c r="HD33" s="95" t="n">
        <f aca="false">[1]НАДІЙШЛО2!BU25</f>
        <v>0</v>
      </c>
      <c r="HE33" s="96" t="n">
        <f aca="false">[1]ВИБУЛО2!BU25</f>
        <v>0</v>
      </c>
      <c r="HF33" s="97" t="n">
        <f aca="false">HF32-HE33+HD33</f>
        <v>0</v>
      </c>
      <c r="HG33" s="95" t="n">
        <f aca="false">[1]НАДІЙШЛО2!BV25</f>
        <v>0</v>
      </c>
      <c r="HH33" s="96" t="n">
        <f aca="false">[1]ВИБУЛО2!BV25</f>
        <v>0</v>
      </c>
      <c r="HI33" s="97" t="n">
        <f aca="false">HI32-HH33+HG33</f>
        <v>0</v>
      </c>
      <c r="HJ33" s="95" t="n">
        <f aca="false">[1]НАДІЙШЛО2!BW25</f>
        <v>0</v>
      </c>
      <c r="HK33" s="96" t="n">
        <f aca="false">[1]ВИБУЛО2!BW25</f>
        <v>0</v>
      </c>
      <c r="HL33" s="97" t="n">
        <f aca="false">HL32-HK33+HJ33</f>
        <v>0</v>
      </c>
      <c r="HM33" s="95" t="n">
        <f aca="false">[1]НАДІЙШЛО2!BX25</f>
        <v>0</v>
      </c>
      <c r="HN33" s="96" t="n">
        <f aca="false">[1]ВИБУЛО2!BX25</f>
        <v>0</v>
      </c>
      <c r="HO33" s="97" t="n">
        <f aca="false">HO32-HN33+HM33</f>
        <v>0</v>
      </c>
      <c r="HP33" s="95" t="n">
        <f aca="false">[1]НАДІЙШЛО2!BY25</f>
        <v>0</v>
      </c>
      <c r="HQ33" s="96" t="n">
        <f aca="false">[1]ВИБУЛО2!BY25</f>
        <v>0</v>
      </c>
      <c r="HR33" s="97" t="n">
        <f aca="false">HR32-HQ33+HP33</f>
        <v>0</v>
      </c>
      <c r="HS33" s="95" t="n">
        <f aca="false">[1]НАДІЙШЛО2!BZ25</f>
        <v>0</v>
      </c>
      <c r="HT33" s="96" t="n">
        <f aca="false">[1]ВИБУЛО2!BZ25</f>
        <v>0</v>
      </c>
      <c r="HU33" s="97" t="n">
        <f aca="false">HU32-HT33+HS33</f>
        <v>0</v>
      </c>
      <c r="HV33" s="95" t="n">
        <f aca="false">[1]НАДІЙШЛО2!CA25</f>
        <v>0</v>
      </c>
      <c r="HW33" s="96" t="n">
        <f aca="false">[1]ВИБУЛО2!CA25</f>
        <v>0</v>
      </c>
      <c r="HX33" s="97" t="n">
        <f aca="false">HX32-HW33+HV33</f>
        <v>0</v>
      </c>
      <c r="HY33" s="95" t="n">
        <f aca="false">[1]НАДІЙШЛО2!CB25</f>
        <v>0</v>
      </c>
      <c r="HZ33" s="96" t="n">
        <f aca="false">[1]ВИБУЛО2!CB25</f>
        <v>0</v>
      </c>
      <c r="IA33" s="97" t="n">
        <f aca="false">IA32-HZ33+HY33</f>
        <v>0</v>
      </c>
      <c r="IB33" s="95" t="n">
        <f aca="false">[1]НАДІЙШЛО2!CC25</f>
        <v>0</v>
      </c>
      <c r="IC33" s="96" t="n">
        <f aca="false">[1]ВИБУЛО2!CC25</f>
        <v>0</v>
      </c>
      <c r="ID33" s="97" t="n">
        <f aca="false">ID32-IC33+IB33</f>
        <v>0</v>
      </c>
      <c r="IE33" s="95" t="n">
        <f aca="false">[1]НАДІЙШЛО2!CD25</f>
        <v>0</v>
      </c>
      <c r="IF33" s="96" t="n">
        <f aca="false">[1]ВИБУЛО2!CD25</f>
        <v>0</v>
      </c>
      <c r="IG33" s="97" t="n">
        <f aca="false">IG32-IF33+IE33</f>
        <v>0</v>
      </c>
      <c r="IH33" s="95" t="n">
        <f aca="false">[1]НАДІЙШЛО2!CE25</f>
        <v>0</v>
      </c>
      <c r="II33" s="96" t="n">
        <f aca="false">[1]ВИБУЛО2!CE25</f>
        <v>0</v>
      </c>
      <c r="IJ33" s="97" t="n">
        <f aca="false">IJ32-II33+IH33</f>
        <v>0</v>
      </c>
      <c r="IK33" s="95" t="n">
        <f aca="false">[1]НАДІЙШЛО2!CF25</f>
        <v>0</v>
      </c>
      <c r="IL33" s="96" t="n">
        <f aca="false">[1]ВИБУЛО2!CF25</f>
        <v>0</v>
      </c>
      <c r="IM33" s="97" t="n">
        <f aca="false">IM32-IL33+IK33</f>
        <v>0</v>
      </c>
      <c r="IN33" s="95" t="n">
        <f aca="false">[1]НАДІЙШЛО2!CG25</f>
        <v>0</v>
      </c>
      <c r="IO33" s="96" t="n">
        <f aca="false">[1]ВИБУЛО2!CG25</f>
        <v>0</v>
      </c>
      <c r="IP33" s="97" t="n">
        <f aca="false">IP32-IO33+IN33</f>
        <v>0</v>
      </c>
      <c r="IQ33" s="95" t="n">
        <f aca="false">[1]НАДІЙШЛО2!CH25</f>
        <v>0</v>
      </c>
      <c r="IR33" s="96" t="n">
        <f aca="false">[1]ВИБУЛО2!CH25</f>
        <v>0</v>
      </c>
      <c r="IS33" s="97" t="n">
        <f aca="false">IS32-IR33+IQ33</f>
        <v>0</v>
      </c>
      <c r="IT33" s="95" t="n">
        <f aca="false">[1]НАДІЙШЛО2!CI25</f>
        <v>0</v>
      </c>
      <c r="IU33" s="96" t="n">
        <f aca="false">[1]ВИБУЛО2!CI25</f>
        <v>0</v>
      </c>
      <c r="IV33" s="97" t="n">
        <f aca="false">IV32-IU33+IT33</f>
        <v>0</v>
      </c>
      <c r="IW33" s="95" t="n">
        <f aca="false">[1]НАДІЙШЛО2!CJ25</f>
        <v>0</v>
      </c>
      <c r="IX33" s="96" t="n">
        <f aca="false">[1]ВИБУЛО2!CJ25</f>
        <v>0</v>
      </c>
      <c r="IY33" s="97" t="n">
        <f aca="false">IY32-IX33+IW33</f>
        <v>0</v>
      </c>
      <c r="IZ33" s="95" t="n">
        <f aca="false">[1]НАДІЙШЛО2!CK25</f>
        <v>0</v>
      </c>
      <c r="JA33" s="96" t="n">
        <f aca="false">[1]ВИБУЛО2!CK25</f>
        <v>0</v>
      </c>
      <c r="JB33" s="97" t="n">
        <f aca="false">JB32-JA33+IZ33</f>
        <v>0</v>
      </c>
      <c r="JC33" s="95" t="n">
        <f aca="false">[1]НАДІЙШЛО2!CL25</f>
        <v>0</v>
      </c>
      <c r="JD33" s="96" t="n">
        <f aca="false">[1]ВИБУЛО2!CL25</f>
        <v>0</v>
      </c>
      <c r="JE33" s="97" t="n">
        <f aca="false">JE32-JD33+JC33</f>
        <v>0</v>
      </c>
      <c r="JF33" s="95" t="n">
        <f aca="false">[1]НАДІЙШЛО2!CM25</f>
        <v>0</v>
      </c>
      <c r="JG33" s="96" t="n">
        <f aca="false">[1]ВИБУЛО2!CM25</f>
        <v>0</v>
      </c>
      <c r="JH33" s="97" t="n">
        <f aca="false">JH32-JG33+JF33</f>
        <v>0</v>
      </c>
      <c r="JI33" s="95" t="n">
        <f aca="false">[1]НАДІЙШЛО2!CN25</f>
        <v>0</v>
      </c>
      <c r="JJ33" s="96" t="n">
        <f aca="false">[1]ВИБУЛО2!CN25</f>
        <v>0</v>
      </c>
      <c r="JK33" s="97" t="n">
        <f aca="false">JK32-JJ33+JI33</f>
        <v>0</v>
      </c>
      <c r="JL33" s="95" t="n">
        <f aca="false">[1]НАДІЙШЛО2!CO25</f>
        <v>0</v>
      </c>
      <c r="JM33" s="96" t="n">
        <f aca="false">[1]ВИБУЛО2!CO25</f>
        <v>0</v>
      </c>
      <c r="JN33" s="97" t="n">
        <f aca="false">JN32-JM33+JL33</f>
        <v>0</v>
      </c>
      <c r="JO33" s="95" t="n">
        <f aca="false">[1]НАДІЙШЛО2!CP25</f>
        <v>0</v>
      </c>
      <c r="JP33" s="96" t="n">
        <f aca="false">[1]ВИБУЛО2!CP25</f>
        <v>0</v>
      </c>
      <c r="JQ33" s="97" t="n">
        <f aca="false">JQ32-JP33+JO33</f>
        <v>0</v>
      </c>
      <c r="JR33" s="95" t="n">
        <f aca="false">[1]НАДІЙШЛО2!CQ25</f>
        <v>0</v>
      </c>
      <c r="JS33" s="96" t="n">
        <f aca="false">[1]ВИБУЛО2!CQ25</f>
        <v>0</v>
      </c>
      <c r="JT33" s="97" t="n">
        <f aca="false">JT32-JS33+JR33</f>
        <v>0</v>
      </c>
      <c r="JU33" s="95" t="n">
        <f aca="false">[1]НАДІЙШЛО2!CR25</f>
        <v>0</v>
      </c>
      <c r="JV33" s="96" t="n">
        <f aca="false">[1]ВИБУЛО2!CR25</f>
        <v>0</v>
      </c>
      <c r="JW33" s="97" t="n">
        <f aca="false">JW32-JV33+JU33</f>
        <v>0</v>
      </c>
      <c r="JX33" s="95" t="n">
        <f aca="false">[1]НАДІЙШЛО2!CS25</f>
        <v>0</v>
      </c>
      <c r="JY33" s="96" t="n">
        <f aca="false">[1]ВИБУЛО2!CS25</f>
        <v>0</v>
      </c>
      <c r="JZ33" s="97" t="n">
        <f aca="false">JZ32-JY33+JX33</f>
        <v>0</v>
      </c>
      <c r="KA33" s="95" t="n">
        <f aca="false">[1]НАДІЙШЛО2!CT25</f>
        <v>0</v>
      </c>
      <c r="KB33" s="96" t="n">
        <f aca="false">[1]ВИБУЛО2!CT25</f>
        <v>0</v>
      </c>
      <c r="KC33" s="97" t="n">
        <f aca="false">KC32-KB33+KA33</f>
        <v>0</v>
      </c>
      <c r="KD33" s="95" t="n">
        <f aca="false">[1]НАДІЙШЛО2!CU25</f>
        <v>0</v>
      </c>
      <c r="KE33" s="96" t="n">
        <f aca="false">[1]ВИБУЛО2!CU25</f>
        <v>0</v>
      </c>
      <c r="KF33" s="97" t="n">
        <f aca="false">KF32-KE33+KD33</f>
        <v>0</v>
      </c>
      <c r="KG33" s="95" t="n">
        <f aca="false">[1]НАДІЙШЛО2!CV25</f>
        <v>0</v>
      </c>
      <c r="KH33" s="96" t="n">
        <f aca="false">[1]ВИБУЛО2!CV25</f>
        <v>0</v>
      </c>
      <c r="KI33" s="97" t="n">
        <f aca="false">KI32-KH33+KG33</f>
        <v>0</v>
      </c>
      <c r="KJ33" s="95" t="n">
        <f aca="false">[1]НАДІЙШЛО2!CW25</f>
        <v>0</v>
      </c>
      <c r="KK33" s="96" t="n">
        <f aca="false">[1]ВИБУЛО2!CW25</f>
        <v>0</v>
      </c>
      <c r="KL33" s="97" t="n">
        <f aca="false">KL32-KK33+KJ33</f>
        <v>0</v>
      </c>
      <c r="KM33" s="95" t="n">
        <f aca="false">[1]НАДІЙШЛО2!CX25</f>
        <v>0</v>
      </c>
      <c r="KN33" s="96" t="n">
        <f aca="false">[1]ВИБУЛО2!CX25</f>
        <v>0</v>
      </c>
      <c r="KO33" s="97" t="n">
        <f aca="false">KO32-KN33+KM33</f>
        <v>0</v>
      </c>
      <c r="KP33" s="95" t="n">
        <f aca="false">[1]НАДІЙШЛО2!CY25</f>
        <v>0</v>
      </c>
      <c r="KQ33" s="96" t="n">
        <f aca="false">[1]ВИБУЛО2!CY25</f>
        <v>0</v>
      </c>
      <c r="KR33" s="97" t="n">
        <f aca="false">KR32-KQ33+KP33</f>
        <v>0</v>
      </c>
      <c r="KS33" s="95" t="n">
        <f aca="false">[1]НАДІЙШЛО2!CZ25</f>
        <v>0</v>
      </c>
      <c r="KT33" s="96" t="n">
        <f aca="false">[1]ВИБУЛО2!CZ25</f>
        <v>0</v>
      </c>
      <c r="KU33" s="97" t="n">
        <f aca="false">KU32-KT33+KS33</f>
        <v>0</v>
      </c>
      <c r="KV33" s="95" t="n">
        <f aca="false">[1]НАДІЙШЛО2!DA25</f>
        <v>0</v>
      </c>
      <c r="KW33" s="96" t="n">
        <f aca="false">[1]ВИБУЛО2!DA25</f>
        <v>0</v>
      </c>
      <c r="KX33" s="97" t="n">
        <f aca="false">KX32-KW33+KV33</f>
        <v>0</v>
      </c>
      <c r="KY33" s="95" t="n">
        <f aca="false">[1]НАДІЙШЛО2!DB25</f>
        <v>0</v>
      </c>
      <c r="KZ33" s="96" t="n">
        <f aca="false">[1]ВИБУЛО2!DB25</f>
        <v>0</v>
      </c>
      <c r="LA33" s="97" t="n">
        <f aca="false">LA32-KZ33+KY33</f>
        <v>0</v>
      </c>
      <c r="LB33" s="95" t="n">
        <f aca="false">[1]НАДІЙШЛО2!DC25</f>
        <v>0</v>
      </c>
      <c r="LC33" s="96" t="n">
        <f aca="false">[1]ВИБУЛО2!DC25</f>
        <v>0</v>
      </c>
      <c r="LD33" s="97" t="n">
        <f aca="false">LD32-LC33+LB33</f>
        <v>0</v>
      </c>
      <c r="LE33" s="95" t="n">
        <f aca="false">[1]НАДІЙШЛО2!DD25</f>
        <v>0</v>
      </c>
      <c r="LF33" s="96" t="n">
        <f aca="false">[1]ВИБУЛО2!DD25</f>
        <v>0</v>
      </c>
      <c r="LG33" s="97" t="n">
        <f aca="false">LG32-LF33+LE33</f>
        <v>0</v>
      </c>
      <c r="LH33" s="95" t="n">
        <f aca="false">[1]НАДІЙШЛО2!DE25</f>
        <v>0</v>
      </c>
      <c r="LI33" s="96" t="n">
        <f aca="false">[1]ВИБУЛО2!DE25</f>
        <v>0</v>
      </c>
      <c r="LJ33" s="97" t="n">
        <f aca="false">LJ32-LI33+LH33</f>
        <v>0</v>
      </c>
      <c r="LK33" s="95" t="n">
        <f aca="false">[1]НАДІЙШЛО2!DF25</f>
        <v>0</v>
      </c>
      <c r="LL33" s="96" t="n">
        <f aca="false">[1]ВИБУЛО2!DF25</f>
        <v>0</v>
      </c>
      <c r="LM33" s="97" t="n">
        <f aca="false">LM32-LL33+LK33</f>
        <v>0</v>
      </c>
      <c r="LN33" s="95" t="n">
        <f aca="false">[1]НАДІЙШЛО2!DG25</f>
        <v>0</v>
      </c>
      <c r="LO33" s="96" t="n">
        <f aca="false">[1]ВИБУЛО2!DG25</f>
        <v>0</v>
      </c>
      <c r="LP33" s="97" t="n">
        <f aca="false">LP32-LO33+LN33</f>
        <v>0</v>
      </c>
      <c r="LQ33" s="95" t="n">
        <f aca="false">[1]НАДІЙШЛО2!DH25</f>
        <v>0</v>
      </c>
      <c r="LR33" s="96" t="n">
        <f aca="false">[1]ВИБУЛО2!DH25</f>
        <v>0</v>
      </c>
      <c r="LS33" s="97" t="n">
        <f aca="false">LS32-LR33+LQ33</f>
        <v>0</v>
      </c>
      <c r="LT33" s="95" t="n">
        <f aca="false">[1]НАДІЙШЛО2!DI25</f>
        <v>0</v>
      </c>
      <c r="LU33" s="96" t="n">
        <f aca="false">[1]ВИБУЛО2!DI25</f>
        <v>0</v>
      </c>
      <c r="LV33" s="97" t="n">
        <f aca="false">LV32-LU33+LT33</f>
        <v>0</v>
      </c>
      <c r="LW33" s="95" t="n">
        <f aca="false">[1]НАДІЙШЛО2!DJ25</f>
        <v>0</v>
      </c>
      <c r="LX33" s="96" t="n">
        <f aca="false">[1]ВИБУЛО2!DJ25</f>
        <v>0</v>
      </c>
      <c r="LY33" s="97" t="n">
        <f aca="false">LY32-LX33+LW33</f>
        <v>0</v>
      </c>
      <c r="LZ33" s="95" t="n">
        <f aca="false">[1]НАДІЙШЛО2!DK25</f>
        <v>0</v>
      </c>
      <c r="MA33" s="96" t="n">
        <f aca="false">[1]ВИБУЛО2!DK25</f>
        <v>0</v>
      </c>
      <c r="MB33" s="97" t="n">
        <f aca="false">MB32-MA33+LZ33</f>
        <v>0</v>
      </c>
      <c r="MC33" s="95" t="n">
        <f aca="false">[1]НАДІЙШЛО2!DL25</f>
        <v>0</v>
      </c>
      <c r="MD33" s="96" t="n">
        <f aca="false">[1]ВИБУЛО2!DL25</f>
        <v>0</v>
      </c>
      <c r="ME33" s="97" t="n">
        <f aca="false">ME32-MD33+MC33</f>
        <v>0</v>
      </c>
      <c r="MF33" s="95" t="n">
        <f aca="false">[1]НАДІЙШЛО2!DM25</f>
        <v>0</v>
      </c>
      <c r="MG33" s="96" t="n">
        <f aca="false">[1]ВИБУЛО2!DM25</f>
        <v>0</v>
      </c>
      <c r="MH33" s="97" t="n">
        <f aca="false">MH32-MG33+MF33</f>
        <v>0</v>
      </c>
      <c r="MI33" s="95" t="n">
        <f aca="false">[1]НАДІЙШЛО2!DN25</f>
        <v>0</v>
      </c>
      <c r="MJ33" s="96" t="n">
        <f aca="false">[1]ВИБУЛО2!DN25</f>
        <v>0</v>
      </c>
      <c r="MK33" s="97" t="n">
        <f aca="false">MK32-MJ33+MI33</f>
        <v>0</v>
      </c>
      <c r="ML33" s="95" t="n">
        <f aca="false">[1]НАДІЙШЛО2!DO25</f>
        <v>0</v>
      </c>
      <c r="MM33" s="96" t="n">
        <f aca="false">[1]ВИБУЛО2!DO25</f>
        <v>0</v>
      </c>
      <c r="MN33" s="97" t="n">
        <f aca="false">MN32-MM33+ML33</f>
        <v>0</v>
      </c>
      <c r="MO33" s="95" t="n">
        <f aca="false">[1]НАДІЙШЛО2!DP25</f>
        <v>0</v>
      </c>
      <c r="MP33" s="96" t="n">
        <f aca="false">[1]ВИБУЛО2!DP25</f>
        <v>0</v>
      </c>
      <c r="MQ33" s="97" t="n">
        <f aca="false">MQ32-MP33+MO33</f>
        <v>0</v>
      </c>
      <c r="MR33" s="95" t="n">
        <f aca="false">[1]НАДІЙШЛО2!DQ25</f>
        <v>0</v>
      </c>
      <c r="MS33" s="96" t="n">
        <f aca="false">[1]ВИБУЛО2!DQ25</f>
        <v>0</v>
      </c>
      <c r="MT33" s="97" t="n">
        <f aca="false">MT32-MS33+MR33</f>
        <v>0</v>
      </c>
      <c r="MU33" s="95" t="n">
        <f aca="false">[1]НАДІЙШЛО2!DR25</f>
        <v>0</v>
      </c>
      <c r="MV33" s="96" t="n">
        <f aca="false">[1]ВИБУЛО2!DR25</f>
        <v>0</v>
      </c>
      <c r="MW33" s="97" t="n">
        <f aca="false">MW32-MV33+MU33</f>
        <v>0</v>
      </c>
      <c r="MX33" s="95" t="n">
        <f aca="false">[1]НАДІЙШЛО2!DS25</f>
        <v>0</v>
      </c>
      <c r="MY33" s="96" t="n">
        <f aca="false">[1]ВИБУЛО2!DS25</f>
        <v>0</v>
      </c>
      <c r="MZ33" s="97" t="n">
        <f aca="false">MZ32-MY33+MX33</f>
        <v>0</v>
      </c>
      <c r="NA33" s="95" t="n">
        <f aca="false">[1]НАДІЙШЛО2!DT25</f>
        <v>0</v>
      </c>
      <c r="NB33" s="96" t="n">
        <f aca="false">[1]ВИБУЛО2!DT25</f>
        <v>0</v>
      </c>
      <c r="NC33" s="97" t="n">
        <f aca="false">NC32-NB33+NA33</f>
        <v>0</v>
      </c>
      <c r="ND33" s="95" t="n">
        <f aca="false">[1]НАДІЙШЛО2!DU25</f>
        <v>0</v>
      </c>
      <c r="NE33" s="96" t="n">
        <f aca="false">[1]ВИБУЛО2!DU25</f>
        <v>0</v>
      </c>
      <c r="NF33" s="97" t="n">
        <f aca="false">NF32-NE33+ND33</f>
        <v>0</v>
      </c>
      <c r="NG33" s="95" t="n">
        <f aca="false">[1]НАДІЙШЛО2!DV25</f>
        <v>0</v>
      </c>
      <c r="NH33" s="96" t="n">
        <f aca="false">[1]ВИБУЛО2!DV25</f>
        <v>0</v>
      </c>
      <c r="NI33" s="97" t="n">
        <f aca="false">NI32-NH33+NG33</f>
        <v>0</v>
      </c>
      <c r="NJ33" s="95" t="n">
        <f aca="false">[1]НАДІЙШЛО2!DW25</f>
        <v>0</v>
      </c>
      <c r="NK33" s="96" t="n">
        <f aca="false">[1]ВИБУЛО2!DW25</f>
        <v>0</v>
      </c>
      <c r="NL33" s="97" t="n">
        <f aca="false">NL32-NK33+NJ33</f>
        <v>0</v>
      </c>
      <c r="NM33" s="95" t="n">
        <f aca="false">[1]НАДІЙШЛО2!DX25</f>
        <v>0</v>
      </c>
      <c r="NN33" s="96" t="n">
        <f aca="false">[1]ВИБУЛО2!DX25</f>
        <v>0</v>
      </c>
      <c r="NO33" s="97" t="n">
        <f aca="false">NO32-NN33+NM33</f>
        <v>0</v>
      </c>
      <c r="NP33" s="95" t="n">
        <f aca="false">[1]НАДІЙШЛО2!DY25</f>
        <v>0</v>
      </c>
      <c r="NQ33" s="96" t="n">
        <f aca="false">[1]ВИБУЛО2!DY25</f>
        <v>0</v>
      </c>
      <c r="NR33" s="97" t="n">
        <f aca="false">NR32-NQ33+NP33</f>
        <v>0</v>
      </c>
      <c r="NS33" s="95" t="n">
        <f aca="false">[1]НАДІЙШЛО2!DZ25</f>
        <v>0</v>
      </c>
      <c r="NT33" s="96" t="n">
        <f aca="false">[1]ВИБУЛО2!DZ25</f>
        <v>0</v>
      </c>
      <c r="NU33" s="97" t="n">
        <f aca="false">NU32-NT33+NS33</f>
        <v>0</v>
      </c>
      <c r="NV33" s="95" t="n">
        <f aca="false">[1]НАДІЙШЛО2!EA25</f>
        <v>0</v>
      </c>
      <c r="NW33" s="96" t="n">
        <f aca="false">[1]ВИБУЛО2!EA25</f>
        <v>0</v>
      </c>
      <c r="NX33" s="97" t="n">
        <f aca="false">NX32-NW33+NV33</f>
        <v>0</v>
      </c>
      <c r="NY33" s="95" t="n">
        <f aca="false">[1]НАДІЙШЛО2!EB25</f>
        <v>0</v>
      </c>
      <c r="NZ33" s="96" t="n">
        <f aca="false">[1]ВИБУЛО2!EB25</f>
        <v>0</v>
      </c>
      <c r="OA33" s="97" t="n">
        <f aca="false">OA32-NZ33+NY33</f>
        <v>0</v>
      </c>
      <c r="OB33" s="95" t="n">
        <f aca="false">[1]НАДІЙШЛО2!EC25</f>
        <v>0</v>
      </c>
      <c r="OC33" s="96" t="n">
        <f aca="false">[1]ВИБУЛО2!EC25</f>
        <v>0</v>
      </c>
      <c r="OD33" s="97" t="n">
        <f aca="false">OD32-OC33+OB33</f>
        <v>0</v>
      </c>
      <c r="OE33" s="95" t="n">
        <f aca="false">[1]НАДІЙШЛО2!ED25</f>
        <v>0</v>
      </c>
      <c r="OF33" s="96" t="n">
        <f aca="false">[1]ВИБУЛО2!ED25</f>
        <v>0</v>
      </c>
      <c r="OG33" s="97" t="n">
        <f aca="false">OG32-OF33+OE33</f>
        <v>0</v>
      </c>
      <c r="OH33" s="95" t="n">
        <f aca="false">[1]НАДІЙШЛО2!EE25</f>
        <v>0</v>
      </c>
      <c r="OI33" s="96" t="n">
        <f aca="false">[1]ВИБУЛО2!EE25</f>
        <v>0</v>
      </c>
      <c r="OJ33" s="97" t="n">
        <f aca="false">OJ32-OI33+OH33</f>
        <v>0</v>
      </c>
      <c r="OK33" s="95" t="n">
        <f aca="false">[1]НАДІЙШЛО2!EF25</f>
        <v>0</v>
      </c>
      <c r="OL33" s="96" t="n">
        <f aca="false">[1]ВИБУЛО2!EF25</f>
        <v>0</v>
      </c>
      <c r="OM33" s="97" t="n">
        <f aca="false">OM32-OL33+OK33</f>
        <v>0</v>
      </c>
      <c r="ON33" s="95" t="n">
        <f aca="false">[1]НАДІЙШЛО2!EG25</f>
        <v>0</v>
      </c>
      <c r="OO33" s="96" t="n">
        <f aca="false">[1]ВИБУЛО2!EG25</f>
        <v>0</v>
      </c>
      <c r="OP33" s="97" t="n">
        <f aca="false">OP32-OO33+ON33</f>
        <v>0</v>
      </c>
      <c r="OQ33" s="95" t="n">
        <f aca="false">[1]НАДІЙШЛО2!EH25</f>
        <v>0</v>
      </c>
      <c r="OR33" s="96" t="n">
        <f aca="false">[1]ВИБУЛО2!EH25</f>
        <v>0</v>
      </c>
      <c r="OS33" s="97" t="n">
        <f aca="false">OS32-OR33+OQ33</f>
        <v>0</v>
      </c>
      <c r="OT33" s="95" t="n">
        <f aca="false">[1]НАДІЙШЛО2!EI25</f>
        <v>0</v>
      </c>
      <c r="OU33" s="96" t="n">
        <f aca="false">[1]ВИБУЛО2!EI25</f>
        <v>0</v>
      </c>
      <c r="OV33" s="97" t="n">
        <f aca="false">OV32-OU33+OT33</f>
        <v>0</v>
      </c>
      <c r="OW33" s="95" t="n">
        <f aca="false">[1]НАДІЙШЛО2!EJ25</f>
        <v>0</v>
      </c>
      <c r="OX33" s="96" t="n">
        <f aca="false">[1]ВИБУЛО2!EJ25</f>
        <v>0</v>
      </c>
      <c r="OY33" s="97" t="n">
        <f aca="false">OY32-OX33+OW33</f>
        <v>0</v>
      </c>
      <c r="OZ33" s="95" t="n">
        <f aca="false">[1]НАДІЙШЛО2!EK25</f>
        <v>0</v>
      </c>
      <c r="PA33" s="96" t="n">
        <f aca="false">[1]ВИБУЛО2!EK25</f>
        <v>0</v>
      </c>
      <c r="PB33" s="97" t="n">
        <f aca="false">PB32-PA33+OZ33</f>
        <v>0</v>
      </c>
      <c r="PC33" s="95" t="n">
        <f aca="false">[1]НАДІЙШЛО2!EL25</f>
        <v>0</v>
      </c>
      <c r="PD33" s="96" t="n">
        <f aca="false">[1]ВИБУЛО2!EL25</f>
        <v>0</v>
      </c>
      <c r="PE33" s="97" t="n">
        <f aca="false">PE32-PD33+PC33</f>
        <v>0</v>
      </c>
      <c r="PF33" s="95" t="n">
        <f aca="false">[1]НАДІЙШЛО2!EM25</f>
        <v>0</v>
      </c>
      <c r="PG33" s="96" t="n">
        <f aca="false">[1]ВИБУЛО2!EM25</f>
        <v>0</v>
      </c>
      <c r="PH33" s="97" t="n">
        <f aca="false">PH32-PG33+PF33</f>
        <v>0</v>
      </c>
      <c r="PI33" s="95" t="n">
        <f aca="false">[1]НАДІЙШЛО2!EN25</f>
        <v>0</v>
      </c>
      <c r="PJ33" s="96" t="n">
        <f aca="false">[1]ВИБУЛО2!EN25</f>
        <v>0</v>
      </c>
      <c r="PK33" s="97" t="n">
        <f aca="false">PK32-PJ33+PI33</f>
        <v>0</v>
      </c>
      <c r="PL33" s="95" t="n">
        <f aca="false">[1]НАДІЙШЛО2!EO25</f>
        <v>0</v>
      </c>
      <c r="PM33" s="96" t="n">
        <f aca="false">[1]ВИБУЛО2!EO25</f>
        <v>0</v>
      </c>
      <c r="PN33" s="97" t="n">
        <f aca="false">PN32-PM33+PL33</f>
        <v>0</v>
      </c>
      <c r="PO33" s="95" t="n">
        <f aca="false">[1]НАДІЙШЛО2!EP25</f>
        <v>0</v>
      </c>
      <c r="PP33" s="96" t="n">
        <f aca="false">[1]ВИБУЛО2!EP25</f>
        <v>0</v>
      </c>
      <c r="PQ33" s="97" t="n">
        <f aca="false">PQ32-PP33+PO33</f>
        <v>0</v>
      </c>
      <c r="PR33" s="95" t="n">
        <f aca="false">[1]НАДІЙШЛО2!EQ25</f>
        <v>0</v>
      </c>
      <c r="PS33" s="96" t="n">
        <f aca="false">[1]ВИБУЛО2!EQ25</f>
        <v>0</v>
      </c>
      <c r="PT33" s="97" t="n">
        <f aca="false">PT32-PS33+PR33</f>
        <v>0</v>
      </c>
      <c r="PU33" s="95" t="n">
        <f aca="false">[1]НАДІЙШЛО2!ER25</f>
        <v>0</v>
      </c>
      <c r="PV33" s="96" t="n">
        <f aca="false">[1]ВИБУЛО2!ER25</f>
        <v>0</v>
      </c>
      <c r="PW33" s="97" t="n">
        <f aca="false">PW32-PV33+PU33</f>
        <v>0</v>
      </c>
      <c r="PX33" s="95" t="n">
        <f aca="false">[1]НАДІЙШЛО2!ES25</f>
        <v>0</v>
      </c>
      <c r="PY33" s="96" t="n">
        <f aca="false">[1]ВИБУЛО2!ES25</f>
        <v>0</v>
      </c>
      <c r="PZ33" s="97" t="n">
        <f aca="false">PZ32-PY33+PX33</f>
        <v>0</v>
      </c>
      <c r="QA33" s="95" t="n">
        <f aca="false">[1]НАДІЙШЛО2!ET25</f>
        <v>0</v>
      </c>
      <c r="QB33" s="96" t="n">
        <f aca="false">[1]ВИБУЛО2!ET25</f>
        <v>0</v>
      </c>
      <c r="QC33" s="97" t="n">
        <f aca="false">QC32-QB33+QA33</f>
        <v>0</v>
      </c>
      <c r="QD33" s="95" t="n">
        <f aca="false">[1]НАДІЙШЛО2!EU25</f>
        <v>0</v>
      </c>
      <c r="QE33" s="96" t="n">
        <f aca="false">[1]ВИБУЛО2!EU25</f>
        <v>0</v>
      </c>
      <c r="QF33" s="97" t="n">
        <f aca="false">QF32-QE33+QD33</f>
        <v>0</v>
      </c>
      <c r="QG33" s="95" t="n">
        <f aca="false">[1]НАДІЙШЛО2!EV25</f>
        <v>0</v>
      </c>
      <c r="QH33" s="96" t="n">
        <f aca="false">[1]ВИБУЛО2!EV25</f>
        <v>0</v>
      </c>
      <c r="QI33" s="97" t="n">
        <f aca="false">QI32-QH33+QG33</f>
        <v>0</v>
      </c>
      <c r="QJ33" s="95" t="n">
        <f aca="false">[1]НАДІЙШЛО2!EW25</f>
        <v>0</v>
      </c>
      <c r="QK33" s="96" t="n">
        <f aca="false">[1]ВИБУЛО2!EW25</f>
        <v>0</v>
      </c>
      <c r="QL33" s="97" t="n">
        <f aca="false">QL32-QK33+QJ33</f>
        <v>0</v>
      </c>
      <c r="QM33" s="95" t="n">
        <f aca="false">[1]НАДІЙШЛО2!EX25</f>
        <v>0</v>
      </c>
      <c r="QN33" s="96" t="n">
        <f aca="false">[1]ВИБУЛО2!EX25</f>
        <v>0</v>
      </c>
      <c r="QO33" s="97" t="n">
        <f aca="false">QO32-QN33+QM33</f>
        <v>0</v>
      </c>
      <c r="QP33" s="95" t="n">
        <f aca="false">[1]НАДІЙШЛО2!EY25</f>
        <v>0</v>
      </c>
      <c r="QQ33" s="96" t="n">
        <f aca="false">[1]ВИБУЛО2!EY25</f>
        <v>0</v>
      </c>
      <c r="QR33" s="97" t="n">
        <f aca="false">QR32-QQ33+QP33</f>
        <v>0</v>
      </c>
      <c r="QS33" s="95" t="n">
        <f aca="false">[1]НАДІЙШЛО2!EZ25</f>
        <v>0</v>
      </c>
      <c r="QT33" s="96" t="n">
        <f aca="false">[1]ВИБУЛО2!EZ25</f>
        <v>0</v>
      </c>
      <c r="QU33" s="97" t="n">
        <f aca="false">QU32-QT33+QS33</f>
        <v>0</v>
      </c>
      <c r="QV33" s="95" t="n">
        <f aca="false">[1]НАДІЙШЛО2!FA25</f>
        <v>0</v>
      </c>
      <c r="QW33" s="96" t="n">
        <f aca="false">[1]ВИБУЛО2!FA25</f>
        <v>0</v>
      </c>
      <c r="QX33" s="97" t="n">
        <f aca="false">QX32-QW33+QV33</f>
        <v>0</v>
      </c>
      <c r="QY33" s="95" t="n">
        <f aca="false">[1]НАДІЙШЛО2!FB25</f>
        <v>0</v>
      </c>
      <c r="QZ33" s="96" t="n">
        <f aca="false">[1]ВИБУЛО2!FB25</f>
        <v>0</v>
      </c>
      <c r="RA33" s="97" t="n">
        <f aca="false">RA32-QZ33+QY33</f>
        <v>0</v>
      </c>
      <c r="RB33" s="95" t="n">
        <f aca="false">[1]НАДІЙШЛО2!FC25</f>
        <v>0</v>
      </c>
      <c r="RC33" s="96" t="n">
        <f aca="false">[1]ВИБУЛО2!FC25</f>
        <v>0</v>
      </c>
      <c r="RD33" s="97" t="n">
        <f aca="false">RD32-RC33+RB33</f>
        <v>0</v>
      </c>
      <c r="RE33" s="95" t="n">
        <f aca="false">[1]НАДІЙШЛО2!FD25</f>
        <v>0</v>
      </c>
      <c r="RF33" s="96" t="n">
        <f aca="false">[1]ВИБУЛО2!FD25</f>
        <v>0</v>
      </c>
      <c r="RG33" s="97" t="n">
        <f aca="false">RG32-RF33+RE33</f>
        <v>0</v>
      </c>
      <c r="RH33" s="95" t="n">
        <f aca="false">[1]НАДІЙШЛО2!FE25</f>
        <v>0</v>
      </c>
      <c r="RI33" s="96" t="n">
        <f aca="false">[1]ВИБУЛО2!FE25</f>
        <v>0</v>
      </c>
      <c r="RJ33" s="97" t="n">
        <f aca="false">RJ32-RI33+RH33</f>
        <v>0</v>
      </c>
      <c r="RK33" s="95" t="n">
        <f aca="false">[1]НАДІЙШЛО2!FF25</f>
        <v>0</v>
      </c>
      <c r="RL33" s="96" t="n">
        <f aca="false">[1]ВИБУЛО2!FF25</f>
        <v>0</v>
      </c>
      <c r="RM33" s="97" t="n">
        <f aca="false">RM32-RL33+RK33</f>
        <v>0</v>
      </c>
      <c r="RN33" s="95" t="n">
        <f aca="false">[1]НАДІЙШЛО2!FG25</f>
        <v>0</v>
      </c>
      <c r="RO33" s="96" t="n">
        <f aca="false">[1]ВИБУЛО2!FG25</f>
        <v>0</v>
      </c>
      <c r="RP33" s="97" t="n">
        <f aca="false">RP32-RO33+RN33</f>
        <v>0</v>
      </c>
      <c r="RQ33" s="95" t="n">
        <f aca="false">[1]НАДІЙШЛО2!FH25</f>
        <v>0</v>
      </c>
      <c r="RR33" s="96" t="n">
        <f aca="false">[1]ВИБУЛО2!FH25</f>
        <v>0</v>
      </c>
      <c r="RS33" s="97" t="n">
        <f aca="false">RS32-RR33+RQ33</f>
        <v>0</v>
      </c>
      <c r="RT33" s="95" t="n">
        <f aca="false">[1]НАДІЙШЛО2!FI25</f>
        <v>0</v>
      </c>
      <c r="RU33" s="96" t="n">
        <f aca="false">[1]ВИБУЛО2!FI25</f>
        <v>0</v>
      </c>
      <c r="RV33" s="97" t="n">
        <f aca="false">RV32-RU33+RT33</f>
        <v>0</v>
      </c>
      <c r="RW33" s="95" t="n">
        <f aca="false">[1]НАДІЙШЛО2!FJ25</f>
        <v>0</v>
      </c>
      <c r="RX33" s="96" t="n">
        <f aca="false">[1]ВИБУЛО2!FJ25</f>
        <v>0</v>
      </c>
      <c r="RY33" s="97" t="n">
        <f aca="false">RY32-RX33+RW33</f>
        <v>0</v>
      </c>
      <c r="RZ33" s="95" t="n">
        <f aca="false">[1]НАДІЙШЛО2!FK25</f>
        <v>0</v>
      </c>
      <c r="SA33" s="96" t="n">
        <f aca="false">[1]ВИБУЛО2!FK25</f>
        <v>0</v>
      </c>
      <c r="SB33" s="97" t="n">
        <f aca="false">SB32-SA33+RZ33</f>
        <v>0</v>
      </c>
      <c r="SC33" s="95" t="n">
        <f aca="false">[1]НАДІЙШЛО2!FL25</f>
        <v>0</v>
      </c>
      <c r="SD33" s="96" t="n">
        <f aca="false">[1]ВИБУЛО2!FL25</f>
        <v>0</v>
      </c>
      <c r="SE33" s="97" t="n">
        <f aca="false">SE32-SD33+SC33</f>
        <v>0</v>
      </c>
      <c r="SF33" s="95" t="n">
        <f aca="false">[1]НАДІЙШЛО2!FM25</f>
        <v>0</v>
      </c>
      <c r="SG33" s="96" t="n">
        <f aca="false">[1]ВИБУЛО2!FM25</f>
        <v>0</v>
      </c>
      <c r="SH33" s="97" t="n">
        <f aca="false">SH32-SG33+SF33</f>
        <v>0</v>
      </c>
      <c r="SI33" s="95" t="n">
        <f aca="false">[1]НАДІЙШЛО2!FN25</f>
        <v>0</v>
      </c>
      <c r="SJ33" s="96" t="n">
        <f aca="false">[1]ВИБУЛО2!FN25</f>
        <v>0</v>
      </c>
      <c r="SK33" s="97" t="n">
        <f aca="false">SK32-SJ33+SI33</f>
        <v>0</v>
      </c>
      <c r="SL33" s="95" t="n">
        <f aca="false">[1]НАДІЙШЛО2!FO25</f>
        <v>0</v>
      </c>
      <c r="SM33" s="96" t="n">
        <f aca="false">[1]ВИБУЛО2!FO25</f>
        <v>0</v>
      </c>
      <c r="SN33" s="97" t="n">
        <f aca="false">SN32-SM33+SL33</f>
        <v>0</v>
      </c>
      <c r="SO33" s="95" t="n">
        <f aca="false">[1]НАДІЙШЛО2!FP25</f>
        <v>0</v>
      </c>
      <c r="SP33" s="96" t="n">
        <f aca="false">[1]ВИБУЛО2!FP25</f>
        <v>0</v>
      </c>
      <c r="SQ33" s="97" t="n">
        <f aca="false">SQ32-SP33+SO33</f>
        <v>0</v>
      </c>
      <c r="SR33" s="95" t="n">
        <f aca="false">[1]НАДІЙШЛО2!FQ25</f>
        <v>0</v>
      </c>
      <c r="SS33" s="96" t="n">
        <f aca="false">[1]ВИБУЛО2!FQ25</f>
        <v>0</v>
      </c>
      <c r="ST33" s="97" t="n">
        <f aca="false">ST32-SS33+SR33</f>
        <v>0</v>
      </c>
      <c r="SU33" s="95" t="n">
        <f aca="false">[1]НАДІЙШЛО2!FR25</f>
        <v>0</v>
      </c>
      <c r="SV33" s="96" t="n">
        <f aca="false">[1]ВИБУЛО2!FR25</f>
        <v>0</v>
      </c>
      <c r="SW33" s="97" t="n">
        <f aca="false">SW32-SV33+SU33</f>
        <v>0</v>
      </c>
      <c r="SX33" s="95" t="n">
        <f aca="false">[1]НАДІЙШЛО2!FS25</f>
        <v>0</v>
      </c>
      <c r="SY33" s="96" t="n">
        <f aca="false">[1]ВИБУЛО2!FS25</f>
        <v>0</v>
      </c>
      <c r="SZ33" s="97" t="n">
        <f aca="false">SZ32-SY33+SX33</f>
        <v>0</v>
      </c>
      <c r="TA33" s="95" t="n">
        <f aca="false">[1]НАДІЙШЛО2!FT25</f>
        <v>0</v>
      </c>
      <c r="TB33" s="96" t="n">
        <f aca="false">[1]ВИБУЛО2!FT25</f>
        <v>0</v>
      </c>
      <c r="TC33" s="97" t="n">
        <f aca="false">TC32-TB33+TA33</f>
        <v>0</v>
      </c>
      <c r="TD33" s="95" t="n">
        <f aca="false">[1]НАДІЙШЛО2!FU25</f>
        <v>0</v>
      </c>
      <c r="TE33" s="96" t="n">
        <f aca="false">[1]ВИБУЛО2!FU25</f>
        <v>0</v>
      </c>
      <c r="TF33" s="97" t="n">
        <f aca="false">TF32-TE33+TD33</f>
        <v>0</v>
      </c>
      <c r="TG33" s="95" t="n">
        <f aca="false">[1]НАДІЙШЛО2!FV25</f>
        <v>0</v>
      </c>
      <c r="TH33" s="96" t="n">
        <f aca="false">[1]ВИБУЛО2!FV25</f>
        <v>0</v>
      </c>
      <c r="TI33" s="97" t="n">
        <f aca="false">TI32-TH33+TG33</f>
        <v>0</v>
      </c>
      <c r="TJ33" s="95" t="n">
        <f aca="false">[1]НАДІЙШЛО2!FW25</f>
        <v>0</v>
      </c>
      <c r="TK33" s="96" t="n">
        <f aca="false">[1]ВИБУЛО2!FW25</f>
        <v>0</v>
      </c>
      <c r="TL33" s="97" t="n">
        <f aca="false">TL32-TK33+TJ33</f>
        <v>0</v>
      </c>
      <c r="TM33" s="95" t="n">
        <f aca="false">[1]НАДІЙШЛО2!FX25</f>
        <v>0</v>
      </c>
      <c r="TN33" s="96" t="n">
        <f aca="false">[1]ВИБУЛО2!FX25</f>
        <v>0</v>
      </c>
      <c r="TO33" s="97" t="n">
        <f aca="false">TO32-TN33+TM33</f>
        <v>0</v>
      </c>
      <c r="TP33" s="95" t="n">
        <f aca="false">[1]НАДІЙШЛО2!FY25</f>
        <v>0</v>
      </c>
      <c r="TQ33" s="96" t="n">
        <f aca="false">[1]ВИБУЛО2!FY25</f>
        <v>0</v>
      </c>
      <c r="TR33" s="97" t="n">
        <f aca="false">TR32-TQ33+TP33</f>
        <v>0</v>
      </c>
      <c r="TS33" s="95" t="n">
        <f aca="false">[1]НАДІЙШЛО2!FZ25</f>
        <v>0</v>
      </c>
      <c r="TT33" s="96" t="n">
        <f aca="false">[1]ВИБУЛО2!FZ25</f>
        <v>0</v>
      </c>
      <c r="TU33" s="97" t="n">
        <f aca="false">TU32-TT33+TS33</f>
        <v>0</v>
      </c>
      <c r="TV33" s="95" t="n">
        <f aca="false">[1]НАДІЙШЛО2!GA25</f>
        <v>0</v>
      </c>
      <c r="TW33" s="96" t="n">
        <f aca="false">[1]ВИБУЛО2!GA25</f>
        <v>0</v>
      </c>
      <c r="TX33" s="97" t="n">
        <f aca="false">TX32-TW33+TV33</f>
        <v>0</v>
      </c>
      <c r="TY33" s="95" t="n">
        <f aca="false">[1]НАДІЙШЛО2!GB25</f>
        <v>0</v>
      </c>
      <c r="TZ33" s="96" t="n">
        <f aca="false">[1]ВИБУЛО2!GB25</f>
        <v>0</v>
      </c>
      <c r="UA33" s="97" t="n">
        <f aca="false">UA32-TZ33+TY33</f>
        <v>0</v>
      </c>
      <c r="UB33" s="95" t="n">
        <f aca="false">[1]НАДІЙШЛО2!GC25</f>
        <v>0</v>
      </c>
      <c r="UC33" s="96" t="n">
        <f aca="false">[1]ВИБУЛО2!GC25</f>
        <v>0</v>
      </c>
      <c r="UD33" s="97" t="n">
        <f aca="false">UD32-UC33+UB33</f>
        <v>0</v>
      </c>
      <c r="UE33" s="95" t="n">
        <f aca="false">[1]НАДІЙШЛО2!GD25</f>
        <v>0</v>
      </c>
      <c r="UF33" s="96" t="n">
        <f aca="false">[1]ВИБУЛО2!GD25</f>
        <v>0</v>
      </c>
      <c r="UG33" s="97" t="n">
        <f aca="false">UG32-UF33+UE33</f>
        <v>0</v>
      </c>
      <c r="UH33" s="95" t="n">
        <f aca="false">[1]НАДІЙШЛО2!GE25</f>
        <v>0</v>
      </c>
      <c r="UI33" s="96" t="n">
        <f aca="false">[1]ВИБУЛО2!GE25</f>
        <v>0</v>
      </c>
      <c r="UJ33" s="97" t="n">
        <f aca="false">UJ32-UI33+UH33</f>
        <v>0</v>
      </c>
      <c r="UK33" s="95" t="n">
        <f aca="false">[1]НАДІЙШЛО2!GF25</f>
        <v>0</v>
      </c>
      <c r="UL33" s="96" t="n">
        <f aca="false">[1]ВИБУЛО2!GF25</f>
        <v>0</v>
      </c>
      <c r="UM33" s="97" t="n">
        <f aca="false">UM32-UL33+UK33</f>
        <v>0</v>
      </c>
      <c r="UN33" s="95" t="n">
        <f aca="false">[1]НАДІЙШЛО2!GG25</f>
        <v>0</v>
      </c>
      <c r="UO33" s="96" t="n">
        <f aca="false">[1]ВИБУЛО2!GG25</f>
        <v>0</v>
      </c>
      <c r="UP33" s="97" t="n">
        <f aca="false">UP32-UO33+UN33</f>
        <v>0</v>
      </c>
      <c r="UQ33" s="95" t="n">
        <f aca="false">[1]НАДІЙШЛО2!GH25</f>
        <v>0</v>
      </c>
      <c r="UR33" s="96" t="n">
        <f aca="false">[1]ВИБУЛО2!GH25</f>
        <v>0</v>
      </c>
      <c r="US33" s="97" t="n">
        <f aca="false">US32-UR33+UQ33</f>
        <v>0</v>
      </c>
      <c r="UT33" s="95" t="n">
        <f aca="false">[1]НАДІЙШЛО2!GI25</f>
        <v>0</v>
      </c>
      <c r="UU33" s="96" t="n">
        <f aca="false">[1]ВИБУЛО2!GI25</f>
        <v>0</v>
      </c>
      <c r="UV33" s="97" t="n">
        <f aca="false">UV32-UU33+UT33</f>
        <v>0</v>
      </c>
      <c r="UW33" s="95" t="n">
        <f aca="false">[1]НАДІЙШЛО2!GJ25</f>
        <v>0</v>
      </c>
      <c r="UX33" s="96" t="n">
        <f aca="false">[1]ВИБУЛО2!GJ25</f>
        <v>0</v>
      </c>
      <c r="UY33" s="97" t="n">
        <f aca="false">UY32-UX33+UW33</f>
        <v>0</v>
      </c>
      <c r="UZ33" s="95" t="n">
        <f aca="false">[1]НАДІЙШЛО2!GK25</f>
        <v>0</v>
      </c>
      <c r="VA33" s="96" t="n">
        <f aca="false">[1]ВИБУЛО2!GK25</f>
        <v>0</v>
      </c>
      <c r="VB33" s="97" t="n">
        <f aca="false">VB32-VA33+UZ33</f>
        <v>0</v>
      </c>
      <c r="VC33" s="95" t="n">
        <f aca="false">[1]НАДІЙШЛО2!GL25</f>
        <v>0</v>
      </c>
      <c r="VD33" s="96" t="n">
        <f aca="false">[1]ВИБУЛО2!GL25</f>
        <v>0</v>
      </c>
      <c r="VE33" s="97" t="n">
        <f aca="false">VE32-VD33+VC33</f>
        <v>0</v>
      </c>
      <c r="VF33" s="95" t="n">
        <f aca="false">[1]НАДІЙШЛО2!GM25</f>
        <v>0</v>
      </c>
      <c r="VG33" s="96" t="n">
        <f aca="false">[1]ВИБУЛО2!GM25</f>
        <v>0</v>
      </c>
      <c r="VH33" s="97" t="n">
        <f aca="false">VH32-VG33+VF33</f>
        <v>0</v>
      </c>
      <c r="VI33" s="95" t="n">
        <f aca="false">[1]НАДІЙШЛО2!GN25</f>
        <v>0</v>
      </c>
      <c r="VJ33" s="96" t="n">
        <f aca="false">[1]ВИБУЛО2!GN25</f>
        <v>0</v>
      </c>
      <c r="VK33" s="97" t="n">
        <f aca="false">VK32-VJ33+VI33</f>
        <v>0</v>
      </c>
      <c r="VL33" s="95" t="n">
        <f aca="false">[1]НАДІЙШЛО2!GO25</f>
        <v>0</v>
      </c>
      <c r="VM33" s="96" t="n">
        <f aca="false">[1]ВИБУЛО2!GO25</f>
        <v>0</v>
      </c>
      <c r="VN33" s="97" t="n">
        <f aca="false">VN32-VM33+VL33</f>
        <v>0</v>
      </c>
      <c r="VO33" s="95" t="n">
        <f aca="false">[1]НАДІЙШЛО2!GP25</f>
        <v>0</v>
      </c>
      <c r="VP33" s="96" t="n">
        <f aca="false">[1]ВИБУЛО2!GP25</f>
        <v>0</v>
      </c>
      <c r="VQ33" s="97" t="n">
        <f aca="false">VQ32-VP33+VO33</f>
        <v>0</v>
      </c>
      <c r="VR33" s="95" t="n">
        <f aca="false">[1]НАДІЙШЛО2!GQ25</f>
        <v>0</v>
      </c>
      <c r="VS33" s="96" t="n">
        <f aca="false">[1]ВИБУЛО2!GQ25</f>
        <v>0</v>
      </c>
      <c r="VT33" s="97" t="n">
        <f aca="false">VT32-VS33+VR33</f>
        <v>0</v>
      </c>
      <c r="VU33" s="95" t="n">
        <f aca="false">[1]НАДІЙШЛО2!GR25</f>
        <v>0</v>
      </c>
      <c r="VV33" s="96" t="n">
        <f aca="false">[1]ВИБУЛО2!GR25</f>
        <v>0</v>
      </c>
      <c r="VW33" s="97" t="n">
        <f aca="false">VW32-VV33+VU33</f>
        <v>0</v>
      </c>
      <c r="VX33" s="95" t="n">
        <f aca="false">[1]НАДІЙШЛО2!GS25</f>
        <v>0</v>
      </c>
      <c r="VY33" s="96" t="n">
        <f aca="false">[1]ВИБУЛО2!GS25</f>
        <v>0</v>
      </c>
      <c r="VZ33" s="97" t="n">
        <f aca="false">VZ32-VY33+VX33</f>
        <v>0</v>
      </c>
      <c r="WA33" s="95" t="n">
        <f aca="false">[1]НАДІЙШЛО2!GT25</f>
        <v>0</v>
      </c>
      <c r="WB33" s="96" t="n">
        <f aca="false">[1]ВИБУЛО2!GT25</f>
        <v>0</v>
      </c>
      <c r="WC33" s="97" t="n">
        <f aca="false">WC32-WB33+WA33</f>
        <v>0</v>
      </c>
      <c r="WD33" s="95" t="n">
        <f aca="false">[1]НАДІЙШЛО2!GU25</f>
        <v>0</v>
      </c>
      <c r="WE33" s="96" t="n">
        <f aca="false">[1]ВИБУЛО2!GU25</f>
        <v>0</v>
      </c>
      <c r="WF33" s="97" t="n">
        <f aca="false">WF32-WE33+WD33</f>
        <v>0</v>
      </c>
      <c r="WG33" s="95" t="n">
        <f aca="false">[1]НАДІЙШЛО2!GV25</f>
        <v>0</v>
      </c>
      <c r="WH33" s="96" t="n">
        <f aca="false">[1]ВИБУЛО2!GV25</f>
        <v>0</v>
      </c>
      <c r="WI33" s="97" t="n">
        <f aca="false">WI32-WH33+WG33</f>
        <v>0</v>
      </c>
      <c r="WJ33" s="95" t="n">
        <f aca="false">[1]НАДІЙШЛО2!GW25</f>
        <v>0</v>
      </c>
      <c r="WK33" s="96" t="n">
        <f aca="false">[1]ВИБУЛО2!GW25</f>
        <v>0</v>
      </c>
      <c r="WL33" s="97" t="n">
        <f aca="false">WL32-WK33+WJ33</f>
        <v>0</v>
      </c>
      <c r="WM33" s="95" t="n">
        <f aca="false">[1]НАДІЙШЛО2!GX25</f>
        <v>0</v>
      </c>
      <c r="WN33" s="96" t="n">
        <f aca="false">[1]ВИБУЛО2!GX25</f>
        <v>0</v>
      </c>
      <c r="WO33" s="97" t="n">
        <f aca="false">WO32-WN33+WM33</f>
        <v>0</v>
      </c>
      <c r="WP33" s="95" t="n">
        <f aca="false">[1]НАДІЙШЛО2!GY25</f>
        <v>0</v>
      </c>
      <c r="WQ33" s="96" t="n">
        <f aca="false">[1]ВИБУЛО2!GY25</f>
        <v>0</v>
      </c>
      <c r="WR33" s="97" t="n">
        <f aca="false">WR32-WQ33+WP33</f>
        <v>0</v>
      </c>
      <c r="WS33" s="95" t="n">
        <f aca="false">[1]НАДІЙШЛО2!GZ25</f>
        <v>0</v>
      </c>
      <c r="WT33" s="96" t="n">
        <f aca="false">[1]ВИБУЛО2!GZ25</f>
        <v>0</v>
      </c>
      <c r="WU33" s="97" t="n">
        <f aca="false">WU32-WT33+WS33</f>
        <v>0</v>
      </c>
      <c r="WV33" s="95" t="n">
        <f aca="false">[1]НАДІЙШЛО2!HA25</f>
        <v>0</v>
      </c>
      <c r="WW33" s="96" t="n">
        <f aca="false">[1]ВИБУЛО2!HA25</f>
        <v>0</v>
      </c>
      <c r="WX33" s="97" t="n">
        <f aca="false">WX32-WW33+WV33</f>
        <v>0</v>
      </c>
      <c r="WY33" s="95" t="n">
        <f aca="false">[1]НАДІЙШЛО2!HB25</f>
        <v>0</v>
      </c>
      <c r="WZ33" s="96" t="n">
        <f aca="false">[1]ВИБУЛО2!HB25</f>
        <v>0</v>
      </c>
      <c r="XA33" s="97" t="n">
        <f aca="false">XA32-WZ33+WY33</f>
        <v>0</v>
      </c>
      <c r="XB33" s="95" t="n">
        <f aca="false">[1]НАДІЙШЛО2!HC25</f>
        <v>0</v>
      </c>
      <c r="XC33" s="96" t="n">
        <f aca="false">[1]ВИБУЛО2!HC25</f>
        <v>0</v>
      </c>
      <c r="XD33" s="97" t="n">
        <f aca="false">XD32-XC33+XB33</f>
        <v>0</v>
      </c>
      <c r="XE33" s="95" t="n">
        <f aca="false">[1]НАДІЙШЛО2!HD25</f>
        <v>0</v>
      </c>
      <c r="XF33" s="96" t="n">
        <f aca="false">[1]ВИБУЛО2!HD25</f>
        <v>0</v>
      </c>
      <c r="XG33" s="97" t="n">
        <f aca="false">XG32-XF33+XE33</f>
        <v>0</v>
      </c>
      <c r="XH33" s="95" t="n">
        <f aca="false">[1]НАДІЙШЛО2!HE25</f>
        <v>0</v>
      </c>
      <c r="XI33" s="96" t="n">
        <f aca="false">[1]ВИБУЛО2!HE25</f>
        <v>0</v>
      </c>
      <c r="XJ33" s="97" t="n">
        <f aca="false">XJ32-XI33+XH33</f>
        <v>0</v>
      </c>
      <c r="XK33" s="95" t="n">
        <f aca="false">[1]НАДІЙШЛО2!HF25</f>
        <v>0</v>
      </c>
      <c r="XL33" s="96" t="n">
        <f aca="false">[1]ВИБУЛО2!HF25</f>
        <v>0</v>
      </c>
      <c r="XM33" s="97" t="n">
        <f aca="false">XM32-XL33+XK33</f>
        <v>0</v>
      </c>
      <c r="XN33" s="95" t="n">
        <f aca="false">[1]НАДІЙШЛО2!HG25</f>
        <v>0</v>
      </c>
      <c r="XO33" s="96" t="n">
        <f aca="false">[1]ВИБУЛО2!HG25</f>
        <v>0</v>
      </c>
      <c r="XP33" s="97" t="n">
        <f aca="false">XP32-XO33+XN33</f>
        <v>0</v>
      </c>
      <c r="XQ33" s="95" t="n">
        <f aca="false">[1]НАДІЙШЛО2!HH25</f>
        <v>0</v>
      </c>
      <c r="XR33" s="96" t="n">
        <f aca="false">[1]ВИБУЛО2!HH25</f>
        <v>0</v>
      </c>
      <c r="XS33" s="97" t="n">
        <f aca="false">XS32-XR33+XQ33</f>
        <v>0</v>
      </c>
      <c r="XT33" s="95" t="n">
        <f aca="false">[1]НАДІЙШЛО2!HI25</f>
        <v>0</v>
      </c>
      <c r="XU33" s="96" t="n">
        <f aca="false">[1]ВИБУЛО2!HI25</f>
        <v>0</v>
      </c>
      <c r="XV33" s="97" t="n">
        <f aca="false">XV32-XU33+XT33</f>
        <v>0</v>
      </c>
      <c r="XW33" s="95" t="n">
        <f aca="false">[1]НАДІЙШЛО2!HJ25</f>
        <v>0</v>
      </c>
      <c r="XX33" s="96" t="n">
        <f aca="false">[1]ВИБУЛО2!HJ25</f>
        <v>0</v>
      </c>
      <c r="XY33" s="97" t="n">
        <f aca="false">XY32-XX33+XW33</f>
        <v>0</v>
      </c>
      <c r="XZ33" s="95" t="n">
        <f aca="false">[1]НАДІЙШЛО2!HK25</f>
        <v>0</v>
      </c>
      <c r="YA33" s="96" t="n">
        <f aca="false">[1]ВИБУЛО2!HK25</f>
        <v>0</v>
      </c>
      <c r="YB33" s="97" t="n">
        <f aca="false">YB32-YA33+XZ33</f>
        <v>0</v>
      </c>
      <c r="YC33" s="95" t="n">
        <f aca="false">[1]НАДІЙШЛО2!HL25</f>
        <v>0</v>
      </c>
      <c r="YD33" s="96" t="n">
        <f aca="false">[1]ВИБУЛО2!HL25</f>
        <v>0</v>
      </c>
      <c r="YE33" s="97" t="n">
        <f aca="false">YE32-YD33+YC33</f>
        <v>0</v>
      </c>
      <c r="YF33" s="95" t="n">
        <f aca="false">[1]НАДІЙШЛО2!HM25</f>
        <v>0</v>
      </c>
      <c r="YG33" s="96" t="n">
        <f aca="false">[1]ВИБУЛО2!HM25</f>
        <v>0</v>
      </c>
      <c r="YH33" s="97" t="n">
        <f aca="false">YH32-YG33+YF33</f>
        <v>0</v>
      </c>
      <c r="YI33" s="95" t="n">
        <f aca="false">[1]НАДІЙШЛО2!HN25</f>
        <v>0</v>
      </c>
      <c r="YJ33" s="96" t="n">
        <f aca="false">[1]ВИБУЛО2!HN25</f>
        <v>0</v>
      </c>
      <c r="YK33" s="97" t="n">
        <f aca="false">YK32-YJ33+YI33</f>
        <v>0</v>
      </c>
      <c r="YL33" s="95" t="n">
        <f aca="false">[1]НАДІЙШЛО2!HO25</f>
        <v>0</v>
      </c>
      <c r="YM33" s="96" t="n">
        <f aca="false">[1]ВИБУЛО2!HO25</f>
        <v>0</v>
      </c>
      <c r="YN33" s="97" t="n">
        <f aca="false">YN32-YM33+YL33</f>
        <v>0</v>
      </c>
      <c r="YO33" s="95" t="n">
        <f aca="false">[1]НАДІЙШЛО2!HP25</f>
        <v>0</v>
      </c>
      <c r="YP33" s="96" t="n">
        <f aca="false">[1]ВИБУЛО2!HP25</f>
        <v>0</v>
      </c>
      <c r="YQ33" s="97" t="n">
        <f aca="false">YQ32-YP33+YO33</f>
        <v>0</v>
      </c>
      <c r="YR33" s="95" t="n">
        <f aca="false">[1]НАДІЙШЛО2!HQ25</f>
        <v>0</v>
      </c>
      <c r="YS33" s="96" t="n">
        <f aca="false">[1]ВИБУЛО2!HQ25</f>
        <v>0</v>
      </c>
      <c r="YT33" s="97" t="n">
        <f aca="false">YT32-YS33+YR33</f>
        <v>0</v>
      </c>
      <c r="YU33" s="95" t="n">
        <f aca="false">[1]НАДІЙШЛО2!HR25</f>
        <v>0</v>
      </c>
      <c r="YV33" s="96" t="n">
        <f aca="false">[1]ВИБУЛО2!HR25</f>
        <v>0</v>
      </c>
      <c r="YW33" s="97" t="n">
        <f aca="false">YW32-YV33+YU33</f>
        <v>0</v>
      </c>
      <c r="YX33" s="95" t="n">
        <f aca="false">[1]НАДІЙШЛО2!HS25</f>
        <v>0</v>
      </c>
      <c r="YY33" s="96" t="n">
        <f aca="false">[1]ВИБУЛО2!HS25</f>
        <v>0</v>
      </c>
      <c r="YZ33" s="97" t="n">
        <f aca="false">YZ32-YY33+YX33</f>
        <v>0</v>
      </c>
      <c r="ZA33" s="95" t="n">
        <f aca="false">[1]НАДІЙШЛО2!HT25</f>
        <v>0</v>
      </c>
      <c r="ZB33" s="96" t="n">
        <f aca="false">[1]ВИБУЛО2!HT25</f>
        <v>0</v>
      </c>
      <c r="ZC33" s="97" t="n">
        <f aca="false">ZC32-ZB33+ZA33</f>
        <v>0</v>
      </c>
      <c r="ZD33" s="95" t="n">
        <f aca="false">[1]НАДІЙШЛО2!HU25</f>
        <v>0</v>
      </c>
      <c r="ZE33" s="96" t="n">
        <f aca="false">[1]ВИБУЛО2!HU25</f>
        <v>0</v>
      </c>
      <c r="ZF33" s="97" t="n">
        <f aca="false">ZF32-ZE33+ZD33</f>
        <v>0</v>
      </c>
      <c r="ZG33" s="95" t="n">
        <f aca="false">[1]НАДІЙШЛО2!HV25</f>
        <v>0</v>
      </c>
      <c r="ZH33" s="96" t="n">
        <f aca="false">[1]ВИБУЛО2!HV25</f>
        <v>0</v>
      </c>
      <c r="ZI33" s="97" t="n">
        <f aca="false">ZI32-ZH33+ZG33</f>
        <v>0</v>
      </c>
      <c r="ZJ33" s="95" t="n">
        <f aca="false">[1]НАДІЙШЛО2!HW25</f>
        <v>0</v>
      </c>
      <c r="ZK33" s="96" t="n">
        <f aca="false">[1]ВИБУЛО2!HW25</f>
        <v>0</v>
      </c>
      <c r="ZL33" s="97" t="n">
        <f aca="false">ZL32-ZK33+ZJ33</f>
        <v>0</v>
      </c>
      <c r="ZM33" s="95" t="n">
        <f aca="false">[1]НАДІЙШЛО2!HX25</f>
        <v>0</v>
      </c>
      <c r="ZN33" s="96" t="n">
        <f aca="false">[1]ВИБУЛО2!HX25</f>
        <v>0</v>
      </c>
      <c r="ZO33" s="97" t="n">
        <f aca="false">ZO32-ZN33+ZM33</f>
        <v>0</v>
      </c>
      <c r="ZP33" s="95" t="n">
        <f aca="false">[1]НАДІЙШЛО2!HY25</f>
        <v>0</v>
      </c>
      <c r="ZQ33" s="96" t="n">
        <f aca="false">[1]ВИБУЛО2!HY25</f>
        <v>0</v>
      </c>
      <c r="ZR33" s="97" t="n">
        <f aca="false">ZR32-ZQ33+ZP33</f>
        <v>0</v>
      </c>
      <c r="ZS33" s="95" t="n">
        <f aca="false">[1]НАДІЙШЛО2!HZ25</f>
        <v>0</v>
      </c>
      <c r="ZT33" s="96" t="n">
        <f aca="false">[1]ВИБУЛО2!HZ25</f>
        <v>0</v>
      </c>
      <c r="ZU33" s="97" t="n">
        <f aca="false">ZU32-ZT33+ZS33</f>
        <v>0</v>
      </c>
      <c r="ZV33" s="95" t="n">
        <f aca="false">[1]НАДІЙШЛО2!IA25</f>
        <v>0</v>
      </c>
      <c r="ZW33" s="96" t="n">
        <f aca="false">[1]ВИБУЛО2!IA25</f>
        <v>0</v>
      </c>
      <c r="ZX33" s="97" t="n">
        <f aca="false">ZX32-ZW33+ZV33</f>
        <v>0</v>
      </c>
      <c r="ZY33" s="95" t="n">
        <f aca="false">[1]НАДІЙШЛО2!IB25</f>
        <v>0</v>
      </c>
      <c r="ZZ33" s="96" t="n">
        <f aca="false">[1]ВИБУЛО2!IB25</f>
        <v>0</v>
      </c>
      <c r="AAA33" s="97" t="n">
        <f aca="false">AAA32-ZZ33+ZY33</f>
        <v>0</v>
      </c>
      <c r="AAB33" s="95" t="n">
        <f aca="false">[1]НАДІЙШЛО2!IC25</f>
        <v>0</v>
      </c>
      <c r="AAC33" s="96" t="n">
        <f aca="false">[1]ВИБУЛО2!IC25</f>
        <v>0</v>
      </c>
      <c r="AAD33" s="97" t="n">
        <f aca="false">AAD32-AAC33+AAB33</f>
        <v>0</v>
      </c>
      <c r="AAE33" s="95" t="n">
        <f aca="false">[1]НАДІЙШЛО2!ID25</f>
        <v>0</v>
      </c>
      <c r="AAF33" s="96" t="n">
        <f aca="false">[1]ВИБУЛО2!ID25</f>
        <v>0</v>
      </c>
      <c r="AAG33" s="97" t="n">
        <f aca="false">AAG32-AAF33+AAE33</f>
        <v>0</v>
      </c>
      <c r="AAH33" s="95" t="n">
        <f aca="false">[1]НАДІЙШЛО2!IE25</f>
        <v>0</v>
      </c>
      <c r="AAI33" s="96" t="n">
        <f aca="false">[1]ВИБУЛО2!IE25</f>
        <v>0</v>
      </c>
      <c r="AAJ33" s="97" t="n">
        <f aca="false">AAJ32-AAI33+AAH33</f>
        <v>0</v>
      </c>
      <c r="AAK33" s="95" t="n">
        <f aca="false">[1]НАДІЙШЛО2!IF25</f>
        <v>0</v>
      </c>
      <c r="AAL33" s="96" t="n">
        <f aca="false">[1]ВИБУЛО2!IF25</f>
        <v>0</v>
      </c>
      <c r="AAM33" s="97" t="n">
        <f aca="false">AAM32-AAL33+AAK33</f>
        <v>0</v>
      </c>
      <c r="AAN33" s="95" t="n">
        <f aca="false">[1]НАДІЙШЛО2!IG25</f>
        <v>0</v>
      </c>
      <c r="AAO33" s="96" t="n">
        <f aca="false">[1]ВИБУЛО2!IG25</f>
        <v>0</v>
      </c>
      <c r="AAP33" s="97" t="n">
        <f aca="false">AAP32-AAO33+AAN33</f>
        <v>0</v>
      </c>
      <c r="AAQ33" s="95" t="n">
        <f aca="false">[1]НАДІЙШЛО2!IH25</f>
        <v>0</v>
      </c>
      <c r="AAR33" s="96" t="n">
        <f aca="false">[1]ВИБУЛО2!IH25</f>
        <v>0</v>
      </c>
      <c r="AAS33" s="97" t="n">
        <f aca="false">AAS32-AAR33+AAQ33</f>
        <v>0</v>
      </c>
      <c r="AAT33" s="95" t="n">
        <f aca="false">[1]НАДІЙШЛО2!II25</f>
        <v>0</v>
      </c>
      <c r="AAU33" s="96" t="n">
        <f aca="false">[1]ВИБУЛО2!II25</f>
        <v>0</v>
      </c>
      <c r="AAV33" s="97" t="n">
        <f aca="false">AAV32-AAU33+AAT33</f>
        <v>0</v>
      </c>
      <c r="AAW33" s="95" t="n">
        <f aca="false">[1]НАДІЙШЛО2!IJ25</f>
        <v>0</v>
      </c>
      <c r="AAX33" s="96" t="n">
        <f aca="false">[1]ВИБУЛО2!IJ25</f>
        <v>0</v>
      </c>
      <c r="AAY33" s="97" t="n">
        <f aca="false">AAY32-AAX33+AAW33</f>
        <v>0</v>
      </c>
      <c r="AAZ33" s="95" t="n">
        <f aca="false">[1]НАДІЙШЛО2!IK25</f>
        <v>0</v>
      </c>
      <c r="ABA33" s="96" t="n">
        <f aca="false">[1]ВИБУЛО2!IK25</f>
        <v>0</v>
      </c>
      <c r="ABB33" s="97" t="n">
        <f aca="false">ABB32-ABA33+AAZ33</f>
        <v>0</v>
      </c>
      <c r="ABC33" s="95" t="n">
        <f aca="false">[1]НАДІЙШЛО2!IL25</f>
        <v>0</v>
      </c>
      <c r="ABD33" s="96" t="n">
        <f aca="false">[1]ВИБУЛО2!IL25</f>
        <v>0</v>
      </c>
      <c r="ABE33" s="97" t="n">
        <f aca="false">ABE32-ABD33+ABC33</f>
        <v>0</v>
      </c>
      <c r="ABF33" s="95" t="n">
        <f aca="false">[1]НАДІЙШЛО2!IM25</f>
        <v>0</v>
      </c>
      <c r="ABG33" s="96" t="n">
        <f aca="false">[1]ВИБУЛО2!IM25</f>
        <v>0</v>
      </c>
      <c r="ABH33" s="97" t="n">
        <f aca="false">ABH32-ABG33+ABF33</f>
        <v>0</v>
      </c>
      <c r="ABI33" s="95" t="n">
        <f aca="false">[1]НАДІЙШЛО2!IN25</f>
        <v>0</v>
      </c>
      <c r="ABJ33" s="96" t="n">
        <f aca="false">[1]ВИБУЛО2!IN25</f>
        <v>0</v>
      </c>
      <c r="ABK33" s="97" t="n">
        <f aca="false">ABK32-ABJ33+ABI33</f>
        <v>0</v>
      </c>
      <c r="ABL33" s="95" t="n">
        <f aca="false">[1]НАДІЙШЛО2!IO25</f>
        <v>0</v>
      </c>
      <c r="ABM33" s="96" t="n">
        <f aca="false">[1]ВИБУЛО2!IO25</f>
        <v>0</v>
      </c>
      <c r="ABN33" s="97" t="n">
        <f aca="false">ABN32-ABM33+ABL33</f>
        <v>0</v>
      </c>
      <c r="ABO33" s="95" t="n">
        <f aca="false">[1]НАДІЙШЛО2!IP25</f>
        <v>0</v>
      </c>
      <c r="ABP33" s="96" t="n">
        <f aca="false">[1]ВИБУЛО2!IP25</f>
        <v>0</v>
      </c>
      <c r="ABQ33" s="97" t="n">
        <f aca="false">ABQ32-ABP33+ABO33</f>
        <v>0</v>
      </c>
      <c r="ABR33" s="95" t="n">
        <f aca="false">[1]НАДІЙШЛО2!IQ25</f>
        <v>0</v>
      </c>
      <c r="ABS33" s="96" t="n">
        <f aca="false">[1]ВИБУЛО2!IQ25</f>
        <v>0</v>
      </c>
      <c r="ABT33" s="97" t="n">
        <f aca="false">ABT32-ABS33+ABR33</f>
        <v>0</v>
      </c>
      <c r="ABU33" s="95" t="n">
        <f aca="false">[1]НАДІЙШЛО2!IR25</f>
        <v>0</v>
      </c>
      <c r="ABV33" s="96" t="n">
        <f aca="false">[1]ВИБУЛО2!IR25</f>
        <v>0</v>
      </c>
      <c r="ABW33" s="97" t="n">
        <f aca="false">ABW32-ABV33+ABU33</f>
        <v>0</v>
      </c>
      <c r="ABX33" s="95" t="n">
        <f aca="false">[1]НАДІЙШЛО2!IS25</f>
        <v>0</v>
      </c>
      <c r="ABY33" s="96" t="n">
        <f aca="false">[1]ВИБУЛО2!IS25</f>
        <v>0</v>
      </c>
      <c r="ABZ33" s="97" t="n">
        <f aca="false">ABZ32-ABY33+ABX33</f>
        <v>0</v>
      </c>
      <c r="ACA33" s="95" t="n">
        <f aca="false">[1]НАДІЙШЛО2!IT25</f>
        <v>0</v>
      </c>
      <c r="ACB33" s="96" t="n">
        <f aca="false">[1]ВИБУЛО2!IT25</f>
        <v>0</v>
      </c>
      <c r="ACC33" s="97" t="n">
        <f aca="false">ACC32-ACB33+ACA33</f>
        <v>0</v>
      </c>
      <c r="ACD33" s="95" t="n">
        <f aca="false">[1]НАДІЙШЛО2!IU25</f>
        <v>0</v>
      </c>
      <c r="ACE33" s="96" t="n">
        <f aca="false">[1]ВИБУЛО2!IU25</f>
        <v>0</v>
      </c>
      <c r="ACF33" s="97" t="n">
        <f aca="false">ACF32-ACE33+ACD33</f>
        <v>0</v>
      </c>
      <c r="ACG33" s="95" t="n">
        <f aca="false">[1]НАДІЙШЛО2!IV25</f>
        <v>0</v>
      </c>
      <c r="ACH33" s="96" t="n">
        <f aca="false">[1]ВИБУЛО2!IV25</f>
        <v>0</v>
      </c>
      <c r="ACI33" s="97" t="n">
        <f aca="false">ACI32-ACH33+ACG33</f>
        <v>0</v>
      </c>
      <c r="ACJ33" s="95" t="n">
        <f aca="false">[1]НАДІЙШЛО2!IW25</f>
        <v>0</v>
      </c>
      <c r="ACK33" s="96" t="n">
        <f aca="false">[1]ВИБУЛО2!IW25</f>
        <v>0</v>
      </c>
      <c r="ACL33" s="97" t="n">
        <f aca="false">ACL32-ACK33+ACJ33</f>
        <v>0</v>
      </c>
      <c r="ACM33" s="95" t="n">
        <f aca="false">[1]НАДІЙШЛО2!IX25</f>
        <v>0</v>
      </c>
      <c r="ACN33" s="96" t="n">
        <f aca="false">[1]ВИБУЛО2!IX25</f>
        <v>0</v>
      </c>
      <c r="ACO33" s="97" t="n">
        <f aca="false">ACO32-ACN33+ACM33</f>
        <v>0</v>
      </c>
      <c r="ACP33" s="95" t="n">
        <f aca="false">[1]НАДІЙШЛО2!IY25</f>
        <v>0</v>
      </c>
      <c r="ACQ33" s="96" t="n">
        <f aca="false">[1]ВИБУЛО2!IY25</f>
        <v>0</v>
      </c>
      <c r="ACR33" s="97" t="n">
        <f aca="false">ACR32-ACQ33+ACP33</f>
        <v>0</v>
      </c>
      <c r="ACS33" s="95" t="n">
        <f aca="false">[1]НАДІЙШЛО2!IZ25</f>
        <v>0</v>
      </c>
      <c r="ACT33" s="96" t="n">
        <f aca="false">[1]ВИБУЛО2!IZ25</f>
        <v>0</v>
      </c>
      <c r="ACU33" s="97" t="n">
        <f aca="false">ACU32-ACT33+ACS33</f>
        <v>0</v>
      </c>
      <c r="ACV33" s="95" t="n">
        <f aca="false">[1]НАДІЙШЛО2!JA25</f>
        <v>0</v>
      </c>
      <c r="ACW33" s="96" t="n">
        <f aca="false">[1]ВИБУЛО2!JA25</f>
        <v>0</v>
      </c>
      <c r="ACX33" s="97" t="n">
        <f aca="false">ACX32-ACW33+ACV33</f>
        <v>0</v>
      </c>
      <c r="ACY33" s="95" t="n">
        <f aca="false">[1]НАДІЙШЛО2!JB25</f>
        <v>0</v>
      </c>
      <c r="ACZ33" s="96" t="n">
        <f aca="false">[1]ВИБУЛО2!JB25</f>
        <v>0</v>
      </c>
      <c r="ADA33" s="97" t="n">
        <f aca="false">ADA32-ACZ33+ACY33</f>
        <v>0</v>
      </c>
      <c r="ADB33" s="95" t="n">
        <f aca="false">[1]НАДІЙШЛО2!JC25</f>
        <v>0</v>
      </c>
      <c r="ADC33" s="96" t="n">
        <f aca="false">[1]ВИБУЛО2!JC25</f>
        <v>0</v>
      </c>
      <c r="ADD33" s="97" t="n">
        <f aca="false">ADD32-ADC33+ADB33</f>
        <v>0</v>
      </c>
      <c r="ADE33" s="95" t="n">
        <f aca="false">[1]НАДІЙШЛО2!JD25</f>
        <v>0</v>
      </c>
      <c r="ADF33" s="96" t="n">
        <f aca="false">[1]ВИБУЛО2!JD25</f>
        <v>0</v>
      </c>
      <c r="ADG33" s="97" t="n">
        <f aca="false">ADG32-ADF33+ADE33</f>
        <v>0</v>
      </c>
      <c r="ADH33" s="95" t="n">
        <f aca="false">[1]НАДІЙШЛО2!JE25</f>
        <v>0</v>
      </c>
      <c r="ADI33" s="96" t="n">
        <f aca="false">[1]ВИБУЛО2!JE25</f>
        <v>0</v>
      </c>
      <c r="ADJ33" s="97" t="n">
        <f aca="false">ADJ32-ADI33+ADH33</f>
        <v>0</v>
      </c>
      <c r="ADK33" s="95" t="n">
        <f aca="false">[1]НАДІЙШЛО2!JF25</f>
        <v>0</v>
      </c>
      <c r="ADL33" s="96" t="n">
        <f aca="false">[1]ВИБУЛО2!JF25</f>
        <v>0</v>
      </c>
      <c r="ADM33" s="97" t="n">
        <f aca="false">ADM32-ADL33+ADK33</f>
        <v>0</v>
      </c>
      <c r="ADN33" s="95" t="n">
        <f aca="false">[1]НАДІЙШЛО2!JG25</f>
        <v>0</v>
      </c>
      <c r="ADO33" s="96" t="n">
        <f aca="false">[1]ВИБУЛО2!JG25</f>
        <v>0</v>
      </c>
      <c r="ADP33" s="97" t="n">
        <f aca="false">ADP32-ADO33+ADN33</f>
        <v>0</v>
      </c>
      <c r="ADQ33" s="95" t="n">
        <f aca="false">[1]НАДІЙШЛО2!JH25</f>
        <v>0</v>
      </c>
      <c r="ADR33" s="96" t="n">
        <f aca="false">[1]ВИБУЛО2!JH25</f>
        <v>0</v>
      </c>
      <c r="ADS33" s="97" t="n">
        <f aca="false">ADS32-ADR33+ADQ33</f>
        <v>0</v>
      </c>
      <c r="ADT33" s="95" t="n">
        <f aca="false">[1]НАДІЙШЛО2!JI25</f>
        <v>0</v>
      </c>
      <c r="ADU33" s="96" t="n">
        <f aca="false">[1]ВИБУЛО2!JI25</f>
        <v>0</v>
      </c>
      <c r="ADV33" s="97" t="n">
        <f aca="false">ADV32-ADU33+ADT33</f>
        <v>0</v>
      </c>
      <c r="ADW33" s="95" t="n">
        <f aca="false">[1]НАДІЙШЛО2!JJ25</f>
        <v>0</v>
      </c>
      <c r="ADX33" s="96" t="n">
        <f aca="false">[1]ВИБУЛО2!JJ25</f>
        <v>0</v>
      </c>
      <c r="ADY33" s="97" t="n">
        <f aca="false">ADY32-ADX33+ADW33</f>
        <v>0</v>
      </c>
      <c r="ADZ33" s="95" t="n">
        <f aca="false">[1]НАДІЙШЛО2!JK25</f>
        <v>0</v>
      </c>
      <c r="AEA33" s="96" t="n">
        <f aca="false">[1]ВИБУЛО2!JK25</f>
        <v>0</v>
      </c>
      <c r="AEB33" s="97" t="n">
        <f aca="false">AEB32-AEA33+ADZ33</f>
        <v>0</v>
      </c>
      <c r="AEC33" s="95" t="n">
        <f aca="false">[1]НАДІЙШЛО2!JL25</f>
        <v>0</v>
      </c>
      <c r="AED33" s="96" t="n">
        <f aca="false">[1]ВИБУЛО2!JL25</f>
        <v>0</v>
      </c>
      <c r="AEE33" s="97" t="n">
        <f aca="false">AEE32-AED33+AEC33</f>
        <v>0</v>
      </c>
      <c r="AEF33" s="95" t="n">
        <f aca="false">[1]НАДІЙШЛО2!JM25</f>
        <v>0</v>
      </c>
      <c r="AEG33" s="96" t="n">
        <f aca="false">[1]ВИБУЛО2!JM25</f>
        <v>0</v>
      </c>
      <c r="AEH33" s="97" t="n">
        <f aca="false">AEH32-AEG33+AEF33</f>
        <v>0</v>
      </c>
      <c r="AEI33" s="95" t="n">
        <f aca="false">[1]НАДІЙШЛО2!JN25</f>
        <v>0</v>
      </c>
      <c r="AEJ33" s="96" t="n">
        <f aca="false">[1]ВИБУЛО2!JN25</f>
        <v>0</v>
      </c>
      <c r="AEK33" s="97" t="n">
        <f aca="false">AEK32-AEJ33+AEI33</f>
        <v>0</v>
      </c>
      <c r="AEL33" s="95" t="n">
        <f aca="false">[1]НАДІЙШЛО2!JO25</f>
        <v>0</v>
      </c>
      <c r="AEM33" s="96" t="n">
        <f aca="false">[1]ВИБУЛО2!JO25</f>
        <v>0</v>
      </c>
      <c r="AEN33" s="97" t="n">
        <f aca="false">AEN32-AEM33+AEL33</f>
        <v>0</v>
      </c>
      <c r="AEO33" s="95" t="n">
        <f aca="false">[1]НАДІЙШЛО2!JP25</f>
        <v>0</v>
      </c>
      <c r="AEP33" s="96" t="n">
        <f aca="false">[1]ВИБУЛО2!JP25</f>
        <v>0</v>
      </c>
      <c r="AEQ33" s="97" t="n">
        <f aca="false">AEQ32-AEP33+AEO33</f>
        <v>0</v>
      </c>
      <c r="AER33" s="95" t="n">
        <f aca="false">[1]НАДІЙШЛО2!JQ25</f>
        <v>0</v>
      </c>
      <c r="AES33" s="96" t="n">
        <f aca="false">[1]ВИБУЛО2!JQ25</f>
        <v>0</v>
      </c>
      <c r="AET33" s="97" t="n">
        <f aca="false">AET32-AES33+AER33</f>
        <v>0</v>
      </c>
      <c r="AEU33" s="95" t="n">
        <f aca="false">[1]НАДІЙШЛО2!JR25</f>
        <v>0</v>
      </c>
      <c r="AEV33" s="96" t="n">
        <f aca="false">[1]ВИБУЛО2!JR25</f>
        <v>0</v>
      </c>
      <c r="AEW33" s="97" t="n">
        <f aca="false">AEW32-AEV33+AEU33</f>
        <v>0</v>
      </c>
      <c r="AEX33" s="95" t="n">
        <f aca="false">[1]НАДІЙШЛО2!JS25</f>
        <v>0</v>
      </c>
      <c r="AEY33" s="96" t="n">
        <f aca="false">[1]ВИБУЛО2!JS25</f>
        <v>0</v>
      </c>
      <c r="AEZ33" s="97" t="n">
        <f aca="false">AEZ32-AEY33+AEX33</f>
        <v>0</v>
      </c>
      <c r="AFA33" s="95" t="n">
        <f aca="false">[1]НАДІЙШЛО2!JT25</f>
        <v>0</v>
      </c>
      <c r="AFB33" s="96" t="n">
        <f aca="false">[1]ВИБУЛО2!JT25</f>
        <v>0</v>
      </c>
      <c r="AFC33" s="97" t="n">
        <f aca="false">AFC32-AFB33+AFA33</f>
        <v>0</v>
      </c>
      <c r="AFD33" s="95" t="n">
        <f aca="false">[1]НАДІЙШЛО2!JU25</f>
        <v>0</v>
      </c>
      <c r="AFE33" s="96" t="n">
        <f aca="false">[1]ВИБУЛО2!JU25</f>
        <v>0</v>
      </c>
      <c r="AFF33" s="97" t="n">
        <f aca="false">AFF32-AFE33+AFD33</f>
        <v>0</v>
      </c>
      <c r="AFG33" s="95" t="n">
        <f aca="false">[1]НАДІЙШЛО2!JV25</f>
        <v>0</v>
      </c>
      <c r="AFH33" s="96" t="n">
        <f aca="false">[1]ВИБУЛО2!JV25</f>
        <v>0</v>
      </c>
      <c r="AFI33" s="97" t="n">
        <f aca="false">AFI32-AFH33+AFG33</f>
        <v>0</v>
      </c>
      <c r="AFJ33" s="95" t="n">
        <f aca="false">[1]НАДІЙШЛО2!JW25</f>
        <v>0</v>
      </c>
      <c r="AFK33" s="96" t="n">
        <f aca="false">[1]ВИБУЛО2!JW25</f>
        <v>0</v>
      </c>
      <c r="AFL33" s="97" t="n">
        <f aca="false">AFL32-AFK33+AFJ33</f>
        <v>0</v>
      </c>
      <c r="AFM33" s="95" t="n">
        <f aca="false">[1]НАДІЙШЛО2!JX25</f>
        <v>0</v>
      </c>
      <c r="AFN33" s="96" t="n">
        <f aca="false">[1]ВИБУЛО2!JX25</f>
        <v>0</v>
      </c>
      <c r="AFO33" s="97" t="n">
        <f aca="false">AFO32-AFN33+AFM33</f>
        <v>0</v>
      </c>
      <c r="AFP33" s="95" t="n">
        <f aca="false">[1]НАДІЙШЛО2!JY25</f>
        <v>0</v>
      </c>
      <c r="AFQ33" s="96" t="n">
        <f aca="false">[1]ВИБУЛО2!JY25</f>
        <v>0</v>
      </c>
      <c r="AFR33" s="97" t="n">
        <f aca="false">AFR32-AFQ33+AFP33</f>
        <v>0</v>
      </c>
      <c r="AFS33" s="95" t="n">
        <f aca="false">[1]НАДІЙШЛО2!JZ25</f>
        <v>0</v>
      </c>
      <c r="AFT33" s="96" t="n">
        <f aca="false">[1]ВИБУЛО2!JZ25</f>
        <v>0</v>
      </c>
      <c r="AFU33" s="97" t="n">
        <f aca="false">AFU32-AFT33+AFS33</f>
        <v>0</v>
      </c>
      <c r="AFV33" s="95" t="n">
        <f aca="false">[1]НАДІЙШЛО2!KA25</f>
        <v>0</v>
      </c>
      <c r="AFW33" s="96" t="n">
        <f aca="false">[1]ВИБУЛО2!KA25</f>
        <v>0</v>
      </c>
      <c r="AFX33" s="97" t="n">
        <f aca="false">AFX32-AFW33+AFV33</f>
        <v>0</v>
      </c>
      <c r="AFY33" s="95" t="n">
        <f aca="false">[1]НАДІЙШЛО2!KB25</f>
        <v>0</v>
      </c>
      <c r="AFZ33" s="96" t="n">
        <f aca="false">[1]ВИБУЛО2!KB25</f>
        <v>0</v>
      </c>
      <c r="AGA33" s="97" t="n">
        <f aca="false">AGA32-AFZ33+AFY33</f>
        <v>0</v>
      </c>
      <c r="AGB33" s="95" t="n">
        <f aca="false">[1]НАДІЙШЛО2!KC25</f>
        <v>0</v>
      </c>
      <c r="AGC33" s="96" t="n">
        <f aca="false">[1]ВИБУЛО2!KC25</f>
        <v>0</v>
      </c>
      <c r="AGD33" s="97" t="n">
        <f aca="false">AGD32-AGC33+AGB33</f>
        <v>0</v>
      </c>
      <c r="AGE33" s="95" t="n">
        <f aca="false">[1]НАДІЙШЛО2!KD25</f>
        <v>0</v>
      </c>
      <c r="AGF33" s="96" t="n">
        <f aca="false">[1]ВИБУЛО2!KD25</f>
        <v>0</v>
      </c>
      <c r="AGG33" s="97" t="n">
        <f aca="false">AGG32-AGF33+AGE33</f>
        <v>0</v>
      </c>
      <c r="AGH33" s="95" t="n">
        <f aca="false">[1]НАДІЙШЛО2!KE25</f>
        <v>0</v>
      </c>
      <c r="AGI33" s="96" t="n">
        <f aca="false">[1]ВИБУЛО2!KE25</f>
        <v>0</v>
      </c>
      <c r="AGJ33" s="97" t="n">
        <f aca="false">AGJ32-AGI33+AGH33</f>
        <v>0</v>
      </c>
      <c r="AGK33" s="95" t="n">
        <f aca="false">[1]НАДІЙШЛО2!KF25</f>
        <v>0</v>
      </c>
      <c r="AGL33" s="96" t="n">
        <f aca="false">[1]ВИБУЛО2!KF25</f>
        <v>0</v>
      </c>
      <c r="AGM33" s="97" t="n">
        <f aca="false">AGM32-AGL33+AGK33</f>
        <v>0</v>
      </c>
      <c r="AGN33" s="95" t="n">
        <f aca="false">[1]НАДІЙШЛО2!KG25</f>
        <v>0</v>
      </c>
      <c r="AGO33" s="96" t="n">
        <f aca="false">[1]ВИБУЛО2!KG25</f>
        <v>0</v>
      </c>
      <c r="AGP33" s="97" t="n">
        <f aca="false">AGP32-AGO33+AGN33</f>
        <v>0</v>
      </c>
      <c r="AGQ33" s="95" t="n">
        <f aca="false">[1]НАДІЙШЛО2!KH25</f>
        <v>0</v>
      </c>
      <c r="AGR33" s="96" t="n">
        <f aca="false">[1]ВИБУЛО2!KH25</f>
        <v>0</v>
      </c>
      <c r="AGS33" s="97" t="n">
        <f aca="false">AGS32-AGR33+AGQ33</f>
        <v>0</v>
      </c>
      <c r="AGT33" s="95" t="n">
        <f aca="false">[1]НАДІЙШЛО2!KI25</f>
        <v>0</v>
      </c>
      <c r="AGU33" s="96" t="n">
        <f aca="false">[1]ВИБУЛО2!KI25</f>
        <v>0</v>
      </c>
      <c r="AGV33" s="97" t="n">
        <f aca="false">AGV32-AGU33+AGT33</f>
        <v>0</v>
      </c>
      <c r="AGW33" s="95" t="n">
        <f aca="false">[1]НАДІЙШЛО2!KJ25</f>
        <v>0</v>
      </c>
      <c r="AGX33" s="96" t="n">
        <f aca="false">[1]ВИБУЛО2!KJ25</f>
        <v>0</v>
      </c>
      <c r="AGY33" s="97" t="n">
        <f aca="false">AGY32-AGX33+AGW33</f>
        <v>0</v>
      </c>
      <c r="AGZ33" s="95" t="n">
        <f aca="false">[1]НАДІЙШЛО2!KK25</f>
        <v>0</v>
      </c>
      <c r="AHA33" s="96" t="n">
        <f aca="false">[1]ВИБУЛО2!KK25</f>
        <v>0</v>
      </c>
      <c r="AHB33" s="97" t="n">
        <f aca="false">AHB32-AHA33+AGZ33</f>
        <v>0</v>
      </c>
      <c r="AHC33" s="95" t="n">
        <f aca="false">[1]НАДІЙШЛО2!KL25</f>
        <v>0</v>
      </c>
      <c r="AHD33" s="96" t="n">
        <f aca="false">[1]ВИБУЛО2!KL25</f>
        <v>0</v>
      </c>
      <c r="AHE33" s="97" t="n">
        <f aca="false">AHE32-AHD33+AHC33</f>
        <v>0</v>
      </c>
      <c r="AHF33" s="95" t="n">
        <f aca="false">[1]НАДІЙШЛО2!KM25</f>
        <v>0</v>
      </c>
      <c r="AHG33" s="96" t="n">
        <f aca="false">[1]ВИБУЛО2!KM25</f>
        <v>0</v>
      </c>
      <c r="AHH33" s="97" t="n">
        <f aca="false">AHH32-AHG33+AHF33</f>
        <v>0</v>
      </c>
      <c r="AHI33" s="95" t="n">
        <f aca="false">[1]НАДІЙШЛО2!KN25</f>
        <v>0</v>
      </c>
      <c r="AHJ33" s="96" t="n">
        <f aca="false">[1]ВИБУЛО2!KN25</f>
        <v>0</v>
      </c>
      <c r="AHK33" s="97" t="n">
        <f aca="false">AHK32-AHJ33+AHI33</f>
        <v>0</v>
      </c>
      <c r="AHL33" s="95" t="n">
        <f aca="false">[1]НАДІЙШЛО2!KO25</f>
        <v>0</v>
      </c>
      <c r="AHM33" s="96" t="n">
        <f aca="false">[1]ВИБУЛО2!KO25</f>
        <v>0</v>
      </c>
      <c r="AHN33" s="97" t="n">
        <f aca="false">AHN32-AHM33+AHL33</f>
        <v>0</v>
      </c>
      <c r="AHO33" s="95" t="n">
        <f aca="false">[1]НАДІЙШЛО2!KP25</f>
        <v>0</v>
      </c>
      <c r="AHP33" s="96" t="n">
        <f aca="false">[1]ВИБУЛО2!KP25</f>
        <v>0</v>
      </c>
      <c r="AHQ33" s="97" t="n">
        <f aca="false">AHQ32-AHP33+AHO33</f>
        <v>0</v>
      </c>
      <c r="AHR33" s="95" t="n">
        <f aca="false">[1]НАДІЙШЛО2!KQ25</f>
        <v>0</v>
      </c>
      <c r="AHS33" s="96" t="n">
        <f aca="false">[1]ВИБУЛО2!KQ25</f>
        <v>0</v>
      </c>
      <c r="AHT33" s="97" t="n">
        <f aca="false">AHT32-AHS33+AHR33</f>
        <v>0</v>
      </c>
      <c r="AHU33" s="95" t="n">
        <f aca="false">[1]НАДІЙШЛО2!KR25</f>
        <v>0</v>
      </c>
      <c r="AHV33" s="96" t="n">
        <f aca="false">[1]ВИБУЛО2!KR25</f>
        <v>0</v>
      </c>
      <c r="AHW33" s="97" t="n">
        <f aca="false">AHW32-AHV33+AHU33</f>
        <v>0</v>
      </c>
      <c r="AHX33" s="95" t="n">
        <f aca="false">[1]НАДІЙШЛО2!KS25</f>
        <v>0</v>
      </c>
      <c r="AHY33" s="96" t="n">
        <f aca="false">[1]ВИБУЛО2!KS25</f>
        <v>0</v>
      </c>
      <c r="AHZ33" s="97" t="n">
        <f aca="false">AHZ32-AHY33+AHX33</f>
        <v>0</v>
      </c>
      <c r="AIA33" s="95" t="n">
        <f aca="false">[1]НАДІЙШЛО2!KT25</f>
        <v>0</v>
      </c>
      <c r="AIB33" s="96" t="n">
        <f aca="false">[1]ВИБУЛО2!KT25</f>
        <v>0</v>
      </c>
      <c r="AIC33" s="97" t="n">
        <f aca="false">AIC32-AIB33+AIA33</f>
        <v>0</v>
      </c>
      <c r="AID33" s="95" t="n">
        <f aca="false">[1]НАДІЙШЛО2!KU25</f>
        <v>0</v>
      </c>
      <c r="AIE33" s="96" t="n">
        <f aca="false">[1]ВИБУЛО2!KU25</f>
        <v>0</v>
      </c>
      <c r="AIF33" s="97" t="n">
        <f aca="false">AIF32-AIE33+AID33</f>
        <v>0</v>
      </c>
      <c r="AIG33" s="95" t="n">
        <f aca="false">[1]НАДІЙШЛО2!KV25</f>
        <v>0</v>
      </c>
      <c r="AIH33" s="96" t="n">
        <f aca="false">[1]ВИБУЛО2!KV25</f>
        <v>0</v>
      </c>
      <c r="AII33" s="97" t="n">
        <f aca="false">AII32-AIH33+AIG33</f>
        <v>0</v>
      </c>
      <c r="AIJ33" s="95" t="n">
        <f aca="false">[1]НАДІЙШЛО2!KW25</f>
        <v>0</v>
      </c>
      <c r="AIK33" s="96" t="n">
        <f aca="false">[1]ВИБУЛО2!KW25</f>
        <v>0</v>
      </c>
      <c r="AIL33" s="97" t="n">
        <f aca="false">AIL32-AIK33+AIJ33</f>
        <v>0</v>
      </c>
      <c r="AIM33" s="95" t="n">
        <f aca="false">[1]НАДІЙШЛО2!KX25</f>
        <v>0</v>
      </c>
      <c r="AIN33" s="96" t="n">
        <f aca="false">[1]ВИБУЛО2!KX25</f>
        <v>0</v>
      </c>
      <c r="AIO33" s="97" t="n">
        <f aca="false">AIO32-AIN33+AIM33</f>
        <v>0</v>
      </c>
      <c r="AIP33" s="95" t="n">
        <f aca="false">[1]НАДІЙШЛО2!KY25</f>
        <v>0</v>
      </c>
      <c r="AIQ33" s="96" t="n">
        <f aca="false">[1]ВИБУЛО2!KY25</f>
        <v>0</v>
      </c>
      <c r="AIR33" s="97" t="n">
        <f aca="false">AIR32-AIQ33+AIP33</f>
        <v>0</v>
      </c>
      <c r="AIS33" s="95" t="n">
        <f aca="false">[1]НАДІЙШЛО2!KZ25</f>
        <v>0</v>
      </c>
      <c r="AIT33" s="96" t="n">
        <f aca="false">[1]ВИБУЛО2!KZ25</f>
        <v>0</v>
      </c>
      <c r="AIU33" s="97" t="n">
        <f aca="false">AIU32-AIT33+AIS33</f>
        <v>0</v>
      </c>
      <c r="AIV33" s="95" t="n">
        <f aca="false">[1]НАДІЙШЛО2!LA25</f>
        <v>0</v>
      </c>
      <c r="AIW33" s="96" t="n">
        <f aca="false">[1]ВИБУЛО2!LA25</f>
        <v>0</v>
      </c>
      <c r="AIX33" s="97" t="n">
        <f aca="false">AIX32-AIW33+AIV33</f>
        <v>0</v>
      </c>
      <c r="AIY33" s="95" t="n">
        <f aca="false">[1]НАДІЙШЛО2!LB25</f>
        <v>0</v>
      </c>
      <c r="AIZ33" s="96" t="n">
        <f aca="false">[1]ВИБУЛО2!LB25</f>
        <v>0</v>
      </c>
      <c r="AJA33" s="97" t="n">
        <f aca="false">AJA32-AIZ33+AIY33</f>
        <v>0</v>
      </c>
      <c r="AJB33" s="95" t="n">
        <f aca="false">[1]НАДІЙШЛО2!LC25</f>
        <v>0</v>
      </c>
      <c r="AJC33" s="96" t="n">
        <f aca="false">[1]ВИБУЛО2!LC25</f>
        <v>0</v>
      </c>
      <c r="AJD33" s="97" t="n">
        <f aca="false">AJD32-AJC33+AJB33</f>
        <v>0</v>
      </c>
      <c r="AJE33" s="95" t="n">
        <f aca="false">[1]НАДІЙШЛО2!LD25</f>
        <v>0</v>
      </c>
      <c r="AJF33" s="96" t="n">
        <f aca="false">[1]ВИБУЛО2!LD25</f>
        <v>0</v>
      </c>
      <c r="AJG33" s="97" t="n">
        <f aca="false">AJG32-AJF33+AJE33</f>
        <v>0</v>
      </c>
      <c r="AJH33" s="95" t="n">
        <f aca="false">[1]НАДІЙШЛО2!LE25</f>
        <v>0</v>
      </c>
      <c r="AJI33" s="96" t="n">
        <f aca="false">[1]ВИБУЛО2!LE25</f>
        <v>0</v>
      </c>
      <c r="AJJ33" s="97" t="n">
        <f aca="false">AJJ32-AJI33+AJH33</f>
        <v>0</v>
      </c>
      <c r="AJK33" s="95" t="n">
        <f aca="false">[1]НАДІЙШЛО2!LF25</f>
        <v>0</v>
      </c>
      <c r="AJL33" s="96" t="n">
        <f aca="false">[1]ВИБУЛО2!LF25</f>
        <v>0</v>
      </c>
      <c r="AJM33" s="97" t="n">
        <f aca="false">AJM32-AJL33+AJK33</f>
        <v>0</v>
      </c>
      <c r="AJN33" s="95" t="n">
        <f aca="false">[1]НАДІЙШЛО2!LG25</f>
        <v>0</v>
      </c>
      <c r="AJO33" s="96" t="n">
        <f aca="false">[1]ВИБУЛО2!LG25</f>
        <v>0</v>
      </c>
      <c r="AJP33" s="97" t="n">
        <f aca="false">AJP32-AJO33+AJN33</f>
        <v>0</v>
      </c>
      <c r="AJQ33" s="95" t="n">
        <f aca="false">[1]НАДІЙШЛО2!LH25</f>
        <v>0</v>
      </c>
      <c r="AJR33" s="96" t="n">
        <f aca="false">[1]ВИБУЛО2!LH25</f>
        <v>0</v>
      </c>
      <c r="AJS33" s="97" t="n">
        <f aca="false">AJS32-AJR33+AJQ33</f>
        <v>0</v>
      </c>
      <c r="AJT33" s="95" t="n">
        <f aca="false">[1]НАДІЙШЛО2!LI25</f>
        <v>0</v>
      </c>
      <c r="AJU33" s="96" t="n">
        <f aca="false">[1]ВИБУЛО2!LI25</f>
        <v>0</v>
      </c>
      <c r="AJV33" s="97" t="n">
        <f aca="false">AJV32-AJU33+AJT33</f>
        <v>0</v>
      </c>
      <c r="AJW33" s="95" t="n">
        <f aca="false">[1]НАДІЙШЛО2!LJ25</f>
        <v>0</v>
      </c>
      <c r="AJX33" s="96" t="n">
        <f aca="false">[1]ВИБУЛО2!LJ25</f>
        <v>0</v>
      </c>
      <c r="AJY33" s="97" t="n">
        <f aca="false">AJY32-AJX33+AJW33</f>
        <v>0</v>
      </c>
      <c r="AJZ33" s="95" t="n">
        <f aca="false">[1]НАДІЙШЛО2!LK25</f>
        <v>0</v>
      </c>
      <c r="AKA33" s="96" t="n">
        <f aca="false">[1]ВИБУЛО2!LK25</f>
        <v>0</v>
      </c>
      <c r="AKB33" s="97" t="n">
        <f aca="false">AKB32-AKA33+AJZ33</f>
        <v>0</v>
      </c>
      <c r="AKC33" s="95" t="n">
        <f aca="false">[1]НАДІЙШЛО2!LL25</f>
        <v>0</v>
      </c>
      <c r="AKD33" s="96" t="n">
        <f aca="false">[1]ВИБУЛО2!LL25</f>
        <v>0</v>
      </c>
      <c r="AKE33" s="97" t="n">
        <f aca="false">AKE32-AKD33+AKC33</f>
        <v>0</v>
      </c>
      <c r="AKF33" s="95" t="n">
        <f aca="false">[1]НАДІЙШЛО2!LM25</f>
        <v>0</v>
      </c>
      <c r="AKG33" s="96" t="n">
        <f aca="false">[1]ВИБУЛО2!LM25</f>
        <v>0</v>
      </c>
      <c r="AKH33" s="97" t="n">
        <f aca="false">AKH32-AKG33+AKF33</f>
        <v>0</v>
      </c>
      <c r="AKI33" s="95" t="n">
        <f aca="false">[1]НАДІЙШЛО2!LN25</f>
        <v>0</v>
      </c>
      <c r="AKJ33" s="96" t="n">
        <f aca="false">[1]ВИБУЛО2!LN25</f>
        <v>0</v>
      </c>
      <c r="AKK33" s="97" t="n">
        <f aca="false">AKK32-AKJ33+AKI33</f>
        <v>0</v>
      </c>
      <c r="AKL33" s="95" t="n">
        <f aca="false">[1]НАДІЙШЛО2!LO25</f>
        <v>0</v>
      </c>
      <c r="AKM33" s="96" t="n">
        <f aca="false">[1]ВИБУЛО2!LO25</f>
        <v>0</v>
      </c>
      <c r="AKN33" s="97" t="n">
        <f aca="false">AKN32-AKM33+AKL33</f>
        <v>0</v>
      </c>
      <c r="AKO33" s="95" t="n">
        <f aca="false">[1]НАДІЙШЛО2!LP25</f>
        <v>0</v>
      </c>
      <c r="AKP33" s="96" t="n">
        <f aca="false">[1]ВИБУЛО2!LP25</f>
        <v>0</v>
      </c>
      <c r="AKQ33" s="97" t="n">
        <f aca="false">AKQ32-AKP33+AKO33</f>
        <v>0</v>
      </c>
      <c r="AKR33" s="95" t="n">
        <f aca="false">[1]НАДІЙШЛО2!LQ25</f>
        <v>0</v>
      </c>
      <c r="AKS33" s="96" t="n">
        <f aca="false">[1]ВИБУЛО2!LQ25</f>
        <v>0</v>
      </c>
      <c r="AKT33" s="97" t="n">
        <f aca="false">AKT32-AKS33+AKR33</f>
        <v>0</v>
      </c>
      <c r="AKU33" s="95" t="n">
        <f aca="false">[1]НАДІЙШЛО2!LR25</f>
        <v>0</v>
      </c>
      <c r="AKV33" s="96" t="n">
        <f aca="false">[1]ВИБУЛО2!LR25</f>
        <v>0</v>
      </c>
      <c r="AKW33" s="97" t="n">
        <f aca="false">AKW32-AKV33+AKU33</f>
        <v>0</v>
      </c>
      <c r="AKX33" s="95" t="n">
        <f aca="false">[1]НАДІЙШЛО2!LS25</f>
        <v>0</v>
      </c>
      <c r="AKY33" s="96" t="n">
        <f aca="false">[1]ВИБУЛО2!LS25</f>
        <v>0</v>
      </c>
      <c r="AKZ33" s="97" t="n">
        <f aca="false">AKZ32-AKY33+AKX33</f>
        <v>0</v>
      </c>
      <c r="ALA33" s="95" t="n">
        <f aca="false">[1]НАДІЙШЛО2!LT25</f>
        <v>0</v>
      </c>
      <c r="ALB33" s="96" t="n">
        <f aca="false">[1]ВИБУЛО2!LT25</f>
        <v>0</v>
      </c>
      <c r="ALC33" s="97" t="n">
        <f aca="false">ALC32-ALB33+ALA33</f>
        <v>0</v>
      </c>
      <c r="ALD33" s="95" t="n">
        <f aca="false">[1]НАДІЙШЛО2!LU25</f>
        <v>0</v>
      </c>
      <c r="ALE33" s="96" t="n">
        <f aca="false">[1]ВИБУЛО2!LU25</f>
        <v>0</v>
      </c>
      <c r="ALF33" s="97" t="n">
        <f aca="false">ALF32-ALE33+ALD33</f>
        <v>0</v>
      </c>
      <c r="ALG33" s="95" t="n">
        <f aca="false">[1]НАДІЙШЛО2!LV25</f>
        <v>0</v>
      </c>
      <c r="ALH33" s="96" t="n">
        <f aca="false">[1]ВИБУЛО2!LV25</f>
        <v>0</v>
      </c>
      <c r="ALI33" s="97" t="n">
        <f aca="false">ALI32-ALH33+ALG33</f>
        <v>0</v>
      </c>
      <c r="ALJ33" s="95" t="n">
        <f aca="false">[1]НАДІЙШЛО2!LW25</f>
        <v>0</v>
      </c>
      <c r="ALK33" s="96" t="n">
        <f aca="false">[1]ВИБУЛО2!LW25</f>
        <v>0</v>
      </c>
      <c r="ALL33" s="97" t="n">
        <f aca="false">ALL32-ALK33+ALJ33</f>
        <v>0</v>
      </c>
      <c r="ALM33" s="95" t="n">
        <f aca="false">[1]НАДІЙШЛО2!LX25</f>
        <v>0</v>
      </c>
      <c r="ALN33" s="96" t="n">
        <f aca="false">[1]ВИБУЛО2!LX25</f>
        <v>0</v>
      </c>
      <c r="ALO33" s="97" t="n">
        <f aca="false">ALO32-ALN33+ALM33</f>
        <v>0</v>
      </c>
      <c r="ALP33" s="95" t="n">
        <f aca="false">[1]НАДІЙШЛО2!LY25</f>
        <v>0</v>
      </c>
      <c r="ALQ33" s="96" t="n">
        <f aca="false">[1]ВИБУЛО2!LY25</f>
        <v>0</v>
      </c>
      <c r="ALR33" s="97" t="n">
        <f aca="false">ALR32-ALQ33+ALP33</f>
        <v>0</v>
      </c>
      <c r="ALS33" s="95" t="n">
        <f aca="false">[1]НАДІЙШЛО2!LZ25</f>
        <v>0</v>
      </c>
      <c r="ALT33" s="96" t="n">
        <f aca="false">[1]ВИБУЛО2!LZ25</f>
        <v>0</v>
      </c>
      <c r="ALU33" s="97" t="n">
        <f aca="false">ALU32-ALT33+ALS33</f>
        <v>0</v>
      </c>
      <c r="ALV33" s="95" t="n">
        <f aca="false">[1]НАДІЙШЛО2!MA25</f>
        <v>0</v>
      </c>
      <c r="ALW33" s="96" t="n">
        <f aca="false">[1]ВИБУЛО2!MA25</f>
        <v>0</v>
      </c>
      <c r="ALX33" s="97" t="n">
        <f aca="false">ALX32-ALW33+ALV33</f>
        <v>0</v>
      </c>
      <c r="ALY33" s="95" t="n">
        <f aca="false">[1]НАДІЙШЛО2!MB25</f>
        <v>0</v>
      </c>
      <c r="ALZ33" s="96" t="n">
        <f aca="false">[1]ВИБУЛО2!MB25</f>
        <v>0</v>
      </c>
      <c r="AMA33" s="97" t="n">
        <f aca="false">AMA32-ALZ33+ALY33</f>
        <v>0</v>
      </c>
      <c r="AMB33" s="95" t="n">
        <f aca="false">[1]НАДІЙШЛО2!MC25</f>
        <v>0</v>
      </c>
      <c r="AMC33" s="96" t="n">
        <f aca="false">[1]ВИБУЛО2!MC25</f>
        <v>0</v>
      </c>
      <c r="AMD33" s="97" t="n">
        <f aca="false">AMD32-AMC33+AMB33</f>
        <v>0</v>
      </c>
      <c r="AME33" s="95" t="n">
        <f aca="false">[1]НАДІЙШЛО2!MD25</f>
        <v>0</v>
      </c>
      <c r="AMF33" s="96" t="n">
        <f aca="false">[1]ВИБУЛО2!MD25</f>
        <v>0</v>
      </c>
      <c r="AMG33" s="97" t="n">
        <f aca="false">AMG32-AMF33+AME33</f>
        <v>0</v>
      </c>
      <c r="AMH33" s="95" t="n">
        <f aca="false">[1]НАДІЙШЛО2!ME25</f>
        <v>0</v>
      </c>
      <c r="AMI33" s="96" t="n">
        <f aca="false">[1]ВИБУЛО2!ME25</f>
        <v>0</v>
      </c>
      <c r="AMJ33" s="97" t="n">
        <f aca="false">AMJ32-AMI33+AMH33</f>
        <v>0</v>
      </c>
    </row>
    <row r="34" s="99" customFormat="true" ht="16.5" hidden="false" customHeight="false" outlineLevel="0" collapsed="false">
      <c r="A34" s="98"/>
      <c r="D34" s="103"/>
      <c r="E34" s="95" t="n">
        <f aca="false">[1]НАДІЙШЛО2!D26</f>
        <v>0</v>
      </c>
      <c r="F34" s="96" t="n">
        <f aca="false">[1]ВИБУЛО2!D26</f>
        <v>0</v>
      </c>
      <c r="G34" s="97" t="n">
        <f aca="false">G33-F34+E34</f>
        <v>0</v>
      </c>
      <c r="H34" s="95" t="n">
        <f aca="false">[1]НАДІЙШЛО2!E26</f>
        <v>0</v>
      </c>
      <c r="I34" s="96" t="n">
        <f aca="false">[1]ВИБУЛО2!E26</f>
        <v>0</v>
      </c>
      <c r="J34" s="97" t="n">
        <f aca="false">J33-I34+H34</f>
        <v>0</v>
      </c>
      <c r="K34" s="95" t="n">
        <f aca="false">[1]НАДІЙШЛО2!F26</f>
        <v>0</v>
      </c>
      <c r="L34" s="96" t="n">
        <f aca="false">[1]ВИБУЛО2!F26</f>
        <v>0</v>
      </c>
      <c r="M34" s="97" t="n">
        <f aca="false">M33-L34+K34</f>
        <v>2.06</v>
      </c>
      <c r="N34" s="95" t="n">
        <f aca="false">[1]НАДІЙШЛО2!G26</f>
        <v>0</v>
      </c>
      <c r="O34" s="96" t="n">
        <f aca="false">[1]ВИБУЛО2!G26</f>
        <v>0</v>
      </c>
      <c r="P34" s="97" t="n">
        <f aca="false">P33-O34+N34</f>
        <v>0</v>
      </c>
      <c r="Q34" s="95" t="n">
        <f aca="false">[1]НАДІЙШЛО2!H26</f>
        <v>0</v>
      </c>
      <c r="R34" s="96" t="n">
        <f aca="false">[1]ВИБУЛО2!H26</f>
        <v>0</v>
      </c>
      <c r="S34" s="97" t="n">
        <f aca="false">S33-R34+Q34</f>
        <v>0</v>
      </c>
      <c r="T34" s="95" t="n">
        <f aca="false">[1]НАДІЙШЛО2!I26</f>
        <v>0</v>
      </c>
      <c r="U34" s="96" t="n">
        <f aca="false">[1]ВИБУЛО2!I26</f>
        <v>0</v>
      </c>
      <c r="V34" s="97" t="n">
        <f aca="false">V33-U34+T34</f>
        <v>0</v>
      </c>
      <c r="W34" s="95" t="n">
        <f aca="false">[1]НАДІЙШЛО2!J26</f>
        <v>0</v>
      </c>
      <c r="X34" s="96" t="n">
        <f aca="false">[1]ВИБУЛО2!J26</f>
        <v>0</v>
      </c>
      <c r="Y34" s="97" t="n">
        <f aca="false">Y33-X34+W34</f>
        <v>0</v>
      </c>
      <c r="Z34" s="95" t="n">
        <f aca="false">[1]НАДІЙШЛО2!K26</f>
        <v>0</v>
      </c>
      <c r="AA34" s="96" t="n">
        <f aca="false">[1]ВИБУЛО2!K26</f>
        <v>0</v>
      </c>
      <c r="AB34" s="97" t="n">
        <f aca="false">AB33-AA34+Z34</f>
        <v>0</v>
      </c>
      <c r="AC34" s="95" t="n">
        <f aca="false">[1]НАДІЙШЛО2!L26</f>
        <v>0</v>
      </c>
      <c r="AD34" s="96" t="n">
        <f aca="false">[1]ВИБУЛО2!L26</f>
        <v>0</v>
      </c>
      <c r="AE34" s="97" t="n">
        <f aca="false">AE33-AD34+AC34</f>
        <v>0</v>
      </c>
      <c r="AF34" s="95" t="n">
        <f aca="false">[1]НАДІЙШЛО2!M26</f>
        <v>0</v>
      </c>
      <c r="AG34" s="96" t="n">
        <f aca="false">[1]ВИБУЛО2!M26</f>
        <v>0</v>
      </c>
      <c r="AH34" s="97" t="n">
        <f aca="false">AH33-AG34+AF34</f>
        <v>0</v>
      </c>
      <c r="AI34" s="95" t="n">
        <f aca="false">[1]НАДІЙШЛО2!N26</f>
        <v>0</v>
      </c>
      <c r="AJ34" s="96" t="n">
        <f aca="false">[1]ВИБУЛО2!N26</f>
        <v>0</v>
      </c>
      <c r="AK34" s="97" t="n">
        <f aca="false">AK33-AJ34+AI34</f>
        <v>0</v>
      </c>
      <c r="AL34" s="95" t="n">
        <f aca="false">[1]НАДІЙШЛО2!O26</f>
        <v>0</v>
      </c>
      <c r="AM34" s="96" t="n">
        <f aca="false">[1]ВИБУЛО2!O26</f>
        <v>0</v>
      </c>
      <c r="AN34" s="97" t="n">
        <f aca="false">AN33-AM34+AL34</f>
        <v>0</v>
      </c>
      <c r="AO34" s="95" t="n">
        <f aca="false">[1]НАДІЙШЛО2!P26</f>
        <v>0</v>
      </c>
      <c r="AP34" s="96" t="n">
        <f aca="false">[1]ВИБУЛО2!P26</f>
        <v>0</v>
      </c>
      <c r="AQ34" s="97" t="n">
        <f aca="false">AQ33-AP34+AO34</f>
        <v>0</v>
      </c>
      <c r="AR34" s="95" t="n">
        <f aca="false">[1]НАДІЙШЛО2!Q26</f>
        <v>0</v>
      </c>
      <c r="AS34" s="96" t="n">
        <f aca="false">[1]ВИБУЛО2!Q26</f>
        <v>0</v>
      </c>
      <c r="AT34" s="97" t="n">
        <f aca="false">AT33-AS34+AR34</f>
        <v>0</v>
      </c>
      <c r="AU34" s="95" t="n">
        <f aca="false">[1]НАДІЙШЛО2!R26</f>
        <v>0</v>
      </c>
      <c r="AV34" s="96" t="n">
        <f aca="false">[1]ВИБУЛО2!R26</f>
        <v>0</v>
      </c>
      <c r="AW34" s="97" t="n">
        <f aca="false">AW33-AV34+AU34</f>
        <v>0</v>
      </c>
      <c r="AX34" s="95" t="n">
        <f aca="false">[1]НАДІЙШЛО2!S26</f>
        <v>0</v>
      </c>
      <c r="AY34" s="96" t="n">
        <f aca="false">[1]ВИБУЛО2!S26</f>
        <v>0</v>
      </c>
      <c r="AZ34" s="97" t="n">
        <f aca="false">AZ33-AY34+AX34</f>
        <v>0</v>
      </c>
      <c r="BA34" s="95" t="n">
        <f aca="false">[1]НАДІЙШЛО2!T26</f>
        <v>0</v>
      </c>
      <c r="BB34" s="96" t="n">
        <f aca="false">[1]ВИБУЛО2!T26</f>
        <v>0</v>
      </c>
      <c r="BC34" s="97" t="n">
        <f aca="false">BC33-BB34+BA34</f>
        <v>0</v>
      </c>
      <c r="BD34" s="95" t="n">
        <f aca="false">[1]НАДІЙШЛО2!U26</f>
        <v>0</v>
      </c>
      <c r="BE34" s="96" t="n">
        <f aca="false">[1]ВИБУЛО2!U26</f>
        <v>0</v>
      </c>
      <c r="BF34" s="97" t="n">
        <f aca="false">BF33-BE34+BD34</f>
        <v>0</v>
      </c>
      <c r="BG34" s="95" t="n">
        <f aca="false">[1]НАДІЙШЛО2!V26</f>
        <v>0</v>
      </c>
      <c r="BH34" s="96" t="n">
        <f aca="false">[1]ВИБУЛО2!V26</f>
        <v>0</v>
      </c>
      <c r="BI34" s="97" t="n">
        <f aca="false">BI33-BH34+BG34</f>
        <v>0</v>
      </c>
      <c r="BJ34" s="95" t="n">
        <f aca="false">[1]НАДІЙШЛО2!W26</f>
        <v>0</v>
      </c>
      <c r="BK34" s="96" t="n">
        <f aca="false">[1]ВИБУЛО2!W26</f>
        <v>0</v>
      </c>
      <c r="BL34" s="97" t="n">
        <f aca="false">BL33-BK34+BJ34</f>
        <v>0</v>
      </c>
      <c r="BM34" s="95" t="n">
        <f aca="false">[1]НАДІЙШЛО2!X26</f>
        <v>0</v>
      </c>
      <c r="BN34" s="96" t="n">
        <f aca="false">[1]ВИБУЛО2!X26</f>
        <v>0</v>
      </c>
      <c r="BO34" s="97" t="n">
        <f aca="false">BO33-BN34+BM34</f>
        <v>0</v>
      </c>
      <c r="BP34" s="95" t="n">
        <f aca="false">[1]НАДІЙШЛО2!Y26</f>
        <v>0</v>
      </c>
      <c r="BQ34" s="96" t="n">
        <f aca="false">[1]ВИБУЛО2!Y26</f>
        <v>0</v>
      </c>
      <c r="BR34" s="97" t="n">
        <f aca="false">BR33-BQ34+BP34</f>
        <v>0</v>
      </c>
      <c r="BS34" s="95" t="n">
        <f aca="false">[1]НАДІЙШЛО2!Z26</f>
        <v>0</v>
      </c>
      <c r="BT34" s="96" t="n">
        <f aca="false">[1]ВИБУЛО2!Z26</f>
        <v>0</v>
      </c>
      <c r="BU34" s="97" t="n">
        <f aca="false">BU33-BT34+BS34</f>
        <v>0</v>
      </c>
      <c r="BV34" s="95" t="n">
        <f aca="false">[1]НАДІЙШЛО2!AA26</f>
        <v>0</v>
      </c>
      <c r="BW34" s="96" t="n">
        <f aca="false">[1]ВИБУЛО2!AA26</f>
        <v>0</v>
      </c>
      <c r="BX34" s="97" t="n">
        <f aca="false">BX33-BW34+BV34</f>
        <v>0</v>
      </c>
      <c r="BY34" s="95" t="n">
        <f aca="false">[1]НАДІЙШЛО2!AB26</f>
        <v>0</v>
      </c>
      <c r="BZ34" s="96" t="n">
        <f aca="false">[1]ВИБУЛО2!AB26</f>
        <v>0</v>
      </c>
      <c r="CA34" s="97" t="n">
        <f aca="false">CA33-BZ34+BY34</f>
        <v>0</v>
      </c>
      <c r="CB34" s="95" t="n">
        <f aca="false">[1]НАДІЙШЛО2!AC26</f>
        <v>0</v>
      </c>
      <c r="CC34" s="96" t="n">
        <f aca="false">[1]ВИБУЛО2!AC26</f>
        <v>0</v>
      </c>
      <c r="CD34" s="97" t="n">
        <f aca="false">CD33-CC34+CB34</f>
        <v>0</v>
      </c>
      <c r="CE34" s="95" t="n">
        <f aca="false">[1]НАДІЙШЛО2!AD26</f>
        <v>0</v>
      </c>
      <c r="CF34" s="96" t="n">
        <f aca="false">[1]ВИБУЛО2!AD26</f>
        <v>0</v>
      </c>
      <c r="CG34" s="97" t="n">
        <f aca="false">CG33-CF34+CE34</f>
        <v>0</v>
      </c>
      <c r="CH34" s="95" t="n">
        <f aca="false">[1]НАДІЙШЛО2!AE26</f>
        <v>0</v>
      </c>
      <c r="CI34" s="96" t="n">
        <f aca="false">[1]ВИБУЛО2!AE26</f>
        <v>0</v>
      </c>
      <c r="CJ34" s="97" t="n">
        <f aca="false">CJ33-CI34+CH34</f>
        <v>0</v>
      </c>
      <c r="CK34" s="95" t="n">
        <f aca="false">[1]НАДІЙШЛО2!AF26</f>
        <v>0</v>
      </c>
      <c r="CL34" s="96" t="n">
        <f aca="false">[1]ВИБУЛО2!AF26</f>
        <v>0</v>
      </c>
      <c r="CM34" s="97" t="n">
        <f aca="false">CM33-CL34+CK34</f>
        <v>0</v>
      </c>
      <c r="CN34" s="95" t="n">
        <f aca="false">[1]НАДІЙШЛО2!AG26</f>
        <v>0</v>
      </c>
      <c r="CO34" s="96" t="n">
        <f aca="false">[1]ВИБУЛО2!AG26</f>
        <v>0</v>
      </c>
      <c r="CP34" s="97" t="n">
        <f aca="false">CP33-CO34+CN34</f>
        <v>0</v>
      </c>
      <c r="CQ34" s="95" t="n">
        <f aca="false">[1]НАДІЙШЛО2!AH26</f>
        <v>0</v>
      </c>
      <c r="CR34" s="96" t="n">
        <f aca="false">[1]ВИБУЛО2!AH26</f>
        <v>0</v>
      </c>
      <c r="CS34" s="97" t="n">
        <f aca="false">CS33-CR34+CQ34</f>
        <v>0</v>
      </c>
      <c r="CT34" s="95" t="n">
        <f aca="false">[1]НАДІЙШЛО2!AI26</f>
        <v>0</v>
      </c>
      <c r="CU34" s="96" t="n">
        <f aca="false">[1]ВИБУЛО2!AI26</f>
        <v>0</v>
      </c>
      <c r="CV34" s="97" t="n">
        <f aca="false">CV33-CU34+CT34</f>
        <v>0</v>
      </c>
      <c r="CW34" s="95" t="n">
        <f aca="false">[1]НАДІЙШЛО2!AJ26</f>
        <v>0</v>
      </c>
      <c r="CX34" s="96" t="n">
        <f aca="false">[1]ВИБУЛО2!AJ26</f>
        <v>0</v>
      </c>
      <c r="CY34" s="97" t="n">
        <f aca="false">CY33-CX34+CW34</f>
        <v>0</v>
      </c>
      <c r="CZ34" s="95" t="n">
        <f aca="false">[1]НАДІЙШЛО2!AK26</f>
        <v>0</v>
      </c>
      <c r="DA34" s="96" t="n">
        <f aca="false">[1]ВИБУЛО2!AK26</f>
        <v>0</v>
      </c>
      <c r="DB34" s="97" t="n">
        <f aca="false">DB33-DA34+CZ34</f>
        <v>0</v>
      </c>
      <c r="DC34" s="95" t="n">
        <f aca="false">[1]НАДІЙШЛО2!AL26</f>
        <v>0</v>
      </c>
      <c r="DD34" s="96" t="n">
        <f aca="false">[1]ВИБУЛО2!AL26</f>
        <v>0</v>
      </c>
      <c r="DE34" s="97" t="n">
        <f aca="false">DE33-DD34+DC34</f>
        <v>0</v>
      </c>
      <c r="DF34" s="95" t="n">
        <f aca="false">[1]НАДІЙШЛО2!AM26</f>
        <v>0</v>
      </c>
      <c r="DG34" s="96" t="n">
        <f aca="false">[1]ВИБУЛО2!AM26</f>
        <v>0</v>
      </c>
      <c r="DH34" s="97" t="n">
        <f aca="false">DH33-DG34+DF34</f>
        <v>0</v>
      </c>
      <c r="DI34" s="95" t="n">
        <f aca="false">[1]НАДІЙШЛО2!AN26</f>
        <v>0</v>
      </c>
      <c r="DJ34" s="96" t="n">
        <f aca="false">[1]ВИБУЛО2!AN26</f>
        <v>0</v>
      </c>
      <c r="DK34" s="97" t="n">
        <f aca="false">DK33-DJ34+DI34</f>
        <v>0</v>
      </c>
      <c r="DL34" s="95" t="n">
        <f aca="false">[1]НАДІЙШЛО2!AO26</f>
        <v>0</v>
      </c>
      <c r="DM34" s="96" t="n">
        <f aca="false">[1]ВИБУЛО2!AO26</f>
        <v>0</v>
      </c>
      <c r="DN34" s="97" t="n">
        <f aca="false">DN33-DM34+DL34</f>
        <v>0</v>
      </c>
      <c r="DO34" s="95" t="n">
        <f aca="false">[1]НАДІЙШЛО2!AP26</f>
        <v>0</v>
      </c>
      <c r="DP34" s="96" t="n">
        <f aca="false">[1]ВИБУЛО2!AP26</f>
        <v>0</v>
      </c>
      <c r="DQ34" s="97" t="n">
        <f aca="false">DQ33-DP34+DO34</f>
        <v>0</v>
      </c>
      <c r="DR34" s="95" t="n">
        <f aca="false">[1]НАДІЙШЛО2!AQ26</f>
        <v>0</v>
      </c>
      <c r="DS34" s="96" t="n">
        <f aca="false">[1]ВИБУЛО2!AQ26</f>
        <v>0</v>
      </c>
      <c r="DT34" s="97" t="n">
        <f aca="false">DT33-DS34+DR34</f>
        <v>0</v>
      </c>
      <c r="DU34" s="95" t="n">
        <f aca="false">[1]НАДІЙШЛО2!AR26</f>
        <v>0</v>
      </c>
      <c r="DV34" s="96" t="n">
        <f aca="false">[1]ВИБУЛО2!AR26</f>
        <v>0</v>
      </c>
      <c r="DW34" s="97" t="n">
        <f aca="false">DW33-DV34+DU34</f>
        <v>0</v>
      </c>
      <c r="DX34" s="95" t="n">
        <f aca="false">[1]НАДІЙШЛО2!AS26</f>
        <v>0</v>
      </c>
      <c r="DY34" s="96" t="n">
        <f aca="false">[1]ВИБУЛО2!AS26</f>
        <v>0</v>
      </c>
      <c r="DZ34" s="97" t="n">
        <f aca="false">DZ33-DY34+DX34</f>
        <v>0</v>
      </c>
      <c r="EA34" s="95" t="n">
        <f aca="false">[1]НАДІЙШЛО2!AT26</f>
        <v>0</v>
      </c>
      <c r="EB34" s="96" t="n">
        <f aca="false">[1]ВИБУЛО2!AT26</f>
        <v>0</v>
      </c>
      <c r="EC34" s="97" t="n">
        <f aca="false">EC33-EB34+EA34</f>
        <v>0</v>
      </c>
      <c r="ED34" s="95" t="n">
        <f aca="false">[1]НАДІЙШЛО2!AU26</f>
        <v>0</v>
      </c>
      <c r="EE34" s="96" t="n">
        <f aca="false">[1]ВИБУЛО2!AU26</f>
        <v>0</v>
      </c>
      <c r="EF34" s="97" t="n">
        <f aca="false">EF33-EE34+ED34</f>
        <v>0</v>
      </c>
      <c r="EG34" s="95" t="n">
        <f aca="false">[1]НАДІЙШЛО2!AV26</f>
        <v>0</v>
      </c>
      <c r="EH34" s="96" t="n">
        <f aca="false">[1]ВИБУЛО2!AV26</f>
        <v>0</v>
      </c>
      <c r="EI34" s="97" t="n">
        <f aca="false">EI33-EH34+EG34</f>
        <v>0</v>
      </c>
      <c r="EJ34" s="95" t="n">
        <f aca="false">[1]НАДІЙШЛО2!AW26</f>
        <v>0</v>
      </c>
      <c r="EK34" s="96" t="n">
        <f aca="false">[1]ВИБУЛО2!AW26</f>
        <v>0</v>
      </c>
      <c r="EL34" s="97" t="n">
        <f aca="false">EL33-EK34+EJ34</f>
        <v>0</v>
      </c>
      <c r="EM34" s="95" t="n">
        <f aca="false">[1]НАДІЙШЛО2!AX26</f>
        <v>0</v>
      </c>
      <c r="EN34" s="96" t="n">
        <f aca="false">[1]ВИБУЛО2!AX26</f>
        <v>0</v>
      </c>
      <c r="EO34" s="97" t="n">
        <f aca="false">EO33-EN34+EM34</f>
        <v>0</v>
      </c>
      <c r="EP34" s="95" t="n">
        <f aca="false">[1]НАДІЙШЛО2!AY26</f>
        <v>0</v>
      </c>
      <c r="EQ34" s="96" t="n">
        <f aca="false">[1]ВИБУЛО2!AY26</f>
        <v>0</v>
      </c>
      <c r="ER34" s="97" t="n">
        <f aca="false">ER33-EQ34+EP34</f>
        <v>0</v>
      </c>
      <c r="ES34" s="95" t="n">
        <f aca="false">[1]НАДІЙШЛО2!AZ26</f>
        <v>0</v>
      </c>
      <c r="ET34" s="96" t="n">
        <f aca="false">[1]ВИБУЛО2!AZ26</f>
        <v>0</v>
      </c>
      <c r="EU34" s="97" t="n">
        <f aca="false">EU33-ET34+ES34</f>
        <v>0</v>
      </c>
      <c r="EV34" s="95" t="n">
        <f aca="false">[1]НАДІЙШЛО2!BA26</f>
        <v>0</v>
      </c>
      <c r="EW34" s="96" t="n">
        <f aca="false">[1]ВИБУЛО2!BA26</f>
        <v>0</v>
      </c>
      <c r="EX34" s="97" t="n">
        <f aca="false">EX33-EW34+EV34</f>
        <v>0</v>
      </c>
      <c r="EY34" s="95" t="n">
        <f aca="false">[1]НАДІЙШЛО2!BB26</f>
        <v>0</v>
      </c>
      <c r="EZ34" s="96" t="n">
        <f aca="false">[1]ВИБУЛО2!BB26</f>
        <v>0</v>
      </c>
      <c r="FA34" s="97" t="n">
        <f aca="false">FA33-EZ34+EY34</f>
        <v>0</v>
      </c>
      <c r="FB34" s="95" t="n">
        <f aca="false">[1]НАДІЙШЛО2!BC26</f>
        <v>0</v>
      </c>
      <c r="FC34" s="96" t="n">
        <f aca="false">[1]ВИБУЛО2!BC26</f>
        <v>0</v>
      </c>
      <c r="FD34" s="97" t="n">
        <f aca="false">FD33-FC34+FB34</f>
        <v>0</v>
      </c>
      <c r="FE34" s="95" t="n">
        <f aca="false">[1]НАДІЙШЛО2!BD26</f>
        <v>0</v>
      </c>
      <c r="FF34" s="96" t="n">
        <f aca="false">[1]ВИБУЛО2!BD26</f>
        <v>0</v>
      </c>
      <c r="FG34" s="97" t="n">
        <f aca="false">FG33-FF34+FE34</f>
        <v>0</v>
      </c>
      <c r="FH34" s="95" t="n">
        <f aca="false">[1]НАДІЙШЛО2!BE26</f>
        <v>0</v>
      </c>
      <c r="FI34" s="96" t="n">
        <f aca="false">[1]ВИБУЛО2!BE26</f>
        <v>0</v>
      </c>
      <c r="FJ34" s="97" t="n">
        <f aca="false">FJ33-FI34+FH34</f>
        <v>0</v>
      </c>
      <c r="FK34" s="95" t="n">
        <f aca="false">[1]НАДІЙШЛО2!BF26</f>
        <v>0</v>
      </c>
      <c r="FL34" s="96" t="n">
        <f aca="false">[1]ВИБУЛО2!BF26</f>
        <v>0</v>
      </c>
      <c r="FM34" s="97" t="n">
        <f aca="false">FM33-FL34+FK34</f>
        <v>0</v>
      </c>
      <c r="FN34" s="95" t="n">
        <f aca="false">[1]НАДІЙШЛО2!BG26</f>
        <v>0</v>
      </c>
      <c r="FO34" s="96" t="n">
        <f aca="false">[1]ВИБУЛО2!BG26</f>
        <v>0</v>
      </c>
      <c r="FP34" s="97" t="n">
        <f aca="false">FP33-FO34+FN34</f>
        <v>0</v>
      </c>
      <c r="FQ34" s="95" t="n">
        <f aca="false">[1]НАДІЙШЛО2!BH26</f>
        <v>0</v>
      </c>
      <c r="FR34" s="96" t="n">
        <f aca="false">[1]ВИБУЛО2!BH26</f>
        <v>0</v>
      </c>
      <c r="FS34" s="97" t="n">
        <f aca="false">FS33-FR34+FQ34</f>
        <v>0</v>
      </c>
      <c r="FT34" s="95" t="n">
        <f aca="false">[1]НАДІЙШЛО2!BI26</f>
        <v>0</v>
      </c>
      <c r="FU34" s="96" t="n">
        <f aca="false">[1]ВИБУЛО2!BI26</f>
        <v>0</v>
      </c>
      <c r="FV34" s="97" t="n">
        <f aca="false">FV33-FU34+FT34</f>
        <v>0</v>
      </c>
      <c r="FW34" s="95" t="n">
        <f aca="false">[1]НАДІЙШЛО2!BJ26</f>
        <v>0</v>
      </c>
      <c r="FX34" s="96" t="n">
        <f aca="false">[1]ВИБУЛО2!BJ26</f>
        <v>0</v>
      </c>
      <c r="FY34" s="97" t="n">
        <f aca="false">FY33-FX34+FW34</f>
        <v>0</v>
      </c>
      <c r="FZ34" s="95" t="n">
        <f aca="false">[1]НАДІЙШЛО2!BK26</f>
        <v>0</v>
      </c>
      <c r="GA34" s="96" t="n">
        <f aca="false">[1]ВИБУЛО2!BK26</f>
        <v>0</v>
      </c>
      <c r="GB34" s="97" t="n">
        <f aca="false">GB33-GA34+FZ34</f>
        <v>0</v>
      </c>
      <c r="GC34" s="95" t="n">
        <f aca="false">[1]НАДІЙШЛО2!BL26</f>
        <v>0</v>
      </c>
      <c r="GD34" s="96" t="n">
        <f aca="false">[1]ВИБУЛО2!BL26</f>
        <v>0</v>
      </c>
      <c r="GE34" s="97" t="n">
        <f aca="false">GE33-GD34+GC34</f>
        <v>0</v>
      </c>
      <c r="GF34" s="95" t="n">
        <f aca="false">[1]НАДІЙШЛО2!BM26</f>
        <v>0</v>
      </c>
      <c r="GG34" s="96" t="n">
        <f aca="false">[1]ВИБУЛО2!BM26</f>
        <v>0</v>
      </c>
      <c r="GH34" s="97" t="n">
        <f aca="false">GH33-GG34+GF34</f>
        <v>0</v>
      </c>
      <c r="GI34" s="95" t="n">
        <f aca="false">[1]НАДІЙШЛО2!BN26</f>
        <v>0</v>
      </c>
      <c r="GJ34" s="96" t="n">
        <f aca="false">[1]ВИБУЛО2!BN26</f>
        <v>0</v>
      </c>
      <c r="GK34" s="97" t="n">
        <f aca="false">GK33-GJ34+GI34</f>
        <v>0</v>
      </c>
      <c r="GL34" s="95" t="n">
        <f aca="false">[1]НАДІЙШЛО2!BO26</f>
        <v>0</v>
      </c>
      <c r="GM34" s="96" t="n">
        <f aca="false">[1]ВИБУЛО2!BO26</f>
        <v>0</v>
      </c>
      <c r="GN34" s="97" t="n">
        <f aca="false">GN33-GM34+GL34</f>
        <v>0</v>
      </c>
      <c r="GO34" s="95" t="n">
        <f aca="false">[1]НАДІЙШЛО2!BP26</f>
        <v>0</v>
      </c>
      <c r="GP34" s="96" t="n">
        <f aca="false">[1]ВИБУЛО2!BP26</f>
        <v>0</v>
      </c>
      <c r="GQ34" s="97" t="n">
        <f aca="false">GQ33-GP34+GO34</f>
        <v>0</v>
      </c>
      <c r="GR34" s="95" t="n">
        <f aca="false">[1]НАДІЙШЛО2!BQ26</f>
        <v>0</v>
      </c>
      <c r="GS34" s="96" t="n">
        <f aca="false">[1]ВИБУЛО2!BQ26</f>
        <v>0</v>
      </c>
      <c r="GT34" s="97" t="n">
        <f aca="false">GT33-GS34+GR34</f>
        <v>0</v>
      </c>
      <c r="GU34" s="95" t="n">
        <f aca="false">[1]НАДІЙШЛО2!BR26</f>
        <v>0</v>
      </c>
      <c r="GV34" s="96" t="n">
        <f aca="false">[1]ВИБУЛО2!BR26</f>
        <v>0</v>
      </c>
      <c r="GW34" s="97" t="n">
        <f aca="false">GW33-GV34+GU34</f>
        <v>0</v>
      </c>
      <c r="GX34" s="95" t="n">
        <f aca="false">[1]НАДІЙШЛО2!BS26</f>
        <v>0</v>
      </c>
      <c r="GY34" s="96" t="n">
        <f aca="false">[1]ВИБУЛО2!BS26</f>
        <v>0</v>
      </c>
      <c r="GZ34" s="97" t="n">
        <f aca="false">GZ33-GY34+GX34</f>
        <v>0</v>
      </c>
      <c r="HA34" s="95" t="n">
        <f aca="false">[1]НАДІЙШЛО2!BT26</f>
        <v>0</v>
      </c>
      <c r="HB34" s="96" t="n">
        <f aca="false">[1]ВИБУЛО2!BT26</f>
        <v>0</v>
      </c>
      <c r="HC34" s="97" t="n">
        <f aca="false">HC33-HB34+HA34</f>
        <v>0</v>
      </c>
      <c r="HD34" s="95" t="n">
        <f aca="false">[1]НАДІЙШЛО2!BU26</f>
        <v>0</v>
      </c>
      <c r="HE34" s="96" t="n">
        <f aca="false">[1]ВИБУЛО2!BU26</f>
        <v>0</v>
      </c>
      <c r="HF34" s="97" t="n">
        <f aca="false">HF33-HE34+HD34</f>
        <v>0</v>
      </c>
      <c r="HG34" s="95" t="n">
        <f aca="false">[1]НАДІЙШЛО2!BV26</f>
        <v>0</v>
      </c>
      <c r="HH34" s="96" t="n">
        <f aca="false">[1]ВИБУЛО2!BV26</f>
        <v>0</v>
      </c>
      <c r="HI34" s="97" t="n">
        <f aca="false">HI33-HH34+HG34</f>
        <v>0</v>
      </c>
      <c r="HJ34" s="95" t="n">
        <f aca="false">[1]НАДІЙШЛО2!BW26</f>
        <v>0</v>
      </c>
      <c r="HK34" s="96" t="n">
        <f aca="false">[1]ВИБУЛО2!BW26</f>
        <v>0</v>
      </c>
      <c r="HL34" s="97" t="n">
        <f aca="false">HL33-HK34+HJ34</f>
        <v>0</v>
      </c>
      <c r="HM34" s="95" t="n">
        <f aca="false">[1]НАДІЙШЛО2!BX26</f>
        <v>0</v>
      </c>
      <c r="HN34" s="96" t="n">
        <f aca="false">[1]ВИБУЛО2!BX26</f>
        <v>0</v>
      </c>
      <c r="HO34" s="97" t="n">
        <f aca="false">HO33-HN34+HM34</f>
        <v>0</v>
      </c>
      <c r="HP34" s="95" t="n">
        <f aca="false">[1]НАДІЙШЛО2!BY26</f>
        <v>0</v>
      </c>
      <c r="HQ34" s="96" t="n">
        <f aca="false">[1]ВИБУЛО2!BY26</f>
        <v>0</v>
      </c>
      <c r="HR34" s="97" t="n">
        <f aca="false">HR33-HQ34+HP34</f>
        <v>0</v>
      </c>
      <c r="HS34" s="95" t="n">
        <f aca="false">[1]НАДІЙШЛО2!BZ26</f>
        <v>0</v>
      </c>
      <c r="HT34" s="96" t="n">
        <f aca="false">[1]ВИБУЛО2!BZ26</f>
        <v>0</v>
      </c>
      <c r="HU34" s="97" t="n">
        <f aca="false">HU33-HT34+HS34</f>
        <v>0</v>
      </c>
      <c r="HV34" s="95" t="n">
        <f aca="false">[1]НАДІЙШЛО2!CA26</f>
        <v>0</v>
      </c>
      <c r="HW34" s="96" t="n">
        <f aca="false">[1]ВИБУЛО2!CA26</f>
        <v>0</v>
      </c>
      <c r="HX34" s="97" t="n">
        <f aca="false">HX33-HW34+HV34</f>
        <v>0</v>
      </c>
      <c r="HY34" s="95" t="n">
        <f aca="false">[1]НАДІЙШЛО2!CB26</f>
        <v>0</v>
      </c>
      <c r="HZ34" s="96" t="n">
        <f aca="false">[1]ВИБУЛО2!CB26</f>
        <v>0</v>
      </c>
      <c r="IA34" s="97" t="n">
        <f aca="false">IA33-HZ34+HY34</f>
        <v>0</v>
      </c>
      <c r="IB34" s="95" t="n">
        <f aca="false">[1]НАДІЙШЛО2!CC26</f>
        <v>0</v>
      </c>
      <c r="IC34" s="96" t="n">
        <f aca="false">[1]ВИБУЛО2!CC26</f>
        <v>0</v>
      </c>
      <c r="ID34" s="97" t="n">
        <f aca="false">ID33-IC34+IB34</f>
        <v>0</v>
      </c>
      <c r="IE34" s="95" t="n">
        <f aca="false">[1]НАДІЙШЛО2!CD26</f>
        <v>0</v>
      </c>
      <c r="IF34" s="96" t="n">
        <f aca="false">[1]ВИБУЛО2!CD26</f>
        <v>0</v>
      </c>
      <c r="IG34" s="97" t="n">
        <f aca="false">IG33-IF34+IE34</f>
        <v>0</v>
      </c>
      <c r="IH34" s="95" t="n">
        <f aca="false">[1]НАДІЙШЛО2!CE26</f>
        <v>0</v>
      </c>
      <c r="II34" s="96" t="n">
        <f aca="false">[1]ВИБУЛО2!CE26</f>
        <v>0</v>
      </c>
      <c r="IJ34" s="97" t="n">
        <f aca="false">IJ33-II34+IH34</f>
        <v>0</v>
      </c>
      <c r="IK34" s="95" t="n">
        <f aca="false">[1]НАДІЙШЛО2!CF26</f>
        <v>0</v>
      </c>
      <c r="IL34" s="96" t="n">
        <f aca="false">[1]ВИБУЛО2!CF26</f>
        <v>0</v>
      </c>
      <c r="IM34" s="97" t="n">
        <f aca="false">IM33-IL34+IK34</f>
        <v>0</v>
      </c>
      <c r="IN34" s="95" t="n">
        <f aca="false">[1]НАДІЙШЛО2!CG26</f>
        <v>0</v>
      </c>
      <c r="IO34" s="96" t="n">
        <f aca="false">[1]ВИБУЛО2!CG26</f>
        <v>0</v>
      </c>
      <c r="IP34" s="97" t="n">
        <f aca="false">IP33-IO34+IN34</f>
        <v>0</v>
      </c>
      <c r="IQ34" s="95" t="n">
        <f aca="false">[1]НАДІЙШЛО2!CH26</f>
        <v>0</v>
      </c>
      <c r="IR34" s="96" t="n">
        <f aca="false">[1]ВИБУЛО2!CH26</f>
        <v>0</v>
      </c>
      <c r="IS34" s="97" t="n">
        <f aca="false">IS33-IR34+IQ34</f>
        <v>0</v>
      </c>
      <c r="IT34" s="95" t="n">
        <f aca="false">[1]НАДІЙШЛО2!CI26</f>
        <v>0</v>
      </c>
      <c r="IU34" s="96" t="n">
        <f aca="false">[1]ВИБУЛО2!CI26</f>
        <v>0</v>
      </c>
      <c r="IV34" s="97" t="n">
        <f aca="false">IV33-IU34+IT34</f>
        <v>0</v>
      </c>
      <c r="IW34" s="95" t="n">
        <f aca="false">[1]НАДІЙШЛО2!CJ26</f>
        <v>0</v>
      </c>
      <c r="IX34" s="96" t="n">
        <f aca="false">[1]ВИБУЛО2!CJ26</f>
        <v>0</v>
      </c>
      <c r="IY34" s="97" t="n">
        <f aca="false">IY33-IX34+IW34</f>
        <v>0</v>
      </c>
      <c r="IZ34" s="95" t="n">
        <f aca="false">[1]НАДІЙШЛО2!CK26</f>
        <v>0</v>
      </c>
      <c r="JA34" s="96" t="n">
        <f aca="false">[1]ВИБУЛО2!CK26</f>
        <v>0</v>
      </c>
      <c r="JB34" s="97" t="n">
        <f aca="false">JB33-JA34+IZ34</f>
        <v>0</v>
      </c>
      <c r="JC34" s="95" t="n">
        <f aca="false">[1]НАДІЙШЛО2!CL26</f>
        <v>0</v>
      </c>
      <c r="JD34" s="96" t="n">
        <f aca="false">[1]ВИБУЛО2!CL26</f>
        <v>0</v>
      </c>
      <c r="JE34" s="97" t="n">
        <f aca="false">JE33-JD34+JC34</f>
        <v>0</v>
      </c>
      <c r="JF34" s="95" t="n">
        <f aca="false">[1]НАДІЙШЛО2!CM26</f>
        <v>0</v>
      </c>
      <c r="JG34" s="96" t="n">
        <f aca="false">[1]ВИБУЛО2!CM26</f>
        <v>0</v>
      </c>
      <c r="JH34" s="97" t="n">
        <f aca="false">JH33-JG34+JF34</f>
        <v>0</v>
      </c>
      <c r="JI34" s="95" t="n">
        <f aca="false">[1]НАДІЙШЛО2!CN26</f>
        <v>0</v>
      </c>
      <c r="JJ34" s="96" t="n">
        <f aca="false">[1]ВИБУЛО2!CN26</f>
        <v>0</v>
      </c>
      <c r="JK34" s="97" t="n">
        <f aca="false">JK33-JJ34+JI34</f>
        <v>0</v>
      </c>
      <c r="JL34" s="95" t="n">
        <f aca="false">[1]НАДІЙШЛО2!CO26</f>
        <v>0</v>
      </c>
      <c r="JM34" s="96" t="n">
        <f aca="false">[1]ВИБУЛО2!CO26</f>
        <v>0</v>
      </c>
      <c r="JN34" s="97" t="n">
        <f aca="false">JN33-JM34+JL34</f>
        <v>0</v>
      </c>
      <c r="JO34" s="95" t="n">
        <f aca="false">[1]НАДІЙШЛО2!CP26</f>
        <v>0</v>
      </c>
      <c r="JP34" s="96" t="n">
        <f aca="false">[1]ВИБУЛО2!CP26</f>
        <v>0</v>
      </c>
      <c r="JQ34" s="97" t="n">
        <f aca="false">JQ33-JP34+JO34</f>
        <v>0</v>
      </c>
      <c r="JR34" s="95" t="n">
        <f aca="false">[1]НАДІЙШЛО2!CQ26</f>
        <v>0</v>
      </c>
      <c r="JS34" s="96" t="n">
        <f aca="false">[1]ВИБУЛО2!CQ26</f>
        <v>0</v>
      </c>
      <c r="JT34" s="97" t="n">
        <f aca="false">JT33-JS34+JR34</f>
        <v>0</v>
      </c>
      <c r="JU34" s="95" t="n">
        <f aca="false">[1]НАДІЙШЛО2!CR26</f>
        <v>0</v>
      </c>
      <c r="JV34" s="96" t="n">
        <f aca="false">[1]ВИБУЛО2!CR26</f>
        <v>0</v>
      </c>
      <c r="JW34" s="97" t="n">
        <f aca="false">JW33-JV34+JU34</f>
        <v>0</v>
      </c>
      <c r="JX34" s="95" t="n">
        <f aca="false">[1]НАДІЙШЛО2!CS26</f>
        <v>0</v>
      </c>
      <c r="JY34" s="96" t="n">
        <f aca="false">[1]ВИБУЛО2!CS26</f>
        <v>0</v>
      </c>
      <c r="JZ34" s="97" t="n">
        <f aca="false">JZ33-JY34+JX34</f>
        <v>0</v>
      </c>
      <c r="KA34" s="95" t="n">
        <f aca="false">[1]НАДІЙШЛО2!CT26</f>
        <v>0</v>
      </c>
      <c r="KB34" s="96" t="n">
        <f aca="false">[1]ВИБУЛО2!CT26</f>
        <v>0</v>
      </c>
      <c r="KC34" s="97" t="n">
        <f aca="false">KC33-KB34+KA34</f>
        <v>0</v>
      </c>
      <c r="KD34" s="95" t="n">
        <f aca="false">[1]НАДІЙШЛО2!CU26</f>
        <v>0</v>
      </c>
      <c r="KE34" s="96" t="n">
        <f aca="false">[1]ВИБУЛО2!CU26</f>
        <v>0</v>
      </c>
      <c r="KF34" s="97" t="n">
        <f aca="false">KF33-KE34+KD34</f>
        <v>0</v>
      </c>
      <c r="KG34" s="95" t="n">
        <f aca="false">[1]НАДІЙШЛО2!CV26</f>
        <v>0</v>
      </c>
      <c r="KH34" s="96" t="n">
        <f aca="false">[1]ВИБУЛО2!CV26</f>
        <v>0</v>
      </c>
      <c r="KI34" s="97" t="n">
        <f aca="false">KI33-KH34+KG34</f>
        <v>0</v>
      </c>
      <c r="KJ34" s="95" t="n">
        <f aca="false">[1]НАДІЙШЛО2!CW26</f>
        <v>0</v>
      </c>
      <c r="KK34" s="96" t="n">
        <f aca="false">[1]ВИБУЛО2!CW26</f>
        <v>0</v>
      </c>
      <c r="KL34" s="97" t="n">
        <f aca="false">KL33-KK34+KJ34</f>
        <v>0</v>
      </c>
      <c r="KM34" s="95" t="n">
        <f aca="false">[1]НАДІЙШЛО2!CX26</f>
        <v>0</v>
      </c>
      <c r="KN34" s="96" t="n">
        <f aca="false">[1]ВИБУЛО2!CX26</f>
        <v>0</v>
      </c>
      <c r="KO34" s="97" t="n">
        <f aca="false">KO33-KN34+KM34</f>
        <v>0</v>
      </c>
      <c r="KP34" s="95" t="n">
        <f aca="false">[1]НАДІЙШЛО2!CY26</f>
        <v>0</v>
      </c>
      <c r="KQ34" s="96" t="n">
        <f aca="false">[1]ВИБУЛО2!CY26</f>
        <v>0</v>
      </c>
      <c r="KR34" s="97" t="n">
        <f aca="false">KR33-KQ34+KP34</f>
        <v>0</v>
      </c>
      <c r="KS34" s="95" t="n">
        <f aca="false">[1]НАДІЙШЛО2!CZ26</f>
        <v>0</v>
      </c>
      <c r="KT34" s="96" t="n">
        <f aca="false">[1]ВИБУЛО2!CZ26</f>
        <v>0</v>
      </c>
      <c r="KU34" s="97" t="n">
        <f aca="false">KU33-KT34+KS34</f>
        <v>0</v>
      </c>
      <c r="KV34" s="95" t="n">
        <f aca="false">[1]НАДІЙШЛО2!DA26</f>
        <v>0</v>
      </c>
      <c r="KW34" s="96" t="n">
        <f aca="false">[1]ВИБУЛО2!DA26</f>
        <v>0</v>
      </c>
      <c r="KX34" s="97" t="n">
        <f aca="false">KX33-KW34+KV34</f>
        <v>0</v>
      </c>
      <c r="KY34" s="95" t="n">
        <f aca="false">[1]НАДІЙШЛО2!DB26</f>
        <v>0</v>
      </c>
      <c r="KZ34" s="96" t="n">
        <f aca="false">[1]ВИБУЛО2!DB26</f>
        <v>0</v>
      </c>
      <c r="LA34" s="97" t="n">
        <f aca="false">LA33-KZ34+KY34</f>
        <v>0</v>
      </c>
      <c r="LB34" s="95" t="n">
        <f aca="false">[1]НАДІЙШЛО2!DC26</f>
        <v>0</v>
      </c>
      <c r="LC34" s="96" t="n">
        <f aca="false">[1]ВИБУЛО2!DC26</f>
        <v>0</v>
      </c>
      <c r="LD34" s="97" t="n">
        <f aca="false">LD33-LC34+LB34</f>
        <v>0</v>
      </c>
      <c r="LE34" s="95" t="n">
        <f aca="false">[1]НАДІЙШЛО2!DD26</f>
        <v>0</v>
      </c>
      <c r="LF34" s="96" t="n">
        <f aca="false">[1]ВИБУЛО2!DD26</f>
        <v>0</v>
      </c>
      <c r="LG34" s="97" t="n">
        <f aca="false">LG33-LF34+LE34</f>
        <v>0</v>
      </c>
      <c r="LH34" s="95" t="n">
        <f aca="false">[1]НАДІЙШЛО2!DE26</f>
        <v>0</v>
      </c>
      <c r="LI34" s="96" t="n">
        <f aca="false">[1]ВИБУЛО2!DE26</f>
        <v>0</v>
      </c>
      <c r="LJ34" s="97" t="n">
        <f aca="false">LJ33-LI34+LH34</f>
        <v>0</v>
      </c>
      <c r="LK34" s="95" t="n">
        <f aca="false">[1]НАДІЙШЛО2!DF26</f>
        <v>0</v>
      </c>
      <c r="LL34" s="96" t="n">
        <f aca="false">[1]ВИБУЛО2!DF26</f>
        <v>0</v>
      </c>
      <c r="LM34" s="97" t="n">
        <f aca="false">LM33-LL34+LK34</f>
        <v>0</v>
      </c>
      <c r="LN34" s="95" t="n">
        <f aca="false">[1]НАДІЙШЛО2!DG26</f>
        <v>0</v>
      </c>
      <c r="LO34" s="96" t="n">
        <f aca="false">[1]ВИБУЛО2!DG26</f>
        <v>0</v>
      </c>
      <c r="LP34" s="97" t="n">
        <f aca="false">LP33-LO34+LN34</f>
        <v>0</v>
      </c>
      <c r="LQ34" s="95" t="n">
        <f aca="false">[1]НАДІЙШЛО2!DH26</f>
        <v>0</v>
      </c>
      <c r="LR34" s="96" t="n">
        <f aca="false">[1]ВИБУЛО2!DH26</f>
        <v>0</v>
      </c>
      <c r="LS34" s="97" t="n">
        <f aca="false">LS33-LR34+LQ34</f>
        <v>0</v>
      </c>
      <c r="LT34" s="95" t="n">
        <f aca="false">[1]НАДІЙШЛО2!DI26</f>
        <v>0</v>
      </c>
      <c r="LU34" s="96" t="n">
        <f aca="false">[1]ВИБУЛО2!DI26</f>
        <v>0</v>
      </c>
      <c r="LV34" s="97" t="n">
        <f aca="false">LV33-LU34+LT34</f>
        <v>0</v>
      </c>
      <c r="LW34" s="95" t="n">
        <f aca="false">[1]НАДІЙШЛО2!DJ26</f>
        <v>0</v>
      </c>
      <c r="LX34" s="96" t="n">
        <f aca="false">[1]ВИБУЛО2!DJ26</f>
        <v>0</v>
      </c>
      <c r="LY34" s="97" t="n">
        <f aca="false">LY33-LX34+LW34</f>
        <v>0</v>
      </c>
      <c r="LZ34" s="95" t="n">
        <f aca="false">[1]НАДІЙШЛО2!DK26</f>
        <v>0</v>
      </c>
      <c r="MA34" s="96" t="n">
        <f aca="false">[1]ВИБУЛО2!DK26</f>
        <v>0</v>
      </c>
      <c r="MB34" s="97" t="n">
        <f aca="false">MB33-MA34+LZ34</f>
        <v>0</v>
      </c>
      <c r="MC34" s="95" t="n">
        <f aca="false">[1]НАДІЙШЛО2!DL26</f>
        <v>0</v>
      </c>
      <c r="MD34" s="96" t="n">
        <f aca="false">[1]ВИБУЛО2!DL26</f>
        <v>0</v>
      </c>
      <c r="ME34" s="97" t="n">
        <f aca="false">ME33-MD34+MC34</f>
        <v>0</v>
      </c>
      <c r="MF34" s="95" t="n">
        <f aca="false">[1]НАДІЙШЛО2!DM26</f>
        <v>0</v>
      </c>
      <c r="MG34" s="96" t="n">
        <f aca="false">[1]ВИБУЛО2!DM26</f>
        <v>0</v>
      </c>
      <c r="MH34" s="97" t="n">
        <f aca="false">MH33-MG34+MF34</f>
        <v>0</v>
      </c>
      <c r="MI34" s="95" t="n">
        <f aca="false">[1]НАДІЙШЛО2!DN26</f>
        <v>0</v>
      </c>
      <c r="MJ34" s="96" t="n">
        <f aca="false">[1]ВИБУЛО2!DN26</f>
        <v>0</v>
      </c>
      <c r="MK34" s="97" t="n">
        <f aca="false">MK33-MJ34+MI34</f>
        <v>0</v>
      </c>
      <c r="ML34" s="95" t="n">
        <f aca="false">[1]НАДІЙШЛО2!DO26</f>
        <v>0</v>
      </c>
      <c r="MM34" s="96" t="n">
        <f aca="false">[1]ВИБУЛО2!DO26</f>
        <v>0</v>
      </c>
      <c r="MN34" s="97" t="n">
        <f aca="false">MN33-MM34+ML34</f>
        <v>0</v>
      </c>
      <c r="MO34" s="95" t="n">
        <f aca="false">[1]НАДІЙШЛО2!DP26</f>
        <v>0</v>
      </c>
      <c r="MP34" s="96" t="n">
        <f aca="false">[1]ВИБУЛО2!DP26</f>
        <v>0</v>
      </c>
      <c r="MQ34" s="97" t="n">
        <f aca="false">MQ33-MP34+MO34</f>
        <v>0</v>
      </c>
      <c r="MR34" s="95" t="n">
        <f aca="false">[1]НАДІЙШЛО2!DQ26</f>
        <v>0</v>
      </c>
      <c r="MS34" s="96" t="n">
        <f aca="false">[1]ВИБУЛО2!DQ26</f>
        <v>0</v>
      </c>
      <c r="MT34" s="97" t="n">
        <f aca="false">MT33-MS34+MR34</f>
        <v>0</v>
      </c>
      <c r="MU34" s="95" t="n">
        <f aca="false">[1]НАДІЙШЛО2!DR26</f>
        <v>0</v>
      </c>
      <c r="MV34" s="96" t="n">
        <f aca="false">[1]ВИБУЛО2!DR26</f>
        <v>0</v>
      </c>
      <c r="MW34" s="97" t="n">
        <f aca="false">MW33-MV34+MU34</f>
        <v>0</v>
      </c>
      <c r="MX34" s="95" t="n">
        <f aca="false">[1]НАДІЙШЛО2!DS26</f>
        <v>0</v>
      </c>
      <c r="MY34" s="96" t="n">
        <f aca="false">[1]ВИБУЛО2!DS26</f>
        <v>0</v>
      </c>
      <c r="MZ34" s="97" t="n">
        <f aca="false">MZ33-MY34+MX34</f>
        <v>0</v>
      </c>
      <c r="NA34" s="95" t="n">
        <f aca="false">[1]НАДІЙШЛО2!DT26</f>
        <v>0</v>
      </c>
      <c r="NB34" s="96" t="n">
        <f aca="false">[1]ВИБУЛО2!DT26</f>
        <v>0</v>
      </c>
      <c r="NC34" s="97" t="n">
        <f aca="false">NC33-NB34+NA34</f>
        <v>0</v>
      </c>
      <c r="ND34" s="95" t="n">
        <f aca="false">[1]НАДІЙШЛО2!DU26</f>
        <v>0</v>
      </c>
      <c r="NE34" s="96" t="n">
        <f aca="false">[1]ВИБУЛО2!DU26</f>
        <v>0</v>
      </c>
      <c r="NF34" s="97" t="n">
        <f aca="false">NF33-NE34+ND34</f>
        <v>0</v>
      </c>
      <c r="NG34" s="95" t="n">
        <f aca="false">[1]НАДІЙШЛО2!DV26</f>
        <v>0</v>
      </c>
      <c r="NH34" s="96" t="n">
        <f aca="false">[1]ВИБУЛО2!DV26</f>
        <v>0</v>
      </c>
      <c r="NI34" s="97" t="n">
        <f aca="false">NI33-NH34+NG34</f>
        <v>0</v>
      </c>
      <c r="NJ34" s="95" t="n">
        <f aca="false">[1]НАДІЙШЛО2!DW26</f>
        <v>0</v>
      </c>
      <c r="NK34" s="96" t="n">
        <f aca="false">[1]ВИБУЛО2!DW26</f>
        <v>0</v>
      </c>
      <c r="NL34" s="97" t="n">
        <f aca="false">NL33-NK34+NJ34</f>
        <v>0</v>
      </c>
      <c r="NM34" s="95" t="n">
        <f aca="false">[1]НАДІЙШЛО2!DX26</f>
        <v>0</v>
      </c>
      <c r="NN34" s="96" t="n">
        <f aca="false">[1]ВИБУЛО2!DX26</f>
        <v>0</v>
      </c>
      <c r="NO34" s="97" t="n">
        <f aca="false">NO33-NN34+NM34</f>
        <v>0</v>
      </c>
      <c r="NP34" s="95" t="n">
        <f aca="false">[1]НАДІЙШЛО2!DY26</f>
        <v>0</v>
      </c>
      <c r="NQ34" s="96" t="n">
        <f aca="false">[1]ВИБУЛО2!DY26</f>
        <v>0</v>
      </c>
      <c r="NR34" s="97" t="n">
        <f aca="false">NR33-NQ34+NP34</f>
        <v>0</v>
      </c>
      <c r="NS34" s="95" t="n">
        <f aca="false">[1]НАДІЙШЛО2!DZ26</f>
        <v>0</v>
      </c>
      <c r="NT34" s="96" t="n">
        <f aca="false">[1]ВИБУЛО2!DZ26</f>
        <v>0</v>
      </c>
      <c r="NU34" s="97" t="n">
        <f aca="false">NU33-NT34+NS34</f>
        <v>0</v>
      </c>
      <c r="NV34" s="95" t="n">
        <f aca="false">[1]НАДІЙШЛО2!EA26</f>
        <v>0</v>
      </c>
      <c r="NW34" s="96" t="n">
        <f aca="false">[1]ВИБУЛО2!EA26</f>
        <v>0</v>
      </c>
      <c r="NX34" s="97" t="n">
        <f aca="false">NX33-NW34+NV34</f>
        <v>0</v>
      </c>
      <c r="NY34" s="95" t="n">
        <f aca="false">[1]НАДІЙШЛО2!EB26</f>
        <v>0</v>
      </c>
      <c r="NZ34" s="96" t="n">
        <f aca="false">[1]ВИБУЛО2!EB26</f>
        <v>0</v>
      </c>
      <c r="OA34" s="97" t="n">
        <f aca="false">OA33-NZ34+NY34</f>
        <v>0</v>
      </c>
      <c r="OB34" s="95" t="n">
        <f aca="false">[1]НАДІЙШЛО2!EC26</f>
        <v>0</v>
      </c>
      <c r="OC34" s="96" t="n">
        <f aca="false">[1]ВИБУЛО2!EC26</f>
        <v>0</v>
      </c>
      <c r="OD34" s="97" t="n">
        <f aca="false">OD33-OC34+OB34</f>
        <v>0</v>
      </c>
      <c r="OE34" s="95" t="n">
        <f aca="false">[1]НАДІЙШЛО2!ED26</f>
        <v>0</v>
      </c>
      <c r="OF34" s="96" t="n">
        <f aca="false">[1]ВИБУЛО2!ED26</f>
        <v>0</v>
      </c>
      <c r="OG34" s="97" t="n">
        <f aca="false">OG33-OF34+OE34</f>
        <v>0</v>
      </c>
      <c r="OH34" s="95" t="n">
        <f aca="false">[1]НАДІЙШЛО2!EE26</f>
        <v>0</v>
      </c>
      <c r="OI34" s="96" t="n">
        <f aca="false">[1]ВИБУЛО2!EE26</f>
        <v>0</v>
      </c>
      <c r="OJ34" s="97" t="n">
        <f aca="false">OJ33-OI34+OH34</f>
        <v>0</v>
      </c>
      <c r="OK34" s="95" t="n">
        <f aca="false">[1]НАДІЙШЛО2!EF26</f>
        <v>0</v>
      </c>
      <c r="OL34" s="96" t="n">
        <f aca="false">[1]ВИБУЛО2!EF26</f>
        <v>0</v>
      </c>
      <c r="OM34" s="97" t="n">
        <f aca="false">OM33-OL34+OK34</f>
        <v>0</v>
      </c>
      <c r="ON34" s="95" t="n">
        <f aca="false">[1]НАДІЙШЛО2!EG26</f>
        <v>0</v>
      </c>
      <c r="OO34" s="96" t="n">
        <f aca="false">[1]ВИБУЛО2!EG26</f>
        <v>0</v>
      </c>
      <c r="OP34" s="97" t="n">
        <f aca="false">OP33-OO34+ON34</f>
        <v>0</v>
      </c>
      <c r="OQ34" s="95" t="n">
        <f aca="false">[1]НАДІЙШЛО2!EH26</f>
        <v>0</v>
      </c>
      <c r="OR34" s="96" t="n">
        <f aca="false">[1]ВИБУЛО2!EH26</f>
        <v>0</v>
      </c>
      <c r="OS34" s="97" t="n">
        <f aca="false">OS33-OR34+OQ34</f>
        <v>0</v>
      </c>
      <c r="OT34" s="95" t="n">
        <f aca="false">[1]НАДІЙШЛО2!EI26</f>
        <v>0</v>
      </c>
      <c r="OU34" s="96" t="n">
        <f aca="false">[1]ВИБУЛО2!EI26</f>
        <v>0</v>
      </c>
      <c r="OV34" s="97" t="n">
        <f aca="false">OV33-OU34+OT34</f>
        <v>0</v>
      </c>
      <c r="OW34" s="95" t="n">
        <f aca="false">[1]НАДІЙШЛО2!EJ26</f>
        <v>0</v>
      </c>
      <c r="OX34" s="96" t="n">
        <f aca="false">[1]ВИБУЛО2!EJ26</f>
        <v>0</v>
      </c>
      <c r="OY34" s="97" t="n">
        <f aca="false">OY33-OX34+OW34</f>
        <v>0</v>
      </c>
      <c r="OZ34" s="95" t="n">
        <f aca="false">[1]НАДІЙШЛО2!EK26</f>
        <v>0</v>
      </c>
      <c r="PA34" s="96" t="n">
        <f aca="false">[1]ВИБУЛО2!EK26</f>
        <v>0</v>
      </c>
      <c r="PB34" s="97" t="n">
        <f aca="false">PB33-PA34+OZ34</f>
        <v>0</v>
      </c>
      <c r="PC34" s="95" t="n">
        <f aca="false">[1]НАДІЙШЛО2!EL26</f>
        <v>0</v>
      </c>
      <c r="PD34" s="96" t="n">
        <f aca="false">[1]ВИБУЛО2!EL26</f>
        <v>0</v>
      </c>
      <c r="PE34" s="97" t="n">
        <f aca="false">PE33-PD34+PC34</f>
        <v>0</v>
      </c>
      <c r="PF34" s="95" t="n">
        <f aca="false">[1]НАДІЙШЛО2!EM26</f>
        <v>0</v>
      </c>
      <c r="PG34" s="96" t="n">
        <f aca="false">[1]ВИБУЛО2!EM26</f>
        <v>0</v>
      </c>
      <c r="PH34" s="97" t="n">
        <f aca="false">PH33-PG34+PF34</f>
        <v>0</v>
      </c>
      <c r="PI34" s="95" t="n">
        <f aca="false">[1]НАДІЙШЛО2!EN26</f>
        <v>0</v>
      </c>
      <c r="PJ34" s="96" t="n">
        <f aca="false">[1]ВИБУЛО2!EN26</f>
        <v>0</v>
      </c>
      <c r="PK34" s="97" t="n">
        <f aca="false">PK33-PJ34+PI34</f>
        <v>0</v>
      </c>
      <c r="PL34" s="95" t="n">
        <f aca="false">[1]НАДІЙШЛО2!EO26</f>
        <v>0</v>
      </c>
      <c r="PM34" s="96" t="n">
        <f aca="false">[1]ВИБУЛО2!EO26</f>
        <v>0</v>
      </c>
      <c r="PN34" s="97" t="n">
        <f aca="false">PN33-PM34+PL34</f>
        <v>0</v>
      </c>
      <c r="PO34" s="95" t="n">
        <f aca="false">[1]НАДІЙШЛО2!EP26</f>
        <v>0</v>
      </c>
      <c r="PP34" s="96" t="n">
        <f aca="false">[1]ВИБУЛО2!EP26</f>
        <v>0</v>
      </c>
      <c r="PQ34" s="97" t="n">
        <f aca="false">PQ33-PP34+PO34</f>
        <v>0</v>
      </c>
      <c r="PR34" s="95" t="n">
        <f aca="false">[1]НАДІЙШЛО2!EQ26</f>
        <v>0</v>
      </c>
      <c r="PS34" s="96" t="n">
        <f aca="false">[1]ВИБУЛО2!EQ26</f>
        <v>0</v>
      </c>
      <c r="PT34" s="97" t="n">
        <f aca="false">PT33-PS34+PR34</f>
        <v>0</v>
      </c>
      <c r="PU34" s="95" t="n">
        <f aca="false">[1]НАДІЙШЛО2!ER26</f>
        <v>0</v>
      </c>
      <c r="PV34" s="96" t="n">
        <f aca="false">[1]ВИБУЛО2!ER26</f>
        <v>0</v>
      </c>
      <c r="PW34" s="97" t="n">
        <f aca="false">PW33-PV34+PU34</f>
        <v>0</v>
      </c>
      <c r="PX34" s="95" t="n">
        <f aca="false">[1]НАДІЙШЛО2!ES26</f>
        <v>0</v>
      </c>
      <c r="PY34" s="96" t="n">
        <f aca="false">[1]ВИБУЛО2!ES26</f>
        <v>0</v>
      </c>
      <c r="PZ34" s="97" t="n">
        <f aca="false">PZ33-PY34+PX34</f>
        <v>0</v>
      </c>
      <c r="QA34" s="95" t="n">
        <f aca="false">[1]НАДІЙШЛО2!ET26</f>
        <v>0</v>
      </c>
      <c r="QB34" s="96" t="n">
        <f aca="false">[1]ВИБУЛО2!ET26</f>
        <v>0</v>
      </c>
      <c r="QC34" s="97" t="n">
        <f aca="false">QC33-QB34+QA34</f>
        <v>0</v>
      </c>
      <c r="QD34" s="95" t="n">
        <f aca="false">[1]НАДІЙШЛО2!EU26</f>
        <v>0</v>
      </c>
      <c r="QE34" s="96" t="n">
        <f aca="false">[1]ВИБУЛО2!EU26</f>
        <v>0</v>
      </c>
      <c r="QF34" s="97" t="n">
        <f aca="false">QF33-QE34+QD34</f>
        <v>0</v>
      </c>
      <c r="QG34" s="95" t="n">
        <f aca="false">[1]НАДІЙШЛО2!EV26</f>
        <v>0</v>
      </c>
      <c r="QH34" s="96" t="n">
        <f aca="false">[1]ВИБУЛО2!EV26</f>
        <v>0</v>
      </c>
      <c r="QI34" s="97" t="n">
        <f aca="false">QI33-QH34+QG34</f>
        <v>0</v>
      </c>
      <c r="QJ34" s="95" t="n">
        <f aca="false">[1]НАДІЙШЛО2!EW26</f>
        <v>0</v>
      </c>
      <c r="QK34" s="96" t="n">
        <f aca="false">[1]ВИБУЛО2!EW26</f>
        <v>0</v>
      </c>
      <c r="QL34" s="97" t="n">
        <f aca="false">QL33-QK34+QJ34</f>
        <v>0</v>
      </c>
      <c r="QM34" s="95" t="n">
        <f aca="false">[1]НАДІЙШЛО2!EX26</f>
        <v>0</v>
      </c>
      <c r="QN34" s="96" t="n">
        <f aca="false">[1]ВИБУЛО2!EX26</f>
        <v>0</v>
      </c>
      <c r="QO34" s="97" t="n">
        <f aca="false">QO33-QN34+QM34</f>
        <v>0</v>
      </c>
      <c r="QP34" s="95" t="n">
        <f aca="false">[1]НАДІЙШЛО2!EY26</f>
        <v>0</v>
      </c>
      <c r="QQ34" s="96" t="n">
        <f aca="false">[1]ВИБУЛО2!EY26</f>
        <v>0</v>
      </c>
      <c r="QR34" s="97" t="n">
        <f aca="false">QR33-QQ34+QP34</f>
        <v>0</v>
      </c>
      <c r="QS34" s="95" t="n">
        <f aca="false">[1]НАДІЙШЛО2!EZ26</f>
        <v>0</v>
      </c>
      <c r="QT34" s="96" t="n">
        <f aca="false">[1]ВИБУЛО2!EZ26</f>
        <v>0</v>
      </c>
      <c r="QU34" s="97" t="n">
        <f aca="false">QU33-QT34+QS34</f>
        <v>0</v>
      </c>
      <c r="QV34" s="95" t="n">
        <f aca="false">[1]НАДІЙШЛО2!FA26</f>
        <v>0</v>
      </c>
      <c r="QW34" s="96" t="n">
        <f aca="false">[1]ВИБУЛО2!FA26</f>
        <v>0</v>
      </c>
      <c r="QX34" s="97" t="n">
        <f aca="false">QX33-QW34+QV34</f>
        <v>0</v>
      </c>
      <c r="QY34" s="95" t="n">
        <f aca="false">[1]НАДІЙШЛО2!FB26</f>
        <v>0</v>
      </c>
      <c r="QZ34" s="96" t="n">
        <f aca="false">[1]ВИБУЛО2!FB26</f>
        <v>0</v>
      </c>
      <c r="RA34" s="97" t="n">
        <f aca="false">RA33-QZ34+QY34</f>
        <v>0</v>
      </c>
      <c r="RB34" s="95" t="n">
        <f aca="false">[1]НАДІЙШЛО2!FC26</f>
        <v>0</v>
      </c>
      <c r="RC34" s="96" t="n">
        <f aca="false">[1]ВИБУЛО2!FC26</f>
        <v>0</v>
      </c>
      <c r="RD34" s="97" t="n">
        <f aca="false">RD33-RC34+RB34</f>
        <v>0</v>
      </c>
      <c r="RE34" s="95" t="n">
        <f aca="false">[1]НАДІЙШЛО2!FD26</f>
        <v>0</v>
      </c>
      <c r="RF34" s="96" t="n">
        <f aca="false">[1]ВИБУЛО2!FD26</f>
        <v>0</v>
      </c>
      <c r="RG34" s="97" t="n">
        <f aca="false">RG33-RF34+RE34</f>
        <v>0</v>
      </c>
      <c r="RH34" s="95" t="n">
        <f aca="false">[1]НАДІЙШЛО2!FE26</f>
        <v>0</v>
      </c>
      <c r="RI34" s="96" t="n">
        <f aca="false">[1]ВИБУЛО2!FE26</f>
        <v>0</v>
      </c>
      <c r="RJ34" s="97" t="n">
        <f aca="false">RJ33-RI34+RH34</f>
        <v>0</v>
      </c>
      <c r="RK34" s="95" t="n">
        <f aca="false">[1]НАДІЙШЛО2!FF26</f>
        <v>0</v>
      </c>
      <c r="RL34" s="96" t="n">
        <f aca="false">[1]ВИБУЛО2!FF26</f>
        <v>0</v>
      </c>
      <c r="RM34" s="97" t="n">
        <f aca="false">RM33-RL34+RK34</f>
        <v>0</v>
      </c>
      <c r="RN34" s="95" t="n">
        <f aca="false">[1]НАДІЙШЛО2!FG26</f>
        <v>0</v>
      </c>
      <c r="RO34" s="96" t="n">
        <f aca="false">[1]ВИБУЛО2!FG26</f>
        <v>0</v>
      </c>
      <c r="RP34" s="97" t="n">
        <f aca="false">RP33-RO34+RN34</f>
        <v>0</v>
      </c>
      <c r="RQ34" s="95" t="n">
        <f aca="false">[1]НАДІЙШЛО2!FH26</f>
        <v>0</v>
      </c>
      <c r="RR34" s="96" t="n">
        <f aca="false">[1]ВИБУЛО2!FH26</f>
        <v>0</v>
      </c>
      <c r="RS34" s="97" t="n">
        <f aca="false">RS33-RR34+RQ34</f>
        <v>0</v>
      </c>
      <c r="RT34" s="95" t="n">
        <f aca="false">[1]НАДІЙШЛО2!FI26</f>
        <v>0</v>
      </c>
      <c r="RU34" s="96" t="n">
        <f aca="false">[1]ВИБУЛО2!FI26</f>
        <v>0</v>
      </c>
      <c r="RV34" s="97" t="n">
        <f aca="false">RV33-RU34+RT34</f>
        <v>0</v>
      </c>
      <c r="RW34" s="95" t="n">
        <f aca="false">[1]НАДІЙШЛО2!FJ26</f>
        <v>0</v>
      </c>
      <c r="RX34" s="96" t="n">
        <f aca="false">[1]ВИБУЛО2!FJ26</f>
        <v>0</v>
      </c>
      <c r="RY34" s="97" t="n">
        <f aca="false">RY33-RX34+RW34</f>
        <v>0</v>
      </c>
      <c r="RZ34" s="95" t="n">
        <f aca="false">[1]НАДІЙШЛО2!FK26</f>
        <v>0</v>
      </c>
      <c r="SA34" s="96" t="n">
        <f aca="false">[1]ВИБУЛО2!FK26</f>
        <v>0</v>
      </c>
      <c r="SB34" s="97" t="n">
        <f aca="false">SB33-SA34+RZ34</f>
        <v>0</v>
      </c>
      <c r="SC34" s="95" t="n">
        <f aca="false">[1]НАДІЙШЛО2!FL26</f>
        <v>0</v>
      </c>
      <c r="SD34" s="96" t="n">
        <f aca="false">[1]ВИБУЛО2!FL26</f>
        <v>0</v>
      </c>
      <c r="SE34" s="97" t="n">
        <f aca="false">SE33-SD34+SC34</f>
        <v>0</v>
      </c>
      <c r="SF34" s="95" t="n">
        <f aca="false">[1]НАДІЙШЛО2!FM26</f>
        <v>0</v>
      </c>
      <c r="SG34" s="96" t="n">
        <f aca="false">[1]ВИБУЛО2!FM26</f>
        <v>0</v>
      </c>
      <c r="SH34" s="97" t="n">
        <f aca="false">SH33-SG34+SF34</f>
        <v>0</v>
      </c>
      <c r="SI34" s="95" t="n">
        <f aca="false">[1]НАДІЙШЛО2!FN26</f>
        <v>0</v>
      </c>
      <c r="SJ34" s="96" t="n">
        <f aca="false">[1]ВИБУЛО2!FN26</f>
        <v>0</v>
      </c>
      <c r="SK34" s="97" t="n">
        <f aca="false">SK33-SJ34+SI34</f>
        <v>0</v>
      </c>
      <c r="SL34" s="95" t="n">
        <f aca="false">[1]НАДІЙШЛО2!FO26</f>
        <v>0</v>
      </c>
      <c r="SM34" s="96" t="n">
        <f aca="false">[1]ВИБУЛО2!FO26</f>
        <v>0</v>
      </c>
      <c r="SN34" s="97" t="n">
        <f aca="false">SN33-SM34+SL34</f>
        <v>0</v>
      </c>
      <c r="SO34" s="95" t="n">
        <f aca="false">[1]НАДІЙШЛО2!FP26</f>
        <v>0</v>
      </c>
      <c r="SP34" s="96" t="n">
        <f aca="false">[1]ВИБУЛО2!FP26</f>
        <v>0</v>
      </c>
      <c r="SQ34" s="97" t="n">
        <f aca="false">SQ33-SP34+SO34</f>
        <v>0</v>
      </c>
      <c r="SR34" s="95" t="n">
        <f aca="false">[1]НАДІЙШЛО2!FQ26</f>
        <v>0</v>
      </c>
      <c r="SS34" s="96" t="n">
        <f aca="false">[1]ВИБУЛО2!FQ26</f>
        <v>0</v>
      </c>
      <c r="ST34" s="97" t="n">
        <f aca="false">ST33-SS34+SR34</f>
        <v>0</v>
      </c>
      <c r="SU34" s="95" t="n">
        <f aca="false">[1]НАДІЙШЛО2!FR26</f>
        <v>0</v>
      </c>
      <c r="SV34" s="96" t="n">
        <f aca="false">[1]ВИБУЛО2!FR26</f>
        <v>0</v>
      </c>
      <c r="SW34" s="97" t="n">
        <f aca="false">SW33-SV34+SU34</f>
        <v>0</v>
      </c>
      <c r="SX34" s="95" t="n">
        <f aca="false">[1]НАДІЙШЛО2!FS26</f>
        <v>0</v>
      </c>
      <c r="SY34" s="96" t="n">
        <f aca="false">[1]ВИБУЛО2!FS26</f>
        <v>0</v>
      </c>
      <c r="SZ34" s="97" t="n">
        <f aca="false">SZ33-SY34+SX34</f>
        <v>0</v>
      </c>
      <c r="TA34" s="95" t="n">
        <f aca="false">[1]НАДІЙШЛО2!FT26</f>
        <v>0</v>
      </c>
      <c r="TB34" s="96" t="n">
        <f aca="false">[1]ВИБУЛО2!FT26</f>
        <v>0</v>
      </c>
      <c r="TC34" s="97" t="n">
        <f aca="false">TC33-TB34+TA34</f>
        <v>0</v>
      </c>
      <c r="TD34" s="95" t="n">
        <f aca="false">[1]НАДІЙШЛО2!FU26</f>
        <v>0</v>
      </c>
      <c r="TE34" s="96" t="n">
        <f aca="false">[1]ВИБУЛО2!FU26</f>
        <v>0</v>
      </c>
      <c r="TF34" s="97" t="n">
        <f aca="false">TF33-TE34+TD34</f>
        <v>0</v>
      </c>
      <c r="TG34" s="95" t="n">
        <f aca="false">[1]НАДІЙШЛО2!FV26</f>
        <v>0</v>
      </c>
      <c r="TH34" s="96" t="n">
        <f aca="false">[1]ВИБУЛО2!FV26</f>
        <v>0</v>
      </c>
      <c r="TI34" s="97" t="n">
        <f aca="false">TI33-TH34+TG34</f>
        <v>0</v>
      </c>
      <c r="TJ34" s="95" t="n">
        <f aca="false">[1]НАДІЙШЛО2!FW26</f>
        <v>0</v>
      </c>
      <c r="TK34" s="96" t="n">
        <f aca="false">[1]ВИБУЛО2!FW26</f>
        <v>0</v>
      </c>
      <c r="TL34" s="97" t="n">
        <f aca="false">TL33-TK34+TJ34</f>
        <v>0</v>
      </c>
      <c r="TM34" s="95" t="n">
        <f aca="false">[1]НАДІЙШЛО2!FX26</f>
        <v>0</v>
      </c>
      <c r="TN34" s="96" t="n">
        <f aca="false">[1]ВИБУЛО2!FX26</f>
        <v>0</v>
      </c>
      <c r="TO34" s="97" t="n">
        <f aca="false">TO33-TN34+TM34</f>
        <v>0</v>
      </c>
      <c r="TP34" s="95" t="n">
        <f aca="false">[1]НАДІЙШЛО2!FY26</f>
        <v>0</v>
      </c>
      <c r="TQ34" s="96" t="n">
        <f aca="false">[1]ВИБУЛО2!FY26</f>
        <v>0</v>
      </c>
      <c r="TR34" s="97" t="n">
        <f aca="false">TR33-TQ34+TP34</f>
        <v>0</v>
      </c>
      <c r="TS34" s="95" t="n">
        <f aca="false">[1]НАДІЙШЛО2!FZ26</f>
        <v>0</v>
      </c>
      <c r="TT34" s="96" t="n">
        <f aca="false">[1]ВИБУЛО2!FZ26</f>
        <v>0</v>
      </c>
      <c r="TU34" s="97" t="n">
        <f aca="false">TU33-TT34+TS34</f>
        <v>0</v>
      </c>
      <c r="TV34" s="95" t="n">
        <f aca="false">[1]НАДІЙШЛО2!GA26</f>
        <v>0</v>
      </c>
      <c r="TW34" s="96" t="n">
        <f aca="false">[1]ВИБУЛО2!GA26</f>
        <v>0</v>
      </c>
      <c r="TX34" s="97" t="n">
        <f aca="false">TX33-TW34+TV34</f>
        <v>0</v>
      </c>
      <c r="TY34" s="95" t="n">
        <f aca="false">[1]НАДІЙШЛО2!GB26</f>
        <v>0</v>
      </c>
      <c r="TZ34" s="96" t="n">
        <f aca="false">[1]ВИБУЛО2!GB26</f>
        <v>0</v>
      </c>
      <c r="UA34" s="97" t="n">
        <f aca="false">UA33-TZ34+TY34</f>
        <v>0</v>
      </c>
      <c r="UB34" s="95" t="n">
        <f aca="false">[1]НАДІЙШЛО2!GC26</f>
        <v>0</v>
      </c>
      <c r="UC34" s="96" t="n">
        <f aca="false">[1]ВИБУЛО2!GC26</f>
        <v>0</v>
      </c>
      <c r="UD34" s="97" t="n">
        <f aca="false">UD33-UC34+UB34</f>
        <v>0</v>
      </c>
      <c r="UE34" s="95" t="n">
        <f aca="false">[1]НАДІЙШЛО2!GD26</f>
        <v>0</v>
      </c>
      <c r="UF34" s="96" t="n">
        <f aca="false">[1]ВИБУЛО2!GD26</f>
        <v>0</v>
      </c>
      <c r="UG34" s="97" t="n">
        <f aca="false">UG33-UF34+UE34</f>
        <v>0</v>
      </c>
      <c r="UH34" s="95" t="n">
        <f aca="false">[1]НАДІЙШЛО2!GE26</f>
        <v>0</v>
      </c>
      <c r="UI34" s="96" t="n">
        <f aca="false">[1]ВИБУЛО2!GE26</f>
        <v>0</v>
      </c>
      <c r="UJ34" s="97" t="n">
        <f aca="false">UJ33-UI34+UH34</f>
        <v>0</v>
      </c>
      <c r="UK34" s="95" t="n">
        <f aca="false">[1]НАДІЙШЛО2!GF26</f>
        <v>0</v>
      </c>
      <c r="UL34" s="96" t="n">
        <f aca="false">[1]ВИБУЛО2!GF26</f>
        <v>0</v>
      </c>
      <c r="UM34" s="97" t="n">
        <f aca="false">UM33-UL34+UK34</f>
        <v>0</v>
      </c>
      <c r="UN34" s="95" t="n">
        <f aca="false">[1]НАДІЙШЛО2!GG26</f>
        <v>0</v>
      </c>
      <c r="UO34" s="96" t="n">
        <f aca="false">[1]ВИБУЛО2!GG26</f>
        <v>0</v>
      </c>
      <c r="UP34" s="97" t="n">
        <f aca="false">UP33-UO34+UN34</f>
        <v>0</v>
      </c>
      <c r="UQ34" s="95" t="n">
        <f aca="false">[1]НАДІЙШЛО2!GH26</f>
        <v>0</v>
      </c>
      <c r="UR34" s="96" t="n">
        <f aca="false">[1]ВИБУЛО2!GH26</f>
        <v>0</v>
      </c>
      <c r="US34" s="97" t="n">
        <f aca="false">US33-UR34+UQ34</f>
        <v>0</v>
      </c>
      <c r="UT34" s="95" t="n">
        <f aca="false">[1]НАДІЙШЛО2!GI26</f>
        <v>0</v>
      </c>
      <c r="UU34" s="96" t="n">
        <f aca="false">[1]ВИБУЛО2!GI26</f>
        <v>0</v>
      </c>
      <c r="UV34" s="97" t="n">
        <f aca="false">UV33-UU34+UT34</f>
        <v>0</v>
      </c>
      <c r="UW34" s="95" t="n">
        <f aca="false">[1]НАДІЙШЛО2!GJ26</f>
        <v>0</v>
      </c>
      <c r="UX34" s="96" t="n">
        <f aca="false">[1]ВИБУЛО2!GJ26</f>
        <v>0</v>
      </c>
      <c r="UY34" s="97" t="n">
        <f aca="false">UY33-UX34+UW34</f>
        <v>0</v>
      </c>
      <c r="UZ34" s="95" t="n">
        <f aca="false">[1]НАДІЙШЛО2!GK26</f>
        <v>0</v>
      </c>
      <c r="VA34" s="96" t="n">
        <f aca="false">[1]ВИБУЛО2!GK26</f>
        <v>0</v>
      </c>
      <c r="VB34" s="97" t="n">
        <f aca="false">VB33-VA34+UZ34</f>
        <v>0</v>
      </c>
      <c r="VC34" s="95" t="n">
        <f aca="false">[1]НАДІЙШЛО2!GL26</f>
        <v>0</v>
      </c>
      <c r="VD34" s="96" t="n">
        <f aca="false">[1]ВИБУЛО2!GL26</f>
        <v>0</v>
      </c>
      <c r="VE34" s="97" t="n">
        <f aca="false">VE33-VD34+VC34</f>
        <v>0</v>
      </c>
      <c r="VF34" s="95" t="n">
        <f aca="false">[1]НАДІЙШЛО2!GM26</f>
        <v>0</v>
      </c>
      <c r="VG34" s="96" t="n">
        <f aca="false">[1]ВИБУЛО2!GM26</f>
        <v>0</v>
      </c>
      <c r="VH34" s="97" t="n">
        <f aca="false">VH33-VG34+VF34</f>
        <v>0</v>
      </c>
      <c r="VI34" s="95" t="n">
        <f aca="false">[1]НАДІЙШЛО2!GN26</f>
        <v>0</v>
      </c>
      <c r="VJ34" s="96" t="n">
        <f aca="false">[1]ВИБУЛО2!GN26</f>
        <v>0</v>
      </c>
      <c r="VK34" s="97" t="n">
        <f aca="false">VK33-VJ34+VI34</f>
        <v>0</v>
      </c>
      <c r="VL34" s="95" t="n">
        <f aca="false">[1]НАДІЙШЛО2!GO26</f>
        <v>0</v>
      </c>
      <c r="VM34" s="96" t="n">
        <f aca="false">[1]ВИБУЛО2!GO26</f>
        <v>0</v>
      </c>
      <c r="VN34" s="97" t="n">
        <f aca="false">VN33-VM34+VL34</f>
        <v>0</v>
      </c>
      <c r="VO34" s="95" t="n">
        <f aca="false">[1]НАДІЙШЛО2!GP26</f>
        <v>0</v>
      </c>
      <c r="VP34" s="96" t="n">
        <f aca="false">[1]ВИБУЛО2!GP26</f>
        <v>0</v>
      </c>
      <c r="VQ34" s="97" t="n">
        <f aca="false">VQ33-VP34+VO34</f>
        <v>0</v>
      </c>
      <c r="VR34" s="95" t="n">
        <f aca="false">[1]НАДІЙШЛО2!GQ26</f>
        <v>0</v>
      </c>
      <c r="VS34" s="96" t="n">
        <f aca="false">[1]ВИБУЛО2!GQ26</f>
        <v>0</v>
      </c>
      <c r="VT34" s="97" t="n">
        <f aca="false">VT33-VS34+VR34</f>
        <v>0</v>
      </c>
      <c r="VU34" s="95" t="n">
        <f aca="false">[1]НАДІЙШЛО2!GR26</f>
        <v>0</v>
      </c>
      <c r="VV34" s="96" t="n">
        <f aca="false">[1]ВИБУЛО2!GR26</f>
        <v>0</v>
      </c>
      <c r="VW34" s="97" t="n">
        <f aca="false">VW33-VV34+VU34</f>
        <v>0</v>
      </c>
      <c r="VX34" s="95" t="n">
        <f aca="false">[1]НАДІЙШЛО2!GS26</f>
        <v>0</v>
      </c>
      <c r="VY34" s="96" t="n">
        <f aca="false">[1]ВИБУЛО2!GS26</f>
        <v>0</v>
      </c>
      <c r="VZ34" s="97" t="n">
        <f aca="false">VZ33-VY34+VX34</f>
        <v>0</v>
      </c>
      <c r="WA34" s="95" t="n">
        <f aca="false">[1]НАДІЙШЛО2!GT26</f>
        <v>0</v>
      </c>
      <c r="WB34" s="96" t="n">
        <f aca="false">[1]ВИБУЛО2!GT26</f>
        <v>0</v>
      </c>
      <c r="WC34" s="97" t="n">
        <f aca="false">WC33-WB34+WA34</f>
        <v>0</v>
      </c>
      <c r="WD34" s="95" t="n">
        <f aca="false">[1]НАДІЙШЛО2!GU26</f>
        <v>0</v>
      </c>
      <c r="WE34" s="96" t="n">
        <f aca="false">[1]ВИБУЛО2!GU26</f>
        <v>0</v>
      </c>
      <c r="WF34" s="97" t="n">
        <f aca="false">WF33-WE34+WD34</f>
        <v>0</v>
      </c>
      <c r="WG34" s="95" t="n">
        <f aca="false">[1]НАДІЙШЛО2!GV26</f>
        <v>0</v>
      </c>
      <c r="WH34" s="96" t="n">
        <f aca="false">[1]ВИБУЛО2!GV26</f>
        <v>0</v>
      </c>
      <c r="WI34" s="97" t="n">
        <f aca="false">WI33-WH34+WG34</f>
        <v>0</v>
      </c>
      <c r="WJ34" s="95" t="n">
        <f aca="false">[1]НАДІЙШЛО2!GW26</f>
        <v>0</v>
      </c>
      <c r="WK34" s="96" t="n">
        <f aca="false">[1]ВИБУЛО2!GW26</f>
        <v>0</v>
      </c>
      <c r="WL34" s="97" t="n">
        <f aca="false">WL33-WK34+WJ34</f>
        <v>0</v>
      </c>
      <c r="WM34" s="95" t="n">
        <f aca="false">[1]НАДІЙШЛО2!GX26</f>
        <v>0</v>
      </c>
      <c r="WN34" s="96" t="n">
        <f aca="false">[1]ВИБУЛО2!GX26</f>
        <v>0</v>
      </c>
      <c r="WO34" s="97" t="n">
        <f aca="false">WO33-WN34+WM34</f>
        <v>0</v>
      </c>
      <c r="WP34" s="95" t="n">
        <f aca="false">[1]НАДІЙШЛО2!GY26</f>
        <v>0</v>
      </c>
      <c r="WQ34" s="96" t="n">
        <f aca="false">[1]ВИБУЛО2!GY26</f>
        <v>0</v>
      </c>
      <c r="WR34" s="97" t="n">
        <f aca="false">WR33-WQ34+WP34</f>
        <v>0</v>
      </c>
      <c r="WS34" s="95" t="n">
        <f aca="false">[1]НАДІЙШЛО2!GZ26</f>
        <v>0</v>
      </c>
      <c r="WT34" s="96" t="n">
        <f aca="false">[1]ВИБУЛО2!GZ26</f>
        <v>0</v>
      </c>
      <c r="WU34" s="97" t="n">
        <f aca="false">WU33-WT34+WS34</f>
        <v>0</v>
      </c>
      <c r="WV34" s="95" t="n">
        <f aca="false">[1]НАДІЙШЛО2!HA26</f>
        <v>0</v>
      </c>
      <c r="WW34" s="96" t="n">
        <f aca="false">[1]ВИБУЛО2!HA26</f>
        <v>0</v>
      </c>
      <c r="WX34" s="97" t="n">
        <f aca="false">WX33-WW34+WV34</f>
        <v>0</v>
      </c>
      <c r="WY34" s="95" t="n">
        <f aca="false">[1]НАДІЙШЛО2!HB26</f>
        <v>0</v>
      </c>
      <c r="WZ34" s="96" t="n">
        <f aca="false">[1]ВИБУЛО2!HB26</f>
        <v>0</v>
      </c>
      <c r="XA34" s="97" t="n">
        <f aca="false">XA33-WZ34+WY34</f>
        <v>0</v>
      </c>
      <c r="XB34" s="95" t="n">
        <f aca="false">[1]НАДІЙШЛО2!HC26</f>
        <v>0</v>
      </c>
      <c r="XC34" s="96" t="n">
        <f aca="false">[1]ВИБУЛО2!HC26</f>
        <v>0</v>
      </c>
      <c r="XD34" s="97" t="n">
        <f aca="false">XD33-XC34+XB34</f>
        <v>0</v>
      </c>
      <c r="XE34" s="95" t="n">
        <f aca="false">[1]НАДІЙШЛО2!HD26</f>
        <v>0</v>
      </c>
      <c r="XF34" s="96" t="n">
        <f aca="false">[1]ВИБУЛО2!HD26</f>
        <v>0</v>
      </c>
      <c r="XG34" s="97" t="n">
        <f aca="false">XG33-XF34+XE34</f>
        <v>0</v>
      </c>
      <c r="XH34" s="95" t="n">
        <f aca="false">[1]НАДІЙШЛО2!HE26</f>
        <v>0</v>
      </c>
      <c r="XI34" s="96" t="n">
        <f aca="false">[1]ВИБУЛО2!HE26</f>
        <v>0</v>
      </c>
      <c r="XJ34" s="97" t="n">
        <f aca="false">XJ33-XI34+XH34</f>
        <v>0</v>
      </c>
      <c r="XK34" s="95" t="n">
        <f aca="false">[1]НАДІЙШЛО2!HF26</f>
        <v>0</v>
      </c>
      <c r="XL34" s="96" t="n">
        <f aca="false">[1]ВИБУЛО2!HF26</f>
        <v>0</v>
      </c>
      <c r="XM34" s="97" t="n">
        <f aca="false">XM33-XL34+XK34</f>
        <v>0</v>
      </c>
      <c r="XN34" s="95" t="n">
        <f aca="false">[1]НАДІЙШЛО2!HG26</f>
        <v>0</v>
      </c>
      <c r="XO34" s="96" t="n">
        <f aca="false">[1]ВИБУЛО2!HG26</f>
        <v>0</v>
      </c>
      <c r="XP34" s="97" t="n">
        <f aca="false">XP33-XO34+XN34</f>
        <v>0</v>
      </c>
      <c r="XQ34" s="95" t="n">
        <f aca="false">[1]НАДІЙШЛО2!HH26</f>
        <v>0</v>
      </c>
      <c r="XR34" s="96" t="n">
        <f aca="false">[1]ВИБУЛО2!HH26</f>
        <v>0</v>
      </c>
      <c r="XS34" s="97" t="n">
        <f aca="false">XS33-XR34+XQ34</f>
        <v>0</v>
      </c>
      <c r="XT34" s="95" t="n">
        <f aca="false">[1]НАДІЙШЛО2!HI26</f>
        <v>0</v>
      </c>
      <c r="XU34" s="96" t="n">
        <f aca="false">[1]ВИБУЛО2!HI26</f>
        <v>0</v>
      </c>
      <c r="XV34" s="97" t="n">
        <f aca="false">XV33-XU34+XT34</f>
        <v>0</v>
      </c>
      <c r="XW34" s="95" t="n">
        <f aca="false">[1]НАДІЙШЛО2!HJ26</f>
        <v>0</v>
      </c>
      <c r="XX34" s="96" t="n">
        <f aca="false">[1]ВИБУЛО2!HJ26</f>
        <v>0</v>
      </c>
      <c r="XY34" s="97" t="n">
        <f aca="false">XY33-XX34+XW34</f>
        <v>0</v>
      </c>
      <c r="XZ34" s="95" t="n">
        <f aca="false">[1]НАДІЙШЛО2!HK26</f>
        <v>0</v>
      </c>
      <c r="YA34" s="96" t="n">
        <f aca="false">[1]ВИБУЛО2!HK26</f>
        <v>0</v>
      </c>
      <c r="YB34" s="97" t="n">
        <f aca="false">YB33-YA34+XZ34</f>
        <v>0</v>
      </c>
      <c r="YC34" s="95" t="n">
        <f aca="false">[1]НАДІЙШЛО2!HL26</f>
        <v>0</v>
      </c>
      <c r="YD34" s="96" t="n">
        <f aca="false">[1]ВИБУЛО2!HL26</f>
        <v>0</v>
      </c>
      <c r="YE34" s="97" t="n">
        <f aca="false">YE33-YD34+YC34</f>
        <v>0</v>
      </c>
      <c r="YF34" s="95" t="n">
        <f aca="false">[1]НАДІЙШЛО2!HM26</f>
        <v>0</v>
      </c>
      <c r="YG34" s="96" t="n">
        <f aca="false">[1]ВИБУЛО2!HM26</f>
        <v>0</v>
      </c>
      <c r="YH34" s="97" t="n">
        <f aca="false">YH33-YG34+YF34</f>
        <v>0</v>
      </c>
      <c r="YI34" s="95" t="n">
        <f aca="false">[1]НАДІЙШЛО2!HN26</f>
        <v>0</v>
      </c>
      <c r="YJ34" s="96" t="n">
        <f aca="false">[1]ВИБУЛО2!HN26</f>
        <v>0</v>
      </c>
      <c r="YK34" s="97" t="n">
        <f aca="false">YK33-YJ34+YI34</f>
        <v>0</v>
      </c>
      <c r="YL34" s="95" t="n">
        <f aca="false">[1]НАДІЙШЛО2!HO26</f>
        <v>0</v>
      </c>
      <c r="YM34" s="96" t="n">
        <f aca="false">[1]ВИБУЛО2!HO26</f>
        <v>0</v>
      </c>
      <c r="YN34" s="97" t="n">
        <f aca="false">YN33-YM34+YL34</f>
        <v>0</v>
      </c>
      <c r="YO34" s="95" t="n">
        <f aca="false">[1]НАДІЙШЛО2!HP26</f>
        <v>0</v>
      </c>
      <c r="YP34" s="96" t="n">
        <f aca="false">[1]ВИБУЛО2!HP26</f>
        <v>0</v>
      </c>
      <c r="YQ34" s="97" t="n">
        <f aca="false">YQ33-YP34+YO34</f>
        <v>0</v>
      </c>
      <c r="YR34" s="95" t="n">
        <f aca="false">[1]НАДІЙШЛО2!HQ26</f>
        <v>0</v>
      </c>
      <c r="YS34" s="96" t="n">
        <f aca="false">[1]ВИБУЛО2!HQ26</f>
        <v>0</v>
      </c>
      <c r="YT34" s="97" t="n">
        <f aca="false">YT33-YS34+YR34</f>
        <v>0</v>
      </c>
      <c r="YU34" s="95" t="n">
        <f aca="false">[1]НАДІЙШЛО2!HR26</f>
        <v>0</v>
      </c>
      <c r="YV34" s="96" t="n">
        <f aca="false">[1]ВИБУЛО2!HR26</f>
        <v>0</v>
      </c>
      <c r="YW34" s="97" t="n">
        <f aca="false">YW33-YV34+YU34</f>
        <v>0</v>
      </c>
      <c r="YX34" s="95" t="n">
        <f aca="false">[1]НАДІЙШЛО2!HS26</f>
        <v>0</v>
      </c>
      <c r="YY34" s="96" t="n">
        <f aca="false">[1]ВИБУЛО2!HS26</f>
        <v>0</v>
      </c>
      <c r="YZ34" s="97" t="n">
        <f aca="false">YZ33-YY34+YX34</f>
        <v>0</v>
      </c>
      <c r="ZA34" s="95" t="n">
        <f aca="false">[1]НАДІЙШЛО2!HT26</f>
        <v>0</v>
      </c>
      <c r="ZB34" s="96" t="n">
        <f aca="false">[1]ВИБУЛО2!HT26</f>
        <v>0</v>
      </c>
      <c r="ZC34" s="97" t="n">
        <f aca="false">ZC33-ZB34+ZA34</f>
        <v>0</v>
      </c>
      <c r="ZD34" s="95" t="n">
        <f aca="false">[1]НАДІЙШЛО2!HU26</f>
        <v>0</v>
      </c>
      <c r="ZE34" s="96" t="n">
        <f aca="false">[1]ВИБУЛО2!HU26</f>
        <v>0</v>
      </c>
      <c r="ZF34" s="97" t="n">
        <f aca="false">ZF33-ZE34+ZD34</f>
        <v>0</v>
      </c>
      <c r="ZG34" s="95" t="n">
        <f aca="false">[1]НАДІЙШЛО2!HV26</f>
        <v>0</v>
      </c>
      <c r="ZH34" s="96" t="n">
        <f aca="false">[1]ВИБУЛО2!HV26</f>
        <v>0</v>
      </c>
      <c r="ZI34" s="97" t="n">
        <f aca="false">ZI33-ZH34+ZG34</f>
        <v>0</v>
      </c>
      <c r="ZJ34" s="95" t="n">
        <f aca="false">[1]НАДІЙШЛО2!HW26</f>
        <v>0</v>
      </c>
      <c r="ZK34" s="96" t="n">
        <f aca="false">[1]ВИБУЛО2!HW26</f>
        <v>0</v>
      </c>
      <c r="ZL34" s="97" t="n">
        <f aca="false">ZL33-ZK34+ZJ34</f>
        <v>0</v>
      </c>
      <c r="ZM34" s="95" t="n">
        <f aca="false">[1]НАДІЙШЛО2!HX26</f>
        <v>0</v>
      </c>
      <c r="ZN34" s="96" t="n">
        <f aca="false">[1]ВИБУЛО2!HX26</f>
        <v>0</v>
      </c>
      <c r="ZO34" s="97" t="n">
        <f aca="false">ZO33-ZN34+ZM34</f>
        <v>0</v>
      </c>
      <c r="ZP34" s="95" t="n">
        <f aca="false">[1]НАДІЙШЛО2!HY26</f>
        <v>0</v>
      </c>
      <c r="ZQ34" s="96" t="n">
        <f aca="false">[1]ВИБУЛО2!HY26</f>
        <v>0</v>
      </c>
      <c r="ZR34" s="97" t="n">
        <f aca="false">ZR33-ZQ34+ZP34</f>
        <v>0</v>
      </c>
      <c r="ZS34" s="95" t="n">
        <f aca="false">[1]НАДІЙШЛО2!HZ26</f>
        <v>0</v>
      </c>
      <c r="ZT34" s="96" t="n">
        <f aca="false">[1]ВИБУЛО2!HZ26</f>
        <v>0</v>
      </c>
      <c r="ZU34" s="97" t="n">
        <f aca="false">ZU33-ZT34+ZS34</f>
        <v>0</v>
      </c>
      <c r="ZV34" s="95" t="n">
        <f aca="false">[1]НАДІЙШЛО2!IA26</f>
        <v>0</v>
      </c>
      <c r="ZW34" s="96" t="n">
        <f aca="false">[1]ВИБУЛО2!IA26</f>
        <v>0</v>
      </c>
      <c r="ZX34" s="97" t="n">
        <f aca="false">ZX33-ZW34+ZV34</f>
        <v>0</v>
      </c>
      <c r="ZY34" s="95" t="n">
        <f aca="false">[1]НАДІЙШЛО2!IB26</f>
        <v>0</v>
      </c>
      <c r="ZZ34" s="96" t="n">
        <f aca="false">[1]ВИБУЛО2!IB26</f>
        <v>0</v>
      </c>
      <c r="AAA34" s="97" t="n">
        <f aca="false">AAA33-ZZ34+ZY34</f>
        <v>0</v>
      </c>
      <c r="AAB34" s="95" t="n">
        <f aca="false">[1]НАДІЙШЛО2!IC26</f>
        <v>0</v>
      </c>
      <c r="AAC34" s="96" t="n">
        <f aca="false">[1]ВИБУЛО2!IC26</f>
        <v>0</v>
      </c>
      <c r="AAD34" s="97" t="n">
        <f aca="false">AAD33-AAC34+AAB34</f>
        <v>0</v>
      </c>
      <c r="AAE34" s="95" t="n">
        <f aca="false">[1]НАДІЙШЛО2!ID26</f>
        <v>0</v>
      </c>
      <c r="AAF34" s="96" t="n">
        <f aca="false">[1]ВИБУЛО2!ID26</f>
        <v>0</v>
      </c>
      <c r="AAG34" s="97" t="n">
        <f aca="false">AAG33-AAF34+AAE34</f>
        <v>0</v>
      </c>
      <c r="AAH34" s="95" t="n">
        <f aca="false">[1]НАДІЙШЛО2!IE26</f>
        <v>0</v>
      </c>
      <c r="AAI34" s="96" t="n">
        <f aca="false">[1]ВИБУЛО2!IE26</f>
        <v>0</v>
      </c>
      <c r="AAJ34" s="97" t="n">
        <f aca="false">AAJ33-AAI34+AAH34</f>
        <v>0</v>
      </c>
      <c r="AAK34" s="95" t="n">
        <f aca="false">[1]НАДІЙШЛО2!IF26</f>
        <v>0</v>
      </c>
      <c r="AAL34" s="96" t="n">
        <f aca="false">[1]ВИБУЛО2!IF26</f>
        <v>0</v>
      </c>
      <c r="AAM34" s="97" t="n">
        <f aca="false">AAM33-AAL34+AAK34</f>
        <v>0</v>
      </c>
      <c r="AAN34" s="95" t="n">
        <f aca="false">[1]НАДІЙШЛО2!IG26</f>
        <v>0</v>
      </c>
      <c r="AAO34" s="96" t="n">
        <f aca="false">[1]ВИБУЛО2!IG26</f>
        <v>0</v>
      </c>
      <c r="AAP34" s="97" t="n">
        <f aca="false">AAP33-AAO34+AAN34</f>
        <v>0</v>
      </c>
      <c r="AAQ34" s="95" t="n">
        <f aca="false">[1]НАДІЙШЛО2!IH26</f>
        <v>0</v>
      </c>
      <c r="AAR34" s="96" t="n">
        <f aca="false">[1]ВИБУЛО2!IH26</f>
        <v>0</v>
      </c>
      <c r="AAS34" s="97" t="n">
        <f aca="false">AAS33-AAR34+AAQ34</f>
        <v>0</v>
      </c>
      <c r="AAT34" s="95" t="n">
        <f aca="false">[1]НАДІЙШЛО2!II26</f>
        <v>0</v>
      </c>
      <c r="AAU34" s="96" t="n">
        <f aca="false">[1]ВИБУЛО2!II26</f>
        <v>0</v>
      </c>
      <c r="AAV34" s="97" t="n">
        <f aca="false">AAV33-AAU34+AAT34</f>
        <v>0</v>
      </c>
      <c r="AAW34" s="95" t="n">
        <f aca="false">[1]НАДІЙШЛО2!IJ26</f>
        <v>0</v>
      </c>
      <c r="AAX34" s="96" t="n">
        <f aca="false">[1]ВИБУЛО2!IJ26</f>
        <v>0</v>
      </c>
      <c r="AAY34" s="97" t="n">
        <f aca="false">AAY33-AAX34+AAW34</f>
        <v>0</v>
      </c>
      <c r="AAZ34" s="95" t="n">
        <f aca="false">[1]НАДІЙШЛО2!IK26</f>
        <v>0</v>
      </c>
      <c r="ABA34" s="96" t="n">
        <f aca="false">[1]ВИБУЛО2!IK26</f>
        <v>0</v>
      </c>
      <c r="ABB34" s="97" t="n">
        <f aca="false">ABB33-ABA34+AAZ34</f>
        <v>0</v>
      </c>
      <c r="ABC34" s="95" t="n">
        <f aca="false">[1]НАДІЙШЛО2!IL26</f>
        <v>0</v>
      </c>
      <c r="ABD34" s="96" t="n">
        <f aca="false">[1]ВИБУЛО2!IL26</f>
        <v>0</v>
      </c>
      <c r="ABE34" s="97" t="n">
        <f aca="false">ABE33-ABD34+ABC34</f>
        <v>0</v>
      </c>
      <c r="ABF34" s="95" t="n">
        <f aca="false">[1]НАДІЙШЛО2!IM26</f>
        <v>0</v>
      </c>
      <c r="ABG34" s="96" t="n">
        <f aca="false">[1]ВИБУЛО2!IM26</f>
        <v>0</v>
      </c>
      <c r="ABH34" s="97" t="n">
        <f aca="false">ABH33-ABG34+ABF34</f>
        <v>0</v>
      </c>
      <c r="ABI34" s="95" t="n">
        <f aca="false">[1]НАДІЙШЛО2!IN26</f>
        <v>0</v>
      </c>
      <c r="ABJ34" s="96" t="n">
        <f aca="false">[1]ВИБУЛО2!IN26</f>
        <v>0</v>
      </c>
      <c r="ABK34" s="97" t="n">
        <f aca="false">ABK33-ABJ34+ABI34</f>
        <v>0</v>
      </c>
      <c r="ABL34" s="95" t="n">
        <f aca="false">[1]НАДІЙШЛО2!IO26</f>
        <v>0</v>
      </c>
      <c r="ABM34" s="96" t="n">
        <f aca="false">[1]ВИБУЛО2!IO26</f>
        <v>0</v>
      </c>
      <c r="ABN34" s="97" t="n">
        <f aca="false">ABN33-ABM34+ABL34</f>
        <v>0</v>
      </c>
      <c r="ABO34" s="95" t="n">
        <f aca="false">[1]НАДІЙШЛО2!IP26</f>
        <v>0</v>
      </c>
      <c r="ABP34" s="96" t="n">
        <f aca="false">[1]ВИБУЛО2!IP26</f>
        <v>0</v>
      </c>
      <c r="ABQ34" s="97" t="n">
        <f aca="false">ABQ33-ABP34+ABO34</f>
        <v>0</v>
      </c>
      <c r="ABR34" s="95" t="n">
        <f aca="false">[1]НАДІЙШЛО2!IQ26</f>
        <v>0</v>
      </c>
      <c r="ABS34" s="96" t="n">
        <f aca="false">[1]ВИБУЛО2!IQ26</f>
        <v>0</v>
      </c>
      <c r="ABT34" s="97" t="n">
        <f aca="false">ABT33-ABS34+ABR34</f>
        <v>0</v>
      </c>
      <c r="ABU34" s="95" t="n">
        <f aca="false">[1]НАДІЙШЛО2!IR26</f>
        <v>0</v>
      </c>
      <c r="ABV34" s="96" t="n">
        <f aca="false">[1]ВИБУЛО2!IR26</f>
        <v>0</v>
      </c>
      <c r="ABW34" s="97" t="n">
        <f aca="false">ABW33-ABV34+ABU34</f>
        <v>0</v>
      </c>
      <c r="ABX34" s="95" t="n">
        <f aca="false">[1]НАДІЙШЛО2!IS26</f>
        <v>0</v>
      </c>
      <c r="ABY34" s="96" t="n">
        <f aca="false">[1]ВИБУЛО2!IS26</f>
        <v>0</v>
      </c>
      <c r="ABZ34" s="97" t="n">
        <f aca="false">ABZ33-ABY34+ABX34</f>
        <v>0</v>
      </c>
      <c r="ACA34" s="95" t="n">
        <f aca="false">[1]НАДІЙШЛО2!IT26</f>
        <v>0</v>
      </c>
      <c r="ACB34" s="96" t="n">
        <f aca="false">[1]ВИБУЛО2!IT26</f>
        <v>0</v>
      </c>
      <c r="ACC34" s="97" t="n">
        <f aca="false">ACC33-ACB34+ACA34</f>
        <v>0</v>
      </c>
      <c r="ACD34" s="95" t="n">
        <f aca="false">[1]НАДІЙШЛО2!IU26</f>
        <v>0</v>
      </c>
      <c r="ACE34" s="96" t="n">
        <f aca="false">[1]ВИБУЛО2!IU26</f>
        <v>0</v>
      </c>
      <c r="ACF34" s="97" t="n">
        <f aca="false">ACF33-ACE34+ACD34</f>
        <v>0</v>
      </c>
      <c r="ACG34" s="95" t="n">
        <f aca="false">[1]НАДІЙШЛО2!IV26</f>
        <v>0</v>
      </c>
      <c r="ACH34" s="96" t="n">
        <f aca="false">[1]ВИБУЛО2!IV26</f>
        <v>0</v>
      </c>
      <c r="ACI34" s="97" t="n">
        <f aca="false">ACI33-ACH34+ACG34</f>
        <v>0</v>
      </c>
      <c r="ACJ34" s="95" t="n">
        <f aca="false">[1]НАДІЙШЛО2!IW26</f>
        <v>0</v>
      </c>
      <c r="ACK34" s="96" t="n">
        <f aca="false">[1]ВИБУЛО2!IW26</f>
        <v>0</v>
      </c>
      <c r="ACL34" s="97" t="n">
        <f aca="false">ACL33-ACK34+ACJ34</f>
        <v>0</v>
      </c>
      <c r="ACM34" s="95" t="n">
        <f aca="false">[1]НАДІЙШЛО2!IX26</f>
        <v>0</v>
      </c>
      <c r="ACN34" s="96" t="n">
        <f aca="false">[1]ВИБУЛО2!IX26</f>
        <v>0</v>
      </c>
      <c r="ACO34" s="97" t="n">
        <f aca="false">ACO33-ACN34+ACM34</f>
        <v>0</v>
      </c>
      <c r="ACP34" s="95" t="n">
        <f aca="false">[1]НАДІЙШЛО2!IY26</f>
        <v>0</v>
      </c>
      <c r="ACQ34" s="96" t="n">
        <f aca="false">[1]ВИБУЛО2!IY26</f>
        <v>0</v>
      </c>
      <c r="ACR34" s="97" t="n">
        <f aca="false">ACR33-ACQ34+ACP34</f>
        <v>0</v>
      </c>
      <c r="ACS34" s="95" t="n">
        <f aca="false">[1]НАДІЙШЛО2!IZ26</f>
        <v>0</v>
      </c>
      <c r="ACT34" s="96" t="n">
        <f aca="false">[1]ВИБУЛО2!IZ26</f>
        <v>0</v>
      </c>
      <c r="ACU34" s="97" t="n">
        <f aca="false">ACU33-ACT34+ACS34</f>
        <v>0</v>
      </c>
      <c r="ACV34" s="95" t="n">
        <f aca="false">[1]НАДІЙШЛО2!JA26</f>
        <v>0</v>
      </c>
      <c r="ACW34" s="96" t="n">
        <f aca="false">[1]ВИБУЛО2!JA26</f>
        <v>0</v>
      </c>
      <c r="ACX34" s="97" t="n">
        <f aca="false">ACX33-ACW34+ACV34</f>
        <v>0</v>
      </c>
      <c r="ACY34" s="95" t="n">
        <f aca="false">[1]НАДІЙШЛО2!JB26</f>
        <v>0</v>
      </c>
      <c r="ACZ34" s="96" t="n">
        <f aca="false">[1]ВИБУЛО2!JB26</f>
        <v>0</v>
      </c>
      <c r="ADA34" s="97" t="n">
        <f aca="false">ADA33-ACZ34+ACY34</f>
        <v>0</v>
      </c>
      <c r="ADB34" s="95" t="n">
        <f aca="false">[1]НАДІЙШЛО2!JC26</f>
        <v>0</v>
      </c>
      <c r="ADC34" s="96" t="n">
        <f aca="false">[1]ВИБУЛО2!JC26</f>
        <v>0</v>
      </c>
      <c r="ADD34" s="97" t="n">
        <f aca="false">ADD33-ADC34+ADB34</f>
        <v>0</v>
      </c>
      <c r="ADE34" s="95" t="n">
        <f aca="false">[1]НАДІЙШЛО2!JD26</f>
        <v>0</v>
      </c>
      <c r="ADF34" s="96" t="n">
        <f aca="false">[1]ВИБУЛО2!JD26</f>
        <v>0</v>
      </c>
      <c r="ADG34" s="97" t="n">
        <f aca="false">ADG33-ADF34+ADE34</f>
        <v>0</v>
      </c>
      <c r="ADH34" s="95" t="n">
        <f aca="false">[1]НАДІЙШЛО2!JE26</f>
        <v>0</v>
      </c>
      <c r="ADI34" s="96" t="n">
        <f aca="false">[1]ВИБУЛО2!JE26</f>
        <v>0</v>
      </c>
      <c r="ADJ34" s="97" t="n">
        <f aca="false">ADJ33-ADI34+ADH34</f>
        <v>0</v>
      </c>
      <c r="ADK34" s="95" t="n">
        <f aca="false">[1]НАДІЙШЛО2!JF26</f>
        <v>0</v>
      </c>
      <c r="ADL34" s="96" t="n">
        <f aca="false">[1]ВИБУЛО2!JF26</f>
        <v>0</v>
      </c>
      <c r="ADM34" s="97" t="n">
        <f aca="false">ADM33-ADL34+ADK34</f>
        <v>0</v>
      </c>
      <c r="ADN34" s="95" t="n">
        <f aca="false">[1]НАДІЙШЛО2!JG26</f>
        <v>0</v>
      </c>
      <c r="ADO34" s="96" t="n">
        <f aca="false">[1]ВИБУЛО2!JG26</f>
        <v>0</v>
      </c>
      <c r="ADP34" s="97" t="n">
        <f aca="false">ADP33-ADO34+ADN34</f>
        <v>0</v>
      </c>
      <c r="ADQ34" s="95" t="n">
        <f aca="false">[1]НАДІЙШЛО2!JH26</f>
        <v>0</v>
      </c>
      <c r="ADR34" s="96" t="n">
        <f aca="false">[1]ВИБУЛО2!JH26</f>
        <v>0</v>
      </c>
      <c r="ADS34" s="97" t="n">
        <f aca="false">ADS33-ADR34+ADQ34</f>
        <v>0</v>
      </c>
      <c r="ADT34" s="95" t="n">
        <f aca="false">[1]НАДІЙШЛО2!JI26</f>
        <v>0</v>
      </c>
      <c r="ADU34" s="96" t="n">
        <f aca="false">[1]ВИБУЛО2!JI26</f>
        <v>0</v>
      </c>
      <c r="ADV34" s="97" t="n">
        <f aca="false">ADV33-ADU34+ADT34</f>
        <v>0</v>
      </c>
      <c r="ADW34" s="95" t="n">
        <f aca="false">[1]НАДІЙШЛО2!JJ26</f>
        <v>0</v>
      </c>
      <c r="ADX34" s="96" t="n">
        <f aca="false">[1]ВИБУЛО2!JJ26</f>
        <v>0</v>
      </c>
      <c r="ADY34" s="97" t="n">
        <f aca="false">ADY33-ADX34+ADW34</f>
        <v>0</v>
      </c>
      <c r="ADZ34" s="95" t="n">
        <f aca="false">[1]НАДІЙШЛО2!JK26</f>
        <v>0</v>
      </c>
      <c r="AEA34" s="96" t="n">
        <f aca="false">[1]ВИБУЛО2!JK26</f>
        <v>0</v>
      </c>
      <c r="AEB34" s="97" t="n">
        <f aca="false">AEB33-AEA34+ADZ34</f>
        <v>0</v>
      </c>
      <c r="AEC34" s="95" t="n">
        <f aca="false">[1]НАДІЙШЛО2!JL26</f>
        <v>0</v>
      </c>
      <c r="AED34" s="96" t="n">
        <f aca="false">[1]ВИБУЛО2!JL26</f>
        <v>0</v>
      </c>
      <c r="AEE34" s="97" t="n">
        <f aca="false">AEE33-AED34+AEC34</f>
        <v>0</v>
      </c>
      <c r="AEF34" s="95" t="n">
        <f aca="false">[1]НАДІЙШЛО2!JM26</f>
        <v>0</v>
      </c>
      <c r="AEG34" s="96" t="n">
        <f aca="false">[1]ВИБУЛО2!JM26</f>
        <v>0</v>
      </c>
      <c r="AEH34" s="97" t="n">
        <f aca="false">AEH33-AEG34+AEF34</f>
        <v>0</v>
      </c>
      <c r="AEI34" s="95" t="n">
        <f aca="false">[1]НАДІЙШЛО2!JN26</f>
        <v>0</v>
      </c>
      <c r="AEJ34" s="96" t="n">
        <f aca="false">[1]ВИБУЛО2!JN26</f>
        <v>0</v>
      </c>
      <c r="AEK34" s="97" t="n">
        <f aca="false">AEK33-AEJ34+AEI34</f>
        <v>0</v>
      </c>
      <c r="AEL34" s="95" t="n">
        <f aca="false">[1]НАДІЙШЛО2!JO26</f>
        <v>0</v>
      </c>
      <c r="AEM34" s="96" t="n">
        <f aca="false">[1]ВИБУЛО2!JO26</f>
        <v>0</v>
      </c>
      <c r="AEN34" s="97" t="n">
        <f aca="false">AEN33-AEM34+AEL34</f>
        <v>0</v>
      </c>
      <c r="AEO34" s="95" t="n">
        <f aca="false">[1]НАДІЙШЛО2!JP26</f>
        <v>0</v>
      </c>
      <c r="AEP34" s="96" t="n">
        <f aca="false">[1]ВИБУЛО2!JP26</f>
        <v>0</v>
      </c>
      <c r="AEQ34" s="97" t="n">
        <f aca="false">AEQ33-AEP34+AEO34</f>
        <v>0</v>
      </c>
      <c r="AER34" s="95" t="n">
        <f aca="false">[1]НАДІЙШЛО2!JQ26</f>
        <v>0</v>
      </c>
      <c r="AES34" s="96" t="n">
        <f aca="false">[1]ВИБУЛО2!JQ26</f>
        <v>0</v>
      </c>
      <c r="AET34" s="97" t="n">
        <f aca="false">AET33-AES34+AER34</f>
        <v>0</v>
      </c>
      <c r="AEU34" s="95" t="n">
        <f aca="false">[1]НАДІЙШЛО2!JR26</f>
        <v>0</v>
      </c>
      <c r="AEV34" s="96" t="n">
        <f aca="false">[1]ВИБУЛО2!JR26</f>
        <v>0</v>
      </c>
      <c r="AEW34" s="97" t="n">
        <f aca="false">AEW33-AEV34+AEU34</f>
        <v>0</v>
      </c>
      <c r="AEX34" s="95" t="n">
        <f aca="false">[1]НАДІЙШЛО2!JS26</f>
        <v>0</v>
      </c>
      <c r="AEY34" s="96" t="n">
        <f aca="false">[1]ВИБУЛО2!JS26</f>
        <v>0</v>
      </c>
      <c r="AEZ34" s="97" t="n">
        <f aca="false">AEZ33-AEY34+AEX34</f>
        <v>0</v>
      </c>
      <c r="AFA34" s="95" t="n">
        <f aca="false">[1]НАДІЙШЛО2!JT26</f>
        <v>0</v>
      </c>
      <c r="AFB34" s="96" t="n">
        <f aca="false">[1]ВИБУЛО2!JT26</f>
        <v>0</v>
      </c>
      <c r="AFC34" s="97" t="n">
        <f aca="false">AFC33-AFB34+AFA34</f>
        <v>0</v>
      </c>
      <c r="AFD34" s="95" t="n">
        <f aca="false">[1]НАДІЙШЛО2!JU26</f>
        <v>0</v>
      </c>
      <c r="AFE34" s="96" t="n">
        <f aca="false">[1]ВИБУЛО2!JU26</f>
        <v>0</v>
      </c>
      <c r="AFF34" s="97" t="n">
        <f aca="false">AFF33-AFE34+AFD34</f>
        <v>0</v>
      </c>
      <c r="AFG34" s="95" t="n">
        <f aca="false">[1]НАДІЙШЛО2!JV26</f>
        <v>0</v>
      </c>
      <c r="AFH34" s="96" t="n">
        <f aca="false">[1]ВИБУЛО2!JV26</f>
        <v>0</v>
      </c>
      <c r="AFI34" s="97" t="n">
        <f aca="false">AFI33-AFH34+AFG34</f>
        <v>0</v>
      </c>
      <c r="AFJ34" s="95" t="n">
        <f aca="false">[1]НАДІЙШЛО2!JW26</f>
        <v>0</v>
      </c>
      <c r="AFK34" s="96" t="n">
        <f aca="false">[1]ВИБУЛО2!JW26</f>
        <v>0</v>
      </c>
      <c r="AFL34" s="97" t="n">
        <f aca="false">AFL33-AFK34+AFJ34</f>
        <v>0</v>
      </c>
      <c r="AFM34" s="95" t="n">
        <f aca="false">[1]НАДІЙШЛО2!JX26</f>
        <v>0</v>
      </c>
      <c r="AFN34" s="96" t="n">
        <f aca="false">[1]ВИБУЛО2!JX26</f>
        <v>0</v>
      </c>
      <c r="AFO34" s="97" t="n">
        <f aca="false">AFO33-AFN34+AFM34</f>
        <v>0</v>
      </c>
      <c r="AFP34" s="95" t="n">
        <f aca="false">[1]НАДІЙШЛО2!JY26</f>
        <v>0</v>
      </c>
      <c r="AFQ34" s="96" t="n">
        <f aca="false">[1]ВИБУЛО2!JY26</f>
        <v>0</v>
      </c>
      <c r="AFR34" s="97" t="n">
        <f aca="false">AFR33-AFQ34+AFP34</f>
        <v>0</v>
      </c>
      <c r="AFS34" s="95" t="n">
        <f aca="false">[1]НАДІЙШЛО2!JZ26</f>
        <v>0</v>
      </c>
      <c r="AFT34" s="96" t="n">
        <f aca="false">[1]ВИБУЛО2!JZ26</f>
        <v>0</v>
      </c>
      <c r="AFU34" s="97" t="n">
        <f aca="false">AFU33-AFT34+AFS34</f>
        <v>0</v>
      </c>
      <c r="AFV34" s="95" t="n">
        <f aca="false">[1]НАДІЙШЛО2!KA26</f>
        <v>0</v>
      </c>
      <c r="AFW34" s="96" t="n">
        <f aca="false">[1]ВИБУЛО2!KA26</f>
        <v>0</v>
      </c>
      <c r="AFX34" s="97" t="n">
        <f aca="false">AFX33-AFW34+AFV34</f>
        <v>0</v>
      </c>
      <c r="AFY34" s="95" t="n">
        <f aca="false">[1]НАДІЙШЛО2!KB26</f>
        <v>0</v>
      </c>
      <c r="AFZ34" s="96" t="n">
        <f aca="false">[1]ВИБУЛО2!KB26</f>
        <v>0</v>
      </c>
      <c r="AGA34" s="97" t="n">
        <f aca="false">AGA33-AFZ34+AFY34</f>
        <v>0</v>
      </c>
      <c r="AGB34" s="95" t="n">
        <f aca="false">[1]НАДІЙШЛО2!KC26</f>
        <v>0</v>
      </c>
      <c r="AGC34" s="96" t="n">
        <f aca="false">[1]ВИБУЛО2!KC26</f>
        <v>0</v>
      </c>
      <c r="AGD34" s="97" t="n">
        <f aca="false">AGD33-AGC34+AGB34</f>
        <v>0</v>
      </c>
      <c r="AGE34" s="95" t="n">
        <f aca="false">[1]НАДІЙШЛО2!KD26</f>
        <v>0</v>
      </c>
      <c r="AGF34" s="96" t="n">
        <f aca="false">[1]ВИБУЛО2!KD26</f>
        <v>0</v>
      </c>
      <c r="AGG34" s="97" t="n">
        <f aca="false">AGG33-AGF34+AGE34</f>
        <v>0</v>
      </c>
      <c r="AGH34" s="95" t="n">
        <f aca="false">[1]НАДІЙШЛО2!KE26</f>
        <v>0</v>
      </c>
      <c r="AGI34" s="96" t="n">
        <f aca="false">[1]ВИБУЛО2!KE26</f>
        <v>0</v>
      </c>
      <c r="AGJ34" s="97" t="n">
        <f aca="false">AGJ33-AGI34+AGH34</f>
        <v>0</v>
      </c>
      <c r="AGK34" s="95" t="n">
        <f aca="false">[1]НАДІЙШЛО2!KF26</f>
        <v>0</v>
      </c>
      <c r="AGL34" s="96" t="n">
        <f aca="false">[1]ВИБУЛО2!KF26</f>
        <v>0</v>
      </c>
      <c r="AGM34" s="97" t="n">
        <f aca="false">AGM33-AGL34+AGK34</f>
        <v>0</v>
      </c>
      <c r="AGN34" s="95" t="n">
        <f aca="false">[1]НАДІЙШЛО2!KG26</f>
        <v>0</v>
      </c>
      <c r="AGO34" s="96" t="n">
        <f aca="false">[1]ВИБУЛО2!KG26</f>
        <v>0</v>
      </c>
      <c r="AGP34" s="97" t="n">
        <f aca="false">AGP33-AGO34+AGN34</f>
        <v>0</v>
      </c>
      <c r="AGQ34" s="95" t="n">
        <f aca="false">[1]НАДІЙШЛО2!KH26</f>
        <v>0</v>
      </c>
      <c r="AGR34" s="96" t="n">
        <f aca="false">[1]ВИБУЛО2!KH26</f>
        <v>0</v>
      </c>
      <c r="AGS34" s="97" t="n">
        <f aca="false">AGS33-AGR34+AGQ34</f>
        <v>0</v>
      </c>
      <c r="AGT34" s="95" t="n">
        <f aca="false">[1]НАДІЙШЛО2!KI26</f>
        <v>0</v>
      </c>
      <c r="AGU34" s="96" t="n">
        <f aca="false">[1]ВИБУЛО2!KI26</f>
        <v>0</v>
      </c>
      <c r="AGV34" s="97" t="n">
        <f aca="false">AGV33-AGU34+AGT34</f>
        <v>0</v>
      </c>
      <c r="AGW34" s="95" t="n">
        <f aca="false">[1]НАДІЙШЛО2!KJ26</f>
        <v>0</v>
      </c>
      <c r="AGX34" s="96" t="n">
        <f aca="false">[1]ВИБУЛО2!KJ26</f>
        <v>0</v>
      </c>
      <c r="AGY34" s="97" t="n">
        <f aca="false">AGY33-AGX34+AGW34</f>
        <v>0</v>
      </c>
      <c r="AGZ34" s="95" t="n">
        <f aca="false">[1]НАДІЙШЛО2!KK26</f>
        <v>0</v>
      </c>
      <c r="AHA34" s="96" t="n">
        <f aca="false">[1]ВИБУЛО2!KK26</f>
        <v>0</v>
      </c>
      <c r="AHB34" s="97" t="n">
        <f aca="false">AHB33-AHA34+AGZ34</f>
        <v>0</v>
      </c>
      <c r="AHC34" s="95" t="n">
        <f aca="false">[1]НАДІЙШЛО2!KL26</f>
        <v>0</v>
      </c>
      <c r="AHD34" s="96" t="n">
        <f aca="false">[1]ВИБУЛО2!KL26</f>
        <v>0</v>
      </c>
      <c r="AHE34" s="97" t="n">
        <f aca="false">AHE33-AHD34+AHC34</f>
        <v>0</v>
      </c>
      <c r="AHF34" s="95" t="n">
        <f aca="false">[1]НАДІЙШЛО2!KM26</f>
        <v>0</v>
      </c>
      <c r="AHG34" s="96" t="n">
        <f aca="false">[1]ВИБУЛО2!KM26</f>
        <v>0</v>
      </c>
      <c r="AHH34" s="97" t="n">
        <f aca="false">AHH33-AHG34+AHF34</f>
        <v>0</v>
      </c>
      <c r="AHI34" s="95" t="n">
        <f aca="false">[1]НАДІЙШЛО2!KN26</f>
        <v>0</v>
      </c>
      <c r="AHJ34" s="96" t="n">
        <f aca="false">[1]ВИБУЛО2!KN26</f>
        <v>0</v>
      </c>
      <c r="AHK34" s="97" t="n">
        <f aca="false">AHK33-AHJ34+AHI34</f>
        <v>0</v>
      </c>
      <c r="AHL34" s="95" t="n">
        <f aca="false">[1]НАДІЙШЛО2!KO26</f>
        <v>0</v>
      </c>
      <c r="AHM34" s="96" t="n">
        <f aca="false">[1]ВИБУЛО2!KO26</f>
        <v>0</v>
      </c>
      <c r="AHN34" s="97" t="n">
        <f aca="false">AHN33-AHM34+AHL34</f>
        <v>0</v>
      </c>
      <c r="AHO34" s="95" t="n">
        <f aca="false">[1]НАДІЙШЛО2!KP26</f>
        <v>0</v>
      </c>
      <c r="AHP34" s="96" t="n">
        <f aca="false">[1]ВИБУЛО2!KP26</f>
        <v>0</v>
      </c>
      <c r="AHQ34" s="97" t="n">
        <f aca="false">AHQ33-AHP34+AHO34</f>
        <v>0</v>
      </c>
      <c r="AHR34" s="95" t="n">
        <f aca="false">[1]НАДІЙШЛО2!KQ26</f>
        <v>0</v>
      </c>
      <c r="AHS34" s="96" t="n">
        <f aca="false">[1]ВИБУЛО2!KQ26</f>
        <v>0</v>
      </c>
      <c r="AHT34" s="97" t="n">
        <f aca="false">AHT33-AHS34+AHR34</f>
        <v>0</v>
      </c>
      <c r="AHU34" s="95" t="n">
        <f aca="false">[1]НАДІЙШЛО2!KR26</f>
        <v>0</v>
      </c>
      <c r="AHV34" s="96" t="n">
        <f aca="false">[1]ВИБУЛО2!KR26</f>
        <v>0</v>
      </c>
      <c r="AHW34" s="97" t="n">
        <f aca="false">AHW33-AHV34+AHU34</f>
        <v>0</v>
      </c>
      <c r="AHX34" s="95" t="n">
        <f aca="false">[1]НАДІЙШЛО2!KS26</f>
        <v>0</v>
      </c>
      <c r="AHY34" s="96" t="n">
        <f aca="false">[1]ВИБУЛО2!KS26</f>
        <v>0</v>
      </c>
      <c r="AHZ34" s="97" t="n">
        <f aca="false">AHZ33-AHY34+AHX34</f>
        <v>0</v>
      </c>
      <c r="AIA34" s="95" t="n">
        <f aca="false">[1]НАДІЙШЛО2!KT26</f>
        <v>0</v>
      </c>
      <c r="AIB34" s="96" t="n">
        <f aca="false">[1]ВИБУЛО2!KT26</f>
        <v>0</v>
      </c>
      <c r="AIC34" s="97" t="n">
        <f aca="false">AIC33-AIB34+AIA34</f>
        <v>0</v>
      </c>
      <c r="AID34" s="95" t="n">
        <f aca="false">[1]НАДІЙШЛО2!KU26</f>
        <v>0</v>
      </c>
      <c r="AIE34" s="96" t="n">
        <f aca="false">[1]ВИБУЛО2!KU26</f>
        <v>0</v>
      </c>
      <c r="AIF34" s="97" t="n">
        <f aca="false">AIF33-AIE34+AID34</f>
        <v>0</v>
      </c>
      <c r="AIG34" s="95" t="n">
        <f aca="false">[1]НАДІЙШЛО2!KV26</f>
        <v>0</v>
      </c>
      <c r="AIH34" s="96" t="n">
        <f aca="false">[1]ВИБУЛО2!KV26</f>
        <v>0</v>
      </c>
      <c r="AII34" s="97" t="n">
        <f aca="false">AII33-AIH34+AIG34</f>
        <v>0</v>
      </c>
      <c r="AIJ34" s="95" t="n">
        <f aca="false">[1]НАДІЙШЛО2!KW26</f>
        <v>0</v>
      </c>
      <c r="AIK34" s="96" t="n">
        <f aca="false">[1]ВИБУЛО2!KW26</f>
        <v>0</v>
      </c>
      <c r="AIL34" s="97" t="n">
        <f aca="false">AIL33-AIK34+AIJ34</f>
        <v>0</v>
      </c>
      <c r="AIM34" s="95" t="n">
        <f aca="false">[1]НАДІЙШЛО2!KX26</f>
        <v>0</v>
      </c>
      <c r="AIN34" s="96" t="n">
        <f aca="false">[1]ВИБУЛО2!KX26</f>
        <v>0</v>
      </c>
      <c r="AIO34" s="97" t="n">
        <f aca="false">AIO33-AIN34+AIM34</f>
        <v>0</v>
      </c>
      <c r="AIP34" s="95" t="n">
        <f aca="false">[1]НАДІЙШЛО2!KY26</f>
        <v>0</v>
      </c>
      <c r="AIQ34" s="96" t="n">
        <f aca="false">[1]ВИБУЛО2!KY26</f>
        <v>0</v>
      </c>
      <c r="AIR34" s="97" t="n">
        <f aca="false">AIR33-AIQ34+AIP34</f>
        <v>0</v>
      </c>
      <c r="AIS34" s="95" t="n">
        <f aca="false">[1]НАДІЙШЛО2!KZ26</f>
        <v>0</v>
      </c>
      <c r="AIT34" s="96" t="n">
        <f aca="false">[1]ВИБУЛО2!KZ26</f>
        <v>0</v>
      </c>
      <c r="AIU34" s="97" t="n">
        <f aca="false">AIU33-AIT34+AIS34</f>
        <v>0</v>
      </c>
      <c r="AIV34" s="95" t="n">
        <f aca="false">[1]НАДІЙШЛО2!LA26</f>
        <v>0</v>
      </c>
      <c r="AIW34" s="96" t="n">
        <f aca="false">[1]ВИБУЛО2!LA26</f>
        <v>0</v>
      </c>
      <c r="AIX34" s="97" t="n">
        <f aca="false">AIX33-AIW34+AIV34</f>
        <v>0</v>
      </c>
      <c r="AIY34" s="95" t="n">
        <f aca="false">[1]НАДІЙШЛО2!LB26</f>
        <v>0</v>
      </c>
      <c r="AIZ34" s="96" t="n">
        <f aca="false">[1]ВИБУЛО2!LB26</f>
        <v>0</v>
      </c>
      <c r="AJA34" s="97" t="n">
        <f aca="false">AJA33-AIZ34+AIY34</f>
        <v>0</v>
      </c>
      <c r="AJB34" s="95" t="n">
        <f aca="false">[1]НАДІЙШЛО2!LC26</f>
        <v>0</v>
      </c>
      <c r="AJC34" s="96" t="n">
        <f aca="false">[1]ВИБУЛО2!LC26</f>
        <v>0</v>
      </c>
      <c r="AJD34" s="97" t="n">
        <f aca="false">AJD33-AJC34+AJB34</f>
        <v>0</v>
      </c>
      <c r="AJE34" s="95" t="n">
        <f aca="false">[1]НАДІЙШЛО2!LD26</f>
        <v>0</v>
      </c>
      <c r="AJF34" s="96" t="n">
        <f aca="false">[1]ВИБУЛО2!LD26</f>
        <v>0</v>
      </c>
      <c r="AJG34" s="97" t="n">
        <f aca="false">AJG33-AJF34+AJE34</f>
        <v>0</v>
      </c>
      <c r="AJH34" s="95" t="n">
        <f aca="false">[1]НАДІЙШЛО2!LE26</f>
        <v>0</v>
      </c>
      <c r="AJI34" s="96" t="n">
        <f aca="false">[1]ВИБУЛО2!LE26</f>
        <v>0</v>
      </c>
      <c r="AJJ34" s="97" t="n">
        <f aca="false">AJJ33-AJI34+AJH34</f>
        <v>0</v>
      </c>
      <c r="AJK34" s="95" t="n">
        <f aca="false">[1]НАДІЙШЛО2!LF26</f>
        <v>0</v>
      </c>
      <c r="AJL34" s="96" t="n">
        <f aca="false">[1]ВИБУЛО2!LF26</f>
        <v>0</v>
      </c>
      <c r="AJM34" s="97" t="n">
        <f aca="false">AJM33-AJL34+AJK34</f>
        <v>0</v>
      </c>
      <c r="AJN34" s="95" t="n">
        <f aca="false">[1]НАДІЙШЛО2!LG26</f>
        <v>0</v>
      </c>
      <c r="AJO34" s="96" t="n">
        <f aca="false">[1]ВИБУЛО2!LG26</f>
        <v>0</v>
      </c>
      <c r="AJP34" s="97" t="n">
        <f aca="false">AJP33-AJO34+AJN34</f>
        <v>0</v>
      </c>
      <c r="AJQ34" s="95" t="n">
        <f aca="false">[1]НАДІЙШЛО2!LH26</f>
        <v>0</v>
      </c>
      <c r="AJR34" s="96" t="n">
        <f aca="false">[1]ВИБУЛО2!LH26</f>
        <v>0</v>
      </c>
      <c r="AJS34" s="97" t="n">
        <f aca="false">AJS33-AJR34+AJQ34</f>
        <v>0</v>
      </c>
      <c r="AJT34" s="95" t="n">
        <f aca="false">[1]НАДІЙШЛО2!LI26</f>
        <v>0</v>
      </c>
      <c r="AJU34" s="96" t="n">
        <f aca="false">[1]ВИБУЛО2!LI26</f>
        <v>0</v>
      </c>
      <c r="AJV34" s="97" t="n">
        <f aca="false">AJV33-AJU34+AJT34</f>
        <v>0</v>
      </c>
      <c r="AJW34" s="95" t="n">
        <f aca="false">[1]НАДІЙШЛО2!LJ26</f>
        <v>0</v>
      </c>
      <c r="AJX34" s="96" t="n">
        <f aca="false">[1]ВИБУЛО2!LJ26</f>
        <v>0</v>
      </c>
      <c r="AJY34" s="97" t="n">
        <f aca="false">AJY33-AJX34+AJW34</f>
        <v>0</v>
      </c>
      <c r="AJZ34" s="95" t="n">
        <f aca="false">[1]НАДІЙШЛО2!LK26</f>
        <v>0</v>
      </c>
      <c r="AKA34" s="96" t="n">
        <f aca="false">[1]ВИБУЛО2!LK26</f>
        <v>0</v>
      </c>
      <c r="AKB34" s="97" t="n">
        <f aca="false">AKB33-AKA34+AJZ34</f>
        <v>0</v>
      </c>
      <c r="AKC34" s="95" t="n">
        <f aca="false">[1]НАДІЙШЛО2!LL26</f>
        <v>0</v>
      </c>
      <c r="AKD34" s="96" t="n">
        <f aca="false">[1]ВИБУЛО2!LL26</f>
        <v>0</v>
      </c>
      <c r="AKE34" s="97" t="n">
        <f aca="false">AKE33-AKD34+AKC34</f>
        <v>0</v>
      </c>
      <c r="AKF34" s="95" t="n">
        <f aca="false">[1]НАДІЙШЛО2!LM26</f>
        <v>0</v>
      </c>
      <c r="AKG34" s="96" t="n">
        <f aca="false">[1]ВИБУЛО2!LM26</f>
        <v>0</v>
      </c>
      <c r="AKH34" s="97" t="n">
        <f aca="false">AKH33-AKG34+AKF34</f>
        <v>0</v>
      </c>
      <c r="AKI34" s="95" t="n">
        <f aca="false">[1]НАДІЙШЛО2!LN26</f>
        <v>0</v>
      </c>
      <c r="AKJ34" s="96" t="n">
        <f aca="false">[1]ВИБУЛО2!LN26</f>
        <v>0</v>
      </c>
      <c r="AKK34" s="97" t="n">
        <f aca="false">AKK33-AKJ34+AKI34</f>
        <v>0</v>
      </c>
      <c r="AKL34" s="95" t="n">
        <f aca="false">[1]НАДІЙШЛО2!LO26</f>
        <v>0</v>
      </c>
      <c r="AKM34" s="96" t="n">
        <f aca="false">[1]ВИБУЛО2!LO26</f>
        <v>0</v>
      </c>
      <c r="AKN34" s="97" t="n">
        <f aca="false">AKN33-AKM34+AKL34</f>
        <v>0</v>
      </c>
      <c r="AKO34" s="95" t="n">
        <f aca="false">[1]НАДІЙШЛО2!LP26</f>
        <v>0</v>
      </c>
      <c r="AKP34" s="96" t="n">
        <f aca="false">[1]ВИБУЛО2!LP26</f>
        <v>0</v>
      </c>
      <c r="AKQ34" s="97" t="n">
        <f aca="false">AKQ33-AKP34+AKO34</f>
        <v>0</v>
      </c>
      <c r="AKR34" s="95" t="n">
        <f aca="false">[1]НАДІЙШЛО2!LQ26</f>
        <v>0</v>
      </c>
      <c r="AKS34" s="96" t="n">
        <f aca="false">[1]ВИБУЛО2!LQ26</f>
        <v>0</v>
      </c>
      <c r="AKT34" s="97" t="n">
        <f aca="false">AKT33-AKS34+AKR34</f>
        <v>0</v>
      </c>
      <c r="AKU34" s="95" t="n">
        <f aca="false">[1]НАДІЙШЛО2!LR26</f>
        <v>0</v>
      </c>
      <c r="AKV34" s="96" t="n">
        <f aca="false">[1]ВИБУЛО2!LR26</f>
        <v>0</v>
      </c>
      <c r="AKW34" s="97" t="n">
        <f aca="false">AKW33-AKV34+AKU34</f>
        <v>0</v>
      </c>
      <c r="AKX34" s="95" t="n">
        <f aca="false">[1]НАДІЙШЛО2!LS26</f>
        <v>0</v>
      </c>
      <c r="AKY34" s="96" t="n">
        <f aca="false">[1]ВИБУЛО2!LS26</f>
        <v>0</v>
      </c>
      <c r="AKZ34" s="97" t="n">
        <f aca="false">AKZ33-AKY34+AKX34</f>
        <v>0</v>
      </c>
      <c r="ALA34" s="95" t="n">
        <f aca="false">[1]НАДІЙШЛО2!LT26</f>
        <v>0</v>
      </c>
      <c r="ALB34" s="96" t="n">
        <f aca="false">[1]ВИБУЛО2!LT26</f>
        <v>0</v>
      </c>
      <c r="ALC34" s="97" t="n">
        <f aca="false">ALC33-ALB34+ALA34</f>
        <v>0</v>
      </c>
      <c r="ALD34" s="95" t="n">
        <f aca="false">[1]НАДІЙШЛО2!LU26</f>
        <v>0</v>
      </c>
      <c r="ALE34" s="96" t="n">
        <f aca="false">[1]ВИБУЛО2!LU26</f>
        <v>0</v>
      </c>
      <c r="ALF34" s="97" t="n">
        <f aca="false">ALF33-ALE34+ALD34</f>
        <v>0</v>
      </c>
      <c r="ALG34" s="95" t="n">
        <f aca="false">[1]НАДІЙШЛО2!LV26</f>
        <v>0</v>
      </c>
      <c r="ALH34" s="96" t="n">
        <f aca="false">[1]ВИБУЛО2!LV26</f>
        <v>0</v>
      </c>
      <c r="ALI34" s="97" t="n">
        <f aca="false">ALI33-ALH34+ALG34</f>
        <v>0</v>
      </c>
      <c r="ALJ34" s="95" t="n">
        <f aca="false">[1]НАДІЙШЛО2!LW26</f>
        <v>0</v>
      </c>
      <c r="ALK34" s="96" t="n">
        <f aca="false">[1]ВИБУЛО2!LW26</f>
        <v>0</v>
      </c>
      <c r="ALL34" s="97" t="n">
        <f aca="false">ALL33-ALK34+ALJ34</f>
        <v>0</v>
      </c>
      <c r="ALM34" s="95" t="n">
        <f aca="false">[1]НАДІЙШЛО2!LX26</f>
        <v>0</v>
      </c>
      <c r="ALN34" s="96" t="n">
        <f aca="false">[1]ВИБУЛО2!LX26</f>
        <v>0</v>
      </c>
      <c r="ALO34" s="97" t="n">
        <f aca="false">ALO33-ALN34+ALM34</f>
        <v>0</v>
      </c>
      <c r="ALP34" s="95" t="n">
        <f aca="false">[1]НАДІЙШЛО2!LY26</f>
        <v>0</v>
      </c>
      <c r="ALQ34" s="96" t="n">
        <f aca="false">[1]ВИБУЛО2!LY26</f>
        <v>0</v>
      </c>
      <c r="ALR34" s="97" t="n">
        <f aca="false">ALR33-ALQ34+ALP34</f>
        <v>0</v>
      </c>
      <c r="ALS34" s="95" t="n">
        <f aca="false">[1]НАДІЙШЛО2!LZ26</f>
        <v>0</v>
      </c>
      <c r="ALT34" s="96" t="n">
        <f aca="false">[1]ВИБУЛО2!LZ26</f>
        <v>0</v>
      </c>
      <c r="ALU34" s="97" t="n">
        <f aca="false">ALU33-ALT34+ALS34</f>
        <v>0</v>
      </c>
      <c r="ALV34" s="95" t="n">
        <f aca="false">[1]НАДІЙШЛО2!MA26</f>
        <v>0</v>
      </c>
      <c r="ALW34" s="96" t="n">
        <f aca="false">[1]ВИБУЛО2!MA26</f>
        <v>0</v>
      </c>
      <c r="ALX34" s="97" t="n">
        <f aca="false">ALX33-ALW34+ALV34</f>
        <v>0</v>
      </c>
      <c r="ALY34" s="95" t="n">
        <f aca="false">[1]НАДІЙШЛО2!MB26</f>
        <v>0</v>
      </c>
      <c r="ALZ34" s="96" t="n">
        <f aca="false">[1]ВИБУЛО2!MB26</f>
        <v>0</v>
      </c>
      <c r="AMA34" s="97" t="n">
        <f aca="false">AMA33-ALZ34+ALY34</f>
        <v>0</v>
      </c>
      <c r="AMB34" s="95" t="n">
        <f aca="false">[1]НАДІЙШЛО2!MC26</f>
        <v>0</v>
      </c>
      <c r="AMC34" s="96" t="n">
        <f aca="false">[1]ВИБУЛО2!MC26</f>
        <v>0</v>
      </c>
      <c r="AMD34" s="97" t="n">
        <f aca="false">AMD33-AMC34+AMB34</f>
        <v>0</v>
      </c>
      <c r="AME34" s="95" t="n">
        <f aca="false">[1]НАДІЙШЛО2!MD26</f>
        <v>0</v>
      </c>
      <c r="AMF34" s="96" t="n">
        <f aca="false">[1]ВИБУЛО2!MD26</f>
        <v>0</v>
      </c>
      <c r="AMG34" s="97" t="n">
        <f aca="false">AMG33-AMF34+AME34</f>
        <v>0</v>
      </c>
      <c r="AMH34" s="95" t="n">
        <f aca="false">[1]НАДІЙШЛО2!ME26</f>
        <v>0</v>
      </c>
      <c r="AMI34" s="96" t="n">
        <f aca="false">[1]ВИБУЛО2!ME26</f>
        <v>0</v>
      </c>
      <c r="AMJ34" s="97" t="n">
        <f aca="false">AMJ33-AMI34+AMH34</f>
        <v>0</v>
      </c>
    </row>
    <row r="35" s="98" customFormat="true" ht="16.5" hidden="false" customHeight="false" outlineLevel="0" collapsed="false">
      <c r="B35" s="99"/>
      <c r="C35" s="104"/>
      <c r="D35" s="105"/>
      <c r="E35" s="106" t="n">
        <f aca="false">[1]НАДІЙШЛО2!D27</f>
        <v>0</v>
      </c>
      <c r="F35" s="107" t="n">
        <f aca="false">[1]ВИБУЛО2!D27</f>
        <v>0</v>
      </c>
      <c r="G35" s="108" t="n">
        <f aca="false">G34-F35+E35</f>
        <v>0</v>
      </c>
      <c r="H35" s="106" t="n">
        <f aca="false">[1]НАДІЙШЛО2!E27</f>
        <v>0</v>
      </c>
      <c r="I35" s="107" t="n">
        <f aca="false">[1]ВИБУЛО2!E27</f>
        <v>0</v>
      </c>
      <c r="J35" s="108" t="n">
        <f aca="false">J34-I35+H35</f>
        <v>0</v>
      </c>
      <c r="K35" s="106" t="n">
        <f aca="false">[1]НАДІЙШЛО2!F27</f>
        <v>0</v>
      </c>
      <c r="L35" s="107" t="n">
        <f aca="false">[1]ВИБУЛО2!F27</f>
        <v>0</v>
      </c>
      <c r="M35" s="108" t="n">
        <f aca="false">M34-L35+K35</f>
        <v>2.06</v>
      </c>
      <c r="N35" s="106" t="n">
        <f aca="false">[1]НАДІЙШЛО2!G27</f>
        <v>0</v>
      </c>
      <c r="O35" s="107" t="n">
        <f aca="false">[1]ВИБУЛО2!G27</f>
        <v>0</v>
      </c>
      <c r="P35" s="108" t="n">
        <f aca="false">P34-O35+N35</f>
        <v>0</v>
      </c>
      <c r="Q35" s="106" t="n">
        <f aca="false">[1]НАДІЙШЛО2!H27</f>
        <v>0</v>
      </c>
      <c r="R35" s="107" t="n">
        <f aca="false">[1]ВИБУЛО2!H27</f>
        <v>0</v>
      </c>
      <c r="S35" s="108" t="n">
        <f aca="false">S34-R35+Q35</f>
        <v>0</v>
      </c>
      <c r="T35" s="106" t="n">
        <f aca="false">[1]НАДІЙШЛО2!I27</f>
        <v>0</v>
      </c>
      <c r="U35" s="107" t="n">
        <f aca="false">[1]ВИБУЛО2!I27</f>
        <v>0</v>
      </c>
      <c r="V35" s="108" t="n">
        <f aca="false">V34-U35+T35</f>
        <v>0</v>
      </c>
      <c r="W35" s="106" t="n">
        <f aca="false">[1]НАДІЙШЛО2!J27</f>
        <v>0</v>
      </c>
      <c r="X35" s="107" t="n">
        <f aca="false">[1]ВИБУЛО2!J27</f>
        <v>0</v>
      </c>
      <c r="Y35" s="108" t="n">
        <f aca="false">Y34-X35+W35</f>
        <v>0</v>
      </c>
      <c r="Z35" s="106" t="n">
        <f aca="false">[1]НАДІЙШЛО2!K27</f>
        <v>0</v>
      </c>
      <c r="AA35" s="107" t="n">
        <f aca="false">[1]ВИБУЛО2!K27</f>
        <v>0</v>
      </c>
      <c r="AB35" s="108" t="n">
        <f aca="false">AB34-AA35+Z35</f>
        <v>0</v>
      </c>
      <c r="AC35" s="106" t="n">
        <f aca="false">[1]НАДІЙШЛО2!L27</f>
        <v>0</v>
      </c>
      <c r="AD35" s="107" t="n">
        <f aca="false">[1]ВИБУЛО2!L27</f>
        <v>0</v>
      </c>
      <c r="AE35" s="108" t="n">
        <f aca="false">AE34-AD35+AC35</f>
        <v>0</v>
      </c>
      <c r="AF35" s="106" t="n">
        <f aca="false">[1]НАДІЙШЛО2!M27</f>
        <v>0</v>
      </c>
      <c r="AG35" s="107" t="n">
        <f aca="false">[1]ВИБУЛО2!M27</f>
        <v>0</v>
      </c>
      <c r="AH35" s="108" t="n">
        <f aca="false">AH34-AG35+AF35</f>
        <v>0</v>
      </c>
      <c r="AI35" s="106" t="n">
        <f aca="false">[1]НАДІЙШЛО2!N27</f>
        <v>0</v>
      </c>
      <c r="AJ35" s="107" t="n">
        <f aca="false">[1]ВИБУЛО2!N27</f>
        <v>0</v>
      </c>
      <c r="AK35" s="108" t="n">
        <f aca="false">AK34-AJ35+AI35</f>
        <v>0</v>
      </c>
      <c r="AL35" s="106" t="n">
        <f aca="false">[1]НАДІЙШЛО2!O27</f>
        <v>0</v>
      </c>
      <c r="AM35" s="107" t="n">
        <f aca="false">[1]ВИБУЛО2!O27</f>
        <v>0</v>
      </c>
      <c r="AN35" s="108" t="n">
        <f aca="false">AN34-AM35+AL35</f>
        <v>0</v>
      </c>
      <c r="AO35" s="106" t="n">
        <f aca="false">[1]НАДІЙШЛО2!P27</f>
        <v>0</v>
      </c>
      <c r="AP35" s="107" t="n">
        <f aca="false">[1]ВИБУЛО2!P27</f>
        <v>0</v>
      </c>
      <c r="AQ35" s="108" t="n">
        <f aca="false">AQ34-AP35+AO35</f>
        <v>0</v>
      </c>
      <c r="AR35" s="106" t="n">
        <f aca="false">[1]НАДІЙШЛО2!Q27</f>
        <v>0</v>
      </c>
      <c r="AS35" s="107" t="n">
        <f aca="false">[1]ВИБУЛО2!Q27</f>
        <v>0</v>
      </c>
      <c r="AT35" s="108" t="n">
        <f aca="false">AT34-AS35+AR35</f>
        <v>0</v>
      </c>
      <c r="AU35" s="106" t="n">
        <f aca="false">[1]НАДІЙШЛО2!R27</f>
        <v>0</v>
      </c>
      <c r="AV35" s="107" t="n">
        <f aca="false">[1]ВИБУЛО2!R27</f>
        <v>0</v>
      </c>
      <c r="AW35" s="108" t="n">
        <f aca="false">AW34-AV35+AU35</f>
        <v>0</v>
      </c>
      <c r="AX35" s="106" t="n">
        <f aca="false">[1]НАДІЙШЛО2!S27</f>
        <v>0</v>
      </c>
      <c r="AY35" s="107" t="n">
        <f aca="false">[1]ВИБУЛО2!S27</f>
        <v>0</v>
      </c>
      <c r="AZ35" s="108" t="n">
        <f aca="false">AZ34-AY35+AX35</f>
        <v>0</v>
      </c>
      <c r="BA35" s="106" t="n">
        <f aca="false">[1]НАДІЙШЛО2!T27</f>
        <v>0</v>
      </c>
      <c r="BB35" s="107" t="n">
        <f aca="false">[1]ВИБУЛО2!T27</f>
        <v>0</v>
      </c>
      <c r="BC35" s="108" t="n">
        <f aca="false">BC34-BB35+BA35</f>
        <v>0</v>
      </c>
      <c r="BD35" s="106" t="n">
        <f aca="false">[1]НАДІЙШЛО2!U27</f>
        <v>0</v>
      </c>
      <c r="BE35" s="107" t="n">
        <f aca="false">[1]ВИБУЛО2!U27</f>
        <v>0</v>
      </c>
      <c r="BF35" s="108" t="n">
        <f aca="false">BF34-BE35+BD35</f>
        <v>0</v>
      </c>
      <c r="BG35" s="106" t="n">
        <f aca="false">[1]НАДІЙШЛО2!V27</f>
        <v>0</v>
      </c>
      <c r="BH35" s="107" t="n">
        <f aca="false">[1]ВИБУЛО2!V27</f>
        <v>0</v>
      </c>
      <c r="BI35" s="108" t="n">
        <f aca="false">BI34-BH35+BG35</f>
        <v>0</v>
      </c>
      <c r="BJ35" s="106" t="n">
        <f aca="false">[1]НАДІЙШЛО2!W27</f>
        <v>0</v>
      </c>
      <c r="BK35" s="107" t="n">
        <f aca="false">[1]ВИБУЛО2!W27</f>
        <v>0</v>
      </c>
      <c r="BL35" s="108" t="n">
        <f aca="false">BL34-BK35+BJ35</f>
        <v>0</v>
      </c>
      <c r="BM35" s="106" t="n">
        <f aca="false">[1]НАДІЙШЛО2!X27</f>
        <v>0</v>
      </c>
      <c r="BN35" s="107" t="n">
        <f aca="false">[1]ВИБУЛО2!X27</f>
        <v>0</v>
      </c>
      <c r="BO35" s="108" t="n">
        <f aca="false">BO34-BN35+BM35</f>
        <v>0</v>
      </c>
      <c r="BP35" s="106" t="n">
        <f aca="false">[1]НАДІЙШЛО2!Y27</f>
        <v>0</v>
      </c>
      <c r="BQ35" s="107" t="n">
        <f aca="false">[1]ВИБУЛО2!Y27</f>
        <v>0</v>
      </c>
      <c r="BR35" s="108" t="n">
        <f aca="false">BR34-BQ35+BP35</f>
        <v>0</v>
      </c>
      <c r="BS35" s="106" t="n">
        <f aca="false">[1]НАДІЙШЛО2!Z27</f>
        <v>0</v>
      </c>
      <c r="BT35" s="107" t="n">
        <f aca="false">[1]ВИБУЛО2!Z27</f>
        <v>0</v>
      </c>
      <c r="BU35" s="108" t="n">
        <f aca="false">BU34-BT35+BS35</f>
        <v>0</v>
      </c>
      <c r="BV35" s="106" t="n">
        <f aca="false">[1]НАДІЙШЛО2!AA27</f>
        <v>0</v>
      </c>
      <c r="BW35" s="107" t="n">
        <f aca="false">[1]ВИБУЛО2!AA27</f>
        <v>0</v>
      </c>
      <c r="BX35" s="108" t="n">
        <f aca="false">BX34-BW35+BV35</f>
        <v>0</v>
      </c>
      <c r="BY35" s="106" t="n">
        <f aca="false">[1]НАДІЙШЛО2!AB27</f>
        <v>0</v>
      </c>
      <c r="BZ35" s="107" t="n">
        <f aca="false">[1]ВИБУЛО2!AB27</f>
        <v>0</v>
      </c>
      <c r="CA35" s="108" t="n">
        <f aca="false">CA34-BZ35+BY35</f>
        <v>0</v>
      </c>
      <c r="CB35" s="106" t="n">
        <f aca="false">[1]НАДІЙШЛО2!AC27</f>
        <v>0</v>
      </c>
      <c r="CC35" s="107" t="n">
        <f aca="false">[1]ВИБУЛО2!AC27</f>
        <v>0</v>
      </c>
      <c r="CD35" s="108" t="n">
        <f aca="false">CD34-CC35+CB35</f>
        <v>0</v>
      </c>
      <c r="CE35" s="106" t="n">
        <f aca="false">[1]НАДІЙШЛО2!AD27</f>
        <v>0</v>
      </c>
      <c r="CF35" s="107" t="n">
        <f aca="false">[1]ВИБУЛО2!AD27</f>
        <v>0</v>
      </c>
      <c r="CG35" s="108" t="n">
        <f aca="false">CG34-CF35+CE35</f>
        <v>0</v>
      </c>
      <c r="CH35" s="106" t="n">
        <f aca="false">[1]НАДІЙШЛО2!AE27</f>
        <v>0</v>
      </c>
      <c r="CI35" s="107" t="n">
        <f aca="false">[1]ВИБУЛО2!AE27</f>
        <v>0</v>
      </c>
      <c r="CJ35" s="108" t="n">
        <f aca="false">CJ34-CI35+CH35</f>
        <v>0</v>
      </c>
      <c r="CK35" s="106" t="n">
        <f aca="false">[1]НАДІЙШЛО2!AF27</f>
        <v>0</v>
      </c>
      <c r="CL35" s="107" t="n">
        <f aca="false">[1]ВИБУЛО2!AF27</f>
        <v>0</v>
      </c>
      <c r="CM35" s="108" t="n">
        <f aca="false">CM34-CL35+CK35</f>
        <v>0</v>
      </c>
      <c r="CN35" s="106" t="n">
        <f aca="false">[1]НАДІЙШЛО2!AG27</f>
        <v>0</v>
      </c>
      <c r="CO35" s="107" t="n">
        <f aca="false">[1]ВИБУЛО2!AG27</f>
        <v>0</v>
      </c>
      <c r="CP35" s="108" t="n">
        <f aca="false">CP34-CO35+CN35</f>
        <v>0</v>
      </c>
      <c r="CQ35" s="106" t="n">
        <f aca="false">[1]НАДІЙШЛО2!AH27</f>
        <v>0</v>
      </c>
      <c r="CR35" s="107" t="n">
        <f aca="false">[1]ВИБУЛО2!AH27</f>
        <v>0</v>
      </c>
      <c r="CS35" s="108" t="n">
        <f aca="false">CS34-CR35+CQ35</f>
        <v>0</v>
      </c>
      <c r="CT35" s="106" t="n">
        <f aca="false">[1]НАДІЙШЛО2!AI27</f>
        <v>0</v>
      </c>
      <c r="CU35" s="107" t="n">
        <f aca="false">[1]ВИБУЛО2!AI27</f>
        <v>0</v>
      </c>
      <c r="CV35" s="108" t="n">
        <f aca="false">CV34-CU35+CT35</f>
        <v>0</v>
      </c>
      <c r="CW35" s="106" t="n">
        <f aca="false">[1]НАДІЙШЛО2!AJ27</f>
        <v>0</v>
      </c>
      <c r="CX35" s="107" t="n">
        <f aca="false">[1]ВИБУЛО2!AJ27</f>
        <v>0</v>
      </c>
      <c r="CY35" s="108" t="n">
        <f aca="false">CY34-CX35+CW35</f>
        <v>0</v>
      </c>
      <c r="CZ35" s="106" t="n">
        <f aca="false">[1]НАДІЙШЛО2!AK27</f>
        <v>0</v>
      </c>
      <c r="DA35" s="107" t="n">
        <f aca="false">[1]ВИБУЛО2!AK27</f>
        <v>0</v>
      </c>
      <c r="DB35" s="108" t="n">
        <f aca="false">DB34-DA35+CZ35</f>
        <v>0</v>
      </c>
      <c r="DC35" s="106" t="n">
        <f aca="false">[1]НАДІЙШЛО2!AL27</f>
        <v>0</v>
      </c>
      <c r="DD35" s="107" t="n">
        <f aca="false">[1]ВИБУЛО2!AL27</f>
        <v>0</v>
      </c>
      <c r="DE35" s="108" t="n">
        <f aca="false">DE34-DD35+DC35</f>
        <v>0</v>
      </c>
      <c r="DF35" s="106" t="n">
        <f aca="false">[1]НАДІЙШЛО2!AM27</f>
        <v>0</v>
      </c>
      <c r="DG35" s="107" t="n">
        <f aca="false">[1]ВИБУЛО2!AM27</f>
        <v>0</v>
      </c>
      <c r="DH35" s="108" t="n">
        <f aca="false">DH34-DG35+DF35</f>
        <v>0</v>
      </c>
      <c r="DI35" s="106" t="n">
        <f aca="false">[1]НАДІЙШЛО2!AN27</f>
        <v>0</v>
      </c>
      <c r="DJ35" s="107" t="n">
        <f aca="false">[1]ВИБУЛО2!AN27</f>
        <v>0</v>
      </c>
      <c r="DK35" s="108" t="n">
        <f aca="false">DK34-DJ35+DI35</f>
        <v>0</v>
      </c>
      <c r="DL35" s="106" t="n">
        <f aca="false">[1]НАДІЙШЛО2!AO27</f>
        <v>0</v>
      </c>
      <c r="DM35" s="107" t="n">
        <f aca="false">[1]ВИБУЛО2!AO27</f>
        <v>0</v>
      </c>
      <c r="DN35" s="108" t="n">
        <f aca="false">DN34-DM35+DL35</f>
        <v>0</v>
      </c>
      <c r="DO35" s="106" t="n">
        <f aca="false">[1]НАДІЙШЛО2!AP27</f>
        <v>0</v>
      </c>
      <c r="DP35" s="107" t="n">
        <f aca="false">[1]ВИБУЛО2!AP27</f>
        <v>0</v>
      </c>
      <c r="DQ35" s="108" t="n">
        <f aca="false">DQ34-DP35+DO35</f>
        <v>0</v>
      </c>
      <c r="DR35" s="106" t="n">
        <f aca="false">[1]НАДІЙШЛО2!AQ27</f>
        <v>0</v>
      </c>
      <c r="DS35" s="107" t="n">
        <f aca="false">[1]ВИБУЛО2!AQ27</f>
        <v>0</v>
      </c>
      <c r="DT35" s="108" t="n">
        <f aca="false">DT34-DS35+DR35</f>
        <v>0</v>
      </c>
      <c r="DU35" s="106" t="n">
        <f aca="false">[1]НАДІЙШЛО2!AR27</f>
        <v>0</v>
      </c>
      <c r="DV35" s="107" t="n">
        <f aca="false">[1]ВИБУЛО2!AR27</f>
        <v>0</v>
      </c>
      <c r="DW35" s="108" t="n">
        <f aca="false">DW34-DV35+DU35</f>
        <v>0</v>
      </c>
      <c r="DX35" s="106" t="n">
        <f aca="false">[1]НАДІЙШЛО2!AS27</f>
        <v>0</v>
      </c>
      <c r="DY35" s="107" t="n">
        <f aca="false">[1]ВИБУЛО2!AS27</f>
        <v>0</v>
      </c>
      <c r="DZ35" s="108" t="n">
        <f aca="false">DZ34-DY35+DX35</f>
        <v>0</v>
      </c>
      <c r="EA35" s="106" t="n">
        <f aca="false">[1]НАДІЙШЛО2!AT27</f>
        <v>0</v>
      </c>
      <c r="EB35" s="107" t="n">
        <f aca="false">[1]ВИБУЛО2!AT27</f>
        <v>0</v>
      </c>
      <c r="EC35" s="108" t="n">
        <f aca="false">EC34-EB35+EA35</f>
        <v>0</v>
      </c>
      <c r="ED35" s="106" t="n">
        <f aca="false">[1]НАДІЙШЛО2!AU27</f>
        <v>0</v>
      </c>
      <c r="EE35" s="107" t="n">
        <f aca="false">[1]ВИБУЛО2!AU27</f>
        <v>0</v>
      </c>
      <c r="EF35" s="108" t="n">
        <f aca="false">EF34-EE35+ED35</f>
        <v>0</v>
      </c>
      <c r="EG35" s="106" t="n">
        <f aca="false">[1]НАДІЙШЛО2!AV27</f>
        <v>0</v>
      </c>
      <c r="EH35" s="107" t="n">
        <f aca="false">[1]ВИБУЛО2!AV27</f>
        <v>0</v>
      </c>
      <c r="EI35" s="108" t="n">
        <f aca="false">EI34-EH35+EG35</f>
        <v>0</v>
      </c>
      <c r="EJ35" s="106" t="n">
        <f aca="false">[1]НАДІЙШЛО2!AW27</f>
        <v>0</v>
      </c>
      <c r="EK35" s="107" t="n">
        <f aca="false">[1]ВИБУЛО2!AW27</f>
        <v>0</v>
      </c>
      <c r="EL35" s="108" t="n">
        <f aca="false">EL34-EK35+EJ35</f>
        <v>0</v>
      </c>
      <c r="EM35" s="106" t="n">
        <f aca="false">[1]НАДІЙШЛО2!AX27</f>
        <v>0</v>
      </c>
      <c r="EN35" s="107" t="n">
        <f aca="false">[1]ВИБУЛО2!AX27</f>
        <v>0</v>
      </c>
      <c r="EO35" s="108" t="n">
        <f aca="false">EO34-EN35+EM35</f>
        <v>0</v>
      </c>
      <c r="EP35" s="106" t="n">
        <f aca="false">[1]НАДІЙШЛО2!AY27</f>
        <v>0</v>
      </c>
      <c r="EQ35" s="107" t="n">
        <f aca="false">[1]ВИБУЛО2!AY27</f>
        <v>0</v>
      </c>
      <c r="ER35" s="108" t="n">
        <f aca="false">ER34-EQ35+EP35</f>
        <v>0</v>
      </c>
      <c r="ES35" s="106" t="n">
        <f aca="false">[1]НАДІЙШЛО2!AZ27</f>
        <v>0</v>
      </c>
      <c r="ET35" s="107" t="n">
        <f aca="false">[1]ВИБУЛО2!AZ27</f>
        <v>0</v>
      </c>
      <c r="EU35" s="108" t="n">
        <f aca="false">EU34-ET35+ES35</f>
        <v>0</v>
      </c>
      <c r="EV35" s="106" t="n">
        <f aca="false">[1]НАДІЙШЛО2!BA27</f>
        <v>0</v>
      </c>
      <c r="EW35" s="107" t="n">
        <f aca="false">[1]ВИБУЛО2!BA27</f>
        <v>0</v>
      </c>
      <c r="EX35" s="108" t="n">
        <f aca="false">EX34-EW35+EV35</f>
        <v>0</v>
      </c>
      <c r="EY35" s="106" t="n">
        <f aca="false">[1]НАДІЙШЛО2!BB27</f>
        <v>0</v>
      </c>
      <c r="EZ35" s="107" t="n">
        <f aca="false">[1]ВИБУЛО2!BB27</f>
        <v>0</v>
      </c>
      <c r="FA35" s="108" t="n">
        <f aca="false">FA34-EZ35+EY35</f>
        <v>0</v>
      </c>
      <c r="FB35" s="106" t="n">
        <f aca="false">[1]НАДІЙШЛО2!BC27</f>
        <v>0</v>
      </c>
      <c r="FC35" s="107" t="n">
        <f aca="false">[1]ВИБУЛО2!BC27</f>
        <v>0</v>
      </c>
      <c r="FD35" s="108" t="n">
        <f aca="false">FD34-FC35+FB35</f>
        <v>0</v>
      </c>
      <c r="FE35" s="106" t="n">
        <f aca="false">[1]НАДІЙШЛО2!BD27</f>
        <v>0</v>
      </c>
      <c r="FF35" s="107" t="n">
        <f aca="false">[1]ВИБУЛО2!BD27</f>
        <v>0</v>
      </c>
      <c r="FG35" s="108" t="n">
        <f aca="false">FG34-FF35+FE35</f>
        <v>0</v>
      </c>
      <c r="FH35" s="106" t="n">
        <f aca="false">[1]НАДІЙШЛО2!BE27</f>
        <v>0</v>
      </c>
      <c r="FI35" s="107" t="n">
        <f aca="false">[1]ВИБУЛО2!BE27</f>
        <v>0</v>
      </c>
      <c r="FJ35" s="108" t="n">
        <f aca="false">FJ34-FI35+FH35</f>
        <v>0</v>
      </c>
      <c r="FK35" s="106" t="n">
        <f aca="false">[1]НАДІЙШЛО2!BF27</f>
        <v>0</v>
      </c>
      <c r="FL35" s="107" t="n">
        <f aca="false">[1]ВИБУЛО2!BF27</f>
        <v>0</v>
      </c>
      <c r="FM35" s="108" t="n">
        <f aca="false">FM34-FL35+FK35</f>
        <v>0</v>
      </c>
      <c r="FN35" s="106" t="n">
        <f aca="false">[1]НАДІЙШЛО2!BG27</f>
        <v>0</v>
      </c>
      <c r="FO35" s="107" t="n">
        <f aca="false">[1]ВИБУЛО2!BG27</f>
        <v>0</v>
      </c>
      <c r="FP35" s="108" t="n">
        <f aca="false">FP34-FO35+FN35</f>
        <v>0</v>
      </c>
      <c r="FQ35" s="106" t="n">
        <f aca="false">[1]НАДІЙШЛО2!BH27</f>
        <v>0</v>
      </c>
      <c r="FR35" s="107" t="n">
        <f aca="false">[1]ВИБУЛО2!BH27</f>
        <v>0</v>
      </c>
      <c r="FS35" s="108" t="n">
        <f aca="false">FS34-FR35+FQ35</f>
        <v>0</v>
      </c>
      <c r="FT35" s="106" t="n">
        <f aca="false">[1]НАДІЙШЛО2!BI27</f>
        <v>0</v>
      </c>
      <c r="FU35" s="107" t="n">
        <f aca="false">[1]ВИБУЛО2!BI27</f>
        <v>0</v>
      </c>
      <c r="FV35" s="108" t="n">
        <f aca="false">FV34-FU35+FT35</f>
        <v>0</v>
      </c>
      <c r="FW35" s="106" t="n">
        <f aca="false">[1]НАДІЙШЛО2!BJ27</f>
        <v>0</v>
      </c>
      <c r="FX35" s="107" t="n">
        <f aca="false">[1]ВИБУЛО2!BJ27</f>
        <v>0</v>
      </c>
      <c r="FY35" s="108" t="n">
        <f aca="false">FY34-FX35+FW35</f>
        <v>0</v>
      </c>
      <c r="FZ35" s="106" t="n">
        <f aca="false">[1]НАДІЙШЛО2!BK27</f>
        <v>0</v>
      </c>
      <c r="GA35" s="107" t="n">
        <f aca="false">[1]ВИБУЛО2!BK27</f>
        <v>0</v>
      </c>
      <c r="GB35" s="108" t="n">
        <f aca="false">GB34-GA35+FZ35</f>
        <v>0</v>
      </c>
      <c r="GC35" s="106" t="n">
        <f aca="false">[1]НАДІЙШЛО2!BL27</f>
        <v>0</v>
      </c>
      <c r="GD35" s="107" t="n">
        <f aca="false">[1]ВИБУЛО2!BL27</f>
        <v>0</v>
      </c>
      <c r="GE35" s="108" t="n">
        <f aca="false">GE34-GD35+GC35</f>
        <v>0</v>
      </c>
      <c r="GF35" s="106" t="n">
        <f aca="false">[1]НАДІЙШЛО2!BM27</f>
        <v>0</v>
      </c>
      <c r="GG35" s="107" t="n">
        <f aca="false">[1]ВИБУЛО2!BM27</f>
        <v>0</v>
      </c>
      <c r="GH35" s="108" t="n">
        <f aca="false">GH34-GG35+GF35</f>
        <v>0</v>
      </c>
      <c r="GI35" s="106" t="n">
        <f aca="false">[1]НАДІЙШЛО2!BN27</f>
        <v>0</v>
      </c>
      <c r="GJ35" s="107" t="n">
        <f aca="false">[1]ВИБУЛО2!BN27</f>
        <v>0</v>
      </c>
      <c r="GK35" s="108" t="n">
        <f aca="false">GK34-GJ35+GI35</f>
        <v>0</v>
      </c>
      <c r="GL35" s="106" t="n">
        <f aca="false">[1]НАДІЙШЛО2!BO27</f>
        <v>0</v>
      </c>
      <c r="GM35" s="107" t="n">
        <f aca="false">[1]ВИБУЛО2!BO27</f>
        <v>0</v>
      </c>
      <c r="GN35" s="108" t="n">
        <f aca="false">GN34-GM35+GL35</f>
        <v>0</v>
      </c>
      <c r="GO35" s="106" t="n">
        <f aca="false">[1]НАДІЙШЛО2!BP27</f>
        <v>0</v>
      </c>
      <c r="GP35" s="107" t="n">
        <f aca="false">[1]ВИБУЛО2!BP27</f>
        <v>0</v>
      </c>
      <c r="GQ35" s="108" t="n">
        <f aca="false">GQ34-GP35+GO35</f>
        <v>0</v>
      </c>
      <c r="GR35" s="106" t="n">
        <f aca="false">[1]НАДІЙШЛО2!BQ27</f>
        <v>0</v>
      </c>
      <c r="GS35" s="107" t="n">
        <f aca="false">[1]ВИБУЛО2!BQ27</f>
        <v>0</v>
      </c>
      <c r="GT35" s="108" t="n">
        <f aca="false">GT34-GS35+GR35</f>
        <v>0</v>
      </c>
      <c r="GU35" s="106" t="n">
        <f aca="false">[1]НАДІЙШЛО2!BR27</f>
        <v>0</v>
      </c>
      <c r="GV35" s="107" t="n">
        <f aca="false">[1]ВИБУЛО2!BR27</f>
        <v>0</v>
      </c>
      <c r="GW35" s="108" t="n">
        <f aca="false">GW34-GV35+GU35</f>
        <v>0</v>
      </c>
      <c r="GX35" s="106" t="n">
        <f aca="false">[1]НАДІЙШЛО2!BS27</f>
        <v>0</v>
      </c>
      <c r="GY35" s="107" t="n">
        <f aca="false">[1]ВИБУЛО2!BS27</f>
        <v>0</v>
      </c>
      <c r="GZ35" s="108" t="n">
        <f aca="false">GZ34-GY35+GX35</f>
        <v>0</v>
      </c>
      <c r="HA35" s="106" t="n">
        <f aca="false">[1]НАДІЙШЛО2!BT27</f>
        <v>0</v>
      </c>
      <c r="HB35" s="107" t="n">
        <f aca="false">[1]ВИБУЛО2!BT27</f>
        <v>0</v>
      </c>
      <c r="HC35" s="108" t="n">
        <f aca="false">HC34-HB35+HA35</f>
        <v>0</v>
      </c>
      <c r="HD35" s="106" t="n">
        <f aca="false">[1]НАДІЙШЛО2!BU27</f>
        <v>0</v>
      </c>
      <c r="HE35" s="107" t="n">
        <f aca="false">[1]ВИБУЛО2!BU27</f>
        <v>0</v>
      </c>
      <c r="HF35" s="108" t="n">
        <f aca="false">HF34-HE35+HD35</f>
        <v>0</v>
      </c>
      <c r="HG35" s="106" t="n">
        <f aca="false">[1]НАДІЙШЛО2!BV27</f>
        <v>0</v>
      </c>
      <c r="HH35" s="107" t="n">
        <f aca="false">[1]ВИБУЛО2!BV27</f>
        <v>0</v>
      </c>
      <c r="HI35" s="108" t="n">
        <f aca="false">HI34-HH35+HG35</f>
        <v>0</v>
      </c>
      <c r="HJ35" s="106" t="n">
        <f aca="false">[1]НАДІЙШЛО2!BW27</f>
        <v>0</v>
      </c>
      <c r="HK35" s="107" t="n">
        <f aca="false">[1]ВИБУЛО2!BW27</f>
        <v>0</v>
      </c>
      <c r="HL35" s="108" t="n">
        <f aca="false">HL34-HK35+HJ35</f>
        <v>0</v>
      </c>
      <c r="HM35" s="106" t="n">
        <f aca="false">[1]НАДІЙШЛО2!BX27</f>
        <v>0</v>
      </c>
      <c r="HN35" s="107" t="n">
        <f aca="false">[1]ВИБУЛО2!BX27</f>
        <v>0</v>
      </c>
      <c r="HO35" s="108" t="n">
        <f aca="false">HO34-HN35+HM35</f>
        <v>0</v>
      </c>
      <c r="HP35" s="106" t="n">
        <f aca="false">[1]НАДІЙШЛО2!BY27</f>
        <v>0</v>
      </c>
      <c r="HQ35" s="107" t="n">
        <f aca="false">[1]ВИБУЛО2!BY27</f>
        <v>0</v>
      </c>
      <c r="HR35" s="108" t="n">
        <f aca="false">HR34-HQ35+HP35</f>
        <v>0</v>
      </c>
      <c r="HS35" s="106" t="n">
        <f aca="false">[1]НАДІЙШЛО2!BZ27</f>
        <v>0</v>
      </c>
      <c r="HT35" s="107" t="n">
        <f aca="false">[1]ВИБУЛО2!BZ27</f>
        <v>0</v>
      </c>
      <c r="HU35" s="108" t="n">
        <f aca="false">HU34-HT35+HS35</f>
        <v>0</v>
      </c>
      <c r="HV35" s="106" t="n">
        <f aca="false">[1]НАДІЙШЛО2!CA27</f>
        <v>0</v>
      </c>
      <c r="HW35" s="107" t="n">
        <f aca="false">[1]ВИБУЛО2!CA27</f>
        <v>0</v>
      </c>
      <c r="HX35" s="108" t="n">
        <f aca="false">HX34-HW35+HV35</f>
        <v>0</v>
      </c>
      <c r="HY35" s="106" t="n">
        <f aca="false">[1]НАДІЙШЛО2!CB27</f>
        <v>0</v>
      </c>
      <c r="HZ35" s="107" t="n">
        <f aca="false">[1]ВИБУЛО2!CB27</f>
        <v>0</v>
      </c>
      <c r="IA35" s="108" t="n">
        <f aca="false">IA34-HZ35+HY35</f>
        <v>0</v>
      </c>
      <c r="IB35" s="106" t="n">
        <f aca="false">[1]НАДІЙШЛО2!CC27</f>
        <v>0</v>
      </c>
      <c r="IC35" s="107" t="n">
        <f aca="false">[1]ВИБУЛО2!CC27</f>
        <v>0</v>
      </c>
      <c r="ID35" s="108" t="n">
        <f aca="false">ID34-IC35+IB35</f>
        <v>0</v>
      </c>
      <c r="IE35" s="106" t="n">
        <f aca="false">[1]НАДІЙШЛО2!CD27</f>
        <v>0</v>
      </c>
      <c r="IF35" s="107" t="n">
        <f aca="false">[1]ВИБУЛО2!CD27</f>
        <v>0</v>
      </c>
      <c r="IG35" s="108" t="n">
        <f aca="false">IG34-IF35+IE35</f>
        <v>0</v>
      </c>
      <c r="IH35" s="106" t="n">
        <f aca="false">[1]НАДІЙШЛО2!CE27</f>
        <v>0</v>
      </c>
      <c r="II35" s="107" t="n">
        <f aca="false">[1]ВИБУЛО2!CE27</f>
        <v>0</v>
      </c>
      <c r="IJ35" s="108" t="n">
        <f aca="false">IJ34-II35+IH35</f>
        <v>0</v>
      </c>
      <c r="IK35" s="106" t="n">
        <f aca="false">[1]НАДІЙШЛО2!CF27</f>
        <v>0</v>
      </c>
      <c r="IL35" s="107" t="n">
        <f aca="false">[1]ВИБУЛО2!CF27</f>
        <v>0</v>
      </c>
      <c r="IM35" s="108" t="n">
        <f aca="false">IM34-IL35+IK35</f>
        <v>0</v>
      </c>
      <c r="IN35" s="106" t="n">
        <f aca="false">[1]НАДІЙШЛО2!CG27</f>
        <v>0</v>
      </c>
      <c r="IO35" s="107" t="n">
        <f aca="false">[1]ВИБУЛО2!CG27</f>
        <v>0</v>
      </c>
      <c r="IP35" s="108" t="n">
        <f aca="false">IP34-IO35+IN35</f>
        <v>0</v>
      </c>
      <c r="IQ35" s="106" t="n">
        <f aca="false">[1]НАДІЙШЛО2!CH27</f>
        <v>0</v>
      </c>
      <c r="IR35" s="107" t="n">
        <f aca="false">[1]ВИБУЛО2!CH27</f>
        <v>0</v>
      </c>
      <c r="IS35" s="108" t="n">
        <f aca="false">IS34-IR35+IQ35</f>
        <v>0</v>
      </c>
      <c r="IT35" s="106" t="n">
        <f aca="false">[1]НАДІЙШЛО2!CI27</f>
        <v>0</v>
      </c>
      <c r="IU35" s="107" t="n">
        <f aca="false">[1]ВИБУЛО2!CI27</f>
        <v>0</v>
      </c>
      <c r="IV35" s="108" t="n">
        <f aca="false">IV34-IU35+IT35</f>
        <v>0</v>
      </c>
      <c r="IW35" s="106" t="n">
        <f aca="false">[1]НАДІЙШЛО2!CJ27</f>
        <v>0</v>
      </c>
      <c r="IX35" s="107" t="n">
        <f aca="false">[1]ВИБУЛО2!CJ27</f>
        <v>0</v>
      </c>
      <c r="IY35" s="108" t="n">
        <f aca="false">IY34-IX35+IW35</f>
        <v>0</v>
      </c>
      <c r="IZ35" s="106" t="n">
        <f aca="false">[1]НАДІЙШЛО2!CK27</f>
        <v>0</v>
      </c>
      <c r="JA35" s="107" t="n">
        <f aca="false">[1]ВИБУЛО2!CK27</f>
        <v>0</v>
      </c>
      <c r="JB35" s="108" t="n">
        <f aca="false">JB34-JA35+IZ35</f>
        <v>0</v>
      </c>
      <c r="JC35" s="106" t="n">
        <f aca="false">[1]НАДІЙШЛО2!CL27</f>
        <v>0</v>
      </c>
      <c r="JD35" s="107" t="n">
        <f aca="false">[1]ВИБУЛО2!CL27</f>
        <v>0</v>
      </c>
      <c r="JE35" s="108" t="n">
        <f aca="false">JE34-JD35+JC35</f>
        <v>0</v>
      </c>
      <c r="JF35" s="106" t="n">
        <f aca="false">[1]НАДІЙШЛО2!CM27</f>
        <v>0</v>
      </c>
      <c r="JG35" s="107" t="n">
        <f aca="false">[1]ВИБУЛО2!CM27</f>
        <v>0</v>
      </c>
      <c r="JH35" s="108" t="n">
        <f aca="false">JH34-JG35+JF35</f>
        <v>0</v>
      </c>
      <c r="JI35" s="106" t="n">
        <f aca="false">[1]НАДІЙШЛО2!CN27</f>
        <v>0</v>
      </c>
      <c r="JJ35" s="107" t="n">
        <f aca="false">[1]ВИБУЛО2!CN27</f>
        <v>0</v>
      </c>
      <c r="JK35" s="108" t="n">
        <f aca="false">JK34-JJ35+JI35</f>
        <v>0</v>
      </c>
      <c r="JL35" s="106" t="n">
        <f aca="false">[1]НАДІЙШЛО2!CO27</f>
        <v>0</v>
      </c>
      <c r="JM35" s="107" t="n">
        <f aca="false">[1]ВИБУЛО2!CO27</f>
        <v>0</v>
      </c>
      <c r="JN35" s="108" t="n">
        <f aca="false">JN34-JM35+JL35</f>
        <v>0</v>
      </c>
      <c r="JO35" s="106" t="n">
        <f aca="false">[1]НАДІЙШЛО2!CP27</f>
        <v>0</v>
      </c>
      <c r="JP35" s="107" t="n">
        <f aca="false">[1]ВИБУЛО2!CP27</f>
        <v>0</v>
      </c>
      <c r="JQ35" s="108" t="n">
        <f aca="false">JQ34-JP35+JO35</f>
        <v>0</v>
      </c>
      <c r="JR35" s="106" t="n">
        <f aca="false">[1]НАДІЙШЛО2!CQ27</f>
        <v>0</v>
      </c>
      <c r="JS35" s="107" t="n">
        <f aca="false">[1]ВИБУЛО2!CQ27</f>
        <v>0</v>
      </c>
      <c r="JT35" s="108" t="n">
        <f aca="false">JT34-JS35+JR35</f>
        <v>0</v>
      </c>
      <c r="JU35" s="106" t="n">
        <f aca="false">[1]НАДІЙШЛО2!CR27</f>
        <v>0</v>
      </c>
      <c r="JV35" s="107" t="n">
        <f aca="false">[1]ВИБУЛО2!CR27</f>
        <v>0</v>
      </c>
      <c r="JW35" s="108" t="n">
        <f aca="false">JW34-JV35+JU35</f>
        <v>0</v>
      </c>
      <c r="JX35" s="106" t="n">
        <f aca="false">[1]НАДІЙШЛО2!CS27</f>
        <v>0</v>
      </c>
      <c r="JY35" s="107" t="n">
        <f aca="false">[1]ВИБУЛО2!CS27</f>
        <v>0</v>
      </c>
      <c r="JZ35" s="108" t="n">
        <f aca="false">JZ34-JY35+JX35</f>
        <v>0</v>
      </c>
      <c r="KA35" s="106" t="n">
        <f aca="false">[1]НАДІЙШЛО2!CT27</f>
        <v>0</v>
      </c>
      <c r="KB35" s="107" t="n">
        <f aca="false">[1]ВИБУЛО2!CT27</f>
        <v>0</v>
      </c>
      <c r="KC35" s="108" t="n">
        <f aca="false">KC34-KB35+KA35</f>
        <v>0</v>
      </c>
      <c r="KD35" s="106" t="n">
        <f aca="false">[1]НАДІЙШЛО2!CU27</f>
        <v>0</v>
      </c>
      <c r="KE35" s="107" t="n">
        <f aca="false">[1]ВИБУЛО2!CU27</f>
        <v>0</v>
      </c>
      <c r="KF35" s="108" t="n">
        <f aca="false">KF34-KE35+KD35</f>
        <v>0</v>
      </c>
      <c r="KG35" s="106" t="n">
        <f aca="false">[1]НАДІЙШЛО2!CV27</f>
        <v>0</v>
      </c>
      <c r="KH35" s="107" t="n">
        <f aca="false">[1]ВИБУЛО2!CV27</f>
        <v>0</v>
      </c>
      <c r="KI35" s="108" t="n">
        <f aca="false">KI34-KH35+KG35</f>
        <v>0</v>
      </c>
      <c r="KJ35" s="106" t="n">
        <f aca="false">[1]НАДІЙШЛО2!CW27</f>
        <v>0</v>
      </c>
      <c r="KK35" s="107" t="n">
        <f aca="false">[1]ВИБУЛО2!CW27</f>
        <v>0</v>
      </c>
      <c r="KL35" s="108" t="n">
        <f aca="false">KL34-KK35+KJ35</f>
        <v>0</v>
      </c>
      <c r="KM35" s="106" t="n">
        <f aca="false">[1]НАДІЙШЛО2!CX27</f>
        <v>0</v>
      </c>
      <c r="KN35" s="107" t="n">
        <f aca="false">[1]ВИБУЛО2!CX27</f>
        <v>0</v>
      </c>
      <c r="KO35" s="108" t="n">
        <f aca="false">KO34-KN35+KM35</f>
        <v>0</v>
      </c>
      <c r="KP35" s="106" t="n">
        <f aca="false">[1]НАДІЙШЛО2!CY27</f>
        <v>0</v>
      </c>
      <c r="KQ35" s="107" t="n">
        <f aca="false">[1]ВИБУЛО2!CY27</f>
        <v>0</v>
      </c>
      <c r="KR35" s="108" t="n">
        <f aca="false">KR34-KQ35+KP35</f>
        <v>0</v>
      </c>
      <c r="KS35" s="106" t="n">
        <f aca="false">[1]НАДІЙШЛО2!CZ27</f>
        <v>0</v>
      </c>
      <c r="KT35" s="107" t="n">
        <f aca="false">[1]ВИБУЛО2!CZ27</f>
        <v>0</v>
      </c>
      <c r="KU35" s="108" t="n">
        <f aca="false">KU34-KT35+KS35</f>
        <v>0</v>
      </c>
      <c r="KV35" s="106" t="n">
        <f aca="false">[1]НАДІЙШЛО2!DA27</f>
        <v>0</v>
      </c>
      <c r="KW35" s="107" t="n">
        <f aca="false">[1]ВИБУЛО2!DA27</f>
        <v>0</v>
      </c>
      <c r="KX35" s="108" t="n">
        <f aca="false">KX34-KW35+KV35</f>
        <v>0</v>
      </c>
      <c r="KY35" s="106" t="n">
        <f aca="false">[1]НАДІЙШЛО2!DB27</f>
        <v>0</v>
      </c>
      <c r="KZ35" s="107" t="n">
        <f aca="false">[1]ВИБУЛО2!DB27</f>
        <v>0</v>
      </c>
      <c r="LA35" s="108" t="n">
        <f aca="false">LA34-KZ35+KY35</f>
        <v>0</v>
      </c>
      <c r="LB35" s="106" t="n">
        <f aca="false">[1]НАДІЙШЛО2!DC27</f>
        <v>0</v>
      </c>
      <c r="LC35" s="107" t="n">
        <f aca="false">[1]ВИБУЛО2!DC27</f>
        <v>0</v>
      </c>
      <c r="LD35" s="108" t="n">
        <f aca="false">LD34-LC35+LB35</f>
        <v>0</v>
      </c>
      <c r="LE35" s="106" t="n">
        <f aca="false">[1]НАДІЙШЛО2!DD27</f>
        <v>0</v>
      </c>
      <c r="LF35" s="107" t="n">
        <f aca="false">[1]ВИБУЛО2!DD27</f>
        <v>0</v>
      </c>
      <c r="LG35" s="108" t="n">
        <f aca="false">LG34-LF35+LE35</f>
        <v>0</v>
      </c>
      <c r="LH35" s="106" t="n">
        <f aca="false">[1]НАДІЙШЛО2!DE27</f>
        <v>0</v>
      </c>
      <c r="LI35" s="107" t="n">
        <f aca="false">[1]ВИБУЛО2!DE27</f>
        <v>0</v>
      </c>
      <c r="LJ35" s="108" t="n">
        <f aca="false">LJ34-LI35+LH35</f>
        <v>0</v>
      </c>
      <c r="LK35" s="106" t="n">
        <f aca="false">[1]НАДІЙШЛО2!DF27</f>
        <v>0</v>
      </c>
      <c r="LL35" s="107" t="n">
        <f aca="false">[1]ВИБУЛО2!DF27</f>
        <v>0</v>
      </c>
      <c r="LM35" s="108" t="n">
        <f aca="false">LM34-LL35+LK35</f>
        <v>0</v>
      </c>
      <c r="LN35" s="106" t="n">
        <f aca="false">[1]НАДІЙШЛО2!DG27</f>
        <v>0</v>
      </c>
      <c r="LO35" s="107" t="n">
        <f aca="false">[1]ВИБУЛО2!DG27</f>
        <v>0</v>
      </c>
      <c r="LP35" s="108" t="n">
        <f aca="false">LP34-LO35+LN35</f>
        <v>0</v>
      </c>
      <c r="LQ35" s="106" t="n">
        <f aca="false">[1]НАДІЙШЛО2!DH27</f>
        <v>0</v>
      </c>
      <c r="LR35" s="107" t="n">
        <f aca="false">[1]ВИБУЛО2!DH27</f>
        <v>0</v>
      </c>
      <c r="LS35" s="108" t="n">
        <f aca="false">LS34-LR35+LQ35</f>
        <v>0</v>
      </c>
      <c r="LT35" s="106" t="n">
        <f aca="false">[1]НАДІЙШЛО2!DI27</f>
        <v>0</v>
      </c>
      <c r="LU35" s="107" t="n">
        <f aca="false">[1]ВИБУЛО2!DI27</f>
        <v>0</v>
      </c>
      <c r="LV35" s="108" t="n">
        <f aca="false">LV34-LU35+LT35</f>
        <v>0</v>
      </c>
      <c r="LW35" s="106" t="n">
        <f aca="false">[1]НАДІЙШЛО2!DJ27</f>
        <v>0</v>
      </c>
      <c r="LX35" s="107" t="n">
        <f aca="false">[1]ВИБУЛО2!DJ27</f>
        <v>0</v>
      </c>
      <c r="LY35" s="108" t="n">
        <f aca="false">LY34-LX35+LW35</f>
        <v>0</v>
      </c>
      <c r="LZ35" s="106" t="n">
        <f aca="false">[1]НАДІЙШЛО2!DK27</f>
        <v>0</v>
      </c>
      <c r="MA35" s="107" t="n">
        <f aca="false">[1]ВИБУЛО2!DK27</f>
        <v>0</v>
      </c>
      <c r="MB35" s="108" t="n">
        <f aca="false">MB34-MA35+LZ35</f>
        <v>0</v>
      </c>
      <c r="MC35" s="106" t="n">
        <f aca="false">[1]НАДІЙШЛО2!DL27</f>
        <v>0</v>
      </c>
      <c r="MD35" s="107" t="n">
        <f aca="false">[1]ВИБУЛО2!DL27</f>
        <v>0</v>
      </c>
      <c r="ME35" s="108" t="n">
        <f aca="false">ME34-MD35+MC35</f>
        <v>0</v>
      </c>
      <c r="MF35" s="106" t="n">
        <f aca="false">[1]НАДІЙШЛО2!DM27</f>
        <v>0</v>
      </c>
      <c r="MG35" s="107" t="n">
        <f aca="false">[1]ВИБУЛО2!DM27</f>
        <v>0</v>
      </c>
      <c r="MH35" s="108" t="n">
        <f aca="false">MH34-MG35+MF35</f>
        <v>0</v>
      </c>
      <c r="MI35" s="106" t="n">
        <f aca="false">[1]НАДІЙШЛО2!DN27</f>
        <v>0</v>
      </c>
      <c r="MJ35" s="107" t="n">
        <f aca="false">[1]ВИБУЛО2!DN27</f>
        <v>0</v>
      </c>
      <c r="MK35" s="108" t="n">
        <f aca="false">MK34-MJ35+MI35</f>
        <v>0</v>
      </c>
      <c r="ML35" s="106" t="n">
        <f aca="false">[1]НАДІЙШЛО2!DO27</f>
        <v>0</v>
      </c>
      <c r="MM35" s="107" t="n">
        <f aca="false">[1]ВИБУЛО2!DO27</f>
        <v>0</v>
      </c>
      <c r="MN35" s="108" t="n">
        <f aca="false">MN34-MM35+ML35</f>
        <v>0</v>
      </c>
      <c r="MO35" s="106" t="n">
        <f aca="false">[1]НАДІЙШЛО2!DP27</f>
        <v>0</v>
      </c>
      <c r="MP35" s="107" t="n">
        <f aca="false">[1]ВИБУЛО2!DP27</f>
        <v>0</v>
      </c>
      <c r="MQ35" s="108" t="n">
        <f aca="false">MQ34-MP35+MO35</f>
        <v>0</v>
      </c>
      <c r="MR35" s="106" t="n">
        <f aca="false">[1]НАДІЙШЛО2!DQ27</f>
        <v>0</v>
      </c>
      <c r="MS35" s="107" t="n">
        <f aca="false">[1]ВИБУЛО2!DQ27</f>
        <v>0</v>
      </c>
      <c r="MT35" s="108" t="n">
        <f aca="false">MT34-MS35+MR35</f>
        <v>0</v>
      </c>
      <c r="MU35" s="106" t="n">
        <f aca="false">[1]НАДІЙШЛО2!DR27</f>
        <v>0</v>
      </c>
      <c r="MV35" s="107" t="n">
        <f aca="false">[1]ВИБУЛО2!DR27</f>
        <v>0</v>
      </c>
      <c r="MW35" s="108" t="n">
        <f aca="false">MW34-MV35+MU35</f>
        <v>0</v>
      </c>
      <c r="MX35" s="106" t="n">
        <f aca="false">[1]НАДІЙШЛО2!DS27</f>
        <v>0</v>
      </c>
      <c r="MY35" s="107" t="n">
        <f aca="false">[1]ВИБУЛО2!DS27</f>
        <v>0</v>
      </c>
      <c r="MZ35" s="108" t="n">
        <f aca="false">MZ34-MY35+MX35</f>
        <v>0</v>
      </c>
      <c r="NA35" s="106" t="n">
        <f aca="false">[1]НАДІЙШЛО2!DT27</f>
        <v>0</v>
      </c>
      <c r="NB35" s="107" t="n">
        <f aca="false">[1]ВИБУЛО2!DT27</f>
        <v>0</v>
      </c>
      <c r="NC35" s="108" t="n">
        <f aca="false">NC34-NB35+NA35</f>
        <v>0</v>
      </c>
      <c r="ND35" s="106" t="n">
        <f aca="false">[1]НАДІЙШЛО2!DU27</f>
        <v>0</v>
      </c>
      <c r="NE35" s="107" t="n">
        <f aca="false">[1]ВИБУЛО2!DU27</f>
        <v>0</v>
      </c>
      <c r="NF35" s="108" t="n">
        <f aca="false">NF34-NE35+ND35</f>
        <v>0</v>
      </c>
      <c r="NG35" s="106" t="n">
        <f aca="false">[1]НАДІЙШЛО2!DV27</f>
        <v>0</v>
      </c>
      <c r="NH35" s="107" t="n">
        <f aca="false">[1]ВИБУЛО2!DV27</f>
        <v>0</v>
      </c>
      <c r="NI35" s="108" t="n">
        <f aca="false">NI34-NH35+NG35</f>
        <v>0</v>
      </c>
      <c r="NJ35" s="106" t="n">
        <f aca="false">[1]НАДІЙШЛО2!DW27</f>
        <v>0</v>
      </c>
      <c r="NK35" s="107" t="n">
        <f aca="false">[1]ВИБУЛО2!DW27</f>
        <v>0</v>
      </c>
      <c r="NL35" s="108" t="n">
        <f aca="false">NL34-NK35+NJ35</f>
        <v>0</v>
      </c>
      <c r="NM35" s="106" t="n">
        <f aca="false">[1]НАДІЙШЛО2!DX27</f>
        <v>0</v>
      </c>
      <c r="NN35" s="107" t="n">
        <f aca="false">[1]ВИБУЛО2!DX27</f>
        <v>0</v>
      </c>
      <c r="NO35" s="108" t="n">
        <f aca="false">NO34-NN35+NM35</f>
        <v>0</v>
      </c>
      <c r="NP35" s="106" t="n">
        <f aca="false">[1]НАДІЙШЛО2!DY27</f>
        <v>0</v>
      </c>
      <c r="NQ35" s="107" t="n">
        <f aca="false">[1]ВИБУЛО2!DY27</f>
        <v>0</v>
      </c>
      <c r="NR35" s="108" t="n">
        <f aca="false">NR34-NQ35+NP35</f>
        <v>0</v>
      </c>
      <c r="NS35" s="106" t="n">
        <f aca="false">[1]НАДІЙШЛО2!DZ27</f>
        <v>0</v>
      </c>
      <c r="NT35" s="107" t="n">
        <f aca="false">[1]ВИБУЛО2!DZ27</f>
        <v>0</v>
      </c>
      <c r="NU35" s="108" t="n">
        <f aca="false">NU34-NT35+NS35</f>
        <v>0</v>
      </c>
      <c r="NV35" s="106" t="n">
        <f aca="false">[1]НАДІЙШЛО2!EA27</f>
        <v>0</v>
      </c>
      <c r="NW35" s="107" t="n">
        <f aca="false">[1]ВИБУЛО2!EA27</f>
        <v>0</v>
      </c>
      <c r="NX35" s="108" t="n">
        <f aca="false">NX34-NW35+NV35</f>
        <v>0</v>
      </c>
      <c r="NY35" s="106" t="n">
        <f aca="false">[1]НАДІЙШЛО2!EB27</f>
        <v>0</v>
      </c>
      <c r="NZ35" s="107" t="n">
        <f aca="false">[1]ВИБУЛО2!EB27</f>
        <v>0</v>
      </c>
      <c r="OA35" s="108" t="n">
        <f aca="false">OA34-NZ35+NY35</f>
        <v>0</v>
      </c>
      <c r="OB35" s="106" t="n">
        <f aca="false">[1]НАДІЙШЛО2!EC27</f>
        <v>0</v>
      </c>
      <c r="OC35" s="107" t="n">
        <f aca="false">[1]ВИБУЛО2!EC27</f>
        <v>0</v>
      </c>
      <c r="OD35" s="108" t="n">
        <f aca="false">OD34-OC35+OB35</f>
        <v>0</v>
      </c>
      <c r="OE35" s="106" t="n">
        <f aca="false">[1]НАДІЙШЛО2!ED27</f>
        <v>0</v>
      </c>
      <c r="OF35" s="107" t="n">
        <f aca="false">[1]ВИБУЛО2!ED27</f>
        <v>0</v>
      </c>
      <c r="OG35" s="108" t="n">
        <f aca="false">OG34-OF35+OE35</f>
        <v>0</v>
      </c>
      <c r="OH35" s="106" t="n">
        <f aca="false">[1]НАДІЙШЛО2!EE27</f>
        <v>0</v>
      </c>
      <c r="OI35" s="107" t="n">
        <f aca="false">[1]ВИБУЛО2!EE27</f>
        <v>0</v>
      </c>
      <c r="OJ35" s="108" t="n">
        <f aca="false">OJ34-OI35+OH35</f>
        <v>0</v>
      </c>
      <c r="OK35" s="106" t="n">
        <f aca="false">[1]НАДІЙШЛО2!EF27</f>
        <v>0</v>
      </c>
      <c r="OL35" s="107" t="n">
        <f aca="false">[1]ВИБУЛО2!EF27</f>
        <v>0</v>
      </c>
      <c r="OM35" s="108" t="n">
        <f aca="false">OM34-OL35+OK35</f>
        <v>0</v>
      </c>
      <c r="ON35" s="106" t="n">
        <f aca="false">[1]НАДІЙШЛО2!EG27</f>
        <v>0</v>
      </c>
      <c r="OO35" s="107" t="n">
        <f aca="false">[1]ВИБУЛО2!EG27</f>
        <v>0</v>
      </c>
      <c r="OP35" s="108" t="n">
        <f aca="false">OP34-OO35+ON35</f>
        <v>0</v>
      </c>
      <c r="OQ35" s="106" t="n">
        <f aca="false">[1]НАДІЙШЛО2!EH27</f>
        <v>0</v>
      </c>
      <c r="OR35" s="107" t="n">
        <f aca="false">[1]ВИБУЛО2!EH27</f>
        <v>0</v>
      </c>
      <c r="OS35" s="108" t="n">
        <f aca="false">OS34-OR35+OQ35</f>
        <v>0</v>
      </c>
      <c r="OT35" s="106" t="n">
        <f aca="false">[1]НАДІЙШЛО2!EI27</f>
        <v>0</v>
      </c>
      <c r="OU35" s="107" t="n">
        <f aca="false">[1]ВИБУЛО2!EI27</f>
        <v>0</v>
      </c>
      <c r="OV35" s="108" t="n">
        <f aca="false">OV34-OU35+OT35</f>
        <v>0</v>
      </c>
      <c r="OW35" s="106" t="n">
        <f aca="false">[1]НАДІЙШЛО2!EJ27</f>
        <v>0</v>
      </c>
      <c r="OX35" s="107" t="n">
        <f aca="false">[1]ВИБУЛО2!EJ27</f>
        <v>0</v>
      </c>
      <c r="OY35" s="108" t="n">
        <f aca="false">OY34-OX35+OW35</f>
        <v>0</v>
      </c>
      <c r="OZ35" s="106" t="n">
        <f aca="false">[1]НАДІЙШЛО2!EK27</f>
        <v>0</v>
      </c>
      <c r="PA35" s="107" t="n">
        <f aca="false">[1]ВИБУЛО2!EK27</f>
        <v>0</v>
      </c>
      <c r="PB35" s="108" t="n">
        <f aca="false">PB34-PA35+OZ35</f>
        <v>0</v>
      </c>
      <c r="PC35" s="106" t="n">
        <f aca="false">[1]НАДІЙШЛО2!EL27</f>
        <v>0</v>
      </c>
      <c r="PD35" s="107" t="n">
        <f aca="false">[1]ВИБУЛО2!EL27</f>
        <v>0</v>
      </c>
      <c r="PE35" s="108" t="n">
        <f aca="false">PE34-PD35+PC35</f>
        <v>0</v>
      </c>
      <c r="PF35" s="106" t="n">
        <f aca="false">[1]НАДІЙШЛО2!EM27</f>
        <v>0</v>
      </c>
      <c r="PG35" s="107" t="n">
        <f aca="false">[1]ВИБУЛО2!EM27</f>
        <v>0</v>
      </c>
      <c r="PH35" s="108" t="n">
        <f aca="false">PH34-PG35+PF35</f>
        <v>0</v>
      </c>
      <c r="PI35" s="106" t="n">
        <f aca="false">[1]НАДІЙШЛО2!EN27</f>
        <v>0</v>
      </c>
      <c r="PJ35" s="107" t="n">
        <f aca="false">[1]ВИБУЛО2!EN27</f>
        <v>0</v>
      </c>
      <c r="PK35" s="108" t="n">
        <f aca="false">PK34-PJ35+PI35</f>
        <v>0</v>
      </c>
      <c r="PL35" s="106" t="n">
        <f aca="false">[1]НАДІЙШЛО2!EO27</f>
        <v>0</v>
      </c>
      <c r="PM35" s="107" t="n">
        <f aca="false">[1]ВИБУЛО2!EO27</f>
        <v>0</v>
      </c>
      <c r="PN35" s="108" t="n">
        <f aca="false">PN34-PM35+PL35</f>
        <v>0</v>
      </c>
      <c r="PO35" s="106" t="n">
        <f aca="false">[1]НАДІЙШЛО2!EP27</f>
        <v>0</v>
      </c>
      <c r="PP35" s="107" t="n">
        <f aca="false">[1]ВИБУЛО2!EP27</f>
        <v>0</v>
      </c>
      <c r="PQ35" s="108" t="n">
        <f aca="false">PQ34-PP35+PO35</f>
        <v>0</v>
      </c>
      <c r="PR35" s="106" t="n">
        <f aca="false">[1]НАДІЙШЛО2!EQ27</f>
        <v>0</v>
      </c>
      <c r="PS35" s="107" t="n">
        <f aca="false">[1]ВИБУЛО2!EQ27</f>
        <v>0</v>
      </c>
      <c r="PT35" s="108" t="n">
        <f aca="false">PT34-PS35+PR35</f>
        <v>0</v>
      </c>
      <c r="PU35" s="106" t="n">
        <f aca="false">[1]НАДІЙШЛО2!ER27</f>
        <v>0</v>
      </c>
      <c r="PV35" s="107" t="n">
        <f aca="false">[1]ВИБУЛО2!ER27</f>
        <v>0</v>
      </c>
      <c r="PW35" s="108" t="n">
        <f aca="false">PW34-PV35+PU35</f>
        <v>0</v>
      </c>
      <c r="PX35" s="106" t="n">
        <f aca="false">[1]НАДІЙШЛО2!ES27</f>
        <v>0</v>
      </c>
      <c r="PY35" s="107" t="n">
        <f aca="false">[1]ВИБУЛО2!ES27</f>
        <v>0</v>
      </c>
      <c r="PZ35" s="108" t="n">
        <f aca="false">PZ34-PY35+PX35</f>
        <v>0</v>
      </c>
      <c r="QA35" s="106" t="n">
        <f aca="false">[1]НАДІЙШЛО2!ET27</f>
        <v>0</v>
      </c>
      <c r="QB35" s="107" t="n">
        <f aca="false">[1]ВИБУЛО2!ET27</f>
        <v>0</v>
      </c>
      <c r="QC35" s="108" t="n">
        <f aca="false">QC34-QB35+QA35</f>
        <v>0</v>
      </c>
      <c r="QD35" s="106" t="n">
        <f aca="false">[1]НАДІЙШЛО2!EU27</f>
        <v>0</v>
      </c>
      <c r="QE35" s="107" t="n">
        <f aca="false">[1]ВИБУЛО2!EU27</f>
        <v>0</v>
      </c>
      <c r="QF35" s="108" t="n">
        <f aca="false">QF34-QE35+QD35</f>
        <v>0</v>
      </c>
      <c r="QG35" s="106" t="n">
        <f aca="false">[1]НАДІЙШЛО2!EV27</f>
        <v>0</v>
      </c>
      <c r="QH35" s="107" t="n">
        <f aca="false">[1]ВИБУЛО2!EV27</f>
        <v>0</v>
      </c>
      <c r="QI35" s="108" t="n">
        <f aca="false">QI34-QH35+QG35</f>
        <v>0</v>
      </c>
      <c r="QJ35" s="106" t="n">
        <f aca="false">[1]НАДІЙШЛО2!EW27</f>
        <v>0</v>
      </c>
      <c r="QK35" s="107" t="n">
        <f aca="false">[1]ВИБУЛО2!EW27</f>
        <v>0</v>
      </c>
      <c r="QL35" s="108" t="n">
        <f aca="false">QL34-QK35+QJ35</f>
        <v>0</v>
      </c>
      <c r="QM35" s="106" t="n">
        <f aca="false">[1]НАДІЙШЛО2!EX27</f>
        <v>0</v>
      </c>
      <c r="QN35" s="107" t="n">
        <f aca="false">[1]ВИБУЛО2!EX27</f>
        <v>0</v>
      </c>
      <c r="QO35" s="108" t="n">
        <f aca="false">QO34-QN35+QM35</f>
        <v>0</v>
      </c>
      <c r="QP35" s="106" t="n">
        <f aca="false">[1]НАДІЙШЛО2!EY27</f>
        <v>0</v>
      </c>
      <c r="QQ35" s="107" t="n">
        <f aca="false">[1]ВИБУЛО2!EY27</f>
        <v>0</v>
      </c>
      <c r="QR35" s="108" t="n">
        <f aca="false">QR34-QQ35+QP35</f>
        <v>0</v>
      </c>
      <c r="QS35" s="106" t="n">
        <f aca="false">[1]НАДІЙШЛО2!EZ27</f>
        <v>0</v>
      </c>
      <c r="QT35" s="107" t="n">
        <f aca="false">[1]ВИБУЛО2!EZ27</f>
        <v>0</v>
      </c>
      <c r="QU35" s="108" t="n">
        <f aca="false">QU34-QT35+QS35</f>
        <v>0</v>
      </c>
      <c r="QV35" s="106" t="n">
        <f aca="false">[1]НАДІЙШЛО2!FA27</f>
        <v>0</v>
      </c>
      <c r="QW35" s="107" t="n">
        <f aca="false">[1]ВИБУЛО2!FA27</f>
        <v>0</v>
      </c>
      <c r="QX35" s="108" t="n">
        <f aca="false">QX34-QW35+QV35</f>
        <v>0</v>
      </c>
      <c r="QY35" s="106" t="n">
        <f aca="false">[1]НАДІЙШЛО2!FB27</f>
        <v>0</v>
      </c>
      <c r="QZ35" s="107" t="n">
        <f aca="false">[1]ВИБУЛО2!FB27</f>
        <v>0</v>
      </c>
      <c r="RA35" s="108" t="n">
        <f aca="false">RA34-QZ35+QY35</f>
        <v>0</v>
      </c>
      <c r="RB35" s="106" t="n">
        <f aca="false">[1]НАДІЙШЛО2!FC27</f>
        <v>0</v>
      </c>
      <c r="RC35" s="107" t="n">
        <f aca="false">[1]ВИБУЛО2!FC27</f>
        <v>0</v>
      </c>
      <c r="RD35" s="108" t="n">
        <f aca="false">RD34-RC35+RB35</f>
        <v>0</v>
      </c>
      <c r="RE35" s="106" t="n">
        <f aca="false">[1]НАДІЙШЛО2!FD27</f>
        <v>0</v>
      </c>
      <c r="RF35" s="107" t="n">
        <f aca="false">[1]ВИБУЛО2!FD27</f>
        <v>0</v>
      </c>
      <c r="RG35" s="108" t="n">
        <f aca="false">RG34-RF35+RE35</f>
        <v>0</v>
      </c>
      <c r="RH35" s="106" t="n">
        <f aca="false">[1]НАДІЙШЛО2!FE27</f>
        <v>0</v>
      </c>
      <c r="RI35" s="107" t="n">
        <f aca="false">[1]ВИБУЛО2!FE27</f>
        <v>0</v>
      </c>
      <c r="RJ35" s="108" t="n">
        <f aca="false">RJ34-RI35+RH35</f>
        <v>0</v>
      </c>
      <c r="RK35" s="106" t="n">
        <f aca="false">[1]НАДІЙШЛО2!FF27</f>
        <v>0</v>
      </c>
      <c r="RL35" s="107" t="n">
        <f aca="false">[1]ВИБУЛО2!FF27</f>
        <v>0</v>
      </c>
      <c r="RM35" s="108" t="n">
        <f aca="false">RM34-RL35+RK35</f>
        <v>0</v>
      </c>
      <c r="RN35" s="106" t="n">
        <f aca="false">[1]НАДІЙШЛО2!FG27</f>
        <v>0</v>
      </c>
      <c r="RO35" s="107" t="n">
        <f aca="false">[1]ВИБУЛО2!FG27</f>
        <v>0</v>
      </c>
      <c r="RP35" s="108" t="n">
        <f aca="false">RP34-RO35+RN35</f>
        <v>0</v>
      </c>
      <c r="RQ35" s="106" t="n">
        <f aca="false">[1]НАДІЙШЛО2!FH27</f>
        <v>0</v>
      </c>
      <c r="RR35" s="107" t="n">
        <f aca="false">[1]ВИБУЛО2!FH27</f>
        <v>0</v>
      </c>
      <c r="RS35" s="108" t="n">
        <f aca="false">RS34-RR35+RQ35</f>
        <v>0</v>
      </c>
      <c r="RT35" s="106" t="n">
        <f aca="false">[1]НАДІЙШЛО2!FI27</f>
        <v>0</v>
      </c>
      <c r="RU35" s="107" t="n">
        <f aca="false">[1]ВИБУЛО2!FI27</f>
        <v>0</v>
      </c>
      <c r="RV35" s="108" t="n">
        <f aca="false">RV34-RU35+RT35</f>
        <v>0</v>
      </c>
      <c r="RW35" s="106" t="n">
        <f aca="false">[1]НАДІЙШЛО2!FJ27</f>
        <v>0</v>
      </c>
      <c r="RX35" s="107" t="n">
        <f aca="false">[1]ВИБУЛО2!FJ27</f>
        <v>0</v>
      </c>
      <c r="RY35" s="108" t="n">
        <f aca="false">RY34-RX35+RW35</f>
        <v>0</v>
      </c>
      <c r="RZ35" s="106" t="n">
        <f aca="false">[1]НАДІЙШЛО2!FK27</f>
        <v>0</v>
      </c>
      <c r="SA35" s="107" t="n">
        <f aca="false">[1]ВИБУЛО2!FK27</f>
        <v>0</v>
      </c>
      <c r="SB35" s="108" t="n">
        <f aca="false">SB34-SA35+RZ35</f>
        <v>0</v>
      </c>
      <c r="SC35" s="106" t="n">
        <f aca="false">[1]НАДІЙШЛО2!FL27</f>
        <v>0</v>
      </c>
      <c r="SD35" s="107" t="n">
        <f aca="false">[1]ВИБУЛО2!FL27</f>
        <v>0</v>
      </c>
      <c r="SE35" s="108" t="n">
        <f aca="false">SE34-SD35+SC35</f>
        <v>0</v>
      </c>
      <c r="SF35" s="106" t="n">
        <f aca="false">[1]НАДІЙШЛО2!FM27</f>
        <v>0</v>
      </c>
      <c r="SG35" s="107" t="n">
        <f aca="false">[1]ВИБУЛО2!FM27</f>
        <v>0</v>
      </c>
      <c r="SH35" s="108" t="n">
        <f aca="false">SH34-SG35+SF35</f>
        <v>0</v>
      </c>
      <c r="SI35" s="106" t="n">
        <f aca="false">[1]НАДІЙШЛО2!FN27</f>
        <v>0</v>
      </c>
      <c r="SJ35" s="107" t="n">
        <f aca="false">[1]ВИБУЛО2!FN27</f>
        <v>0</v>
      </c>
      <c r="SK35" s="108" t="n">
        <f aca="false">SK34-SJ35+SI35</f>
        <v>0</v>
      </c>
      <c r="SL35" s="106" t="n">
        <f aca="false">[1]НАДІЙШЛО2!FO27</f>
        <v>0</v>
      </c>
      <c r="SM35" s="107" t="n">
        <f aca="false">[1]ВИБУЛО2!FO27</f>
        <v>0</v>
      </c>
      <c r="SN35" s="108" t="n">
        <f aca="false">SN34-SM35+SL35</f>
        <v>0</v>
      </c>
      <c r="SO35" s="106" t="n">
        <f aca="false">[1]НАДІЙШЛО2!FP27</f>
        <v>0</v>
      </c>
      <c r="SP35" s="107" t="n">
        <f aca="false">[1]ВИБУЛО2!FP27</f>
        <v>0</v>
      </c>
      <c r="SQ35" s="108" t="n">
        <f aca="false">SQ34-SP35+SO35</f>
        <v>0</v>
      </c>
      <c r="SR35" s="106" t="n">
        <f aca="false">[1]НАДІЙШЛО2!FQ27</f>
        <v>0</v>
      </c>
      <c r="SS35" s="107" t="n">
        <f aca="false">[1]ВИБУЛО2!FQ27</f>
        <v>0</v>
      </c>
      <c r="ST35" s="108" t="n">
        <f aca="false">ST34-SS35+SR35</f>
        <v>0</v>
      </c>
      <c r="SU35" s="106" t="n">
        <f aca="false">[1]НАДІЙШЛО2!FR27</f>
        <v>0</v>
      </c>
      <c r="SV35" s="107" t="n">
        <f aca="false">[1]ВИБУЛО2!FR27</f>
        <v>0</v>
      </c>
      <c r="SW35" s="108" t="n">
        <f aca="false">SW34-SV35+SU35</f>
        <v>0</v>
      </c>
      <c r="SX35" s="106" t="n">
        <f aca="false">[1]НАДІЙШЛО2!FS27</f>
        <v>0</v>
      </c>
      <c r="SY35" s="107" t="n">
        <f aca="false">[1]ВИБУЛО2!FS27</f>
        <v>0</v>
      </c>
      <c r="SZ35" s="108" t="n">
        <f aca="false">SZ34-SY35+SX35</f>
        <v>0</v>
      </c>
      <c r="TA35" s="106" t="n">
        <f aca="false">[1]НАДІЙШЛО2!FT27</f>
        <v>0</v>
      </c>
      <c r="TB35" s="107" t="n">
        <f aca="false">[1]ВИБУЛО2!FT27</f>
        <v>0</v>
      </c>
      <c r="TC35" s="108" t="n">
        <f aca="false">TC34-TB35+TA35</f>
        <v>0</v>
      </c>
      <c r="TD35" s="106" t="n">
        <f aca="false">[1]НАДІЙШЛО2!FU27</f>
        <v>0</v>
      </c>
      <c r="TE35" s="107" t="n">
        <f aca="false">[1]ВИБУЛО2!FU27</f>
        <v>0</v>
      </c>
      <c r="TF35" s="108" t="n">
        <f aca="false">TF34-TE35+TD35</f>
        <v>0</v>
      </c>
      <c r="TG35" s="106" t="n">
        <f aca="false">[1]НАДІЙШЛО2!FV27</f>
        <v>0</v>
      </c>
      <c r="TH35" s="107" t="n">
        <f aca="false">[1]ВИБУЛО2!FV27</f>
        <v>0</v>
      </c>
      <c r="TI35" s="108" t="n">
        <f aca="false">TI34-TH35+TG35</f>
        <v>0</v>
      </c>
      <c r="TJ35" s="106" t="n">
        <f aca="false">[1]НАДІЙШЛО2!FW27</f>
        <v>0</v>
      </c>
      <c r="TK35" s="107" t="n">
        <f aca="false">[1]ВИБУЛО2!FW27</f>
        <v>0</v>
      </c>
      <c r="TL35" s="108" t="n">
        <f aca="false">TL34-TK35+TJ35</f>
        <v>0</v>
      </c>
      <c r="TM35" s="106" t="n">
        <f aca="false">[1]НАДІЙШЛО2!FX27</f>
        <v>0</v>
      </c>
      <c r="TN35" s="107" t="n">
        <f aca="false">[1]ВИБУЛО2!FX27</f>
        <v>0</v>
      </c>
      <c r="TO35" s="108" t="n">
        <f aca="false">TO34-TN35+TM35</f>
        <v>0</v>
      </c>
      <c r="TP35" s="106" t="n">
        <f aca="false">[1]НАДІЙШЛО2!FY27</f>
        <v>0</v>
      </c>
      <c r="TQ35" s="107" t="n">
        <f aca="false">[1]ВИБУЛО2!FY27</f>
        <v>0</v>
      </c>
      <c r="TR35" s="108" t="n">
        <f aca="false">TR34-TQ35+TP35</f>
        <v>0</v>
      </c>
      <c r="TS35" s="106" t="n">
        <f aca="false">[1]НАДІЙШЛО2!FZ27</f>
        <v>0</v>
      </c>
      <c r="TT35" s="107" t="n">
        <f aca="false">[1]ВИБУЛО2!FZ27</f>
        <v>0</v>
      </c>
      <c r="TU35" s="108" t="n">
        <f aca="false">TU34-TT35+TS35</f>
        <v>0</v>
      </c>
      <c r="TV35" s="106" t="n">
        <f aca="false">[1]НАДІЙШЛО2!GA27</f>
        <v>0</v>
      </c>
      <c r="TW35" s="107" t="n">
        <f aca="false">[1]ВИБУЛО2!GA27</f>
        <v>0</v>
      </c>
      <c r="TX35" s="108" t="n">
        <f aca="false">TX34-TW35+TV35</f>
        <v>0</v>
      </c>
      <c r="TY35" s="106" t="n">
        <f aca="false">[1]НАДІЙШЛО2!GB27</f>
        <v>0</v>
      </c>
      <c r="TZ35" s="107" t="n">
        <f aca="false">[1]ВИБУЛО2!GB27</f>
        <v>0</v>
      </c>
      <c r="UA35" s="108" t="n">
        <f aca="false">UA34-TZ35+TY35</f>
        <v>0</v>
      </c>
      <c r="UB35" s="106" t="n">
        <f aca="false">[1]НАДІЙШЛО2!GC27</f>
        <v>0</v>
      </c>
      <c r="UC35" s="107" t="n">
        <f aca="false">[1]ВИБУЛО2!GC27</f>
        <v>0</v>
      </c>
      <c r="UD35" s="108" t="n">
        <f aca="false">UD34-UC35+UB35</f>
        <v>0</v>
      </c>
      <c r="UE35" s="106" t="n">
        <f aca="false">[1]НАДІЙШЛО2!GD27</f>
        <v>0</v>
      </c>
      <c r="UF35" s="107" t="n">
        <f aca="false">[1]ВИБУЛО2!GD27</f>
        <v>0</v>
      </c>
      <c r="UG35" s="108" t="n">
        <f aca="false">UG34-UF35+UE35</f>
        <v>0</v>
      </c>
      <c r="UH35" s="106" t="n">
        <f aca="false">[1]НАДІЙШЛО2!GE27</f>
        <v>0</v>
      </c>
      <c r="UI35" s="107" t="n">
        <f aca="false">[1]ВИБУЛО2!GE27</f>
        <v>0</v>
      </c>
      <c r="UJ35" s="108" t="n">
        <f aca="false">UJ34-UI35+UH35</f>
        <v>0</v>
      </c>
      <c r="UK35" s="106" t="n">
        <f aca="false">[1]НАДІЙШЛО2!GF27</f>
        <v>0</v>
      </c>
      <c r="UL35" s="107" t="n">
        <f aca="false">[1]ВИБУЛО2!GF27</f>
        <v>0</v>
      </c>
      <c r="UM35" s="108" t="n">
        <f aca="false">UM34-UL35+UK35</f>
        <v>0</v>
      </c>
      <c r="UN35" s="106" t="n">
        <f aca="false">[1]НАДІЙШЛО2!GG27</f>
        <v>0</v>
      </c>
      <c r="UO35" s="107" t="n">
        <f aca="false">[1]ВИБУЛО2!GG27</f>
        <v>0</v>
      </c>
      <c r="UP35" s="108" t="n">
        <f aca="false">UP34-UO35+UN35</f>
        <v>0</v>
      </c>
      <c r="UQ35" s="106" t="n">
        <f aca="false">[1]НАДІЙШЛО2!GH27</f>
        <v>0</v>
      </c>
      <c r="UR35" s="107" t="n">
        <f aca="false">[1]ВИБУЛО2!GH27</f>
        <v>0</v>
      </c>
      <c r="US35" s="108" t="n">
        <f aca="false">US34-UR35+UQ35</f>
        <v>0</v>
      </c>
      <c r="UT35" s="106" t="n">
        <f aca="false">[1]НАДІЙШЛО2!GI27</f>
        <v>0</v>
      </c>
      <c r="UU35" s="107" t="n">
        <f aca="false">[1]ВИБУЛО2!GI27</f>
        <v>0</v>
      </c>
      <c r="UV35" s="108" t="n">
        <f aca="false">UV34-UU35+UT35</f>
        <v>0</v>
      </c>
      <c r="UW35" s="106" t="n">
        <f aca="false">[1]НАДІЙШЛО2!GJ27</f>
        <v>0</v>
      </c>
      <c r="UX35" s="107" t="n">
        <f aca="false">[1]ВИБУЛО2!GJ27</f>
        <v>0</v>
      </c>
      <c r="UY35" s="108" t="n">
        <f aca="false">UY34-UX35+UW35</f>
        <v>0</v>
      </c>
      <c r="UZ35" s="106" t="n">
        <f aca="false">[1]НАДІЙШЛО2!GK27</f>
        <v>0</v>
      </c>
      <c r="VA35" s="107" t="n">
        <f aca="false">[1]ВИБУЛО2!GK27</f>
        <v>0</v>
      </c>
      <c r="VB35" s="108" t="n">
        <f aca="false">VB34-VA35+UZ35</f>
        <v>0</v>
      </c>
      <c r="VC35" s="106" t="n">
        <f aca="false">[1]НАДІЙШЛО2!GL27</f>
        <v>0</v>
      </c>
      <c r="VD35" s="107" t="n">
        <f aca="false">[1]ВИБУЛО2!GL27</f>
        <v>0</v>
      </c>
      <c r="VE35" s="108" t="n">
        <f aca="false">VE34-VD35+VC35</f>
        <v>0</v>
      </c>
      <c r="VF35" s="106" t="n">
        <f aca="false">[1]НАДІЙШЛО2!GM27</f>
        <v>0</v>
      </c>
      <c r="VG35" s="107" t="n">
        <f aca="false">[1]ВИБУЛО2!GM27</f>
        <v>0</v>
      </c>
      <c r="VH35" s="108" t="n">
        <f aca="false">VH34-VG35+VF35</f>
        <v>0</v>
      </c>
      <c r="VI35" s="106" t="n">
        <f aca="false">[1]НАДІЙШЛО2!GN27</f>
        <v>0</v>
      </c>
      <c r="VJ35" s="107" t="n">
        <f aca="false">[1]ВИБУЛО2!GN27</f>
        <v>0</v>
      </c>
      <c r="VK35" s="108" t="n">
        <f aca="false">VK34-VJ35+VI35</f>
        <v>0</v>
      </c>
      <c r="VL35" s="106" t="n">
        <f aca="false">[1]НАДІЙШЛО2!GO27</f>
        <v>0</v>
      </c>
      <c r="VM35" s="107" t="n">
        <f aca="false">[1]ВИБУЛО2!GO27</f>
        <v>0</v>
      </c>
      <c r="VN35" s="108" t="n">
        <f aca="false">VN34-VM35+VL35</f>
        <v>0</v>
      </c>
      <c r="VO35" s="106" t="n">
        <f aca="false">[1]НАДІЙШЛО2!GP27</f>
        <v>0</v>
      </c>
      <c r="VP35" s="107" t="n">
        <f aca="false">[1]ВИБУЛО2!GP27</f>
        <v>0</v>
      </c>
      <c r="VQ35" s="108" t="n">
        <f aca="false">VQ34-VP35+VO35</f>
        <v>0</v>
      </c>
      <c r="VR35" s="106" t="n">
        <f aca="false">[1]НАДІЙШЛО2!GQ27</f>
        <v>0</v>
      </c>
      <c r="VS35" s="107" t="n">
        <f aca="false">[1]ВИБУЛО2!GQ27</f>
        <v>0</v>
      </c>
      <c r="VT35" s="108" t="n">
        <f aca="false">VT34-VS35+VR35</f>
        <v>0</v>
      </c>
      <c r="VU35" s="106" t="n">
        <f aca="false">[1]НАДІЙШЛО2!GR27</f>
        <v>0</v>
      </c>
      <c r="VV35" s="107" t="n">
        <f aca="false">[1]ВИБУЛО2!GR27</f>
        <v>0</v>
      </c>
      <c r="VW35" s="108" t="n">
        <f aca="false">VW34-VV35+VU35</f>
        <v>0</v>
      </c>
      <c r="VX35" s="106" t="n">
        <f aca="false">[1]НАДІЙШЛО2!GS27</f>
        <v>0</v>
      </c>
      <c r="VY35" s="107" t="n">
        <f aca="false">[1]ВИБУЛО2!GS27</f>
        <v>0</v>
      </c>
      <c r="VZ35" s="108" t="n">
        <f aca="false">VZ34-VY35+VX35</f>
        <v>0</v>
      </c>
      <c r="WA35" s="106" t="n">
        <f aca="false">[1]НАДІЙШЛО2!GT27</f>
        <v>0</v>
      </c>
      <c r="WB35" s="107" t="n">
        <f aca="false">[1]ВИБУЛО2!GT27</f>
        <v>0</v>
      </c>
      <c r="WC35" s="108" t="n">
        <f aca="false">WC34-WB35+WA35</f>
        <v>0</v>
      </c>
      <c r="WD35" s="106" t="n">
        <f aca="false">[1]НАДІЙШЛО2!GU27</f>
        <v>0</v>
      </c>
      <c r="WE35" s="107" t="n">
        <f aca="false">[1]ВИБУЛО2!GU27</f>
        <v>0</v>
      </c>
      <c r="WF35" s="108" t="n">
        <f aca="false">WF34-WE35+WD35</f>
        <v>0</v>
      </c>
      <c r="WG35" s="106" t="n">
        <f aca="false">[1]НАДІЙШЛО2!GV27</f>
        <v>0</v>
      </c>
      <c r="WH35" s="107" t="n">
        <f aca="false">[1]ВИБУЛО2!GV27</f>
        <v>0</v>
      </c>
      <c r="WI35" s="108" t="n">
        <f aca="false">WI34-WH35+WG35</f>
        <v>0</v>
      </c>
      <c r="WJ35" s="106" t="n">
        <f aca="false">[1]НАДІЙШЛО2!GW27</f>
        <v>0</v>
      </c>
      <c r="WK35" s="107" t="n">
        <f aca="false">[1]ВИБУЛО2!GW27</f>
        <v>0</v>
      </c>
      <c r="WL35" s="108" t="n">
        <f aca="false">WL34-WK35+WJ35</f>
        <v>0</v>
      </c>
      <c r="WM35" s="106" t="n">
        <f aca="false">[1]НАДІЙШЛО2!GX27</f>
        <v>0</v>
      </c>
      <c r="WN35" s="107" t="n">
        <f aca="false">[1]ВИБУЛО2!GX27</f>
        <v>0</v>
      </c>
      <c r="WO35" s="108" t="n">
        <f aca="false">WO34-WN35+WM35</f>
        <v>0</v>
      </c>
      <c r="WP35" s="106" t="n">
        <f aca="false">[1]НАДІЙШЛО2!GY27</f>
        <v>0</v>
      </c>
      <c r="WQ35" s="107" t="n">
        <f aca="false">[1]ВИБУЛО2!GY27</f>
        <v>0</v>
      </c>
      <c r="WR35" s="108" t="n">
        <f aca="false">WR34-WQ35+WP35</f>
        <v>0</v>
      </c>
      <c r="WS35" s="106" t="n">
        <f aca="false">[1]НАДІЙШЛО2!GZ27</f>
        <v>0</v>
      </c>
      <c r="WT35" s="107" t="n">
        <f aca="false">[1]ВИБУЛО2!GZ27</f>
        <v>0</v>
      </c>
      <c r="WU35" s="108" t="n">
        <f aca="false">WU34-WT35+WS35</f>
        <v>0</v>
      </c>
      <c r="WV35" s="106" t="n">
        <f aca="false">[1]НАДІЙШЛО2!HA27</f>
        <v>0</v>
      </c>
      <c r="WW35" s="107" t="n">
        <f aca="false">[1]ВИБУЛО2!HA27</f>
        <v>0</v>
      </c>
      <c r="WX35" s="108" t="n">
        <f aca="false">WX34-WW35+WV35</f>
        <v>0</v>
      </c>
      <c r="WY35" s="106" t="n">
        <f aca="false">[1]НАДІЙШЛО2!HB27</f>
        <v>0</v>
      </c>
      <c r="WZ35" s="107" t="n">
        <f aca="false">[1]ВИБУЛО2!HB27</f>
        <v>0</v>
      </c>
      <c r="XA35" s="108" t="n">
        <f aca="false">XA34-WZ35+WY35</f>
        <v>0</v>
      </c>
      <c r="XB35" s="106" t="n">
        <f aca="false">[1]НАДІЙШЛО2!HC27</f>
        <v>0</v>
      </c>
      <c r="XC35" s="107" t="n">
        <f aca="false">[1]ВИБУЛО2!HC27</f>
        <v>0</v>
      </c>
      <c r="XD35" s="108" t="n">
        <f aca="false">XD34-XC35+XB35</f>
        <v>0</v>
      </c>
      <c r="XE35" s="106" t="n">
        <f aca="false">[1]НАДІЙШЛО2!HD27</f>
        <v>0</v>
      </c>
      <c r="XF35" s="107" t="n">
        <f aca="false">[1]ВИБУЛО2!HD27</f>
        <v>0</v>
      </c>
      <c r="XG35" s="108" t="n">
        <f aca="false">XG34-XF35+XE35</f>
        <v>0</v>
      </c>
      <c r="XH35" s="106" t="n">
        <f aca="false">[1]НАДІЙШЛО2!HE27</f>
        <v>0</v>
      </c>
      <c r="XI35" s="107" t="n">
        <f aca="false">[1]ВИБУЛО2!HE27</f>
        <v>0</v>
      </c>
      <c r="XJ35" s="108" t="n">
        <f aca="false">XJ34-XI35+XH35</f>
        <v>0</v>
      </c>
      <c r="XK35" s="106" t="n">
        <f aca="false">[1]НАДІЙШЛО2!HF27</f>
        <v>0</v>
      </c>
      <c r="XL35" s="107" t="n">
        <f aca="false">[1]ВИБУЛО2!HF27</f>
        <v>0</v>
      </c>
      <c r="XM35" s="108" t="n">
        <f aca="false">XM34-XL35+XK35</f>
        <v>0</v>
      </c>
      <c r="XN35" s="106" t="n">
        <f aca="false">[1]НАДІЙШЛО2!HG27</f>
        <v>0</v>
      </c>
      <c r="XO35" s="107" t="n">
        <f aca="false">[1]ВИБУЛО2!HG27</f>
        <v>0</v>
      </c>
      <c r="XP35" s="108" t="n">
        <f aca="false">XP34-XO35+XN35</f>
        <v>0</v>
      </c>
      <c r="XQ35" s="106" t="n">
        <f aca="false">[1]НАДІЙШЛО2!HH27</f>
        <v>0</v>
      </c>
      <c r="XR35" s="107" t="n">
        <f aca="false">[1]ВИБУЛО2!HH27</f>
        <v>0</v>
      </c>
      <c r="XS35" s="108" t="n">
        <f aca="false">XS34-XR35+XQ35</f>
        <v>0</v>
      </c>
      <c r="XT35" s="106" t="n">
        <f aca="false">[1]НАДІЙШЛО2!HI27</f>
        <v>0</v>
      </c>
      <c r="XU35" s="107" t="n">
        <f aca="false">[1]ВИБУЛО2!HI27</f>
        <v>0</v>
      </c>
      <c r="XV35" s="108" t="n">
        <f aca="false">XV34-XU35+XT35</f>
        <v>0</v>
      </c>
      <c r="XW35" s="106" t="n">
        <f aca="false">[1]НАДІЙШЛО2!HJ27</f>
        <v>0</v>
      </c>
      <c r="XX35" s="107" t="n">
        <f aca="false">[1]ВИБУЛО2!HJ27</f>
        <v>0</v>
      </c>
      <c r="XY35" s="108" t="n">
        <f aca="false">XY34-XX35+XW35</f>
        <v>0</v>
      </c>
      <c r="XZ35" s="106" t="n">
        <f aca="false">[1]НАДІЙШЛО2!HK27</f>
        <v>0</v>
      </c>
      <c r="YA35" s="107" t="n">
        <f aca="false">[1]ВИБУЛО2!HK27</f>
        <v>0</v>
      </c>
      <c r="YB35" s="108" t="n">
        <f aca="false">YB34-YA35+XZ35</f>
        <v>0</v>
      </c>
      <c r="YC35" s="106" t="n">
        <f aca="false">[1]НАДІЙШЛО2!HL27</f>
        <v>0</v>
      </c>
      <c r="YD35" s="107" t="n">
        <f aca="false">[1]ВИБУЛО2!HL27</f>
        <v>0</v>
      </c>
      <c r="YE35" s="108" t="n">
        <f aca="false">YE34-YD35+YC35</f>
        <v>0</v>
      </c>
      <c r="YF35" s="106" t="n">
        <f aca="false">[1]НАДІЙШЛО2!HM27</f>
        <v>0</v>
      </c>
      <c r="YG35" s="107" t="n">
        <f aca="false">[1]ВИБУЛО2!HM27</f>
        <v>0</v>
      </c>
      <c r="YH35" s="108" t="n">
        <f aca="false">YH34-YG35+YF35</f>
        <v>0</v>
      </c>
      <c r="YI35" s="106" t="n">
        <f aca="false">[1]НАДІЙШЛО2!HN27</f>
        <v>0</v>
      </c>
      <c r="YJ35" s="107" t="n">
        <f aca="false">[1]ВИБУЛО2!HN27</f>
        <v>0</v>
      </c>
      <c r="YK35" s="108" t="n">
        <f aca="false">YK34-YJ35+YI35</f>
        <v>0</v>
      </c>
      <c r="YL35" s="106" t="n">
        <f aca="false">[1]НАДІЙШЛО2!HO27</f>
        <v>0</v>
      </c>
      <c r="YM35" s="107" t="n">
        <f aca="false">[1]ВИБУЛО2!HO27</f>
        <v>0</v>
      </c>
      <c r="YN35" s="108" t="n">
        <f aca="false">YN34-YM35+YL35</f>
        <v>0</v>
      </c>
      <c r="YO35" s="106" t="n">
        <f aca="false">[1]НАДІЙШЛО2!HP27</f>
        <v>0</v>
      </c>
      <c r="YP35" s="107" t="n">
        <f aca="false">[1]ВИБУЛО2!HP27</f>
        <v>0</v>
      </c>
      <c r="YQ35" s="108" t="n">
        <f aca="false">YQ34-YP35+YO35</f>
        <v>0</v>
      </c>
      <c r="YR35" s="106" t="n">
        <f aca="false">[1]НАДІЙШЛО2!HQ27</f>
        <v>0</v>
      </c>
      <c r="YS35" s="107" t="n">
        <f aca="false">[1]ВИБУЛО2!HQ27</f>
        <v>0</v>
      </c>
      <c r="YT35" s="108" t="n">
        <f aca="false">YT34-YS35+YR35</f>
        <v>0</v>
      </c>
      <c r="YU35" s="106" t="n">
        <f aca="false">[1]НАДІЙШЛО2!HR27</f>
        <v>0</v>
      </c>
      <c r="YV35" s="107" t="n">
        <f aca="false">[1]ВИБУЛО2!HR27</f>
        <v>0</v>
      </c>
      <c r="YW35" s="108" t="n">
        <f aca="false">YW34-YV35+YU35</f>
        <v>0</v>
      </c>
      <c r="YX35" s="106" t="n">
        <f aca="false">[1]НАДІЙШЛО2!HS27</f>
        <v>0</v>
      </c>
      <c r="YY35" s="107" t="n">
        <f aca="false">[1]ВИБУЛО2!HS27</f>
        <v>0</v>
      </c>
      <c r="YZ35" s="108" t="n">
        <f aca="false">YZ34-YY35+YX35</f>
        <v>0</v>
      </c>
      <c r="ZA35" s="106" t="n">
        <f aca="false">[1]НАДІЙШЛО2!HT27</f>
        <v>0</v>
      </c>
      <c r="ZB35" s="107" t="n">
        <f aca="false">[1]ВИБУЛО2!HT27</f>
        <v>0</v>
      </c>
      <c r="ZC35" s="108" t="n">
        <f aca="false">ZC34-ZB35+ZA35</f>
        <v>0</v>
      </c>
      <c r="ZD35" s="106" t="n">
        <f aca="false">[1]НАДІЙШЛО2!HU27</f>
        <v>0</v>
      </c>
      <c r="ZE35" s="107" t="n">
        <f aca="false">[1]ВИБУЛО2!HU27</f>
        <v>0</v>
      </c>
      <c r="ZF35" s="108" t="n">
        <f aca="false">ZF34-ZE35+ZD35</f>
        <v>0</v>
      </c>
      <c r="ZG35" s="106" t="n">
        <f aca="false">[1]НАДІЙШЛО2!HV27</f>
        <v>0</v>
      </c>
      <c r="ZH35" s="107" t="n">
        <f aca="false">[1]ВИБУЛО2!HV27</f>
        <v>0</v>
      </c>
      <c r="ZI35" s="108" t="n">
        <f aca="false">ZI34-ZH35+ZG35</f>
        <v>0</v>
      </c>
      <c r="ZJ35" s="106" t="n">
        <f aca="false">[1]НАДІЙШЛО2!HW27</f>
        <v>0</v>
      </c>
      <c r="ZK35" s="107" t="n">
        <f aca="false">[1]ВИБУЛО2!HW27</f>
        <v>0</v>
      </c>
      <c r="ZL35" s="108" t="n">
        <f aca="false">ZL34-ZK35+ZJ35</f>
        <v>0</v>
      </c>
      <c r="ZM35" s="106" t="n">
        <f aca="false">[1]НАДІЙШЛО2!HX27</f>
        <v>0</v>
      </c>
      <c r="ZN35" s="107" t="n">
        <f aca="false">[1]ВИБУЛО2!HX27</f>
        <v>0</v>
      </c>
      <c r="ZO35" s="108" t="n">
        <f aca="false">ZO34-ZN35+ZM35</f>
        <v>0</v>
      </c>
      <c r="ZP35" s="106" t="n">
        <f aca="false">[1]НАДІЙШЛО2!HY27</f>
        <v>0</v>
      </c>
      <c r="ZQ35" s="107" t="n">
        <f aca="false">[1]ВИБУЛО2!HY27</f>
        <v>0</v>
      </c>
      <c r="ZR35" s="108" t="n">
        <f aca="false">ZR34-ZQ35+ZP35</f>
        <v>0</v>
      </c>
      <c r="ZS35" s="106" t="n">
        <f aca="false">[1]НАДІЙШЛО2!HZ27</f>
        <v>0</v>
      </c>
      <c r="ZT35" s="107" t="n">
        <f aca="false">[1]ВИБУЛО2!HZ27</f>
        <v>0</v>
      </c>
      <c r="ZU35" s="108" t="n">
        <f aca="false">ZU34-ZT35+ZS35</f>
        <v>0</v>
      </c>
      <c r="ZV35" s="106" t="n">
        <f aca="false">[1]НАДІЙШЛО2!IA27</f>
        <v>0</v>
      </c>
      <c r="ZW35" s="107" t="n">
        <f aca="false">[1]ВИБУЛО2!IA27</f>
        <v>0</v>
      </c>
      <c r="ZX35" s="108" t="n">
        <f aca="false">ZX34-ZW35+ZV35</f>
        <v>0</v>
      </c>
      <c r="ZY35" s="106" t="n">
        <f aca="false">[1]НАДІЙШЛО2!IB27</f>
        <v>0</v>
      </c>
      <c r="ZZ35" s="107" t="n">
        <f aca="false">[1]ВИБУЛО2!IB27</f>
        <v>0</v>
      </c>
      <c r="AAA35" s="108" t="n">
        <f aca="false">AAA34-ZZ35+ZY35</f>
        <v>0</v>
      </c>
      <c r="AAB35" s="106" t="n">
        <f aca="false">[1]НАДІЙШЛО2!IC27</f>
        <v>0</v>
      </c>
      <c r="AAC35" s="107" t="n">
        <f aca="false">[1]ВИБУЛО2!IC27</f>
        <v>0</v>
      </c>
      <c r="AAD35" s="108" t="n">
        <f aca="false">AAD34-AAC35+AAB35</f>
        <v>0</v>
      </c>
      <c r="AAE35" s="106" t="n">
        <f aca="false">[1]НАДІЙШЛО2!ID27</f>
        <v>0</v>
      </c>
      <c r="AAF35" s="107" t="n">
        <f aca="false">[1]ВИБУЛО2!ID27</f>
        <v>0</v>
      </c>
      <c r="AAG35" s="108" t="n">
        <f aca="false">AAG34-AAF35+AAE35</f>
        <v>0</v>
      </c>
      <c r="AAH35" s="106" t="n">
        <f aca="false">[1]НАДІЙШЛО2!IE27</f>
        <v>0</v>
      </c>
      <c r="AAI35" s="107" t="n">
        <f aca="false">[1]ВИБУЛО2!IE27</f>
        <v>0</v>
      </c>
      <c r="AAJ35" s="108" t="n">
        <f aca="false">AAJ34-AAI35+AAH35</f>
        <v>0</v>
      </c>
      <c r="AAK35" s="106" t="n">
        <f aca="false">[1]НАДІЙШЛО2!IF27</f>
        <v>0</v>
      </c>
      <c r="AAL35" s="107" t="n">
        <f aca="false">[1]ВИБУЛО2!IF27</f>
        <v>0</v>
      </c>
      <c r="AAM35" s="108" t="n">
        <f aca="false">AAM34-AAL35+AAK35</f>
        <v>0</v>
      </c>
      <c r="AAN35" s="106" t="n">
        <f aca="false">[1]НАДІЙШЛО2!IG27</f>
        <v>0</v>
      </c>
      <c r="AAO35" s="107" t="n">
        <f aca="false">[1]ВИБУЛО2!IG27</f>
        <v>0</v>
      </c>
      <c r="AAP35" s="108" t="n">
        <f aca="false">AAP34-AAO35+AAN35</f>
        <v>0</v>
      </c>
      <c r="AAQ35" s="106" t="n">
        <f aca="false">[1]НАДІЙШЛО2!IH27</f>
        <v>0</v>
      </c>
      <c r="AAR35" s="107" t="n">
        <f aca="false">[1]ВИБУЛО2!IH27</f>
        <v>0</v>
      </c>
      <c r="AAS35" s="108" t="n">
        <f aca="false">AAS34-AAR35+AAQ35</f>
        <v>0</v>
      </c>
      <c r="AAT35" s="106" t="n">
        <f aca="false">[1]НАДІЙШЛО2!II27</f>
        <v>0</v>
      </c>
      <c r="AAU35" s="107" t="n">
        <f aca="false">[1]ВИБУЛО2!II27</f>
        <v>0</v>
      </c>
      <c r="AAV35" s="108" t="n">
        <f aca="false">AAV34-AAU35+AAT35</f>
        <v>0</v>
      </c>
      <c r="AAW35" s="106" t="n">
        <f aca="false">[1]НАДІЙШЛО2!IJ27</f>
        <v>0</v>
      </c>
      <c r="AAX35" s="107" t="n">
        <f aca="false">[1]ВИБУЛО2!IJ27</f>
        <v>0</v>
      </c>
      <c r="AAY35" s="108" t="n">
        <f aca="false">AAY34-AAX35+AAW35</f>
        <v>0</v>
      </c>
      <c r="AAZ35" s="106" t="n">
        <f aca="false">[1]НАДІЙШЛО2!IK27</f>
        <v>0</v>
      </c>
      <c r="ABA35" s="107" t="n">
        <f aca="false">[1]ВИБУЛО2!IK27</f>
        <v>0</v>
      </c>
      <c r="ABB35" s="108" t="n">
        <f aca="false">ABB34-ABA35+AAZ35</f>
        <v>0</v>
      </c>
      <c r="ABC35" s="106" t="n">
        <f aca="false">[1]НАДІЙШЛО2!IL27</f>
        <v>0</v>
      </c>
      <c r="ABD35" s="107" t="n">
        <f aca="false">[1]ВИБУЛО2!IL27</f>
        <v>0</v>
      </c>
      <c r="ABE35" s="108" t="n">
        <f aca="false">ABE34-ABD35+ABC35</f>
        <v>0</v>
      </c>
      <c r="ABF35" s="106" t="n">
        <f aca="false">[1]НАДІЙШЛО2!IM27</f>
        <v>0</v>
      </c>
      <c r="ABG35" s="107" t="n">
        <f aca="false">[1]ВИБУЛО2!IM27</f>
        <v>0</v>
      </c>
      <c r="ABH35" s="108" t="n">
        <f aca="false">ABH34-ABG35+ABF35</f>
        <v>0</v>
      </c>
      <c r="ABI35" s="106" t="n">
        <f aca="false">[1]НАДІЙШЛО2!IN27</f>
        <v>0</v>
      </c>
      <c r="ABJ35" s="107" t="n">
        <f aca="false">[1]ВИБУЛО2!IN27</f>
        <v>0</v>
      </c>
      <c r="ABK35" s="108" t="n">
        <f aca="false">ABK34-ABJ35+ABI35</f>
        <v>0</v>
      </c>
      <c r="ABL35" s="106" t="n">
        <f aca="false">[1]НАДІЙШЛО2!IO27</f>
        <v>0</v>
      </c>
      <c r="ABM35" s="107" t="n">
        <f aca="false">[1]ВИБУЛО2!IO27</f>
        <v>0</v>
      </c>
      <c r="ABN35" s="108" t="n">
        <f aca="false">ABN34-ABM35+ABL35</f>
        <v>0</v>
      </c>
      <c r="ABO35" s="106" t="n">
        <f aca="false">[1]НАДІЙШЛО2!IP27</f>
        <v>0</v>
      </c>
      <c r="ABP35" s="107" t="n">
        <f aca="false">[1]ВИБУЛО2!IP27</f>
        <v>0</v>
      </c>
      <c r="ABQ35" s="108" t="n">
        <f aca="false">ABQ34-ABP35+ABO35</f>
        <v>0</v>
      </c>
      <c r="ABR35" s="106" t="n">
        <f aca="false">[1]НАДІЙШЛО2!IQ27</f>
        <v>0</v>
      </c>
      <c r="ABS35" s="107" t="n">
        <f aca="false">[1]ВИБУЛО2!IQ27</f>
        <v>0</v>
      </c>
      <c r="ABT35" s="108" t="n">
        <f aca="false">ABT34-ABS35+ABR35</f>
        <v>0</v>
      </c>
      <c r="ABU35" s="106" t="n">
        <f aca="false">[1]НАДІЙШЛО2!IR27</f>
        <v>0</v>
      </c>
      <c r="ABV35" s="107" t="n">
        <f aca="false">[1]ВИБУЛО2!IR27</f>
        <v>0</v>
      </c>
      <c r="ABW35" s="108" t="n">
        <f aca="false">ABW34-ABV35+ABU35</f>
        <v>0</v>
      </c>
      <c r="ABX35" s="106" t="n">
        <f aca="false">[1]НАДІЙШЛО2!IS27</f>
        <v>0</v>
      </c>
      <c r="ABY35" s="107" t="n">
        <f aca="false">[1]ВИБУЛО2!IS27</f>
        <v>0</v>
      </c>
      <c r="ABZ35" s="108" t="n">
        <f aca="false">ABZ34-ABY35+ABX35</f>
        <v>0</v>
      </c>
      <c r="ACA35" s="106" t="n">
        <f aca="false">[1]НАДІЙШЛО2!IT27</f>
        <v>0</v>
      </c>
      <c r="ACB35" s="107" t="n">
        <f aca="false">[1]ВИБУЛО2!IT27</f>
        <v>0</v>
      </c>
      <c r="ACC35" s="108" t="n">
        <f aca="false">ACC34-ACB35+ACA35</f>
        <v>0</v>
      </c>
      <c r="ACD35" s="106" t="n">
        <f aca="false">[1]НАДІЙШЛО2!IU27</f>
        <v>0</v>
      </c>
      <c r="ACE35" s="107" t="n">
        <f aca="false">[1]ВИБУЛО2!IU27</f>
        <v>0</v>
      </c>
      <c r="ACF35" s="108" t="n">
        <f aca="false">ACF34-ACE35+ACD35</f>
        <v>0</v>
      </c>
      <c r="ACG35" s="106" t="n">
        <f aca="false">[1]НАДІЙШЛО2!IV27</f>
        <v>0</v>
      </c>
      <c r="ACH35" s="107" t="n">
        <f aca="false">[1]ВИБУЛО2!IV27</f>
        <v>0</v>
      </c>
      <c r="ACI35" s="108" t="n">
        <f aca="false">ACI34-ACH35+ACG35</f>
        <v>0</v>
      </c>
      <c r="ACJ35" s="106" t="n">
        <f aca="false">[1]НАДІЙШЛО2!IW27</f>
        <v>0</v>
      </c>
      <c r="ACK35" s="107" t="n">
        <f aca="false">[1]ВИБУЛО2!IW27</f>
        <v>0</v>
      </c>
      <c r="ACL35" s="108" t="n">
        <f aca="false">ACL34-ACK35+ACJ35</f>
        <v>0</v>
      </c>
      <c r="ACM35" s="106" t="n">
        <f aca="false">[1]НАДІЙШЛО2!IX27</f>
        <v>0</v>
      </c>
      <c r="ACN35" s="107" t="n">
        <f aca="false">[1]ВИБУЛО2!IX27</f>
        <v>0</v>
      </c>
      <c r="ACO35" s="108" t="n">
        <f aca="false">ACO34-ACN35+ACM35</f>
        <v>0</v>
      </c>
      <c r="ACP35" s="106" t="n">
        <f aca="false">[1]НАДІЙШЛО2!IY27</f>
        <v>0</v>
      </c>
      <c r="ACQ35" s="107" t="n">
        <f aca="false">[1]ВИБУЛО2!IY27</f>
        <v>0</v>
      </c>
      <c r="ACR35" s="108" t="n">
        <f aca="false">ACR34-ACQ35+ACP35</f>
        <v>0</v>
      </c>
      <c r="ACS35" s="106" t="n">
        <f aca="false">[1]НАДІЙШЛО2!IZ27</f>
        <v>0</v>
      </c>
      <c r="ACT35" s="107" t="n">
        <f aca="false">[1]ВИБУЛО2!IZ27</f>
        <v>0</v>
      </c>
      <c r="ACU35" s="108" t="n">
        <f aca="false">ACU34-ACT35+ACS35</f>
        <v>0</v>
      </c>
      <c r="ACV35" s="106" t="n">
        <f aca="false">[1]НАДІЙШЛО2!JA27</f>
        <v>0</v>
      </c>
      <c r="ACW35" s="107" t="n">
        <f aca="false">[1]ВИБУЛО2!JA27</f>
        <v>0</v>
      </c>
      <c r="ACX35" s="108" t="n">
        <f aca="false">ACX34-ACW35+ACV35</f>
        <v>0</v>
      </c>
      <c r="ACY35" s="106" t="n">
        <f aca="false">[1]НАДІЙШЛО2!JB27</f>
        <v>0</v>
      </c>
      <c r="ACZ35" s="107" t="n">
        <f aca="false">[1]ВИБУЛО2!JB27</f>
        <v>0</v>
      </c>
      <c r="ADA35" s="108" t="n">
        <f aca="false">ADA34-ACZ35+ACY35</f>
        <v>0</v>
      </c>
      <c r="ADB35" s="106" t="n">
        <f aca="false">[1]НАДІЙШЛО2!JC27</f>
        <v>0</v>
      </c>
      <c r="ADC35" s="107" t="n">
        <f aca="false">[1]ВИБУЛО2!JC27</f>
        <v>0</v>
      </c>
      <c r="ADD35" s="108" t="n">
        <f aca="false">ADD34-ADC35+ADB35</f>
        <v>0</v>
      </c>
      <c r="ADE35" s="106" t="n">
        <f aca="false">[1]НАДІЙШЛО2!JD27</f>
        <v>0</v>
      </c>
      <c r="ADF35" s="107" t="n">
        <f aca="false">[1]ВИБУЛО2!JD27</f>
        <v>0</v>
      </c>
      <c r="ADG35" s="108" t="n">
        <f aca="false">ADG34-ADF35+ADE35</f>
        <v>0</v>
      </c>
      <c r="ADH35" s="106" t="n">
        <f aca="false">[1]НАДІЙШЛО2!JE27</f>
        <v>0</v>
      </c>
      <c r="ADI35" s="107" t="n">
        <f aca="false">[1]ВИБУЛО2!JE27</f>
        <v>0</v>
      </c>
      <c r="ADJ35" s="108" t="n">
        <f aca="false">ADJ34-ADI35+ADH35</f>
        <v>0</v>
      </c>
      <c r="ADK35" s="106" t="n">
        <f aca="false">[1]НАДІЙШЛО2!JF27</f>
        <v>0</v>
      </c>
      <c r="ADL35" s="107" t="n">
        <f aca="false">[1]ВИБУЛО2!JF27</f>
        <v>0</v>
      </c>
      <c r="ADM35" s="108" t="n">
        <f aca="false">ADM34-ADL35+ADK35</f>
        <v>0</v>
      </c>
      <c r="ADN35" s="106" t="n">
        <f aca="false">[1]НАДІЙШЛО2!JG27</f>
        <v>0</v>
      </c>
      <c r="ADO35" s="107" t="n">
        <f aca="false">[1]ВИБУЛО2!JG27</f>
        <v>0</v>
      </c>
      <c r="ADP35" s="108" t="n">
        <f aca="false">ADP34-ADO35+ADN35</f>
        <v>0</v>
      </c>
      <c r="ADQ35" s="106" t="n">
        <f aca="false">[1]НАДІЙШЛО2!JH27</f>
        <v>0</v>
      </c>
      <c r="ADR35" s="107" t="n">
        <f aca="false">[1]ВИБУЛО2!JH27</f>
        <v>0</v>
      </c>
      <c r="ADS35" s="108" t="n">
        <f aca="false">ADS34-ADR35+ADQ35</f>
        <v>0</v>
      </c>
      <c r="ADT35" s="106" t="n">
        <f aca="false">[1]НАДІЙШЛО2!JI27</f>
        <v>0</v>
      </c>
      <c r="ADU35" s="107" t="n">
        <f aca="false">[1]ВИБУЛО2!JI27</f>
        <v>0</v>
      </c>
      <c r="ADV35" s="108" t="n">
        <f aca="false">ADV34-ADU35+ADT35</f>
        <v>0</v>
      </c>
      <c r="ADW35" s="106" t="n">
        <f aca="false">[1]НАДІЙШЛО2!JJ27</f>
        <v>0</v>
      </c>
      <c r="ADX35" s="107" t="n">
        <f aca="false">[1]ВИБУЛО2!JJ27</f>
        <v>0</v>
      </c>
      <c r="ADY35" s="108" t="n">
        <f aca="false">ADY34-ADX35+ADW35</f>
        <v>0</v>
      </c>
      <c r="ADZ35" s="106" t="n">
        <f aca="false">[1]НАДІЙШЛО2!JK27</f>
        <v>0</v>
      </c>
      <c r="AEA35" s="107" t="n">
        <f aca="false">[1]ВИБУЛО2!JK27</f>
        <v>0</v>
      </c>
      <c r="AEB35" s="108" t="n">
        <f aca="false">AEB34-AEA35+ADZ35</f>
        <v>0</v>
      </c>
      <c r="AEC35" s="106" t="n">
        <f aca="false">[1]НАДІЙШЛО2!JL27</f>
        <v>0</v>
      </c>
      <c r="AED35" s="107" t="n">
        <f aca="false">[1]ВИБУЛО2!JL27</f>
        <v>0</v>
      </c>
      <c r="AEE35" s="108" t="n">
        <f aca="false">AEE34-AED35+AEC35</f>
        <v>0</v>
      </c>
      <c r="AEF35" s="106" t="n">
        <f aca="false">[1]НАДІЙШЛО2!JM27</f>
        <v>0</v>
      </c>
      <c r="AEG35" s="107" t="n">
        <f aca="false">[1]ВИБУЛО2!JM27</f>
        <v>0</v>
      </c>
      <c r="AEH35" s="108" t="n">
        <f aca="false">AEH34-AEG35+AEF35</f>
        <v>0</v>
      </c>
      <c r="AEI35" s="106" t="n">
        <f aca="false">[1]НАДІЙШЛО2!JN27</f>
        <v>0</v>
      </c>
      <c r="AEJ35" s="107" t="n">
        <f aca="false">[1]ВИБУЛО2!JN27</f>
        <v>0</v>
      </c>
      <c r="AEK35" s="108" t="n">
        <f aca="false">AEK34-AEJ35+AEI35</f>
        <v>0</v>
      </c>
      <c r="AEL35" s="106" t="n">
        <f aca="false">[1]НАДІЙШЛО2!JO27</f>
        <v>0</v>
      </c>
      <c r="AEM35" s="107" t="n">
        <f aca="false">[1]ВИБУЛО2!JO27</f>
        <v>0</v>
      </c>
      <c r="AEN35" s="108" t="n">
        <f aca="false">AEN34-AEM35+AEL35</f>
        <v>0</v>
      </c>
      <c r="AEO35" s="106" t="n">
        <f aca="false">[1]НАДІЙШЛО2!JP27</f>
        <v>0</v>
      </c>
      <c r="AEP35" s="107" t="n">
        <f aca="false">[1]ВИБУЛО2!JP27</f>
        <v>0</v>
      </c>
      <c r="AEQ35" s="108" t="n">
        <f aca="false">AEQ34-AEP35+AEO35</f>
        <v>0</v>
      </c>
      <c r="AER35" s="106" t="n">
        <f aca="false">[1]НАДІЙШЛО2!JQ27</f>
        <v>0</v>
      </c>
      <c r="AES35" s="107" t="n">
        <f aca="false">[1]ВИБУЛО2!JQ27</f>
        <v>0</v>
      </c>
      <c r="AET35" s="108" t="n">
        <f aca="false">AET34-AES35+AER35</f>
        <v>0</v>
      </c>
      <c r="AEU35" s="106" t="n">
        <f aca="false">[1]НАДІЙШЛО2!JR27</f>
        <v>0</v>
      </c>
      <c r="AEV35" s="107" t="n">
        <f aca="false">[1]ВИБУЛО2!JR27</f>
        <v>0</v>
      </c>
      <c r="AEW35" s="108" t="n">
        <f aca="false">AEW34-AEV35+AEU35</f>
        <v>0</v>
      </c>
      <c r="AEX35" s="106" t="n">
        <f aca="false">[1]НАДІЙШЛО2!JS27</f>
        <v>0</v>
      </c>
      <c r="AEY35" s="107" t="n">
        <f aca="false">[1]ВИБУЛО2!JS27</f>
        <v>0</v>
      </c>
      <c r="AEZ35" s="108" t="n">
        <f aca="false">AEZ34-AEY35+AEX35</f>
        <v>0</v>
      </c>
      <c r="AFA35" s="106" t="n">
        <f aca="false">[1]НАДІЙШЛО2!JT27</f>
        <v>0</v>
      </c>
      <c r="AFB35" s="107" t="n">
        <f aca="false">[1]ВИБУЛО2!JT27</f>
        <v>0</v>
      </c>
      <c r="AFC35" s="108" t="n">
        <f aca="false">AFC34-AFB35+AFA35</f>
        <v>0</v>
      </c>
      <c r="AFD35" s="106" t="n">
        <f aca="false">[1]НАДІЙШЛО2!JU27</f>
        <v>0</v>
      </c>
      <c r="AFE35" s="107" t="n">
        <f aca="false">[1]ВИБУЛО2!JU27</f>
        <v>0</v>
      </c>
      <c r="AFF35" s="108" t="n">
        <f aca="false">AFF34-AFE35+AFD35</f>
        <v>0</v>
      </c>
      <c r="AFG35" s="106" t="n">
        <f aca="false">[1]НАДІЙШЛО2!JV27</f>
        <v>0</v>
      </c>
      <c r="AFH35" s="107" t="n">
        <f aca="false">[1]ВИБУЛО2!JV27</f>
        <v>0</v>
      </c>
      <c r="AFI35" s="108" t="n">
        <f aca="false">AFI34-AFH35+AFG35</f>
        <v>0</v>
      </c>
      <c r="AFJ35" s="106" t="n">
        <f aca="false">[1]НАДІЙШЛО2!JW27</f>
        <v>0</v>
      </c>
      <c r="AFK35" s="107" t="n">
        <f aca="false">[1]ВИБУЛО2!JW27</f>
        <v>0</v>
      </c>
      <c r="AFL35" s="108" t="n">
        <f aca="false">AFL34-AFK35+AFJ35</f>
        <v>0</v>
      </c>
      <c r="AFM35" s="106" t="n">
        <f aca="false">[1]НАДІЙШЛО2!JX27</f>
        <v>0</v>
      </c>
      <c r="AFN35" s="107" t="n">
        <f aca="false">[1]ВИБУЛО2!JX27</f>
        <v>0</v>
      </c>
      <c r="AFO35" s="108" t="n">
        <f aca="false">AFO34-AFN35+AFM35</f>
        <v>0</v>
      </c>
      <c r="AFP35" s="106" t="n">
        <f aca="false">[1]НАДІЙШЛО2!JY27</f>
        <v>0</v>
      </c>
      <c r="AFQ35" s="107" t="n">
        <f aca="false">[1]ВИБУЛО2!JY27</f>
        <v>0</v>
      </c>
      <c r="AFR35" s="108" t="n">
        <f aca="false">AFR34-AFQ35+AFP35</f>
        <v>0</v>
      </c>
      <c r="AFS35" s="106" t="n">
        <f aca="false">[1]НАДІЙШЛО2!JZ27</f>
        <v>0</v>
      </c>
      <c r="AFT35" s="107" t="n">
        <f aca="false">[1]ВИБУЛО2!JZ27</f>
        <v>0</v>
      </c>
      <c r="AFU35" s="108" t="n">
        <f aca="false">AFU34-AFT35+AFS35</f>
        <v>0</v>
      </c>
      <c r="AFV35" s="106" t="n">
        <f aca="false">[1]НАДІЙШЛО2!KA27</f>
        <v>0</v>
      </c>
      <c r="AFW35" s="107" t="n">
        <f aca="false">[1]ВИБУЛО2!KA27</f>
        <v>0</v>
      </c>
      <c r="AFX35" s="108" t="n">
        <f aca="false">AFX34-AFW35+AFV35</f>
        <v>0</v>
      </c>
      <c r="AFY35" s="106" t="n">
        <f aca="false">[1]НАДІЙШЛО2!KB27</f>
        <v>0</v>
      </c>
      <c r="AFZ35" s="107" t="n">
        <f aca="false">[1]ВИБУЛО2!KB27</f>
        <v>0</v>
      </c>
      <c r="AGA35" s="108" t="n">
        <f aca="false">AGA34-AFZ35+AFY35</f>
        <v>0</v>
      </c>
      <c r="AGB35" s="106" t="n">
        <f aca="false">[1]НАДІЙШЛО2!KC27</f>
        <v>0</v>
      </c>
      <c r="AGC35" s="107" t="n">
        <f aca="false">[1]ВИБУЛО2!KC27</f>
        <v>0</v>
      </c>
      <c r="AGD35" s="108" t="n">
        <f aca="false">AGD34-AGC35+AGB35</f>
        <v>0</v>
      </c>
      <c r="AGE35" s="106" t="n">
        <f aca="false">[1]НАДІЙШЛО2!KD27</f>
        <v>0</v>
      </c>
      <c r="AGF35" s="107" t="n">
        <f aca="false">[1]ВИБУЛО2!KD27</f>
        <v>0</v>
      </c>
      <c r="AGG35" s="108" t="n">
        <f aca="false">AGG34-AGF35+AGE35</f>
        <v>0</v>
      </c>
      <c r="AGH35" s="106" t="n">
        <f aca="false">[1]НАДІЙШЛО2!KE27</f>
        <v>0</v>
      </c>
      <c r="AGI35" s="107" t="n">
        <f aca="false">[1]ВИБУЛО2!KE27</f>
        <v>0</v>
      </c>
      <c r="AGJ35" s="108" t="n">
        <f aca="false">AGJ34-AGI35+AGH35</f>
        <v>0</v>
      </c>
      <c r="AGK35" s="106" t="n">
        <f aca="false">[1]НАДІЙШЛО2!KF27</f>
        <v>0</v>
      </c>
      <c r="AGL35" s="107" t="n">
        <f aca="false">[1]ВИБУЛО2!KF27</f>
        <v>0</v>
      </c>
      <c r="AGM35" s="108" t="n">
        <f aca="false">AGM34-AGL35+AGK35</f>
        <v>0</v>
      </c>
      <c r="AGN35" s="106" t="n">
        <f aca="false">[1]НАДІЙШЛО2!KG27</f>
        <v>0</v>
      </c>
      <c r="AGO35" s="107" t="n">
        <f aca="false">[1]ВИБУЛО2!KG27</f>
        <v>0</v>
      </c>
      <c r="AGP35" s="108" t="n">
        <f aca="false">AGP34-AGO35+AGN35</f>
        <v>0</v>
      </c>
      <c r="AGQ35" s="106" t="n">
        <f aca="false">[1]НАДІЙШЛО2!KH27</f>
        <v>0</v>
      </c>
      <c r="AGR35" s="107" t="n">
        <f aca="false">[1]ВИБУЛО2!KH27</f>
        <v>0</v>
      </c>
      <c r="AGS35" s="108" t="n">
        <f aca="false">AGS34-AGR35+AGQ35</f>
        <v>0</v>
      </c>
      <c r="AGT35" s="106" t="n">
        <f aca="false">[1]НАДІЙШЛО2!KI27</f>
        <v>0</v>
      </c>
      <c r="AGU35" s="107" t="n">
        <f aca="false">[1]ВИБУЛО2!KI27</f>
        <v>0</v>
      </c>
      <c r="AGV35" s="108" t="n">
        <f aca="false">AGV34-AGU35+AGT35</f>
        <v>0</v>
      </c>
      <c r="AGW35" s="106" t="n">
        <f aca="false">[1]НАДІЙШЛО2!KJ27</f>
        <v>0</v>
      </c>
      <c r="AGX35" s="107" t="n">
        <f aca="false">[1]ВИБУЛО2!KJ27</f>
        <v>0</v>
      </c>
      <c r="AGY35" s="108" t="n">
        <f aca="false">AGY34-AGX35+AGW35</f>
        <v>0</v>
      </c>
      <c r="AGZ35" s="106" t="n">
        <f aca="false">[1]НАДІЙШЛО2!KK27</f>
        <v>0</v>
      </c>
      <c r="AHA35" s="107" t="n">
        <f aca="false">[1]ВИБУЛО2!KK27</f>
        <v>0</v>
      </c>
      <c r="AHB35" s="108" t="n">
        <f aca="false">AHB34-AHA35+AGZ35</f>
        <v>0</v>
      </c>
      <c r="AHC35" s="106" t="n">
        <f aca="false">[1]НАДІЙШЛО2!KL27</f>
        <v>0</v>
      </c>
      <c r="AHD35" s="107" t="n">
        <f aca="false">[1]ВИБУЛО2!KL27</f>
        <v>0</v>
      </c>
      <c r="AHE35" s="108" t="n">
        <f aca="false">AHE34-AHD35+AHC35</f>
        <v>0</v>
      </c>
      <c r="AHF35" s="106" t="n">
        <f aca="false">[1]НАДІЙШЛО2!KM27</f>
        <v>0</v>
      </c>
      <c r="AHG35" s="107" t="n">
        <f aca="false">[1]ВИБУЛО2!KM27</f>
        <v>0</v>
      </c>
      <c r="AHH35" s="108" t="n">
        <f aca="false">AHH34-AHG35+AHF35</f>
        <v>0</v>
      </c>
      <c r="AHI35" s="106" t="n">
        <f aca="false">[1]НАДІЙШЛО2!KN27</f>
        <v>0</v>
      </c>
      <c r="AHJ35" s="107" t="n">
        <f aca="false">[1]ВИБУЛО2!KN27</f>
        <v>0</v>
      </c>
      <c r="AHK35" s="108" t="n">
        <f aca="false">AHK34-AHJ35+AHI35</f>
        <v>0</v>
      </c>
      <c r="AHL35" s="106" t="n">
        <f aca="false">[1]НАДІЙШЛО2!KO27</f>
        <v>0</v>
      </c>
      <c r="AHM35" s="107" t="n">
        <f aca="false">[1]ВИБУЛО2!KO27</f>
        <v>0</v>
      </c>
      <c r="AHN35" s="108" t="n">
        <f aca="false">AHN34-AHM35+AHL35</f>
        <v>0</v>
      </c>
      <c r="AHO35" s="106" t="n">
        <f aca="false">[1]НАДІЙШЛО2!KP27</f>
        <v>0</v>
      </c>
      <c r="AHP35" s="107" t="n">
        <f aca="false">[1]ВИБУЛО2!KP27</f>
        <v>0</v>
      </c>
      <c r="AHQ35" s="108" t="n">
        <f aca="false">AHQ34-AHP35+AHO35</f>
        <v>0</v>
      </c>
      <c r="AHR35" s="106" t="n">
        <f aca="false">[1]НАДІЙШЛО2!KQ27</f>
        <v>0</v>
      </c>
      <c r="AHS35" s="107" t="n">
        <f aca="false">[1]ВИБУЛО2!KQ27</f>
        <v>0</v>
      </c>
      <c r="AHT35" s="108" t="n">
        <f aca="false">AHT34-AHS35+AHR35</f>
        <v>0</v>
      </c>
      <c r="AHU35" s="106" t="n">
        <f aca="false">[1]НАДІЙШЛО2!KR27</f>
        <v>0</v>
      </c>
      <c r="AHV35" s="107" t="n">
        <f aca="false">[1]ВИБУЛО2!KR27</f>
        <v>0</v>
      </c>
      <c r="AHW35" s="108" t="n">
        <f aca="false">AHW34-AHV35+AHU35</f>
        <v>0</v>
      </c>
      <c r="AHX35" s="106" t="n">
        <f aca="false">[1]НАДІЙШЛО2!KS27</f>
        <v>0</v>
      </c>
      <c r="AHY35" s="107" t="n">
        <f aca="false">[1]ВИБУЛО2!KS27</f>
        <v>0</v>
      </c>
      <c r="AHZ35" s="108" t="n">
        <f aca="false">AHZ34-AHY35+AHX35</f>
        <v>0</v>
      </c>
      <c r="AIA35" s="106" t="n">
        <f aca="false">[1]НАДІЙШЛО2!KT27</f>
        <v>0</v>
      </c>
      <c r="AIB35" s="107" t="n">
        <f aca="false">[1]ВИБУЛО2!KT27</f>
        <v>0</v>
      </c>
      <c r="AIC35" s="108" t="n">
        <f aca="false">AIC34-AIB35+AIA35</f>
        <v>0</v>
      </c>
      <c r="AID35" s="106" t="n">
        <f aca="false">[1]НАДІЙШЛО2!KU27</f>
        <v>0</v>
      </c>
      <c r="AIE35" s="107" t="n">
        <f aca="false">[1]ВИБУЛО2!KU27</f>
        <v>0</v>
      </c>
      <c r="AIF35" s="108" t="n">
        <f aca="false">AIF34-AIE35+AID35</f>
        <v>0</v>
      </c>
      <c r="AIG35" s="106" t="n">
        <f aca="false">[1]НАДІЙШЛО2!KV27</f>
        <v>0</v>
      </c>
      <c r="AIH35" s="107" t="n">
        <f aca="false">[1]ВИБУЛО2!KV27</f>
        <v>0</v>
      </c>
      <c r="AII35" s="108" t="n">
        <f aca="false">AII34-AIH35+AIG35</f>
        <v>0</v>
      </c>
      <c r="AIJ35" s="106" t="n">
        <f aca="false">[1]НАДІЙШЛО2!KW27</f>
        <v>0</v>
      </c>
      <c r="AIK35" s="107" t="n">
        <f aca="false">[1]ВИБУЛО2!KW27</f>
        <v>0</v>
      </c>
      <c r="AIL35" s="108" t="n">
        <f aca="false">AIL34-AIK35+AIJ35</f>
        <v>0</v>
      </c>
      <c r="AIM35" s="106" t="n">
        <f aca="false">[1]НАДІЙШЛО2!KX27</f>
        <v>0</v>
      </c>
      <c r="AIN35" s="107" t="n">
        <f aca="false">[1]ВИБУЛО2!KX27</f>
        <v>0</v>
      </c>
      <c r="AIO35" s="108" t="n">
        <f aca="false">AIO34-AIN35+AIM35</f>
        <v>0</v>
      </c>
      <c r="AIP35" s="106" t="n">
        <f aca="false">[1]НАДІЙШЛО2!KY27</f>
        <v>0</v>
      </c>
      <c r="AIQ35" s="107" t="n">
        <f aca="false">[1]ВИБУЛО2!KY27</f>
        <v>0</v>
      </c>
      <c r="AIR35" s="108" t="n">
        <f aca="false">AIR34-AIQ35+AIP35</f>
        <v>0</v>
      </c>
      <c r="AIS35" s="106" t="n">
        <f aca="false">[1]НАДІЙШЛО2!KZ27</f>
        <v>0</v>
      </c>
      <c r="AIT35" s="107" t="n">
        <f aca="false">[1]ВИБУЛО2!KZ27</f>
        <v>0</v>
      </c>
      <c r="AIU35" s="108" t="n">
        <f aca="false">AIU34-AIT35+AIS35</f>
        <v>0</v>
      </c>
      <c r="AIV35" s="106" t="n">
        <f aca="false">[1]НАДІЙШЛО2!LA27</f>
        <v>0</v>
      </c>
      <c r="AIW35" s="107" t="n">
        <f aca="false">[1]ВИБУЛО2!LA27</f>
        <v>0</v>
      </c>
      <c r="AIX35" s="108" t="n">
        <f aca="false">AIX34-AIW35+AIV35</f>
        <v>0</v>
      </c>
      <c r="AIY35" s="106" t="n">
        <f aca="false">[1]НАДІЙШЛО2!LB27</f>
        <v>0</v>
      </c>
      <c r="AIZ35" s="107" t="n">
        <f aca="false">[1]ВИБУЛО2!LB27</f>
        <v>0</v>
      </c>
      <c r="AJA35" s="108" t="n">
        <f aca="false">AJA34-AIZ35+AIY35</f>
        <v>0</v>
      </c>
      <c r="AJB35" s="106" t="n">
        <f aca="false">[1]НАДІЙШЛО2!LC27</f>
        <v>0</v>
      </c>
      <c r="AJC35" s="107" t="n">
        <f aca="false">[1]ВИБУЛО2!LC27</f>
        <v>0</v>
      </c>
      <c r="AJD35" s="108" t="n">
        <f aca="false">AJD34-AJC35+AJB35</f>
        <v>0</v>
      </c>
      <c r="AJE35" s="106" t="n">
        <f aca="false">[1]НАДІЙШЛО2!LD27</f>
        <v>0</v>
      </c>
      <c r="AJF35" s="107" t="n">
        <f aca="false">[1]ВИБУЛО2!LD27</f>
        <v>0</v>
      </c>
      <c r="AJG35" s="108" t="n">
        <f aca="false">AJG34-AJF35+AJE35</f>
        <v>0</v>
      </c>
      <c r="AJH35" s="106" t="n">
        <f aca="false">[1]НАДІЙШЛО2!LE27</f>
        <v>0</v>
      </c>
      <c r="AJI35" s="107" t="n">
        <f aca="false">[1]ВИБУЛО2!LE27</f>
        <v>0</v>
      </c>
      <c r="AJJ35" s="108" t="n">
        <f aca="false">AJJ34-AJI35+AJH35</f>
        <v>0</v>
      </c>
      <c r="AJK35" s="106" t="n">
        <f aca="false">[1]НАДІЙШЛО2!LF27</f>
        <v>0</v>
      </c>
      <c r="AJL35" s="107" t="n">
        <f aca="false">[1]ВИБУЛО2!LF27</f>
        <v>0</v>
      </c>
      <c r="AJM35" s="108" t="n">
        <f aca="false">AJM34-AJL35+AJK35</f>
        <v>0</v>
      </c>
      <c r="AJN35" s="106" t="n">
        <f aca="false">[1]НАДІЙШЛО2!LG27</f>
        <v>0</v>
      </c>
      <c r="AJO35" s="107" t="n">
        <f aca="false">[1]ВИБУЛО2!LG27</f>
        <v>0</v>
      </c>
      <c r="AJP35" s="108" t="n">
        <f aca="false">AJP34-AJO35+AJN35</f>
        <v>0</v>
      </c>
      <c r="AJQ35" s="106" t="n">
        <f aca="false">[1]НАДІЙШЛО2!LH27</f>
        <v>0</v>
      </c>
      <c r="AJR35" s="107" t="n">
        <f aca="false">[1]ВИБУЛО2!LH27</f>
        <v>0</v>
      </c>
      <c r="AJS35" s="108" t="n">
        <f aca="false">AJS34-AJR35+AJQ35</f>
        <v>0</v>
      </c>
      <c r="AJT35" s="106" t="n">
        <f aca="false">[1]НАДІЙШЛО2!LI27</f>
        <v>0</v>
      </c>
      <c r="AJU35" s="107" t="n">
        <f aca="false">[1]ВИБУЛО2!LI27</f>
        <v>0</v>
      </c>
      <c r="AJV35" s="108" t="n">
        <f aca="false">AJV34-AJU35+AJT35</f>
        <v>0</v>
      </c>
      <c r="AJW35" s="106" t="n">
        <f aca="false">[1]НАДІЙШЛО2!LJ27</f>
        <v>0</v>
      </c>
      <c r="AJX35" s="107" t="n">
        <f aca="false">[1]ВИБУЛО2!LJ27</f>
        <v>0</v>
      </c>
      <c r="AJY35" s="108" t="n">
        <f aca="false">AJY34-AJX35+AJW35</f>
        <v>0</v>
      </c>
      <c r="AJZ35" s="106" t="n">
        <f aca="false">[1]НАДІЙШЛО2!LK27</f>
        <v>0</v>
      </c>
      <c r="AKA35" s="107" t="n">
        <f aca="false">[1]ВИБУЛО2!LK27</f>
        <v>0</v>
      </c>
      <c r="AKB35" s="108" t="n">
        <f aca="false">AKB34-AKA35+AJZ35</f>
        <v>0</v>
      </c>
      <c r="AKC35" s="106" t="n">
        <f aca="false">[1]НАДІЙШЛО2!LL27</f>
        <v>0</v>
      </c>
      <c r="AKD35" s="107" t="n">
        <f aca="false">[1]ВИБУЛО2!LL27</f>
        <v>0</v>
      </c>
      <c r="AKE35" s="108" t="n">
        <f aca="false">AKE34-AKD35+AKC35</f>
        <v>0</v>
      </c>
      <c r="AKF35" s="106" t="n">
        <f aca="false">[1]НАДІЙШЛО2!LM27</f>
        <v>0</v>
      </c>
      <c r="AKG35" s="107" t="n">
        <f aca="false">[1]ВИБУЛО2!LM27</f>
        <v>0</v>
      </c>
      <c r="AKH35" s="108" t="n">
        <f aca="false">AKH34-AKG35+AKF35</f>
        <v>0</v>
      </c>
      <c r="AKI35" s="106" t="n">
        <f aca="false">[1]НАДІЙШЛО2!LN27</f>
        <v>0</v>
      </c>
      <c r="AKJ35" s="107" t="n">
        <f aca="false">[1]ВИБУЛО2!LN27</f>
        <v>0</v>
      </c>
      <c r="AKK35" s="108" t="n">
        <f aca="false">AKK34-AKJ35+AKI35</f>
        <v>0</v>
      </c>
      <c r="AKL35" s="106" t="n">
        <f aca="false">[1]НАДІЙШЛО2!LO27</f>
        <v>0</v>
      </c>
      <c r="AKM35" s="107" t="n">
        <f aca="false">[1]ВИБУЛО2!LO27</f>
        <v>0</v>
      </c>
      <c r="AKN35" s="108" t="n">
        <f aca="false">AKN34-AKM35+AKL35</f>
        <v>0</v>
      </c>
      <c r="AKO35" s="106" t="n">
        <f aca="false">[1]НАДІЙШЛО2!LP27</f>
        <v>0</v>
      </c>
      <c r="AKP35" s="107" t="n">
        <f aca="false">[1]ВИБУЛО2!LP27</f>
        <v>0</v>
      </c>
      <c r="AKQ35" s="108" t="n">
        <f aca="false">AKQ34-AKP35+AKO35</f>
        <v>0</v>
      </c>
      <c r="AKR35" s="106" t="n">
        <f aca="false">[1]НАДІЙШЛО2!LQ27</f>
        <v>0</v>
      </c>
      <c r="AKS35" s="107" t="n">
        <f aca="false">[1]ВИБУЛО2!LQ27</f>
        <v>0</v>
      </c>
      <c r="AKT35" s="108" t="n">
        <f aca="false">AKT34-AKS35+AKR35</f>
        <v>0</v>
      </c>
      <c r="AKU35" s="106" t="n">
        <f aca="false">[1]НАДІЙШЛО2!LR27</f>
        <v>0</v>
      </c>
      <c r="AKV35" s="107" t="n">
        <f aca="false">[1]ВИБУЛО2!LR27</f>
        <v>0</v>
      </c>
      <c r="AKW35" s="108" t="n">
        <f aca="false">AKW34-AKV35+AKU35</f>
        <v>0</v>
      </c>
      <c r="AKX35" s="106" t="n">
        <f aca="false">[1]НАДІЙШЛО2!LS27</f>
        <v>0</v>
      </c>
      <c r="AKY35" s="107" t="n">
        <f aca="false">[1]ВИБУЛО2!LS27</f>
        <v>0</v>
      </c>
      <c r="AKZ35" s="108" t="n">
        <f aca="false">AKZ34-AKY35+AKX35</f>
        <v>0</v>
      </c>
      <c r="ALA35" s="106" t="n">
        <f aca="false">[1]НАДІЙШЛО2!LT27</f>
        <v>0</v>
      </c>
      <c r="ALB35" s="107" t="n">
        <f aca="false">[1]ВИБУЛО2!LT27</f>
        <v>0</v>
      </c>
      <c r="ALC35" s="108" t="n">
        <f aca="false">ALC34-ALB35+ALA35</f>
        <v>0</v>
      </c>
      <c r="ALD35" s="106" t="n">
        <f aca="false">[1]НАДІЙШЛО2!LU27</f>
        <v>0</v>
      </c>
      <c r="ALE35" s="107" t="n">
        <f aca="false">[1]ВИБУЛО2!LU27</f>
        <v>0</v>
      </c>
      <c r="ALF35" s="108" t="n">
        <f aca="false">ALF34-ALE35+ALD35</f>
        <v>0</v>
      </c>
      <c r="ALG35" s="106" t="n">
        <f aca="false">[1]НАДІЙШЛО2!LV27</f>
        <v>0</v>
      </c>
      <c r="ALH35" s="107" t="n">
        <f aca="false">[1]ВИБУЛО2!LV27</f>
        <v>0</v>
      </c>
      <c r="ALI35" s="108" t="n">
        <f aca="false">ALI34-ALH35+ALG35</f>
        <v>0</v>
      </c>
      <c r="ALJ35" s="106" t="n">
        <f aca="false">[1]НАДІЙШЛО2!LW27</f>
        <v>0</v>
      </c>
      <c r="ALK35" s="107" t="n">
        <f aca="false">[1]ВИБУЛО2!LW27</f>
        <v>0</v>
      </c>
      <c r="ALL35" s="108" t="n">
        <f aca="false">ALL34-ALK35+ALJ35</f>
        <v>0</v>
      </c>
      <c r="ALM35" s="106" t="n">
        <f aca="false">[1]НАДІЙШЛО2!LX27</f>
        <v>0</v>
      </c>
      <c r="ALN35" s="107" t="n">
        <f aca="false">[1]ВИБУЛО2!LX27</f>
        <v>0</v>
      </c>
      <c r="ALO35" s="108" t="n">
        <f aca="false">ALO34-ALN35+ALM35</f>
        <v>0</v>
      </c>
      <c r="ALP35" s="106" t="n">
        <f aca="false">[1]НАДІЙШЛО2!LY27</f>
        <v>0</v>
      </c>
      <c r="ALQ35" s="107" t="n">
        <f aca="false">[1]ВИБУЛО2!LY27</f>
        <v>0</v>
      </c>
      <c r="ALR35" s="108" t="n">
        <f aca="false">ALR34-ALQ35+ALP35</f>
        <v>0</v>
      </c>
      <c r="ALS35" s="106" t="n">
        <f aca="false">[1]НАДІЙШЛО2!LZ27</f>
        <v>0</v>
      </c>
      <c r="ALT35" s="107" t="n">
        <f aca="false">[1]ВИБУЛО2!LZ27</f>
        <v>0</v>
      </c>
      <c r="ALU35" s="108" t="n">
        <f aca="false">ALU34-ALT35+ALS35</f>
        <v>0</v>
      </c>
      <c r="ALV35" s="106" t="n">
        <f aca="false">[1]НАДІЙШЛО2!MA27</f>
        <v>0</v>
      </c>
      <c r="ALW35" s="107" t="n">
        <f aca="false">[1]ВИБУЛО2!MA27</f>
        <v>0</v>
      </c>
      <c r="ALX35" s="108" t="n">
        <f aca="false">ALX34-ALW35+ALV35</f>
        <v>0</v>
      </c>
      <c r="ALY35" s="106" t="n">
        <f aca="false">[1]НАДІЙШЛО2!MB27</f>
        <v>0</v>
      </c>
      <c r="ALZ35" s="107" t="n">
        <f aca="false">[1]ВИБУЛО2!MB27</f>
        <v>0</v>
      </c>
      <c r="AMA35" s="108" t="n">
        <f aca="false">AMA34-ALZ35+ALY35</f>
        <v>0</v>
      </c>
      <c r="AMB35" s="106" t="n">
        <f aca="false">[1]НАДІЙШЛО2!MC27</f>
        <v>0</v>
      </c>
      <c r="AMC35" s="107" t="n">
        <f aca="false">[1]ВИБУЛО2!MC27</f>
        <v>0</v>
      </c>
      <c r="AMD35" s="108" t="n">
        <f aca="false">AMD34-AMC35+AMB35</f>
        <v>0</v>
      </c>
      <c r="AME35" s="106" t="n">
        <f aca="false">[1]НАДІЙШЛО2!MD27</f>
        <v>0</v>
      </c>
      <c r="AMF35" s="107" t="n">
        <f aca="false">[1]ВИБУЛО2!MD27</f>
        <v>0</v>
      </c>
      <c r="AMG35" s="108" t="n">
        <f aca="false">AMG34-AMF35+AME35</f>
        <v>0</v>
      </c>
      <c r="AMH35" s="106" t="n">
        <f aca="false">[1]НАДІЙШЛО2!ME27</f>
        <v>0</v>
      </c>
      <c r="AMI35" s="107" t="n">
        <f aca="false">[1]ВИБУЛО2!ME27</f>
        <v>0</v>
      </c>
      <c r="AMJ35" s="108" t="n">
        <f aca="false">AMJ34-AMI35+AMH35</f>
        <v>0</v>
      </c>
    </row>
    <row r="36" s="98" customFormat="true" ht="16.5" hidden="false" customHeight="false" outlineLevel="0" collapsed="false">
      <c r="B36" s="99"/>
      <c r="C36" s="104"/>
      <c r="D36" s="105"/>
      <c r="E36" s="106" t="n">
        <f aca="false">[1]НАДІЙШЛО2!D28</f>
        <v>0</v>
      </c>
      <c r="F36" s="107" t="n">
        <f aca="false">[1]ВИБУЛО2!D28</f>
        <v>0</v>
      </c>
      <c r="G36" s="108" t="n">
        <f aca="false">G35-F36+E36</f>
        <v>0</v>
      </c>
      <c r="H36" s="106" t="n">
        <f aca="false">[1]НАДІЙШЛО2!E28</f>
        <v>0</v>
      </c>
      <c r="I36" s="107" t="n">
        <f aca="false">[1]ВИБУЛО2!E28</f>
        <v>0</v>
      </c>
      <c r="J36" s="108" t="n">
        <f aca="false">J35-I36+H36</f>
        <v>0</v>
      </c>
      <c r="K36" s="106" t="n">
        <f aca="false">[1]НАДІЙШЛО2!F28</f>
        <v>0</v>
      </c>
      <c r="L36" s="107" t="n">
        <f aca="false">[1]ВИБУЛО2!F28</f>
        <v>0</v>
      </c>
      <c r="M36" s="108" t="n">
        <f aca="false">M35-L36+K36</f>
        <v>2.06</v>
      </c>
      <c r="N36" s="106" t="n">
        <f aca="false">[1]НАДІЙШЛО2!G28</f>
        <v>0</v>
      </c>
      <c r="O36" s="107" t="n">
        <f aca="false">[1]ВИБУЛО2!G28</f>
        <v>0</v>
      </c>
      <c r="P36" s="108" t="n">
        <f aca="false">P35-O36+N36</f>
        <v>0</v>
      </c>
      <c r="Q36" s="106" t="n">
        <f aca="false">[1]НАДІЙШЛО2!H28</f>
        <v>0</v>
      </c>
      <c r="R36" s="107" t="n">
        <f aca="false">[1]ВИБУЛО2!H28</f>
        <v>0</v>
      </c>
      <c r="S36" s="108" t="n">
        <f aca="false">S35-R36+Q36</f>
        <v>0</v>
      </c>
      <c r="T36" s="106" t="n">
        <f aca="false">[1]НАДІЙШЛО2!I28</f>
        <v>0</v>
      </c>
      <c r="U36" s="107" t="n">
        <f aca="false">[1]ВИБУЛО2!I28</f>
        <v>0</v>
      </c>
      <c r="V36" s="108" t="n">
        <f aca="false">V35-U36+T36</f>
        <v>0</v>
      </c>
      <c r="W36" s="106" t="n">
        <f aca="false">[1]НАДІЙШЛО2!J28</f>
        <v>0</v>
      </c>
      <c r="X36" s="107" t="n">
        <f aca="false">[1]ВИБУЛО2!J28</f>
        <v>0</v>
      </c>
      <c r="Y36" s="108" t="n">
        <f aca="false">Y35-X36+W36</f>
        <v>0</v>
      </c>
      <c r="Z36" s="106" t="n">
        <f aca="false">[1]НАДІЙШЛО2!K28</f>
        <v>0</v>
      </c>
      <c r="AA36" s="107" t="n">
        <f aca="false">[1]ВИБУЛО2!K28</f>
        <v>0</v>
      </c>
      <c r="AB36" s="108" t="n">
        <f aca="false">AB35-AA36+Z36</f>
        <v>0</v>
      </c>
      <c r="AC36" s="106" t="n">
        <f aca="false">[1]НАДІЙШЛО2!L28</f>
        <v>0</v>
      </c>
      <c r="AD36" s="107" t="n">
        <f aca="false">[1]ВИБУЛО2!L28</f>
        <v>0</v>
      </c>
      <c r="AE36" s="108" t="n">
        <f aca="false">AE35-AD36+AC36</f>
        <v>0</v>
      </c>
      <c r="AF36" s="106" t="n">
        <f aca="false">[1]НАДІЙШЛО2!M28</f>
        <v>0</v>
      </c>
      <c r="AG36" s="107" t="n">
        <f aca="false">[1]ВИБУЛО2!M28</f>
        <v>0</v>
      </c>
      <c r="AH36" s="108" t="n">
        <f aca="false">AH35-AG36+AF36</f>
        <v>0</v>
      </c>
      <c r="AI36" s="106" t="n">
        <f aca="false">[1]НАДІЙШЛО2!N28</f>
        <v>0</v>
      </c>
      <c r="AJ36" s="107" t="n">
        <f aca="false">[1]ВИБУЛО2!N28</f>
        <v>0</v>
      </c>
      <c r="AK36" s="108" t="n">
        <f aca="false">AK35-AJ36+AI36</f>
        <v>0</v>
      </c>
      <c r="AL36" s="106" t="n">
        <f aca="false">[1]НАДІЙШЛО2!O28</f>
        <v>0</v>
      </c>
      <c r="AM36" s="107" t="n">
        <f aca="false">[1]ВИБУЛО2!O28</f>
        <v>0</v>
      </c>
      <c r="AN36" s="108" t="n">
        <f aca="false">AN35-AM36+AL36</f>
        <v>0</v>
      </c>
      <c r="AO36" s="106" t="n">
        <f aca="false">[1]НАДІЙШЛО2!P28</f>
        <v>0</v>
      </c>
      <c r="AP36" s="107" t="n">
        <f aca="false">[1]ВИБУЛО2!P28</f>
        <v>0</v>
      </c>
      <c r="AQ36" s="108" t="n">
        <f aca="false">AQ35-AP36+AO36</f>
        <v>0</v>
      </c>
      <c r="AR36" s="106" t="n">
        <f aca="false">[1]НАДІЙШЛО2!Q28</f>
        <v>0</v>
      </c>
      <c r="AS36" s="107" t="n">
        <f aca="false">[1]ВИБУЛО2!Q28</f>
        <v>0</v>
      </c>
      <c r="AT36" s="108" t="n">
        <f aca="false">AT35-AS36+AR36</f>
        <v>0</v>
      </c>
      <c r="AU36" s="106" t="n">
        <f aca="false">[1]НАДІЙШЛО2!R28</f>
        <v>0</v>
      </c>
      <c r="AV36" s="107" t="n">
        <f aca="false">[1]ВИБУЛО2!R28</f>
        <v>0</v>
      </c>
      <c r="AW36" s="108" t="n">
        <f aca="false">AW35-AV36+AU36</f>
        <v>0</v>
      </c>
      <c r="AX36" s="106" t="n">
        <f aca="false">[1]НАДІЙШЛО2!S28</f>
        <v>0</v>
      </c>
      <c r="AY36" s="107" t="n">
        <f aca="false">[1]ВИБУЛО2!S28</f>
        <v>0</v>
      </c>
      <c r="AZ36" s="108" t="n">
        <f aca="false">AZ35-AY36+AX36</f>
        <v>0</v>
      </c>
      <c r="BA36" s="106" t="n">
        <f aca="false">[1]НАДІЙШЛО2!T28</f>
        <v>0</v>
      </c>
      <c r="BB36" s="107" t="n">
        <f aca="false">[1]ВИБУЛО2!T28</f>
        <v>0</v>
      </c>
      <c r="BC36" s="108" t="n">
        <f aca="false">BC35-BB36+BA36</f>
        <v>0</v>
      </c>
      <c r="BD36" s="106" t="n">
        <f aca="false">[1]НАДІЙШЛО2!U28</f>
        <v>0</v>
      </c>
      <c r="BE36" s="107" t="n">
        <f aca="false">[1]ВИБУЛО2!U28</f>
        <v>0</v>
      </c>
      <c r="BF36" s="108" t="n">
        <f aca="false">BF35-BE36+BD36</f>
        <v>0</v>
      </c>
      <c r="BG36" s="106" t="n">
        <f aca="false">[1]НАДІЙШЛО2!V28</f>
        <v>0</v>
      </c>
      <c r="BH36" s="107" t="n">
        <f aca="false">[1]ВИБУЛО2!V28</f>
        <v>0</v>
      </c>
      <c r="BI36" s="108" t="n">
        <f aca="false">BI35-BH36+BG36</f>
        <v>0</v>
      </c>
      <c r="BJ36" s="106" t="n">
        <f aca="false">[1]НАДІЙШЛО2!W28</f>
        <v>0</v>
      </c>
      <c r="BK36" s="107" t="n">
        <f aca="false">[1]ВИБУЛО2!W28</f>
        <v>0</v>
      </c>
      <c r="BL36" s="108" t="n">
        <f aca="false">BL35-BK36+BJ36</f>
        <v>0</v>
      </c>
      <c r="BM36" s="106" t="n">
        <f aca="false">[1]НАДІЙШЛО2!X28</f>
        <v>0</v>
      </c>
      <c r="BN36" s="107" t="n">
        <f aca="false">[1]ВИБУЛО2!X28</f>
        <v>0</v>
      </c>
      <c r="BO36" s="108" t="n">
        <f aca="false">BO35-BN36+BM36</f>
        <v>0</v>
      </c>
      <c r="BP36" s="106" t="n">
        <f aca="false">[1]НАДІЙШЛО2!Y28</f>
        <v>0</v>
      </c>
      <c r="BQ36" s="107" t="n">
        <f aca="false">[1]ВИБУЛО2!Y28</f>
        <v>0</v>
      </c>
      <c r="BR36" s="108" t="n">
        <f aca="false">BR35-BQ36+BP36</f>
        <v>0</v>
      </c>
      <c r="BS36" s="106" t="n">
        <f aca="false">[1]НАДІЙШЛО2!Z28</f>
        <v>0</v>
      </c>
      <c r="BT36" s="107" t="n">
        <f aca="false">[1]ВИБУЛО2!Z28</f>
        <v>0</v>
      </c>
      <c r="BU36" s="108" t="n">
        <f aca="false">BU35-BT36+BS36</f>
        <v>0</v>
      </c>
      <c r="BV36" s="106" t="n">
        <f aca="false">[1]НАДІЙШЛО2!AA28</f>
        <v>0</v>
      </c>
      <c r="BW36" s="107" t="n">
        <f aca="false">[1]ВИБУЛО2!AA28</f>
        <v>0</v>
      </c>
      <c r="BX36" s="108" t="n">
        <f aca="false">BX35-BW36+BV36</f>
        <v>0</v>
      </c>
      <c r="BY36" s="106" t="n">
        <f aca="false">[1]НАДІЙШЛО2!AB28</f>
        <v>0</v>
      </c>
      <c r="BZ36" s="107" t="n">
        <f aca="false">[1]ВИБУЛО2!AB28</f>
        <v>0</v>
      </c>
      <c r="CA36" s="108" t="n">
        <f aca="false">CA35-BZ36+BY36</f>
        <v>0</v>
      </c>
      <c r="CB36" s="106" t="n">
        <f aca="false">[1]НАДІЙШЛО2!AC28</f>
        <v>0</v>
      </c>
      <c r="CC36" s="107" t="n">
        <f aca="false">[1]ВИБУЛО2!AC28</f>
        <v>0</v>
      </c>
      <c r="CD36" s="108" t="n">
        <f aca="false">CD35-CC36+CB36</f>
        <v>0</v>
      </c>
      <c r="CE36" s="106" t="n">
        <f aca="false">[1]НАДІЙШЛО2!AD28</f>
        <v>0</v>
      </c>
      <c r="CF36" s="107" t="n">
        <f aca="false">[1]ВИБУЛО2!AD28</f>
        <v>0</v>
      </c>
      <c r="CG36" s="108" t="n">
        <f aca="false">CG35-CF36+CE36</f>
        <v>0</v>
      </c>
      <c r="CH36" s="106" t="n">
        <f aca="false">[1]НАДІЙШЛО2!AE28</f>
        <v>0</v>
      </c>
      <c r="CI36" s="107" t="n">
        <f aca="false">[1]ВИБУЛО2!AE28</f>
        <v>0</v>
      </c>
      <c r="CJ36" s="108" t="n">
        <f aca="false">CJ35-CI36+CH36</f>
        <v>0</v>
      </c>
      <c r="CK36" s="106" t="n">
        <f aca="false">[1]НАДІЙШЛО2!AF28</f>
        <v>0</v>
      </c>
      <c r="CL36" s="107" t="n">
        <f aca="false">[1]ВИБУЛО2!AF28</f>
        <v>0</v>
      </c>
      <c r="CM36" s="108" t="n">
        <f aca="false">CM35-CL36+CK36</f>
        <v>0</v>
      </c>
      <c r="CN36" s="106" t="n">
        <f aca="false">[1]НАДІЙШЛО2!AG28</f>
        <v>0</v>
      </c>
      <c r="CO36" s="107" t="n">
        <f aca="false">[1]ВИБУЛО2!AG28</f>
        <v>0</v>
      </c>
      <c r="CP36" s="108" t="n">
        <f aca="false">CP35-CO36+CN36</f>
        <v>0</v>
      </c>
      <c r="CQ36" s="106" t="n">
        <f aca="false">[1]НАДІЙШЛО2!AH28</f>
        <v>0</v>
      </c>
      <c r="CR36" s="107" t="n">
        <f aca="false">[1]ВИБУЛО2!AH28</f>
        <v>0</v>
      </c>
      <c r="CS36" s="108" t="n">
        <f aca="false">CS35-CR36+CQ36</f>
        <v>0</v>
      </c>
      <c r="CT36" s="106" t="n">
        <f aca="false">[1]НАДІЙШЛО2!AI28</f>
        <v>0</v>
      </c>
      <c r="CU36" s="107" t="n">
        <f aca="false">[1]ВИБУЛО2!AI28</f>
        <v>0</v>
      </c>
      <c r="CV36" s="108" t="n">
        <f aca="false">CV35-CU36+CT36</f>
        <v>0</v>
      </c>
      <c r="CW36" s="106" t="n">
        <f aca="false">[1]НАДІЙШЛО2!AJ28</f>
        <v>0</v>
      </c>
      <c r="CX36" s="107" t="n">
        <f aca="false">[1]ВИБУЛО2!AJ28</f>
        <v>0</v>
      </c>
      <c r="CY36" s="108" t="n">
        <f aca="false">CY35-CX36+CW36</f>
        <v>0</v>
      </c>
      <c r="CZ36" s="106" t="n">
        <f aca="false">[1]НАДІЙШЛО2!AK28</f>
        <v>0</v>
      </c>
      <c r="DA36" s="107" t="n">
        <f aca="false">[1]ВИБУЛО2!AK28</f>
        <v>0</v>
      </c>
      <c r="DB36" s="108" t="n">
        <f aca="false">DB35-DA36+CZ36</f>
        <v>0</v>
      </c>
      <c r="DC36" s="106" t="n">
        <f aca="false">[1]НАДІЙШЛО2!AL28</f>
        <v>0</v>
      </c>
      <c r="DD36" s="107" t="n">
        <f aca="false">[1]ВИБУЛО2!AL28</f>
        <v>0</v>
      </c>
      <c r="DE36" s="108" t="n">
        <f aca="false">DE35-DD36+DC36</f>
        <v>0</v>
      </c>
      <c r="DF36" s="106" t="n">
        <f aca="false">[1]НАДІЙШЛО2!AM28</f>
        <v>0</v>
      </c>
      <c r="DG36" s="107" t="n">
        <f aca="false">[1]ВИБУЛО2!AM28</f>
        <v>0</v>
      </c>
      <c r="DH36" s="108" t="n">
        <f aca="false">DH35-DG36+DF36</f>
        <v>0</v>
      </c>
      <c r="DI36" s="106" t="n">
        <f aca="false">[1]НАДІЙШЛО2!AN28</f>
        <v>0</v>
      </c>
      <c r="DJ36" s="107" t="n">
        <f aca="false">[1]ВИБУЛО2!AN28</f>
        <v>0</v>
      </c>
      <c r="DK36" s="108" t="n">
        <f aca="false">DK35-DJ36+DI36</f>
        <v>0</v>
      </c>
      <c r="DL36" s="106" t="n">
        <f aca="false">[1]НАДІЙШЛО2!AO28</f>
        <v>0</v>
      </c>
      <c r="DM36" s="107" t="n">
        <f aca="false">[1]ВИБУЛО2!AO28</f>
        <v>0</v>
      </c>
      <c r="DN36" s="108" t="n">
        <f aca="false">DN35-DM36+DL36</f>
        <v>0</v>
      </c>
      <c r="DO36" s="106" t="n">
        <f aca="false">[1]НАДІЙШЛО2!AP28</f>
        <v>0</v>
      </c>
      <c r="DP36" s="107" t="n">
        <f aca="false">[1]ВИБУЛО2!AP28</f>
        <v>0</v>
      </c>
      <c r="DQ36" s="108" t="n">
        <f aca="false">DQ35-DP36+DO36</f>
        <v>0</v>
      </c>
      <c r="DR36" s="106" t="n">
        <f aca="false">[1]НАДІЙШЛО2!AQ28</f>
        <v>0</v>
      </c>
      <c r="DS36" s="107" t="n">
        <f aca="false">[1]ВИБУЛО2!AQ28</f>
        <v>0</v>
      </c>
      <c r="DT36" s="108" t="n">
        <f aca="false">DT35-DS36+DR36</f>
        <v>0</v>
      </c>
      <c r="DU36" s="106" t="n">
        <f aca="false">[1]НАДІЙШЛО2!AR28</f>
        <v>0</v>
      </c>
      <c r="DV36" s="107" t="n">
        <f aca="false">[1]ВИБУЛО2!AR28</f>
        <v>0</v>
      </c>
      <c r="DW36" s="108" t="n">
        <f aca="false">DW35-DV36+DU36</f>
        <v>0</v>
      </c>
      <c r="DX36" s="106" t="n">
        <f aca="false">[1]НАДІЙШЛО2!AS28</f>
        <v>0</v>
      </c>
      <c r="DY36" s="107" t="n">
        <f aca="false">[1]ВИБУЛО2!AS28</f>
        <v>0</v>
      </c>
      <c r="DZ36" s="108" t="n">
        <f aca="false">DZ35-DY36+DX36</f>
        <v>0</v>
      </c>
      <c r="EA36" s="106" t="n">
        <f aca="false">[1]НАДІЙШЛО2!AT28</f>
        <v>0</v>
      </c>
      <c r="EB36" s="107" t="n">
        <f aca="false">[1]ВИБУЛО2!AT28</f>
        <v>0</v>
      </c>
      <c r="EC36" s="108" t="n">
        <f aca="false">EC35-EB36+EA36</f>
        <v>0</v>
      </c>
      <c r="ED36" s="106" t="n">
        <f aca="false">[1]НАДІЙШЛО2!AU28</f>
        <v>0</v>
      </c>
      <c r="EE36" s="107" t="n">
        <f aca="false">[1]ВИБУЛО2!AU28</f>
        <v>0</v>
      </c>
      <c r="EF36" s="108" t="n">
        <f aca="false">EF35-EE36+ED36</f>
        <v>0</v>
      </c>
      <c r="EG36" s="106" t="n">
        <f aca="false">[1]НАДІЙШЛО2!AV28</f>
        <v>0</v>
      </c>
      <c r="EH36" s="107" t="n">
        <f aca="false">[1]ВИБУЛО2!AV28</f>
        <v>0</v>
      </c>
      <c r="EI36" s="108" t="n">
        <f aca="false">EI35-EH36+EG36</f>
        <v>0</v>
      </c>
      <c r="EJ36" s="106" t="n">
        <f aca="false">[1]НАДІЙШЛО2!AW28</f>
        <v>0</v>
      </c>
      <c r="EK36" s="107" t="n">
        <f aca="false">[1]ВИБУЛО2!AW28</f>
        <v>0</v>
      </c>
      <c r="EL36" s="108" t="n">
        <f aca="false">EL35-EK36+EJ36</f>
        <v>0</v>
      </c>
      <c r="EM36" s="106" t="n">
        <f aca="false">[1]НАДІЙШЛО2!AX28</f>
        <v>0</v>
      </c>
      <c r="EN36" s="107" t="n">
        <f aca="false">[1]ВИБУЛО2!AX28</f>
        <v>0</v>
      </c>
      <c r="EO36" s="108" t="n">
        <f aca="false">EO35-EN36+EM36</f>
        <v>0</v>
      </c>
      <c r="EP36" s="106" t="n">
        <f aca="false">[1]НАДІЙШЛО2!AY28</f>
        <v>0</v>
      </c>
      <c r="EQ36" s="107" t="n">
        <f aca="false">[1]ВИБУЛО2!AY28</f>
        <v>0</v>
      </c>
      <c r="ER36" s="108" t="n">
        <f aca="false">ER35-EQ36+EP36</f>
        <v>0</v>
      </c>
      <c r="ES36" s="106" t="n">
        <f aca="false">[1]НАДІЙШЛО2!AZ28</f>
        <v>0</v>
      </c>
      <c r="ET36" s="107" t="n">
        <f aca="false">[1]ВИБУЛО2!AZ28</f>
        <v>0</v>
      </c>
      <c r="EU36" s="108" t="n">
        <f aca="false">EU35-ET36+ES36</f>
        <v>0</v>
      </c>
      <c r="EV36" s="106" t="n">
        <f aca="false">[1]НАДІЙШЛО2!BA28</f>
        <v>0</v>
      </c>
      <c r="EW36" s="107" t="n">
        <f aca="false">[1]ВИБУЛО2!BA28</f>
        <v>0</v>
      </c>
      <c r="EX36" s="108" t="n">
        <f aca="false">EX35-EW36+EV36</f>
        <v>0</v>
      </c>
      <c r="EY36" s="106" t="n">
        <f aca="false">[1]НАДІЙШЛО2!BB28</f>
        <v>0</v>
      </c>
      <c r="EZ36" s="107" t="n">
        <f aca="false">[1]ВИБУЛО2!BB28</f>
        <v>0</v>
      </c>
      <c r="FA36" s="108" t="n">
        <f aca="false">FA35-EZ36+EY36</f>
        <v>0</v>
      </c>
      <c r="FB36" s="106" t="n">
        <f aca="false">[1]НАДІЙШЛО2!BC28</f>
        <v>0</v>
      </c>
      <c r="FC36" s="107" t="n">
        <f aca="false">[1]ВИБУЛО2!BC28</f>
        <v>0</v>
      </c>
      <c r="FD36" s="108" t="n">
        <f aca="false">FD35-FC36+FB36</f>
        <v>0</v>
      </c>
      <c r="FE36" s="106" t="n">
        <f aca="false">[1]НАДІЙШЛО2!BD28</f>
        <v>0</v>
      </c>
      <c r="FF36" s="107" t="n">
        <f aca="false">[1]ВИБУЛО2!BD28</f>
        <v>0</v>
      </c>
      <c r="FG36" s="108" t="n">
        <f aca="false">FG35-FF36+FE36</f>
        <v>0</v>
      </c>
      <c r="FH36" s="106" t="n">
        <f aca="false">[1]НАДІЙШЛО2!BE28</f>
        <v>0</v>
      </c>
      <c r="FI36" s="107" t="n">
        <f aca="false">[1]ВИБУЛО2!BE28</f>
        <v>0</v>
      </c>
      <c r="FJ36" s="108" t="n">
        <f aca="false">FJ35-FI36+FH36</f>
        <v>0</v>
      </c>
      <c r="FK36" s="106" t="n">
        <f aca="false">[1]НАДІЙШЛО2!BF28</f>
        <v>0</v>
      </c>
      <c r="FL36" s="107" t="n">
        <f aca="false">[1]ВИБУЛО2!BF28</f>
        <v>0</v>
      </c>
      <c r="FM36" s="108" t="n">
        <f aca="false">FM35-FL36+FK36</f>
        <v>0</v>
      </c>
      <c r="FN36" s="106" t="n">
        <f aca="false">[1]НАДІЙШЛО2!BG28</f>
        <v>0</v>
      </c>
      <c r="FO36" s="107" t="n">
        <f aca="false">[1]ВИБУЛО2!BG28</f>
        <v>0</v>
      </c>
      <c r="FP36" s="108" t="n">
        <f aca="false">FP35-FO36+FN36</f>
        <v>0</v>
      </c>
      <c r="FQ36" s="106" t="n">
        <f aca="false">[1]НАДІЙШЛО2!BH28</f>
        <v>0</v>
      </c>
      <c r="FR36" s="107" t="n">
        <f aca="false">[1]ВИБУЛО2!BH28</f>
        <v>0</v>
      </c>
      <c r="FS36" s="108" t="n">
        <f aca="false">FS35-FR36+FQ36</f>
        <v>0</v>
      </c>
      <c r="FT36" s="106" t="n">
        <f aca="false">[1]НАДІЙШЛО2!BI28</f>
        <v>0</v>
      </c>
      <c r="FU36" s="107" t="n">
        <f aca="false">[1]ВИБУЛО2!BI28</f>
        <v>0</v>
      </c>
      <c r="FV36" s="108" t="n">
        <f aca="false">FV35-FU36+FT36</f>
        <v>0</v>
      </c>
      <c r="FW36" s="106" t="n">
        <f aca="false">[1]НАДІЙШЛО2!BJ28</f>
        <v>0</v>
      </c>
      <c r="FX36" s="107" t="n">
        <f aca="false">[1]ВИБУЛО2!BJ28</f>
        <v>0</v>
      </c>
      <c r="FY36" s="108" t="n">
        <f aca="false">FY35-FX36+FW36</f>
        <v>0</v>
      </c>
      <c r="FZ36" s="106" t="n">
        <f aca="false">[1]НАДІЙШЛО2!BK28</f>
        <v>0</v>
      </c>
      <c r="GA36" s="107" t="n">
        <f aca="false">[1]ВИБУЛО2!BK28</f>
        <v>0</v>
      </c>
      <c r="GB36" s="108" t="n">
        <f aca="false">GB35-GA36+FZ36</f>
        <v>0</v>
      </c>
      <c r="GC36" s="106" t="n">
        <f aca="false">[1]НАДІЙШЛО2!BL28</f>
        <v>0</v>
      </c>
      <c r="GD36" s="107" t="n">
        <f aca="false">[1]ВИБУЛО2!BL28</f>
        <v>0</v>
      </c>
      <c r="GE36" s="108" t="n">
        <f aca="false">GE35-GD36+GC36</f>
        <v>0</v>
      </c>
      <c r="GF36" s="106" t="n">
        <f aca="false">[1]НАДІЙШЛО2!BM28</f>
        <v>0</v>
      </c>
      <c r="GG36" s="107" t="n">
        <f aca="false">[1]ВИБУЛО2!BM28</f>
        <v>0</v>
      </c>
      <c r="GH36" s="108" t="n">
        <f aca="false">GH35-GG36+GF36</f>
        <v>0</v>
      </c>
      <c r="GI36" s="106" t="n">
        <f aca="false">[1]НАДІЙШЛО2!BN28</f>
        <v>0</v>
      </c>
      <c r="GJ36" s="107" t="n">
        <f aca="false">[1]ВИБУЛО2!BN28</f>
        <v>0</v>
      </c>
      <c r="GK36" s="108" t="n">
        <f aca="false">GK35-GJ36+GI36</f>
        <v>0</v>
      </c>
      <c r="GL36" s="106" t="n">
        <f aca="false">[1]НАДІЙШЛО2!BO28</f>
        <v>0</v>
      </c>
      <c r="GM36" s="107" t="n">
        <f aca="false">[1]ВИБУЛО2!BO28</f>
        <v>0</v>
      </c>
      <c r="GN36" s="108" t="n">
        <f aca="false">GN35-GM36+GL36</f>
        <v>0</v>
      </c>
      <c r="GO36" s="106" t="n">
        <f aca="false">[1]НАДІЙШЛО2!BP28</f>
        <v>0</v>
      </c>
      <c r="GP36" s="107" t="n">
        <f aca="false">[1]ВИБУЛО2!BP28</f>
        <v>0</v>
      </c>
      <c r="GQ36" s="108" t="n">
        <f aca="false">GQ35-GP36+GO36</f>
        <v>0</v>
      </c>
      <c r="GR36" s="106" t="n">
        <f aca="false">[1]НАДІЙШЛО2!BQ28</f>
        <v>0</v>
      </c>
      <c r="GS36" s="107" t="n">
        <f aca="false">[1]ВИБУЛО2!BQ28</f>
        <v>0</v>
      </c>
      <c r="GT36" s="108" t="n">
        <f aca="false">GT35-GS36+GR36</f>
        <v>0</v>
      </c>
      <c r="GU36" s="106" t="n">
        <f aca="false">[1]НАДІЙШЛО2!BR28</f>
        <v>0</v>
      </c>
      <c r="GV36" s="107" t="n">
        <f aca="false">[1]ВИБУЛО2!BR28</f>
        <v>0</v>
      </c>
      <c r="GW36" s="108" t="n">
        <f aca="false">GW35-GV36+GU36</f>
        <v>0</v>
      </c>
      <c r="GX36" s="106" t="n">
        <f aca="false">[1]НАДІЙШЛО2!BS28</f>
        <v>0</v>
      </c>
      <c r="GY36" s="107" t="n">
        <f aca="false">[1]ВИБУЛО2!BS28</f>
        <v>0</v>
      </c>
      <c r="GZ36" s="108" t="n">
        <f aca="false">GZ35-GY36+GX36</f>
        <v>0</v>
      </c>
      <c r="HA36" s="106" t="n">
        <f aca="false">[1]НАДІЙШЛО2!BT28</f>
        <v>0</v>
      </c>
      <c r="HB36" s="107" t="n">
        <f aca="false">[1]ВИБУЛО2!BT28</f>
        <v>0</v>
      </c>
      <c r="HC36" s="108" t="n">
        <f aca="false">HC35-HB36+HA36</f>
        <v>0</v>
      </c>
      <c r="HD36" s="106" t="n">
        <f aca="false">[1]НАДІЙШЛО2!BU28</f>
        <v>0</v>
      </c>
      <c r="HE36" s="107" t="n">
        <f aca="false">[1]ВИБУЛО2!BU28</f>
        <v>0</v>
      </c>
      <c r="HF36" s="108" t="n">
        <f aca="false">HF35-HE36+HD36</f>
        <v>0</v>
      </c>
      <c r="HG36" s="106" t="n">
        <f aca="false">[1]НАДІЙШЛО2!BV28</f>
        <v>0</v>
      </c>
      <c r="HH36" s="107" t="n">
        <f aca="false">[1]ВИБУЛО2!BV28</f>
        <v>0</v>
      </c>
      <c r="HI36" s="108" t="n">
        <f aca="false">HI35-HH36+HG36</f>
        <v>0</v>
      </c>
      <c r="HJ36" s="106" t="n">
        <f aca="false">[1]НАДІЙШЛО2!BW28</f>
        <v>0</v>
      </c>
      <c r="HK36" s="107" t="n">
        <f aca="false">[1]ВИБУЛО2!BW28</f>
        <v>0</v>
      </c>
      <c r="HL36" s="108" t="n">
        <f aca="false">HL35-HK36+HJ36</f>
        <v>0</v>
      </c>
      <c r="HM36" s="106" t="n">
        <f aca="false">[1]НАДІЙШЛО2!BX28</f>
        <v>0</v>
      </c>
      <c r="HN36" s="107" t="n">
        <f aca="false">[1]ВИБУЛО2!BX28</f>
        <v>0</v>
      </c>
      <c r="HO36" s="108" t="n">
        <f aca="false">HO35-HN36+HM36</f>
        <v>0</v>
      </c>
      <c r="HP36" s="106" t="n">
        <f aca="false">[1]НАДІЙШЛО2!BY28</f>
        <v>0</v>
      </c>
      <c r="HQ36" s="107" t="n">
        <f aca="false">[1]ВИБУЛО2!BY28</f>
        <v>0</v>
      </c>
      <c r="HR36" s="108" t="n">
        <f aca="false">HR35-HQ36+HP36</f>
        <v>0</v>
      </c>
      <c r="HS36" s="106" t="n">
        <f aca="false">[1]НАДІЙШЛО2!BZ28</f>
        <v>0</v>
      </c>
      <c r="HT36" s="107" t="n">
        <f aca="false">[1]ВИБУЛО2!BZ28</f>
        <v>0</v>
      </c>
      <c r="HU36" s="108" t="n">
        <f aca="false">HU35-HT36+HS36</f>
        <v>0</v>
      </c>
      <c r="HV36" s="106" t="n">
        <f aca="false">[1]НАДІЙШЛО2!CA28</f>
        <v>0</v>
      </c>
      <c r="HW36" s="107" t="n">
        <f aca="false">[1]ВИБУЛО2!CA28</f>
        <v>0</v>
      </c>
      <c r="HX36" s="108" t="n">
        <f aca="false">HX35-HW36+HV36</f>
        <v>0</v>
      </c>
      <c r="HY36" s="106" t="n">
        <f aca="false">[1]НАДІЙШЛО2!CB28</f>
        <v>0</v>
      </c>
      <c r="HZ36" s="107" t="n">
        <f aca="false">[1]ВИБУЛО2!CB28</f>
        <v>0</v>
      </c>
      <c r="IA36" s="108" t="n">
        <f aca="false">IA35-HZ36+HY36</f>
        <v>0</v>
      </c>
      <c r="IB36" s="106" t="n">
        <f aca="false">[1]НАДІЙШЛО2!CC28</f>
        <v>0</v>
      </c>
      <c r="IC36" s="107" t="n">
        <f aca="false">[1]ВИБУЛО2!CC28</f>
        <v>0</v>
      </c>
      <c r="ID36" s="108" t="n">
        <f aca="false">ID35-IC36+IB36</f>
        <v>0</v>
      </c>
      <c r="IE36" s="106" t="n">
        <f aca="false">[1]НАДІЙШЛО2!CD28</f>
        <v>0</v>
      </c>
      <c r="IF36" s="107" t="n">
        <f aca="false">[1]ВИБУЛО2!CD28</f>
        <v>0</v>
      </c>
      <c r="IG36" s="108" t="n">
        <f aca="false">IG35-IF36+IE36</f>
        <v>0</v>
      </c>
      <c r="IH36" s="106" t="n">
        <f aca="false">[1]НАДІЙШЛО2!CE28</f>
        <v>0</v>
      </c>
      <c r="II36" s="107" t="n">
        <f aca="false">[1]ВИБУЛО2!CE28</f>
        <v>0</v>
      </c>
      <c r="IJ36" s="108" t="n">
        <f aca="false">IJ35-II36+IH36</f>
        <v>0</v>
      </c>
      <c r="IK36" s="106" t="n">
        <f aca="false">[1]НАДІЙШЛО2!CF28</f>
        <v>0</v>
      </c>
      <c r="IL36" s="107" t="n">
        <f aca="false">[1]ВИБУЛО2!CF28</f>
        <v>0</v>
      </c>
      <c r="IM36" s="108" t="n">
        <f aca="false">IM35-IL36+IK36</f>
        <v>0</v>
      </c>
      <c r="IN36" s="106" t="n">
        <f aca="false">[1]НАДІЙШЛО2!CG28</f>
        <v>0</v>
      </c>
      <c r="IO36" s="107" t="n">
        <f aca="false">[1]ВИБУЛО2!CG28</f>
        <v>0</v>
      </c>
      <c r="IP36" s="108" t="n">
        <f aca="false">IP35-IO36+IN36</f>
        <v>0</v>
      </c>
      <c r="IQ36" s="106" t="n">
        <f aca="false">[1]НАДІЙШЛО2!CH28</f>
        <v>0</v>
      </c>
      <c r="IR36" s="107" t="n">
        <f aca="false">[1]ВИБУЛО2!CH28</f>
        <v>0</v>
      </c>
      <c r="IS36" s="108" t="n">
        <f aca="false">IS35-IR36+IQ36</f>
        <v>0</v>
      </c>
      <c r="IT36" s="106" t="n">
        <f aca="false">[1]НАДІЙШЛО2!CI28</f>
        <v>0</v>
      </c>
      <c r="IU36" s="107" t="n">
        <f aca="false">[1]ВИБУЛО2!CI28</f>
        <v>0</v>
      </c>
      <c r="IV36" s="108" t="n">
        <f aca="false">IV35-IU36+IT36</f>
        <v>0</v>
      </c>
      <c r="IW36" s="106" t="n">
        <f aca="false">[1]НАДІЙШЛО2!CJ28</f>
        <v>0</v>
      </c>
      <c r="IX36" s="107" t="n">
        <f aca="false">[1]ВИБУЛО2!CJ28</f>
        <v>0</v>
      </c>
      <c r="IY36" s="108" t="n">
        <f aca="false">IY35-IX36+IW36</f>
        <v>0</v>
      </c>
      <c r="IZ36" s="106" t="n">
        <f aca="false">[1]НАДІЙШЛО2!CK28</f>
        <v>0</v>
      </c>
      <c r="JA36" s="107" t="n">
        <f aca="false">[1]ВИБУЛО2!CK28</f>
        <v>0</v>
      </c>
      <c r="JB36" s="108" t="n">
        <f aca="false">JB35-JA36+IZ36</f>
        <v>0</v>
      </c>
      <c r="JC36" s="106" t="n">
        <f aca="false">[1]НАДІЙШЛО2!CL28</f>
        <v>0</v>
      </c>
      <c r="JD36" s="107" t="n">
        <f aca="false">[1]ВИБУЛО2!CL28</f>
        <v>0</v>
      </c>
      <c r="JE36" s="108" t="n">
        <f aca="false">JE35-JD36+JC36</f>
        <v>0</v>
      </c>
      <c r="JF36" s="106" t="n">
        <f aca="false">[1]НАДІЙШЛО2!CM28</f>
        <v>0</v>
      </c>
      <c r="JG36" s="107" t="n">
        <f aca="false">[1]ВИБУЛО2!CM28</f>
        <v>0</v>
      </c>
      <c r="JH36" s="108" t="n">
        <f aca="false">JH35-JG36+JF36</f>
        <v>0</v>
      </c>
      <c r="JI36" s="106" t="n">
        <f aca="false">[1]НАДІЙШЛО2!CN28</f>
        <v>0</v>
      </c>
      <c r="JJ36" s="107" t="n">
        <f aca="false">[1]ВИБУЛО2!CN28</f>
        <v>0</v>
      </c>
      <c r="JK36" s="108" t="n">
        <f aca="false">JK35-JJ36+JI36</f>
        <v>0</v>
      </c>
      <c r="JL36" s="106" t="n">
        <f aca="false">[1]НАДІЙШЛО2!CO28</f>
        <v>0</v>
      </c>
      <c r="JM36" s="107" t="n">
        <f aca="false">[1]ВИБУЛО2!CO28</f>
        <v>0</v>
      </c>
      <c r="JN36" s="108" t="n">
        <f aca="false">JN35-JM36+JL36</f>
        <v>0</v>
      </c>
      <c r="JO36" s="106" t="n">
        <f aca="false">[1]НАДІЙШЛО2!CP28</f>
        <v>0</v>
      </c>
      <c r="JP36" s="107" t="n">
        <f aca="false">[1]ВИБУЛО2!CP28</f>
        <v>0</v>
      </c>
      <c r="JQ36" s="108" t="n">
        <f aca="false">JQ35-JP36+JO36</f>
        <v>0</v>
      </c>
      <c r="JR36" s="106" t="n">
        <f aca="false">[1]НАДІЙШЛО2!CQ28</f>
        <v>0</v>
      </c>
      <c r="JS36" s="107" t="n">
        <f aca="false">[1]ВИБУЛО2!CQ28</f>
        <v>0</v>
      </c>
      <c r="JT36" s="108" t="n">
        <f aca="false">JT35-JS36+JR36</f>
        <v>0</v>
      </c>
      <c r="JU36" s="106" t="n">
        <f aca="false">[1]НАДІЙШЛО2!CR28</f>
        <v>0</v>
      </c>
      <c r="JV36" s="107" t="n">
        <f aca="false">[1]ВИБУЛО2!CR28</f>
        <v>0</v>
      </c>
      <c r="JW36" s="108" t="n">
        <f aca="false">JW35-JV36+JU36</f>
        <v>0</v>
      </c>
      <c r="JX36" s="106" t="n">
        <f aca="false">[1]НАДІЙШЛО2!CS28</f>
        <v>0</v>
      </c>
      <c r="JY36" s="107" t="n">
        <f aca="false">[1]ВИБУЛО2!CS28</f>
        <v>0</v>
      </c>
      <c r="JZ36" s="108" t="n">
        <f aca="false">JZ35-JY36+JX36</f>
        <v>0</v>
      </c>
      <c r="KA36" s="106" t="n">
        <f aca="false">[1]НАДІЙШЛО2!CT28</f>
        <v>0</v>
      </c>
      <c r="KB36" s="107" t="n">
        <f aca="false">[1]ВИБУЛО2!CT28</f>
        <v>0</v>
      </c>
      <c r="KC36" s="108" t="n">
        <f aca="false">KC35-KB36+KA36</f>
        <v>0</v>
      </c>
      <c r="KD36" s="106" t="n">
        <f aca="false">[1]НАДІЙШЛО2!CU28</f>
        <v>0</v>
      </c>
      <c r="KE36" s="107" t="n">
        <f aca="false">[1]ВИБУЛО2!CU28</f>
        <v>0</v>
      </c>
      <c r="KF36" s="108" t="n">
        <f aca="false">KF35-KE36+KD36</f>
        <v>0</v>
      </c>
      <c r="KG36" s="106" t="n">
        <f aca="false">[1]НАДІЙШЛО2!CV28</f>
        <v>0</v>
      </c>
      <c r="KH36" s="107" t="n">
        <f aca="false">[1]ВИБУЛО2!CV28</f>
        <v>0</v>
      </c>
      <c r="KI36" s="108" t="n">
        <f aca="false">KI35-KH36+KG36</f>
        <v>0</v>
      </c>
      <c r="KJ36" s="106" t="n">
        <f aca="false">[1]НАДІЙШЛО2!CW28</f>
        <v>0</v>
      </c>
      <c r="KK36" s="107" t="n">
        <f aca="false">[1]ВИБУЛО2!CW28</f>
        <v>0</v>
      </c>
      <c r="KL36" s="108" t="n">
        <f aca="false">KL35-KK36+KJ36</f>
        <v>0</v>
      </c>
      <c r="KM36" s="106" t="n">
        <f aca="false">[1]НАДІЙШЛО2!CX28</f>
        <v>0</v>
      </c>
      <c r="KN36" s="107" t="n">
        <f aca="false">[1]ВИБУЛО2!CX28</f>
        <v>0</v>
      </c>
      <c r="KO36" s="108" t="n">
        <f aca="false">KO35-KN36+KM36</f>
        <v>0</v>
      </c>
      <c r="KP36" s="106" t="n">
        <f aca="false">[1]НАДІЙШЛО2!CY28</f>
        <v>0</v>
      </c>
      <c r="KQ36" s="107" t="n">
        <f aca="false">[1]ВИБУЛО2!CY28</f>
        <v>0</v>
      </c>
      <c r="KR36" s="108" t="n">
        <f aca="false">KR35-KQ36+KP36</f>
        <v>0</v>
      </c>
      <c r="KS36" s="106" t="n">
        <f aca="false">[1]НАДІЙШЛО2!CZ28</f>
        <v>0</v>
      </c>
      <c r="KT36" s="107" t="n">
        <f aca="false">[1]ВИБУЛО2!CZ28</f>
        <v>0</v>
      </c>
      <c r="KU36" s="108" t="n">
        <f aca="false">KU35-KT36+KS36</f>
        <v>0</v>
      </c>
      <c r="KV36" s="106" t="n">
        <f aca="false">[1]НАДІЙШЛО2!DA28</f>
        <v>0</v>
      </c>
      <c r="KW36" s="107" t="n">
        <f aca="false">[1]ВИБУЛО2!DA28</f>
        <v>0</v>
      </c>
      <c r="KX36" s="108" t="n">
        <f aca="false">KX35-KW36+KV36</f>
        <v>0</v>
      </c>
      <c r="KY36" s="106" t="n">
        <f aca="false">[1]НАДІЙШЛО2!DB28</f>
        <v>0</v>
      </c>
      <c r="KZ36" s="107" t="n">
        <f aca="false">[1]ВИБУЛО2!DB28</f>
        <v>0</v>
      </c>
      <c r="LA36" s="108" t="n">
        <f aca="false">LA35-KZ36+KY36</f>
        <v>0</v>
      </c>
      <c r="LB36" s="106" t="n">
        <f aca="false">[1]НАДІЙШЛО2!DC28</f>
        <v>0</v>
      </c>
      <c r="LC36" s="107" t="n">
        <f aca="false">[1]ВИБУЛО2!DC28</f>
        <v>0</v>
      </c>
      <c r="LD36" s="108" t="n">
        <f aca="false">LD35-LC36+LB36</f>
        <v>0</v>
      </c>
      <c r="LE36" s="106" t="n">
        <f aca="false">[1]НАДІЙШЛО2!DD28</f>
        <v>0</v>
      </c>
      <c r="LF36" s="107" t="n">
        <f aca="false">[1]ВИБУЛО2!DD28</f>
        <v>0</v>
      </c>
      <c r="LG36" s="108" t="n">
        <f aca="false">LG35-LF36+LE36</f>
        <v>0</v>
      </c>
      <c r="LH36" s="106" t="n">
        <f aca="false">[1]НАДІЙШЛО2!DE28</f>
        <v>0</v>
      </c>
      <c r="LI36" s="107" t="n">
        <f aca="false">[1]ВИБУЛО2!DE28</f>
        <v>0</v>
      </c>
      <c r="LJ36" s="108" t="n">
        <f aca="false">LJ35-LI36+LH36</f>
        <v>0</v>
      </c>
      <c r="LK36" s="106" t="n">
        <f aca="false">[1]НАДІЙШЛО2!DF28</f>
        <v>0</v>
      </c>
      <c r="LL36" s="107" t="n">
        <f aca="false">[1]ВИБУЛО2!DF28</f>
        <v>0</v>
      </c>
      <c r="LM36" s="108" t="n">
        <f aca="false">LM35-LL36+LK36</f>
        <v>0</v>
      </c>
      <c r="LN36" s="106" t="n">
        <f aca="false">[1]НАДІЙШЛО2!DG28</f>
        <v>0</v>
      </c>
      <c r="LO36" s="107" t="n">
        <f aca="false">[1]ВИБУЛО2!DG28</f>
        <v>0</v>
      </c>
      <c r="LP36" s="108" t="n">
        <f aca="false">LP35-LO36+LN36</f>
        <v>0</v>
      </c>
      <c r="LQ36" s="106" t="n">
        <f aca="false">[1]НАДІЙШЛО2!DH28</f>
        <v>0</v>
      </c>
      <c r="LR36" s="107" t="n">
        <f aca="false">[1]ВИБУЛО2!DH28</f>
        <v>0</v>
      </c>
      <c r="LS36" s="108" t="n">
        <f aca="false">LS35-LR36+LQ36</f>
        <v>0</v>
      </c>
      <c r="LT36" s="106" t="n">
        <f aca="false">[1]НАДІЙШЛО2!DI28</f>
        <v>0</v>
      </c>
      <c r="LU36" s="107" t="n">
        <f aca="false">[1]ВИБУЛО2!DI28</f>
        <v>0</v>
      </c>
      <c r="LV36" s="108" t="n">
        <f aca="false">LV35-LU36+LT36</f>
        <v>0</v>
      </c>
      <c r="LW36" s="106" t="n">
        <f aca="false">[1]НАДІЙШЛО2!DJ28</f>
        <v>0</v>
      </c>
      <c r="LX36" s="107" t="n">
        <f aca="false">[1]ВИБУЛО2!DJ28</f>
        <v>0</v>
      </c>
      <c r="LY36" s="108" t="n">
        <f aca="false">LY35-LX36+LW36</f>
        <v>0</v>
      </c>
      <c r="LZ36" s="106" t="n">
        <f aca="false">[1]НАДІЙШЛО2!DK28</f>
        <v>0</v>
      </c>
      <c r="MA36" s="107" t="n">
        <f aca="false">[1]ВИБУЛО2!DK28</f>
        <v>0</v>
      </c>
      <c r="MB36" s="108" t="n">
        <f aca="false">MB35-MA36+LZ36</f>
        <v>0</v>
      </c>
      <c r="MC36" s="106" t="n">
        <f aca="false">[1]НАДІЙШЛО2!DL28</f>
        <v>0</v>
      </c>
      <c r="MD36" s="107" t="n">
        <f aca="false">[1]ВИБУЛО2!DL28</f>
        <v>0</v>
      </c>
      <c r="ME36" s="108" t="n">
        <f aca="false">ME35-MD36+MC36</f>
        <v>0</v>
      </c>
      <c r="MF36" s="106" t="n">
        <f aca="false">[1]НАДІЙШЛО2!DM28</f>
        <v>0</v>
      </c>
      <c r="MG36" s="107" t="n">
        <f aca="false">[1]ВИБУЛО2!DM28</f>
        <v>0</v>
      </c>
      <c r="MH36" s="108" t="n">
        <f aca="false">MH35-MG36+MF36</f>
        <v>0</v>
      </c>
      <c r="MI36" s="106" t="n">
        <f aca="false">[1]НАДІЙШЛО2!DN28</f>
        <v>0</v>
      </c>
      <c r="MJ36" s="107" t="n">
        <f aca="false">[1]ВИБУЛО2!DN28</f>
        <v>0</v>
      </c>
      <c r="MK36" s="108" t="n">
        <f aca="false">MK35-MJ36+MI36</f>
        <v>0</v>
      </c>
      <c r="ML36" s="106" t="n">
        <f aca="false">[1]НАДІЙШЛО2!DO28</f>
        <v>0</v>
      </c>
      <c r="MM36" s="107" t="n">
        <f aca="false">[1]ВИБУЛО2!DO28</f>
        <v>0</v>
      </c>
      <c r="MN36" s="108" t="n">
        <f aca="false">MN35-MM36+ML36</f>
        <v>0</v>
      </c>
      <c r="MO36" s="106" t="n">
        <f aca="false">[1]НАДІЙШЛО2!DP28</f>
        <v>0</v>
      </c>
      <c r="MP36" s="107" t="n">
        <f aca="false">[1]ВИБУЛО2!DP28</f>
        <v>0</v>
      </c>
      <c r="MQ36" s="108" t="n">
        <f aca="false">MQ35-MP36+MO36</f>
        <v>0</v>
      </c>
      <c r="MR36" s="106" t="n">
        <f aca="false">[1]НАДІЙШЛО2!DQ28</f>
        <v>0</v>
      </c>
      <c r="MS36" s="107" t="n">
        <f aca="false">[1]ВИБУЛО2!DQ28</f>
        <v>0</v>
      </c>
      <c r="MT36" s="108" t="n">
        <f aca="false">MT35-MS36+MR36</f>
        <v>0</v>
      </c>
      <c r="MU36" s="106" t="n">
        <f aca="false">[1]НАДІЙШЛО2!DR28</f>
        <v>0</v>
      </c>
      <c r="MV36" s="107" t="n">
        <f aca="false">[1]ВИБУЛО2!DR28</f>
        <v>0</v>
      </c>
      <c r="MW36" s="108" t="n">
        <f aca="false">MW35-MV36+MU36</f>
        <v>0</v>
      </c>
      <c r="MX36" s="106" t="n">
        <f aca="false">[1]НАДІЙШЛО2!DS28</f>
        <v>0</v>
      </c>
      <c r="MY36" s="107" t="n">
        <f aca="false">[1]ВИБУЛО2!DS28</f>
        <v>0</v>
      </c>
      <c r="MZ36" s="108" t="n">
        <f aca="false">MZ35-MY36+MX36</f>
        <v>0</v>
      </c>
      <c r="NA36" s="106" t="n">
        <f aca="false">[1]НАДІЙШЛО2!DT28</f>
        <v>0</v>
      </c>
      <c r="NB36" s="107" t="n">
        <f aca="false">[1]ВИБУЛО2!DT28</f>
        <v>0</v>
      </c>
      <c r="NC36" s="108" t="n">
        <f aca="false">NC35-NB36+NA36</f>
        <v>0</v>
      </c>
      <c r="ND36" s="106" t="n">
        <f aca="false">[1]НАДІЙШЛО2!DU28</f>
        <v>0</v>
      </c>
      <c r="NE36" s="107" t="n">
        <f aca="false">[1]ВИБУЛО2!DU28</f>
        <v>0</v>
      </c>
      <c r="NF36" s="108" t="n">
        <f aca="false">NF35-NE36+ND36</f>
        <v>0</v>
      </c>
      <c r="NG36" s="106" t="n">
        <f aca="false">[1]НАДІЙШЛО2!DV28</f>
        <v>0</v>
      </c>
      <c r="NH36" s="107" t="n">
        <f aca="false">[1]ВИБУЛО2!DV28</f>
        <v>0</v>
      </c>
      <c r="NI36" s="108" t="n">
        <f aca="false">NI35-NH36+NG36</f>
        <v>0</v>
      </c>
      <c r="NJ36" s="106" t="n">
        <f aca="false">[1]НАДІЙШЛО2!DW28</f>
        <v>0</v>
      </c>
      <c r="NK36" s="107" t="n">
        <f aca="false">[1]ВИБУЛО2!DW28</f>
        <v>0</v>
      </c>
      <c r="NL36" s="108" t="n">
        <f aca="false">NL35-NK36+NJ36</f>
        <v>0</v>
      </c>
      <c r="NM36" s="106" t="n">
        <f aca="false">[1]НАДІЙШЛО2!DX28</f>
        <v>0</v>
      </c>
      <c r="NN36" s="107" t="n">
        <f aca="false">[1]ВИБУЛО2!DX28</f>
        <v>0</v>
      </c>
      <c r="NO36" s="108" t="n">
        <f aca="false">NO35-NN36+NM36</f>
        <v>0</v>
      </c>
      <c r="NP36" s="106" t="n">
        <f aca="false">[1]НАДІЙШЛО2!DY28</f>
        <v>0</v>
      </c>
      <c r="NQ36" s="107" t="n">
        <f aca="false">[1]ВИБУЛО2!DY28</f>
        <v>0</v>
      </c>
      <c r="NR36" s="108" t="n">
        <f aca="false">NR35-NQ36+NP36</f>
        <v>0</v>
      </c>
      <c r="NS36" s="106" t="n">
        <f aca="false">[1]НАДІЙШЛО2!DZ28</f>
        <v>0</v>
      </c>
      <c r="NT36" s="107" t="n">
        <f aca="false">[1]ВИБУЛО2!DZ28</f>
        <v>0</v>
      </c>
      <c r="NU36" s="108" t="n">
        <f aca="false">NU35-NT36+NS36</f>
        <v>0</v>
      </c>
      <c r="NV36" s="106" t="n">
        <f aca="false">[1]НАДІЙШЛО2!EA28</f>
        <v>0</v>
      </c>
      <c r="NW36" s="107" t="n">
        <f aca="false">[1]ВИБУЛО2!EA28</f>
        <v>0</v>
      </c>
      <c r="NX36" s="108" t="n">
        <f aca="false">NX35-NW36+NV36</f>
        <v>0</v>
      </c>
      <c r="NY36" s="106" t="n">
        <f aca="false">[1]НАДІЙШЛО2!EB28</f>
        <v>0</v>
      </c>
      <c r="NZ36" s="107" t="n">
        <f aca="false">[1]ВИБУЛО2!EB28</f>
        <v>0</v>
      </c>
      <c r="OA36" s="108" t="n">
        <f aca="false">OA35-NZ36+NY36</f>
        <v>0</v>
      </c>
      <c r="OB36" s="106" t="n">
        <f aca="false">[1]НАДІЙШЛО2!EC28</f>
        <v>0</v>
      </c>
      <c r="OC36" s="107" t="n">
        <f aca="false">[1]ВИБУЛО2!EC28</f>
        <v>0</v>
      </c>
      <c r="OD36" s="108" t="n">
        <f aca="false">OD35-OC36+OB36</f>
        <v>0</v>
      </c>
      <c r="OE36" s="106" t="n">
        <f aca="false">[1]НАДІЙШЛО2!ED28</f>
        <v>0</v>
      </c>
      <c r="OF36" s="107" t="n">
        <f aca="false">[1]ВИБУЛО2!ED28</f>
        <v>0</v>
      </c>
      <c r="OG36" s="108" t="n">
        <f aca="false">OG35-OF36+OE36</f>
        <v>0</v>
      </c>
      <c r="OH36" s="106" t="n">
        <f aca="false">[1]НАДІЙШЛО2!EE28</f>
        <v>0</v>
      </c>
      <c r="OI36" s="107" t="n">
        <f aca="false">[1]ВИБУЛО2!EE28</f>
        <v>0</v>
      </c>
      <c r="OJ36" s="108" t="n">
        <f aca="false">OJ35-OI36+OH36</f>
        <v>0</v>
      </c>
      <c r="OK36" s="106" t="n">
        <f aca="false">[1]НАДІЙШЛО2!EF28</f>
        <v>0</v>
      </c>
      <c r="OL36" s="107" t="n">
        <f aca="false">[1]ВИБУЛО2!EF28</f>
        <v>0</v>
      </c>
      <c r="OM36" s="108" t="n">
        <f aca="false">OM35-OL36+OK36</f>
        <v>0</v>
      </c>
      <c r="ON36" s="106" t="n">
        <f aca="false">[1]НАДІЙШЛО2!EG28</f>
        <v>0</v>
      </c>
      <c r="OO36" s="107" t="n">
        <f aca="false">[1]ВИБУЛО2!EG28</f>
        <v>0</v>
      </c>
      <c r="OP36" s="108" t="n">
        <f aca="false">OP35-OO36+ON36</f>
        <v>0</v>
      </c>
      <c r="OQ36" s="106" t="n">
        <f aca="false">[1]НАДІЙШЛО2!EH28</f>
        <v>0</v>
      </c>
      <c r="OR36" s="107" t="n">
        <f aca="false">[1]ВИБУЛО2!EH28</f>
        <v>0</v>
      </c>
      <c r="OS36" s="108" t="n">
        <f aca="false">OS35-OR36+OQ36</f>
        <v>0</v>
      </c>
      <c r="OT36" s="106" t="n">
        <f aca="false">[1]НАДІЙШЛО2!EI28</f>
        <v>0</v>
      </c>
      <c r="OU36" s="107" t="n">
        <f aca="false">[1]ВИБУЛО2!EI28</f>
        <v>0</v>
      </c>
      <c r="OV36" s="108" t="n">
        <f aca="false">OV35-OU36+OT36</f>
        <v>0</v>
      </c>
      <c r="OW36" s="106" t="n">
        <f aca="false">[1]НАДІЙШЛО2!EJ28</f>
        <v>0</v>
      </c>
      <c r="OX36" s="107" t="n">
        <f aca="false">[1]ВИБУЛО2!EJ28</f>
        <v>0</v>
      </c>
      <c r="OY36" s="108" t="n">
        <f aca="false">OY35-OX36+OW36</f>
        <v>0</v>
      </c>
      <c r="OZ36" s="106" t="n">
        <f aca="false">[1]НАДІЙШЛО2!EK28</f>
        <v>0</v>
      </c>
      <c r="PA36" s="107" t="n">
        <f aca="false">[1]ВИБУЛО2!EK28</f>
        <v>0</v>
      </c>
      <c r="PB36" s="108" t="n">
        <f aca="false">PB35-PA36+OZ36</f>
        <v>0</v>
      </c>
      <c r="PC36" s="106" t="n">
        <f aca="false">[1]НАДІЙШЛО2!EL28</f>
        <v>0</v>
      </c>
      <c r="PD36" s="107" t="n">
        <f aca="false">[1]ВИБУЛО2!EL28</f>
        <v>0</v>
      </c>
      <c r="PE36" s="108" t="n">
        <f aca="false">PE35-PD36+PC36</f>
        <v>0</v>
      </c>
      <c r="PF36" s="106" t="n">
        <f aca="false">[1]НАДІЙШЛО2!EM28</f>
        <v>0</v>
      </c>
      <c r="PG36" s="107" t="n">
        <f aca="false">[1]ВИБУЛО2!EM28</f>
        <v>0</v>
      </c>
      <c r="PH36" s="108" t="n">
        <f aca="false">PH35-PG36+PF36</f>
        <v>0</v>
      </c>
      <c r="PI36" s="106" t="n">
        <f aca="false">[1]НАДІЙШЛО2!EN28</f>
        <v>0</v>
      </c>
      <c r="PJ36" s="107" t="n">
        <f aca="false">[1]ВИБУЛО2!EN28</f>
        <v>0</v>
      </c>
      <c r="PK36" s="108" t="n">
        <f aca="false">PK35-PJ36+PI36</f>
        <v>0</v>
      </c>
      <c r="PL36" s="106" t="n">
        <f aca="false">[1]НАДІЙШЛО2!EO28</f>
        <v>0</v>
      </c>
      <c r="PM36" s="107" t="n">
        <f aca="false">[1]ВИБУЛО2!EO28</f>
        <v>0</v>
      </c>
      <c r="PN36" s="108" t="n">
        <f aca="false">PN35-PM36+PL36</f>
        <v>0</v>
      </c>
      <c r="PO36" s="106" t="n">
        <f aca="false">[1]НАДІЙШЛО2!EP28</f>
        <v>0</v>
      </c>
      <c r="PP36" s="107" t="n">
        <f aca="false">[1]ВИБУЛО2!EP28</f>
        <v>0</v>
      </c>
      <c r="PQ36" s="108" t="n">
        <f aca="false">PQ35-PP36+PO36</f>
        <v>0</v>
      </c>
      <c r="PR36" s="106" t="n">
        <f aca="false">[1]НАДІЙШЛО2!EQ28</f>
        <v>0</v>
      </c>
      <c r="PS36" s="107" t="n">
        <f aca="false">[1]ВИБУЛО2!EQ28</f>
        <v>0</v>
      </c>
      <c r="PT36" s="108" t="n">
        <f aca="false">PT35-PS36+PR36</f>
        <v>0</v>
      </c>
      <c r="PU36" s="106" t="n">
        <f aca="false">[1]НАДІЙШЛО2!ER28</f>
        <v>0</v>
      </c>
      <c r="PV36" s="107" t="n">
        <f aca="false">[1]ВИБУЛО2!ER28</f>
        <v>0</v>
      </c>
      <c r="PW36" s="108" t="n">
        <f aca="false">PW35-PV36+PU36</f>
        <v>0</v>
      </c>
      <c r="PX36" s="106" t="n">
        <f aca="false">[1]НАДІЙШЛО2!ES28</f>
        <v>0</v>
      </c>
      <c r="PY36" s="107" t="n">
        <f aca="false">[1]ВИБУЛО2!ES28</f>
        <v>0</v>
      </c>
      <c r="PZ36" s="108" t="n">
        <f aca="false">PZ35-PY36+PX36</f>
        <v>0</v>
      </c>
      <c r="QA36" s="106" t="n">
        <f aca="false">[1]НАДІЙШЛО2!ET28</f>
        <v>0</v>
      </c>
      <c r="QB36" s="107" t="n">
        <f aca="false">[1]ВИБУЛО2!ET28</f>
        <v>0</v>
      </c>
      <c r="QC36" s="108" t="n">
        <f aca="false">QC35-QB36+QA36</f>
        <v>0</v>
      </c>
      <c r="QD36" s="106" t="n">
        <f aca="false">[1]НАДІЙШЛО2!EU28</f>
        <v>0</v>
      </c>
      <c r="QE36" s="107" t="n">
        <f aca="false">[1]ВИБУЛО2!EU28</f>
        <v>0</v>
      </c>
      <c r="QF36" s="108" t="n">
        <f aca="false">QF35-QE36+QD36</f>
        <v>0</v>
      </c>
      <c r="QG36" s="106" t="n">
        <f aca="false">[1]НАДІЙШЛО2!EV28</f>
        <v>0</v>
      </c>
      <c r="QH36" s="107" t="n">
        <f aca="false">[1]ВИБУЛО2!EV28</f>
        <v>0</v>
      </c>
      <c r="QI36" s="108" t="n">
        <f aca="false">QI35-QH36+QG36</f>
        <v>0</v>
      </c>
      <c r="QJ36" s="106" t="n">
        <f aca="false">[1]НАДІЙШЛО2!EW28</f>
        <v>0</v>
      </c>
      <c r="QK36" s="107" t="n">
        <f aca="false">[1]ВИБУЛО2!EW28</f>
        <v>0</v>
      </c>
      <c r="QL36" s="108" t="n">
        <f aca="false">QL35-QK36+QJ36</f>
        <v>0</v>
      </c>
      <c r="QM36" s="106" t="n">
        <f aca="false">[1]НАДІЙШЛО2!EX28</f>
        <v>0</v>
      </c>
      <c r="QN36" s="107" t="n">
        <f aca="false">[1]ВИБУЛО2!EX28</f>
        <v>0</v>
      </c>
      <c r="QO36" s="108" t="n">
        <f aca="false">QO35-QN36+QM36</f>
        <v>0</v>
      </c>
      <c r="QP36" s="106" t="n">
        <f aca="false">[1]НАДІЙШЛО2!EY28</f>
        <v>0</v>
      </c>
      <c r="QQ36" s="107" t="n">
        <f aca="false">[1]ВИБУЛО2!EY28</f>
        <v>0</v>
      </c>
      <c r="QR36" s="108" t="n">
        <f aca="false">QR35-QQ36+QP36</f>
        <v>0</v>
      </c>
      <c r="QS36" s="106" t="n">
        <f aca="false">[1]НАДІЙШЛО2!EZ28</f>
        <v>0</v>
      </c>
      <c r="QT36" s="107" t="n">
        <f aca="false">[1]ВИБУЛО2!EZ28</f>
        <v>0</v>
      </c>
      <c r="QU36" s="108" t="n">
        <f aca="false">QU35-QT36+QS36</f>
        <v>0</v>
      </c>
      <c r="QV36" s="106" t="n">
        <f aca="false">[1]НАДІЙШЛО2!FA28</f>
        <v>0</v>
      </c>
      <c r="QW36" s="107" t="n">
        <f aca="false">[1]ВИБУЛО2!FA28</f>
        <v>0</v>
      </c>
      <c r="QX36" s="108" t="n">
        <f aca="false">QX35-QW36+QV36</f>
        <v>0</v>
      </c>
      <c r="QY36" s="106" t="n">
        <f aca="false">[1]НАДІЙШЛО2!FB28</f>
        <v>0</v>
      </c>
      <c r="QZ36" s="107" t="n">
        <f aca="false">[1]ВИБУЛО2!FB28</f>
        <v>0</v>
      </c>
      <c r="RA36" s="108" t="n">
        <f aca="false">RA35-QZ36+QY36</f>
        <v>0</v>
      </c>
      <c r="RB36" s="106" t="n">
        <f aca="false">[1]НАДІЙШЛО2!FC28</f>
        <v>0</v>
      </c>
      <c r="RC36" s="107" t="n">
        <f aca="false">[1]ВИБУЛО2!FC28</f>
        <v>0</v>
      </c>
      <c r="RD36" s="108" t="n">
        <f aca="false">RD35-RC36+RB36</f>
        <v>0</v>
      </c>
      <c r="RE36" s="106" t="n">
        <f aca="false">[1]НАДІЙШЛО2!FD28</f>
        <v>0</v>
      </c>
      <c r="RF36" s="107" t="n">
        <f aca="false">[1]ВИБУЛО2!FD28</f>
        <v>0</v>
      </c>
      <c r="RG36" s="108" t="n">
        <f aca="false">RG35-RF36+RE36</f>
        <v>0</v>
      </c>
      <c r="RH36" s="106" t="n">
        <f aca="false">[1]НАДІЙШЛО2!FE28</f>
        <v>0</v>
      </c>
      <c r="RI36" s="107" t="n">
        <f aca="false">[1]ВИБУЛО2!FE28</f>
        <v>0</v>
      </c>
      <c r="RJ36" s="108" t="n">
        <f aca="false">RJ35-RI36+RH36</f>
        <v>0</v>
      </c>
      <c r="RK36" s="106" t="n">
        <f aca="false">[1]НАДІЙШЛО2!FF28</f>
        <v>0</v>
      </c>
      <c r="RL36" s="107" t="n">
        <f aca="false">[1]ВИБУЛО2!FF28</f>
        <v>0</v>
      </c>
      <c r="RM36" s="108" t="n">
        <f aca="false">RM35-RL36+RK36</f>
        <v>0</v>
      </c>
      <c r="RN36" s="106" t="n">
        <f aca="false">[1]НАДІЙШЛО2!FG28</f>
        <v>0</v>
      </c>
      <c r="RO36" s="107" t="n">
        <f aca="false">[1]ВИБУЛО2!FG28</f>
        <v>0</v>
      </c>
      <c r="RP36" s="108" t="n">
        <f aca="false">RP35-RO36+RN36</f>
        <v>0</v>
      </c>
      <c r="RQ36" s="106" t="n">
        <f aca="false">[1]НАДІЙШЛО2!FH28</f>
        <v>0</v>
      </c>
      <c r="RR36" s="107" t="n">
        <f aca="false">[1]ВИБУЛО2!FH28</f>
        <v>0</v>
      </c>
      <c r="RS36" s="108" t="n">
        <f aca="false">RS35-RR36+RQ36</f>
        <v>0</v>
      </c>
      <c r="RT36" s="106" t="n">
        <f aca="false">[1]НАДІЙШЛО2!FI28</f>
        <v>0</v>
      </c>
      <c r="RU36" s="107" t="n">
        <f aca="false">[1]ВИБУЛО2!FI28</f>
        <v>0</v>
      </c>
      <c r="RV36" s="108" t="n">
        <f aca="false">RV35-RU36+RT36</f>
        <v>0</v>
      </c>
      <c r="RW36" s="106" t="n">
        <f aca="false">[1]НАДІЙШЛО2!FJ28</f>
        <v>0</v>
      </c>
      <c r="RX36" s="107" t="n">
        <f aca="false">[1]ВИБУЛО2!FJ28</f>
        <v>0</v>
      </c>
      <c r="RY36" s="108" t="n">
        <f aca="false">RY35-RX36+RW36</f>
        <v>0</v>
      </c>
      <c r="RZ36" s="106" t="n">
        <f aca="false">[1]НАДІЙШЛО2!FK28</f>
        <v>0</v>
      </c>
      <c r="SA36" s="107" t="n">
        <f aca="false">[1]ВИБУЛО2!FK28</f>
        <v>0</v>
      </c>
      <c r="SB36" s="108" t="n">
        <f aca="false">SB35-SA36+RZ36</f>
        <v>0</v>
      </c>
      <c r="SC36" s="106" t="n">
        <f aca="false">[1]НАДІЙШЛО2!FL28</f>
        <v>0</v>
      </c>
      <c r="SD36" s="107" t="n">
        <f aca="false">[1]ВИБУЛО2!FL28</f>
        <v>0</v>
      </c>
      <c r="SE36" s="108" t="n">
        <f aca="false">SE35-SD36+SC36</f>
        <v>0</v>
      </c>
      <c r="SF36" s="106" t="n">
        <f aca="false">[1]НАДІЙШЛО2!FM28</f>
        <v>0</v>
      </c>
      <c r="SG36" s="107" t="n">
        <f aca="false">[1]ВИБУЛО2!FM28</f>
        <v>0</v>
      </c>
      <c r="SH36" s="108" t="n">
        <f aca="false">SH35-SG36+SF36</f>
        <v>0</v>
      </c>
      <c r="SI36" s="106" t="n">
        <f aca="false">[1]НАДІЙШЛО2!FN28</f>
        <v>0</v>
      </c>
      <c r="SJ36" s="107" t="n">
        <f aca="false">[1]ВИБУЛО2!FN28</f>
        <v>0</v>
      </c>
      <c r="SK36" s="108" t="n">
        <f aca="false">SK35-SJ36+SI36</f>
        <v>0</v>
      </c>
      <c r="SL36" s="106" t="n">
        <f aca="false">[1]НАДІЙШЛО2!FO28</f>
        <v>0</v>
      </c>
      <c r="SM36" s="107" t="n">
        <f aca="false">[1]ВИБУЛО2!FO28</f>
        <v>0</v>
      </c>
      <c r="SN36" s="108" t="n">
        <f aca="false">SN35-SM36+SL36</f>
        <v>0</v>
      </c>
      <c r="SO36" s="106" t="n">
        <f aca="false">[1]НАДІЙШЛО2!FP28</f>
        <v>0</v>
      </c>
      <c r="SP36" s="107" t="n">
        <f aca="false">[1]ВИБУЛО2!FP28</f>
        <v>0</v>
      </c>
      <c r="SQ36" s="108" t="n">
        <f aca="false">SQ35-SP36+SO36</f>
        <v>0</v>
      </c>
      <c r="SR36" s="106" t="n">
        <f aca="false">[1]НАДІЙШЛО2!FQ28</f>
        <v>0</v>
      </c>
      <c r="SS36" s="107" t="n">
        <f aca="false">[1]ВИБУЛО2!FQ28</f>
        <v>0</v>
      </c>
      <c r="ST36" s="108" t="n">
        <f aca="false">ST35-SS36+SR36</f>
        <v>0</v>
      </c>
      <c r="SU36" s="106" t="n">
        <f aca="false">[1]НАДІЙШЛО2!FR28</f>
        <v>0</v>
      </c>
      <c r="SV36" s="107" t="n">
        <f aca="false">[1]ВИБУЛО2!FR28</f>
        <v>0</v>
      </c>
      <c r="SW36" s="108" t="n">
        <f aca="false">SW35-SV36+SU36</f>
        <v>0</v>
      </c>
      <c r="SX36" s="106" t="n">
        <f aca="false">[1]НАДІЙШЛО2!FS28</f>
        <v>0</v>
      </c>
      <c r="SY36" s="107" t="n">
        <f aca="false">[1]ВИБУЛО2!FS28</f>
        <v>0</v>
      </c>
      <c r="SZ36" s="108" t="n">
        <f aca="false">SZ35-SY36+SX36</f>
        <v>0</v>
      </c>
      <c r="TA36" s="106" t="n">
        <f aca="false">[1]НАДІЙШЛО2!FT28</f>
        <v>0</v>
      </c>
      <c r="TB36" s="107" t="n">
        <f aca="false">[1]ВИБУЛО2!FT28</f>
        <v>0</v>
      </c>
      <c r="TC36" s="108" t="n">
        <f aca="false">TC35-TB36+TA36</f>
        <v>0</v>
      </c>
      <c r="TD36" s="106" t="n">
        <f aca="false">[1]НАДІЙШЛО2!FU28</f>
        <v>0</v>
      </c>
      <c r="TE36" s="107" t="n">
        <f aca="false">[1]ВИБУЛО2!FU28</f>
        <v>0</v>
      </c>
      <c r="TF36" s="108" t="n">
        <f aca="false">TF35-TE36+TD36</f>
        <v>0</v>
      </c>
      <c r="TG36" s="106" t="n">
        <f aca="false">[1]НАДІЙШЛО2!FV28</f>
        <v>0</v>
      </c>
      <c r="TH36" s="107" t="n">
        <f aca="false">[1]ВИБУЛО2!FV28</f>
        <v>0</v>
      </c>
      <c r="TI36" s="108" t="n">
        <f aca="false">TI35-TH36+TG36</f>
        <v>0</v>
      </c>
      <c r="TJ36" s="106" t="n">
        <f aca="false">[1]НАДІЙШЛО2!FW28</f>
        <v>0</v>
      </c>
      <c r="TK36" s="107" t="n">
        <f aca="false">[1]ВИБУЛО2!FW28</f>
        <v>0</v>
      </c>
      <c r="TL36" s="108" t="n">
        <f aca="false">TL35-TK36+TJ36</f>
        <v>0</v>
      </c>
      <c r="TM36" s="106" t="n">
        <f aca="false">[1]НАДІЙШЛО2!FX28</f>
        <v>0</v>
      </c>
      <c r="TN36" s="107" t="n">
        <f aca="false">[1]ВИБУЛО2!FX28</f>
        <v>0</v>
      </c>
      <c r="TO36" s="108" t="n">
        <f aca="false">TO35-TN36+TM36</f>
        <v>0</v>
      </c>
      <c r="TP36" s="106" t="n">
        <f aca="false">[1]НАДІЙШЛО2!FY28</f>
        <v>0</v>
      </c>
      <c r="TQ36" s="107" t="n">
        <f aca="false">[1]ВИБУЛО2!FY28</f>
        <v>0</v>
      </c>
      <c r="TR36" s="108" t="n">
        <f aca="false">TR35-TQ36+TP36</f>
        <v>0</v>
      </c>
      <c r="TS36" s="106" t="n">
        <f aca="false">[1]НАДІЙШЛО2!FZ28</f>
        <v>0</v>
      </c>
      <c r="TT36" s="107" t="n">
        <f aca="false">[1]ВИБУЛО2!FZ28</f>
        <v>0</v>
      </c>
      <c r="TU36" s="108" t="n">
        <f aca="false">TU35-TT36+TS36</f>
        <v>0</v>
      </c>
      <c r="TV36" s="106" t="n">
        <f aca="false">[1]НАДІЙШЛО2!GA28</f>
        <v>0</v>
      </c>
      <c r="TW36" s="107" t="n">
        <f aca="false">[1]ВИБУЛО2!GA28</f>
        <v>0</v>
      </c>
      <c r="TX36" s="108" t="n">
        <f aca="false">TX35-TW36+TV36</f>
        <v>0</v>
      </c>
      <c r="TY36" s="106" t="n">
        <f aca="false">[1]НАДІЙШЛО2!GB28</f>
        <v>0</v>
      </c>
      <c r="TZ36" s="107" t="n">
        <f aca="false">[1]ВИБУЛО2!GB28</f>
        <v>0</v>
      </c>
      <c r="UA36" s="108" t="n">
        <f aca="false">UA35-TZ36+TY36</f>
        <v>0</v>
      </c>
      <c r="UB36" s="106" t="n">
        <f aca="false">[1]НАДІЙШЛО2!GC28</f>
        <v>0</v>
      </c>
      <c r="UC36" s="107" t="n">
        <f aca="false">[1]ВИБУЛО2!GC28</f>
        <v>0</v>
      </c>
      <c r="UD36" s="108" t="n">
        <f aca="false">UD35-UC36+UB36</f>
        <v>0</v>
      </c>
      <c r="UE36" s="106" t="n">
        <f aca="false">[1]НАДІЙШЛО2!GD28</f>
        <v>0</v>
      </c>
      <c r="UF36" s="107" t="n">
        <f aca="false">[1]ВИБУЛО2!GD28</f>
        <v>0</v>
      </c>
      <c r="UG36" s="108" t="n">
        <f aca="false">UG35-UF36+UE36</f>
        <v>0</v>
      </c>
      <c r="UH36" s="106" t="n">
        <f aca="false">[1]НАДІЙШЛО2!GE28</f>
        <v>0</v>
      </c>
      <c r="UI36" s="107" t="n">
        <f aca="false">[1]ВИБУЛО2!GE28</f>
        <v>0</v>
      </c>
      <c r="UJ36" s="108" t="n">
        <f aca="false">UJ35-UI36+UH36</f>
        <v>0</v>
      </c>
      <c r="UK36" s="106" t="n">
        <f aca="false">[1]НАДІЙШЛО2!GF28</f>
        <v>0</v>
      </c>
      <c r="UL36" s="107" t="n">
        <f aca="false">[1]ВИБУЛО2!GF28</f>
        <v>0</v>
      </c>
      <c r="UM36" s="108" t="n">
        <f aca="false">UM35-UL36+UK36</f>
        <v>0</v>
      </c>
      <c r="UN36" s="106" t="n">
        <f aca="false">[1]НАДІЙШЛО2!GG28</f>
        <v>0</v>
      </c>
      <c r="UO36" s="107" t="n">
        <f aca="false">[1]ВИБУЛО2!GG28</f>
        <v>0</v>
      </c>
      <c r="UP36" s="108" t="n">
        <f aca="false">UP35-UO36+UN36</f>
        <v>0</v>
      </c>
      <c r="UQ36" s="106" t="n">
        <f aca="false">[1]НАДІЙШЛО2!GH28</f>
        <v>0</v>
      </c>
      <c r="UR36" s="107" t="n">
        <f aca="false">[1]ВИБУЛО2!GH28</f>
        <v>0</v>
      </c>
      <c r="US36" s="108" t="n">
        <f aca="false">US35-UR36+UQ36</f>
        <v>0</v>
      </c>
      <c r="UT36" s="106" t="n">
        <f aca="false">[1]НАДІЙШЛО2!GI28</f>
        <v>0</v>
      </c>
      <c r="UU36" s="107" t="n">
        <f aca="false">[1]ВИБУЛО2!GI28</f>
        <v>0</v>
      </c>
      <c r="UV36" s="108" t="n">
        <f aca="false">UV35-UU36+UT36</f>
        <v>0</v>
      </c>
      <c r="UW36" s="106" t="n">
        <f aca="false">[1]НАДІЙШЛО2!GJ28</f>
        <v>0</v>
      </c>
      <c r="UX36" s="107" t="n">
        <f aca="false">[1]ВИБУЛО2!GJ28</f>
        <v>0</v>
      </c>
      <c r="UY36" s="108" t="n">
        <f aca="false">UY35-UX36+UW36</f>
        <v>0</v>
      </c>
      <c r="UZ36" s="106" t="n">
        <f aca="false">[1]НАДІЙШЛО2!GK28</f>
        <v>0</v>
      </c>
      <c r="VA36" s="107" t="n">
        <f aca="false">[1]ВИБУЛО2!GK28</f>
        <v>0</v>
      </c>
      <c r="VB36" s="108" t="n">
        <f aca="false">VB35-VA36+UZ36</f>
        <v>0</v>
      </c>
      <c r="VC36" s="106" t="n">
        <f aca="false">[1]НАДІЙШЛО2!GL28</f>
        <v>0</v>
      </c>
      <c r="VD36" s="107" t="n">
        <f aca="false">[1]ВИБУЛО2!GL28</f>
        <v>0</v>
      </c>
      <c r="VE36" s="108" t="n">
        <f aca="false">VE35-VD36+VC36</f>
        <v>0</v>
      </c>
      <c r="VF36" s="106" t="n">
        <f aca="false">[1]НАДІЙШЛО2!GM28</f>
        <v>0</v>
      </c>
      <c r="VG36" s="107" t="n">
        <f aca="false">[1]ВИБУЛО2!GM28</f>
        <v>0</v>
      </c>
      <c r="VH36" s="108" t="n">
        <f aca="false">VH35-VG36+VF36</f>
        <v>0</v>
      </c>
      <c r="VI36" s="106" t="n">
        <f aca="false">[1]НАДІЙШЛО2!GN28</f>
        <v>0</v>
      </c>
      <c r="VJ36" s="107" t="n">
        <f aca="false">[1]ВИБУЛО2!GN28</f>
        <v>0</v>
      </c>
      <c r="VK36" s="108" t="n">
        <f aca="false">VK35-VJ36+VI36</f>
        <v>0</v>
      </c>
      <c r="VL36" s="106" t="n">
        <f aca="false">[1]НАДІЙШЛО2!GO28</f>
        <v>0</v>
      </c>
      <c r="VM36" s="107" t="n">
        <f aca="false">[1]ВИБУЛО2!GO28</f>
        <v>0</v>
      </c>
      <c r="VN36" s="108" t="n">
        <f aca="false">VN35-VM36+VL36</f>
        <v>0</v>
      </c>
      <c r="VO36" s="106" t="n">
        <f aca="false">[1]НАДІЙШЛО2!GP28</f>
        <v>0</v>
      </c>
      <c r="VP36" s="107" t="n">
        <f aca="false">[1]ВИБУЛО2!GP28</f>
        <v>0</v>
      </c>
      <c r="VQ36" s="108" t="n">
        <f aca="false">VQ35-VP36+VO36</f>
        <v>0</v>
      </c>
      <c r="VR36" s="106" t="n">
        <f aca="false">[1]НАДІЙШЛО2!GQ28</f>
        <v>0</v>
      </c>
      <c r="VS36" s="107" t="n">
        <f aca="false">[1]ВИБУЛО2!GQ28</f>
        <v>0</v>
      </c>
      <c r="VT36" s="108" t="n">
        <f aca="false">VT35-VS36+VR36</f>
        <v>0</v>
      </c>
      <c r="VU36" s="106" t="n">
        <f aca="false">[1]НАДІЙШЛО2!GR28</f>
        <v>0</v>
      </c>
      <c r="VV36" s="107" t="n">
        <f aca="false">[1]ВИБУЛО2!GR28</f>
        <v>0</v>
      </c>
      <c r="VW36" s="108" t="n">
        <f aca="false">VW35-VV36+VU36</f>
        <v>0</v>
      </c>
      <c r="VX36" s="106" t="n">
        <f aca="false">[1]НАДІЙШЛО2!GS28</f>
        <v>0</v>
      </c>
      <c r="VY36" s="107" t="n">
        <f aca="false">[1]ВИБУЛО2!GS28</f>
        <v>0</v>
      </c>
      <c r="VZ36" s="108" t="n">
        <f aca="false">VZ35-VY36+VX36</f>
        <v>0</v>
      </c>
      <c r="WA36" s="106" t="n">
        <f aca="false">[1]НАДІЙШЛО2!GT28</f>
        <v>0</v>
      </c>
      <c r="WB36" s="107" t="n">
        <f aca="false">[1]ВИБУЛО2!GT28</f>
        <v>0</v>
      </c>
      <c r="WC36" s="108" t="n">
        <f aca="false">WC35-WB36+WA36</f>
        <v>0</v>
      </c>
      <c r="WD36" s="106" t="n">
        <f aca="false">[1]НАДІЙШЛО2!GU28</f>
        <v>0</v>
      </c>
      <c r="WE36" s="107" t="n">
        <f aca="false">[1]ВИБУЛО2!GU28</f>
        <v>0</v>
      </c>
      <c r="WF36" s="108" t="n">
        <f aca="false">WF35-WE36+WD36</f>
        <v>0</v>
      </c>
      <c r="WG36" s="106" t="n">
        <f aca="false">[1]НАДІЙШЛО2!GV28</f>
        <v>0</v>
      </c>
      <c r="WH36" s="107" t="n">
        <f aca="false">[1]ВИБУЛО2!GV28</f>
        <v>0</v>
      </c>
      <c r="WI36" s="108" t="n">
        <f aca="false">WI35-WH36+WG36</f>
        <v>0</v>
      </c>
      <c r="WJ36" s="106" t="n">
        <f aca="false">[1]НАДІЙШЛО2!GW28</f>
        <v>0</v>
      </c>
      <c r="WK36" s="107" t="n">
        <f aca="false">[1]ВИБУЛО2!GW28</f>
        <v>0</v>
      </c>
      <c r="WL36" s="108" t="n">
        <f aca="false">WL35-WK36+WJ36</f>
        <v>0</v>
      </c>
      <c r="WM36" s="106" t="n">
        <f aca="false">[1]НАДІЙШЛО2!GX28</f>
        <v>0</v>
      </c>
      <c r="WN36" s="107" t="n">
        <f aca="false">[1]ВИБУЛО2!GX28</f>
        <v>0</v>
      </c>
      <c r="WO36" s="108" t="n">
        <f aca="false">WO35-WN36+WM36</f>
        <v>0</v>
      </c>
      <c r="WP36" s="106" t="n">
        <f aca="false">[1]НАДІЙШЛО2!GY28</f>
        <v>0</v>
      </c>
      <c r="WQ36" s="107" t="n">
        <f aca="false">[1]ВИБУЛО2!GY28</f>
        <v>0</v>
      </c>
      <c r="WR36" s="108" t="n">
        <f aca="false">WR35-WQ36+WP36</f>
        <v>0</v>
      </c>
      <c r="WS36" s="106" t="n">
        <f aca="false">[1]НАДІЙШЛО2!GZ28</f>
        <v>0</v>
      </c>
      <c r="WT36" s="107" t="n">
        <f aca="false">[1]ВИБУЛО2!GZ28</f>
        <v>0</v>
      </c>
      <c r="WU36" s="108" t="n">
        <f aca="false">WU35-WT36+WS36</f>
        <v>0</v>
      </c>
      <c r="WV36" s="106" t="n">
        <f aca="false">[1]НАДІЙШЛО2!HA28</f>
        <v>0</v>
      </c>
      <c r="WW36" s="107" t="n">
        <f aca="false">[1]ВИБУЛО2!HA28</f>
        <v>0</v>
      </c>
      <c r="WX36" s="108" t="n">
        <f aca="false">WX35-WW36+WV36</f>
        <v>0</v>
      </c>
      <c r="WY36" s="106" t="n">
        <f aca="false">[1]НАДІЙШЛО2!HB28</f>
        <v>0</v>
      </c>
      <c r="WZ36" s="107" t="n">
        <f aca="false">[1]ВИБУЛО2!HB28</f>
        <v>0</v>
      </c>
      <c r="XA36" s="108" t="n">
        <f aca="false">XA35-WZ36+WY36</f>
        <v>0</v>
      </c>
      <c r="XB36" s="106" t="n">
        <f aca="false">[1]НАДІЙШЛО2!HC28</f>
        <v>0</v>
      </c>
      <c r="XC36" s="107" t="n">
        <f aca="false">[1]ВИБУЛО2!HC28</f>
        <v>0</v>
      </c>
      <c r="XD36" s="108" t="n">
        <f aca="false">XD35-XC36+XB36</f>
        <v>0</v>
      </c>
      <c r="XE36" s="106" t="n">
        <f aca="false">[1]НАДІЙШЛО2!HD28</f>
        <v>0</v>
      </c>
      <c r="XF36" s="107" t="n">
        <f aca="false">[1]ВИБУЛО2!HD28</f>
        <v>0</v>
      </c>
      <c r="XG36" s="108" t="n">
        <f aca="false">XG35-XF36+XE36</f>
        <v>0</v>
      </c>
      <c r="XH36" s="106" t="n">
        <f aca="false">[1]НАДІЙШЛО2!HE28</f>
        <v>0</v>
      </c>
      <c r="XI36" s="107" t="n">
        <f aca="false">[1]ВИБУЛО2!HE28</f>
        <v>0</v>
      </c>
      <c r="XJ36" s="108" t="n">
        <f aca="false">XJ35-XI36+XH36</f>
        <v>0</v>
      </c>
      <c r="XK36" s="106" t="n">
        <f aca="false">[1]НАДІЙШЛО2!HF28</f>
        <v>0</v>
      </c>
      <c r="XL36" s="107" t="n">
        <f aca="false">[1]ВИБУЛО2!HF28</f>
        <v>0</v>
      </c>
      <c r="XM36" s="108" t="n">
        <f aca="false">XM35-XL36+XK36</f>
        <v>0</v>
      </c>
      <c r="XN36" s="106" t="n">
        <f aca="false">[1]НАДІЙШЛО2!HG28</f>
        <v>0</v>
      </c>
      <c r="XO36" s="107" t="n">
        <f aca="false">[1]ВИБУЛО2!HG28</f>
        <v>0</v>
      </c>
      <c r="XP36" s="108" t="n">
        <f aca="false">XP35-XO36+XN36</f>
        <v>0</v>
      </c>
      <c r="XQ36" s="106" t="n">
        <f aca="false">[1]НАДІЙШЛО2!HH28</f>
        <v>0</v>
      </c>
      <c r="XR36" s="107" t="n">
        <f aca="false">[1]ВИБУЛО2!HH28</f>
        <v>0</v>
      </c>
      <c r="XS36" s="108" t="n">
        <f aca="false">XS35-XR36+XQ36</f>
        <v>0</v>
      </c>
      <c r="XT36" s="106" t="n">
        <f aca="false">[1]НАДІЙШЛО2!HI28</f>
        <v>0</v>
      </c>
      <c r="XU36" s="107" t="n">
        <f aca="false">[1]ВИБУЛО2!HI28</f>
        <v>0</v>
      </c>
      <c r="XV36" s="108" t="n">
        <f aca="false">XV35-XU36+XT36</f>
        <v>0</v>
      </c>
      <c r="XW36" s="106" t="n">
        <f aca="false">[1]НАДІЙШЛО2!HJ28</f>
        <v>0</v>
      </c>
      <c r="XX36" s="107" t="n">
        <f aca="false">[1]ВИБУЛО2!HJ28</f>
        <v>0</v>
      </c>
      <c r="XY36" s="108" t="n">
        <f aca="false">XY35-XX36+XW36</f>
        <v>0</v>
      </c>
      <c r="XZ36" s="106" t="n">
        <f aca="false">[1]НАДІЙШЛО2!HK28</f>
        <v>0</v>
      </c>
      <c r="YA36" s="107" t="n">
        <f aca="false">[1]ВИБУЛО2!HK28</f>
        <v>0</v>
      </c>
      <c r="YB36" s="108" t="n">
        <f aca="false">YB35-YA36+XZ36</f>
        <v>0</v>
      </c>
      <c r="YC36" s="106" t="n">
        <f aca="false">[1]НАДІЙШЛО2!HL28</f>
        <v>0</v>
      </c>
      <c r="YD36" s="107" t="n">
        <f aca="false">[1]ВИБУЛО2!HL28</f>
        <v>0</v>
      </c>
      <c r="YE36" s="108" t="n">
        <f aca="false">YE35-YD36+YC36</f>
        <v>0</v>
      </c>
      <c r="YF36" s="106" t="n">
        <f aca="false">[1]НАДІЙШЛО2!HM28</f>
        <v>0</v>
      </c>
      <c r="YG36" s="107" t="n">
        <f aca="false">[1]ВИБУЛО2!HM28</f>
        <v>0</v>
      </c>
      <c r="YH36" s="108" t="n">
        <f aca="false">YH35-YG36+YF36</f>
        <v>0</v>
      </c>
      <c r="YI36" s="106" t="n">
        <f aca="false">[1]НАДІЙШЛО2!HN28</f>
        <v>0</v>
      </c>
      <c r="YJ36" s="107" t="n">
        <f aca="false">[1]ВИБУЛО2!HN28</f>
        <v>0</v>
      </c>
      <c r="YK36" s="108" t="n">
        <f aca="false">YK35-YJ36+YI36</f>
        <v>0</v>
      </c>
      <c r="YL36" s="106" t="n">
        <f aca="false">[1]НАДІЙШЛО2!HO28</f>
        <v>0</v>
      </c>
      <c r="YM36" s="107" t="n">
        <f aca="false">[1]ВИБУЛО2!HO28</f>
        <v>0</v>
      </c>
      <c r="YN36" s="108" t="n">
        <f aca="false">YN35-YM36+YL36</f>
        <v>0</v>
      </c>
      <c r="YO36" s="106" t="n">
        <f aca="false">[1]НАДІЙШЛО2!HP28</f>
        <v>0</v>
      </c>
      <c r="YP36" s="107" t="n">
        <f aca="false">[1]ВИБУЛО2!HP28</f>
        <v>0</v>
      </c>
      <c r="YQ36" s="108" t="n">
        <f aca="false">YQ35-YP36+YO36</f>
        <v>0</v>
      </c>
      <c r="YR36" s="106" t="n">
        <f aca="false">[1]НАДІЙШЛО2!HQ28</f>
        <v>0</v>
      </c>
      <c r="YS36" s="107" t="n">
        <f aca="false">[1]ВИБУЛО2!HQ28</f>
        <v>0</v>
      </c>
      <c r="YT36" s="108" t="n">
        <f aca="false">YT35-YS36+YR36</f>
        <v>0</v>
      </c>
      <c r="YU36" s="106" t="n">
        <f aca="false">[1]НАДІЙШЛО2!HR28</f>
        <v>0</v>
      </c>
      <c r="YV36" s="107" t="n">
        <f aca="false">[1]ВИБУЛО2!HR28</f>
        <v>0</v>
      </c>
      <c r="YW36" s="108" t="n">
        <f aca="false">YW35-YV36+YU36</f>
        <v>0</v>
      </c>
      <c r="YX36" s="106" t="n">
        <f aca="false">[1]НАДІЙШЛО2!HS28</f>
        <v>0</v>
      </c>
      <c r="YY36" s="107" t="n">
        <f aca="false">[1]ВИБУЛО2!HS28</f>
        <v>0</v>
      </c>
      <c r="YZ36" s="108" t="n">
        <f aca="false">YZ35-YY36+YX36</f>
        <v>0</v>
      </c>
      <c r="ZA36" s="106" t="n">
        <f aca="false">[1]НАДІЙШЛО2!HT28</f>
        <v>0</v>
      </c>
      <c r="ZB36" s="107" t="n">
        <f aca="false">[1]ВИБУЛО2!HT28</f>
        <v>0</v>
      </c>
      <c r="ZC36" s="108" t="n">
        <f aca="false">ZC35-ZB36+ZA36</f>
        <v>0</v>
      </c>
      <c r="ZD36" s="106" t="n">
        <f aca="false">[1]НАДІЙШЛО2!HU28</f>
        <v>0</v>
      </c>
      <c r="ZE36" s="107" t="n">
        <f aca="false">[1]ВИБУЛО2!HU28</f>
        <v>0</v>
      </c>
      <c r="ZF36" s="108" t="n">
        <f aca="false">ZF35-ZE36+ZD36</f>
        <v>0</v>
      </c>
      <c r="ZG36" s="106" t="n">
        <f aca="false">[1]НАДІЙШЛО2!HV28</f>
        <v>0</v>
      </c>
      <c r="ZH36" s="107" t="n">
        <f aca="false">[1]ВИБУЛО2!HV28</f>
        <v>0</v>
      </c>
      <c r="ZI36" s="108" t="n">
        <f aca="false">ZI35-ZH36+ZG36</f>
        <v>0</v>
      </c>
      <c r="ZJ36" s="106" t="n">
        <f aca="false">[1]НАДІЙШЛО2!HW28</f>
        <v>0</v>
      </c>
      <c r="ZK36" s="107" t="n">
        <f aca="false">[1]ВИБУЛО2!HW28</f>
        <v>0</v>
      </c>
      <c r="ZL36" s="108" t="n">
        <f aca="false">ZL35-ZK36+ZJ36</f>
        <v>0</v>
      </c>
      <c r="ZM36" s="106" t="n">
        <f aca="false">[1]НАДІЙШЛО2!HX28</f>
        <v>0</v>
      </c>
      <c r="ZN36" s="107" t="n">
        <f aca="false">[1]ВИБУЛО2!HX28</f>
        <v>0</v>
      </c>
      <c r="ZO36" s="108" t="n">
        <f aca="false">ZO35-ZN36+ZM36</f>
        <v>0</v>
      </c>
      <c r="ZP36" s="106" t="n">
        <f aca="false">[1]НАДІЙШЛО2!HY28</f>
        <v>0</v>
      </c>
      <c r="ZQ36" s="107" t="n">
        <f aca="false">[1]ВИБУЛО2!HY28</f>
        <v>0</v>
      </c>
      <c r="ZR36" s="108" t="n">
        <f aca="false">ZR35-ZQ36+ZP36</f>
        <v>0</v>
      </c>
      <c r="ZS36" s="106" t="n">
        <f aca="false">[1]НАДІЙШЛО2!HZ28</f>
        <v>0</v>
      </c>
      <c r="ZT36" s="107" t="n">
        <f aca="false">[1]ВИБУЛО2!HZ28</f>
        <v>0</v>
      </c>
      <c r="ZU36" s="108" t="n">
        <f aca="false">ZU35-ZT36+ZS36</f>
        <v>0</v>
      </c>
      <c r="ZV36" s="106" t="n">
        <f aca="false">[1]НАДІЙШЛО2!IA28</f>
        <v>0</v>
      </c>
      <c r="ZW36" s="107" t="n">
        <f aca="false">[1]ВИБУЛО2!IA28</f>
        <v>0</v>
      </c>
      <c r="ZX36" s="108" t="n">
        <f aca="false">ZX35-ZW36+ZV36</f>
        <v>0</v>
      </c>
      <c r="ZY36" s="106" t="n">
        <f aca="false">[1]НАДІЙШЛО2!IB28</f>
        <v>0</v>
      </c>
      <c r="ZZ36" s="107" t="n">
        <f aca="false">[1]ВИБУЛО2!IB28</f>
        <v>0</v>
      </c>
      <c r="AAA36" s="108" t="n">
        <f aca="false">AAA35-ZZ36+ZY36</f>
        <v>0</v>
      </c>
      <c r="AAB36" s="106" t="n">
        <f aca="false">[1]НАДІЙШЛО2!IC28</f>
        <v>0</v>
      </c>
      <c r="AAC36" s="107" t="n">
        <f aca="false">[1]ВИБУЛО2!IC28</f>
        <v>0</v>
      </c>
      <c r="AAD36" s="108" t="n">
        <f aca="false">AAD35-AAC36+AAB36</f>
        <v>0</v>
      </c>
      <c r="AAE36" s="106" t="n">
        <f aca="false">[1]НАДІЙШЛО2!ID28</f>
        <v>0</v>
      </c>
      <c r="AAF36" s="107" t="n">
        <f aca="false">[1]ВИБУЛО2!ID28</f>
        <v>0</v>
      </c>
      <c r="AAG36" s="108" t="n">
        <f aca="false">AAG35-AAF36+AAE36</f>
        <v>0</v>
      </c>
      <c r="AAH36" s="106" t="n">
        <f aca="false">[1]НАДІЙШЛО2!IE28</f>
        <v>0</v>
      </c>
      <c r="AAI36" s="107" t="n">
        <f aca="false">[1]ВИБУЛО2!IE28</f>
        <v>0</v>
      </c>
      <c r="AAJ36" s="108" t="n">
        <f aca="false">AAJ35-AAI36+AAH36</f>
        <v>0</v>
      </c>
      <c r="AAK36" s="106" t="n">
        <f aca="false">[1]НАДІЙШЛО2!IF28</f>
        <v>0</v>
      </c>
      <c r="AAL36" s="107" t="n">
        <f aca="false">[1]ВИБУЛО2!IF28</f>
        <v>0</v>
      </c>
      <c r="AAM36" s="108" t="n">
        <f aca="false">AAM35-AAL36+AAK36</f>
        <v>0</v>
      </c>
      <c r="AAN36" s="106" t="n">
        <f aca="false">[1]НАДІЙШЛО2!IG28</f>
        <v>0</v>
      </c>
      <c r="AAO36" s="107" t="n">
        <f aca="false">[1]ВИБУЛО2!IG28</f>
        <v>0</v>
      </c>
      <c r="AAP36" s="108" t="n">
        <f aca="false">AAP35-AAO36+AAN36</f>
        <v>0</v>
      </c>
      <c r="AAQ36" s="106" t="n">
        <f aca="false">[1]НАДІЙШЛО2!IH28</f>
        <v>0</v>
      </c>
      <c r="AAR36" s="107" t="n">
        <f aca="false">[1]ВИБУЛО2!IH28</f>
        <v>0</v>
      </c>
      <c r="AAS36" s="108" t="n">
        <f aca="false">AAS35-AAR36+AAQ36</f>
        <v>0</v>
      </c>
      <c r="AAT36" s="106" t="n">
        <f aca="false">[1]НАДІЙШЛО2!II28</f>
        <v>0</v>
      </c>
      <c r="AAU36" s="107" t="n">
        <f aca="false">[1]ВИБУЛО2!II28</f>
        <v>0</v>
      </c>
      <c r="AAV36" s="108" t="n">
        <f aca="false">AAV35-AAU36+AAT36</f>
        <v>0</v>
      </c>
      <c r="AAW36" s="106" t="n">
        <f aca="false">[1]НАДІЙШЛО2!IJ28</f>
        <v>0</v>
      </c>
      <c r="AAX36" s="107" t="n">
        <f aca="false">[1]ВИБУЛО2!IJ28</f>
        <v>0</v>
      </c>
      <c r="AAY36" s="108" t="n">
        <f aca="false">AAY35-AAX36+AAW36</f>
        <v>0</v>
      </c>
      <c r="AAZ36" s="106" t="n">
        <f aca="false">[1]НАДІЙШЛО2!IK28</f>
        <v>0</v>
      </c>
      <c r="ABA36" s="107" t="n">
        <f aca="false">[1]ВИБУЛО2!IK28</f>
        <v>0</v>
      </c>
      <c r="ABB36" s="108" t="n">
        <f aca="false">ABB35-ABA36+AAZ36</f>
        <v>0</v>
      </c>
      <c r="ABC36" s="106" t="n">
        <f aca="false">[1]НАДІЙШЛО2!IL28</f>
        <v>0</v>
      </c>
      <c r="ABD36" s="107" t="n">
        <f aca="false">[1]ВИБУЛО2!IL28</f>
        <v>0</v>
      </c>
      <c r="ABE36" s="108" t="n">
        <f aca="false">ABE35-ABD36+ABC36</f>
        <v>0</v>
      </c>
      <c r="ABF36" s="106" t="n">
        <f aca="false">[1]НАДІЙШЛО2!IM28</f>
        <v>0</v>
      </c>
      <c r="ABG36" s="107" t="n">
        <f aca="false">[1]ВИБУЛО2!IM28</f>
        <v>0</v>
      </c>
      <c r="ABH36" s="108" t="n">
        <f aca="false">ABH35-ABG36+ABF36</f>
        <v>0</v>
      </c>
      <c r="ABI36" s="106" t="n">
        <f aca="false">[1]НАДІЙШЛО2!IN28</f>
        <v>0</v>
      </c>
      <c r="ABJ36" s="107" t="n">
        <f aca="false">[1]ВИБУЛО2!IN28</f>
        <v>0</v>
      </c>
      <c r="ABK36" s="108" t="n">
        <f aca="false">ABK35-ABJ36+ABI36</f>
        <v>0</v>
      </c>
      <c r="ABL36" s="106" t="n">
        <f aca="false">[1]НАДІЙШЛО2!IO28</f>
        <v>0</v>
      </c>
      <c r="ABM36" s="107" t="n">
        <f aca="false">[1]ВИБУЛО2!IO28</f>
        <v>0</v>
      </c>
      <c r="ABN36" s="108" t="n">
        <f aca="false">ABN35-ABM36+ABL36</f>
        <v>0</v>
      </c>
      <c r="ABO36" s="106" t="n">
        <f aca="false">[1]НАДІЙШЛО2!IP28</f>
        <v>0</v>
      </c>
      <c r="ABP36" s="107" t="n">
        <f aca="false">[1]ВИБУЛО2!IP28</f>
        <v>0</v>
      </c>
      <c r="ABQ36" s="108" t="n">
        <f aca="false">ABQ35-ABP36+ABO36</f>
        <v>0</v>
      </c>
      <c r="ABR36" s="106" t="n">
        <f aca="false">[1]НАДІЙШЛО2!IQ28</f>
        <v>0</v>
      </c>
      <c r="ABS36" s="107" t="n">
        <f aca="false">[1]ВИБУЛО2!IQ28</f>
        <v>0</v>
      </c>
      <c r="ABT36" s="108" t="n">
        <f aca="false">ABT35-ABS36+ABR36</f>
        <v>0</v>
      </c>
      <c r="ABU36" s="106" t="n">
        <f aca="false">[1]НАДІЙШЛО2!IR28</f>
        <v>0</v>
      </c>
      <c r="ABV36" s="107" t="n">
        <f aca="false">[1]ВИБУЛО2!IR28</f>
        <v>0</v>
      </c>
      <c r="ABW36" s="108" t="n">
        <f aca="false">ABW35-ABV36+ABU36</f>
        <v>0</v>
      </c>
      <c r="ABX36" s="106" t="n">
        <f aca="false">[1]НАДІЙШЛО2!IS28</f>
        <v>0</v>
      </c>
      <c r="ABY36" s="107" t="n">
        <f aca="false">[1]ВИБУЛО2!IS28</f>
        <v>0</v>
      </c>
      <c r="ABZ36" s="108" t="n">
        <f aca="false">ABZ35-ABY36+ABX36</f>
        <v>0</v>
      </c>
      <c r="ACA36" s="106" t="n">
        <f aca="false">[1]НАДІЙШЛО2!IT28</f>
        <v>0</v>
      </c>
      <c r="ACB36" s="107" t="n">
        <f aca="false">[1]ВИБУЛО2!IT28</f>
        <v>0</v>
      </c>
      <c r="ACC36" s="108" t="n">
        <f aca="false">ACC35-ACB36+ACA36</f>
        <v>0</v>
      </c>
      <c r="ACD36" s="106" t="n">
        <f aca="false">[1]НАДІЙШЛО2!IU28</f>
        <v>0</v>
      </c>
      <c r="ACE36" s="107" t="n">
        <f aca="false">[1]ВИБУЛО2!IU28</f>
        <v>0</v>
      </c>
      <c r="ACF36" s="108" t="n">
        <f aca="false">ACF35-ACE36+ACD36</f>
        <v>0</v>
      </c>
      <c r="ACG36" s="106" t="n">
        <f aca="false">[1]НАДІЙШЛО2!IV28</f>
        <v>0</v>
      </c>
      <c r="ACH36" s="107" t="n">
        <f aca="false">[1]ВИБУЛО2!IV28</f>
        <v>0</v>
      </c>
      <c r="ACI36" s="108" t="n">
        <f aca="false">ACI35-ACH36+ACG36</f>
        <v>0</v>
      </c>
      <c r="ACJ36" s="106" t="n">
        <f aca="false">[1]НАДІЙШЛО2!IW28</f>
        <v>0</v>
      </c>
      <c r="ACK36" s="107" t="n">
        <f aca="false">[1]ВИБУЛО2!IW28</f>
        <v>0</v>
      </c>
      <c r="ACL36" s="108" t="n">
        <f aca="false">ACL35-ACK36+ACJ36</f>
        <v>0</v>
      </c>
      <c r="ACM36" s="106" t="n">
        <f aca="false">[1]НАДІЙШЛО2!IX28</f>
        <v>0</v>
      </c>
      <c r="ACN36" s="107" t="n">
        <f aca="false">[1]ВИБУЛО2!IX28</f>
        <v>0</v>
      </c>
      <c r="ACO36" s="108" t="n">
        <f aca="false">ACO35-ACN36+ACM36</f>
        <v>0</v>
      </c>
      <c r="ACP36" s="106" t="n">
        <f aca="false">[1]НАДІЙШЛО2!IY28</f>
        <v>0</v>
      </c>
      <c r="ACQ36" s="107" t="n">
        <f aca="false">[1]ВИБУЛО2!IY28</f>
        <v>0</v>
      </c>
      <c r="ACR36" s="108" t="n">
        <f aca="false">ACR35-ACQ36+ACP36</f>
        <v>0</v>
      </c>
      <c r="ACS36" s="106" t="n">
        <f aca="false">[1]НАДІЙШЛО2!IZ28</f>
        <v>0</v>
      </c>
      <c r="ACT36" s="107" t="n">
        <f aca="false">[1]ВИБУЛО2!IZ28</f>
        <v>0</v>
      </c>
      <c r="ACU36" s="108" t="n">
        <f aca="false">ACU35-ACT36+ACS36</f>
        <v>0</v>
      </c>
      <c r="ACV36" s="106" t="n">
        <f aca="false">[1]НАДІЙШЛО2!JA28</f>
        <v>0</v>
      </c>
      <c r="ACW36" s="107" t="n">
        <f aca="false">[1]ВИБУЛО2!JA28</f>
        <v>0</v>
      </c>
      <c r="ACX36" s="108" t="n">
        <f aca="false">ACX35-ACW36+ACV36</f>
        <v>0</v>
      </c>
      <c r="ACY36" s="106" t="n">
        <f aca="false">[1]НАДІЙШЛО2!JB28</f>
        <v>0</v>
      </c>
      <c r="ACZ36" s="107" t="n">
        <f aca="false">[1]ВИБУЛО2!JB28</f>
        <v>0</v>
      </c>
      <c r="ADA36" s="108" t="n">
        <f aca="false">ADA35-ACZ36+ACY36</f>
        <v>0</v>
      </c>
      <c r="ADB36" s="106" t="n">
        <f aca="false">[1]НАДІЙШЛО2!JC28</f>
        <v>0</v>
      </c>
      <c r="ADC36" s="107" t="n">
        <f aca="false">[1]ВИБУЛО2!JC28</f>
        <v>0</v>
      </c>
      <c r="ADD36" s="108" t="n">
        <f aca="false">ADD35-ADC36+ADB36</f>
        <v>0</v>
      </c>
      <c r="ADE36" s="106" t="n">
        <f aca="false">[1]НАДІЙШЛО2!JD28</f>
        <v>0</v>
      </c>
      <c r="ADF36" s="107" t="n">
        <f aca="false">[1]ВИБУЛО2!JD28</f>
        <v>0</v>
      </c>
      <c r="ADG36" s="108" t="n">
        <f aca="false">ADG35-ADF36+ADE36</f>
        <v>0</v>
      </c>
      <c r="ADH36" s="106" t="n">
        <f aca="false">[1]НАДІЙШЛО2!JE28</f>
        <v>0</v>
      </c>
      <c r="ADI36" s="107" t="n">
        <f aca="false">[1]ВИБУЛО2!JE28</f>
        <v>0</v>
      </c>
      <c r="ADJ36" s="108" t="n">
        <f aca="false">ADJ35-ADI36+ADH36</f>
        <v>0</v>
      </c>
      <c r="ADK36" s="106" t="n">
        <f aca="false">[1]НАДІЙШЛО2!JF28</f>
        <v>0</v>
      </c>
      <c r="ADL36" s="107" t="n">
        <f aca="false">[1]ВИБУЛО2!JF28</f>
        <v>0</v>
      </c>
      <c r="ADM36" s="108" t="n">
        <f aca="false">ADM35-ADL36+ADK36</f>
        <v>0</v>
      </c>
      <c r="ADN36" s="106" t="n">
        <f aca="false">[1]НАДІЙШЛО2!JG28</f>
        <v>0</v>
      </c>
      <c r="ADO36" s="107" t="n">
        <f aca="false">[1]ВИБУЛО2!JG28</f>
        <v>0</v>
      </c>
      <c r="ADP36" s="108" t="n">
        <f aca="false">ADP35-ADO36+ADN36</f>
        <v>0</v>
      </c>
      <c r="ADQ36" s="106" t="n">
        <f aca="false">[1]НАДІЙШЛО2!JH28</f>
        <v>0</v>
      </c>
      <c r="ADR36" s="107" t="n">
        <f aca="false">[1]ВИБУЛО2!JH28</f>
        <v>0</v>
      </c>
      <c r="ADS36" s="108" t="n">
        <f aca="false">ADS35-ADR36+ADQ36</f>
        <v>0</v>
      </c>
      <c r="ADT36" s="106" t="n">
        <f aca="false">[1]НАДІЙШЛО2!JI28</f>
        <v>0</v>
      </c>
      <c r="ADU36" s="107" t="n">
        <f aca="false">[1]ВИБУЛО2!JI28</f>
        <v>0</v>
      </c>
      <c r="ADV36" s="108" t="n">
        <f aca="false">ADV35-ADU36+ADT36</f>
        <v>0</v>
      </c>
      <c r="ADW36" s="106" t="n">
        <f aca="false">[1]НАДІЙШЛО2!JJ28</f>
        <v>0</v>
      </c>
      <c r="ADX36" s="107" t="n">
        <f aca="false">[1]ВИБУЛО2!JJ28</f>
        <v>0</v>
      </c>
      <c r="ADY36" s="108" t="n">
        <f aca="false">ADY35-ADX36+ADW36</f>
        <v>0</v>
      </c>
      <c r="ADZ36" s="106" t="n">
        <f aca="false">[1]НАДІЙШЛО2!JK28</f>
        <v>0</v>
      </c>
      <c r="AEA36" s="107" t="n">
        <f aca="false">[1]ВИБУЛО2!JK28</f>
        <v>0</v>
      </c>
      <c r="AEB36" s="108" t="n">
        <f aca="false">AEB35-AEA36+ADZ36</f>
        <v>0</v>
      </c>
      <c r="AEC36" s="106" t="n">
        <f aca="false">[1]НАДІЙШЛО2!JL28</f>
        <v>0</v>
      </c>
      <c r="AED36" s="107" t="n">
        <f aca="false">[1]ВИБУЛО2!JL28</f>
        <v>0</v>
      </c>
      <c r="AEE36" s="108" t="n">
        <f aca="false">AEE35-AED36+AEC36</f>
        <v>0</v>
      </c>
      <c r="AEF36" s="106" t="n">
        <f aca="false">[1]НАДІЙШЛО2!JM28</f>
        <v>0</v>
      </c>
      <c r="AEG36" s="107" t="n">
        <f aca="false">[1]ВИБУЛО2!JM28</f>
        <v>0</v>
      </c>
      <c r="AEH36" s="108" t="n">
        <f aca="false">AEH35-AEG36+AEF36</f>
        <v>0</v>
      </c>
      <c r="AEI36" s="106" t="n">
        <f aca="false">[1]НАДІЙШЛО2!JN28</f>
        <v>0</v>
      </c>
      <c r="AEJ36" s="107" t="n">
        <f aca="false">[1]ВИБУЛО2!JN28</f>
        <v>0</v>
      </c>
      <c r="AEK36" s="108" t="n">
        <f aca="false">AEK35-AEJ36+AEI36</f>
        <v>0</v>
      </c>
      <c r="AEL36" s="106" t="n">
        <f aca="false">[1]НАДІЙШЛО2!JO28</f>
        <v>0</v>
      </c>
      <c r="AEM36" s="107" t="n">
        <f aca="false">[1]ВИБУЛО2!JO28</f>
        <v>0</v>
      </c>
      <c r="AEN36" s="108" t="n">
        <f aca="false">AEN35-AEM36+AEL36</f>
        <v>0</v>
      </c>
      <c r="AEO36" s="106" t="n">
        <f aca="false">[1]НАДІЙШЛО2!JP28</f>
        <v>0</v>
      </c>
      <c r="AEP36" s="107" t="n">
        <f aca="false">[1]ВИБУЛО2!JP28</f>
        <v>0</v>
      </c>
      <c r="AEQ36" s="108" t="n">
        <f aca="false">AEQ35-AEP36+AEO36</f>
        <v>0</v>
      </c>
      <c r="AER36" s="106" t="n">
        <f aca="false">[1]НАДІЙШЛО2!JQ28</f>
        <v>0</v>
      </c>
      <c r="AES36" s="107" t="n">
        <f aca="false">[1]ВИБУЛО2!JQ28</f>
        <v>0</v>
      </c>
      <c r="AET36" s="108" t="n">
        <f aca="false">AET35-AES36+AER36</f>
        <v>0</v>
      </c>
      <c r="AEU36" s="106" t="n">
        <f aca="false">[1]НАДІЙШЛО2!JR28</f>
        <v>0</v>
      </c>
      <c r="AEV36" s="107" t="n">
        <f aca="false">[1]ВИБУЛО2!JR28</f>
        <v>0</v>
      </c>
      <c r="AEW36" s="108" t="n">
        <f aca="false">AEW35-AEV36+AEU36</f>
        <v>0</v>
      </c>
      <c r="AEX36" s="106" t="n">
        <f aca="false">[1]НАДІЙШЛО2!JS28</f>
        <v>0</v>
      </c>
      <c r="AEY36" s="107" t="n">
        <f aca="false">[1]ВИБУЛО2!JS28</f>
        <v>0</v>
      </c>
      <c r="AEZ36" s="108" t="n">
        <f aca="false">AEZ35-AEY36+AEX36</f>
        <v>0</v>
      </c>
      <c r="AFA36" s="106" t="n">
        <f aca="false">[1]НАДІЙШЛО2!JT28</f>
        <v>0</v>
      </c>
      <c r="AFB36" s="107" t="n">
        <f aca="false">[1]ВИБУЛО2!JT28</f>
        <v>0</v>
      </c>
      <c r="AFC36" s="108" t="n">
        <f aca="false">AFC35-AFB36+AFA36</f>
        <v>0</v>
      </c>
      <c r="AFD36" s="106" t="n">
        <f aca="false">[1]НАДІЙШЛО2!JU28</f>
        <v>0</v>
      </c>
      <c r="AFE36" s="107" t="n">
        <f aca="false">[1]ВИБУЛО2!JU28</f>
        <v>0</v>
      </c>
      <c r="AFF36" s="108" t="n">
        <f aca="false">AFF35-AFE36+AFD36</f>
        <v>0</v>
      </c>
      <c r="AFG36" s="106" t="n">
        <f aca="false">[1]НАДІЙШЛО2!JV28</f>
        <v>0</v>
      </c>
      <c r="AFH36" s="107" t="n">
        <f aca="false">[1]ВИБУЛО2!JV28</f>
        <v>0</v>
      </c>
      <c r="AFI36" s="108" t="n">
        <f aca="false">AFI35-AFH36+AFG36</f>
        <v>0</v>
      </c>
      <c r="AFJ36" s="106" t="n">
        <f aca="false">[1]НАДІЙШЛО2!JW28</f>
        <v>0</v>
      </c>
      <c r="AFK36" s="107" t="n">
        <f aca="false">[1]ВИБУЛО2!JW28</f>
        <v>0</v>
      </c>
      <c r="AFL36" s="108" t="n">
        <f aca="false">AFL35-AFK36+AFJ36</f>
        <v>0</v>
      </c>
      <c r="AFM36" s="106" t="n">
        <f aca="false">[1]НАДІЙШЛО2!JX28</f>
        <v>0</v>
      </c>
      <c r="AFN36" s="107" t="n">
        <f aca="false">[1]ВИБУЛО2!JX28</f>
        <v>0</v>
      </c>
      <c r="AFO36" s="108" t="n">
        <f aca="false">AFO35-AFN36+AFM36</f>
        <v>0</v>
      </c>
      <c r="AFP36" s="106" t="n">
        <f aca="false">[1]НАДІЙШЛО2!JY28</f>
        <v>0</v>
      </c>
      <c r="AFQ36" s="107" t="n">
        <f aca="false">[1]ВИБУЛО2!JY28</f>
        <v>0</v>
      </c>
      <c r="AFR36" s="108" t="n">
        <f aca="false">AFR35-AFQ36+AFP36</f>
        <v>0</v>
      </c>
      <c r="AFS36" s="106" t="n">
        <f aca="false">[1]НАДІЙШЛО2!JZ28</f>
        <v>0</v>
      </c>
      <c r="AFT36" s="107" t="n">
        <f aca="false">[1]ВИБУЛО2!JZ28</f>
        <v>0</v>
      </c>
      <c r="AFU36" s="108" t="n">
        <f aca="false">AFU35-AFT36+AFS36</f>
        <v>0</v>
      </c>
      <c r="AFV36" s="106" t="n">
        <f aca="false">[1]НАДІЙШЛО2!KA28</f>
        <v>0</v>
      </c>
      <c r="AFW36" s="107" t="n">
        <f aca="false">[1]ВИБУЛО2!KA28</f>
        <v>0</v>
      </c>
      <c r="AFX36" s="108" t="n">
        <f aca="false">AFX35-AFW36+AFV36</f>
        <v>0</v>
      </c>
      <c r="AFY36" s="106" t="n">
        <f aca="false">[1]НАДІЙШЛО2!KB28</f>
        <v>0</v>
      </c>
      <c r="AFZ36" s="107" t="n">
        <f aca="false">[1]ВИБУЛО2!KB28</f>
        <v>0</v>
      </c>
      <c r="AGA36" s="108" t="n">
        <f aca="false">AGA35-AFZ36+AFY36</f>
        <v>0</v>
      </c>
      <c r="AGB36" s="106" t="n">
        <f aca="false">[1]НАДІЙШЛО2!KC28</f>
        <v>0</v>
      </c>
      <c r="AGC36" s="107" t="n">
        <f aca="false">[1]ВИБУЛО2!KC28</f>
        <v>0</v>
      </c>
      <c r="AGD36" s="108" t="n">
        <f aca="false">AGD35-AGC36+AGB36</f>
        <v>0</v>
      </c>
      <c r="AGE36" s="106" t="n">
        <f aca="false">[1]НАДІЙШЛО2!KD28</f>
        <v>0</v>
      </c>
      <c r="AGF36" s="107" t="n">
        <f aca="false">[1]ВИБУЛО2!KD28</f>
        <v>0</v>
      </c>
      <c r="AGG36" s="108" t="n">
        <f aca="false">AGG35-AGF36+AGE36</f>
        <v>0</v>
      </c>
      <c r="AGH36" s="106" t="n">
        <f aca="false">[1]НАДІЙШЛО2!KE28</f>
        <v>0</v>
      </c>
      <c r="AGI36" s="107" t="n">
        <f aca="false">[1]ВИБУЛО2!KE28</f>
        <v>0</v>
      </c>
      <c r="AGJ36" s="108" t="n">
        <f aca="false">AGJ35-AGI36+AGH36</f>
        <v>0</v>
      </c>
      <c r="AGK36" s="106" t="n">
        <f aca="false">[1]НАДІЙШЛО2!KF28</f>
        <v>0</v>
      </c>
      <c r="AGL36" s="107" t="n">
        <f aca="false">[1]ВИБУЛО2!KF28</f>
        <v>0</v>
      </c>
      <c r="AGM36" s="108" t="n">
        <f aca="false">AGM35-AGL36+AGK36</f>
        <v>0</v>
      </c>
      <c r="AGN36" s="106" t="n">
        <f aca="false">[1]НАДІЙШЛО2!KG28</f>
        <v>0</v>
      </c>
      <c r="AGO36" s="107" t="n">
        <f aca="false">[1]ВИБУЛО2!KG28</f>
        <v>0</v>
      </c>
      <c r="AGP36" s="108" t="n">
        <f aca="false">AGP35-AGO36+AGN36</f>
        <v>0</v>
      </c>
      <c r="AGQ36" s="106" t="n">
        <f aca="false">[1]НАДІЙШЛО2!KH28</f>
        <v>0</v>
      </c>
      <c r="AGR36" s="107" t="n">
        <f aca="false">[1]ВИБУЛО2!KH28</f>
        <v>0</v>
      </c>
      <c r="AGS36" s="108" t="n">
        <f aca="false">AGS35-AGR36+AGQ36</f>
        <v>0</v>
      </c>
      <c r="AGT36" s="106" t="n">
        <f aca="false">[1]НАДІЙШЛО2!KI28</f>
        <v>0</v>
      </c>
      <c r="AGU36" s="107" t="n">
        <f aca="false">[1]ВИБУЛО2!KI28</f>
        <v>0</v>
      </c>
      <c r="AGV36" s="108" t="n">
        <f aca="false">AGV35-AGU36+AGT36</f>
        <v>0</v>
      </c>
      <c r="AGW36" s="106" t="n">
        <f aca="false">[1]НАДІЙШЛО2!KJ28</f>
        <v>0</v>
      </c>
      <c r="AGX36" s="107" t="n">
        <f aca="false">[1]ВИБУЛО2!KJ28</f>
        <v>0</v>
      </c>
      <c r="AGY36" s="108" t="n">
        <f aca="false">AGY35-AGX36+AGW36</f>
        <v>0</v>
      </c>
      <c r="AGZ36" s="106" t="n">
        <f aca="false">[1]НАДІЙШЛО2!KK28</f>
        <v>0</v>
      </c>
      <c r="AHA36" s="107" t="n">
        <f aca="false">[1]ВИБУЛО2!KK28</f>
        <v>0</v>
      </c>
      <c r="AHB36" s="108" t="n">
        <f aca="false">AHB35-AHA36+AGZ36</f>
        <v>0</v>
      </c>
      <c r="AHC36" s="106" t="n">
        <f aca="false">[1]НАДІЙШЛО2!KL28</f>
        <v>0</v>
      </c>
      <c r="AHD36" s="107" t="n">
        <f aca="false">[1]ВИБУЛО2!KL28</f>
        <v>0</v>
      </c>
      <c r="AHE36" s="108" t="n">
        <f aca="false">AHE35-AHD36+AHC36</f>
        <v>0</v>
      </c>
      <c r="AHF36" s="106" t="n">
        <f aca="false">[1]НАДІЙШЛО2!KM28</f>
        <v>0</v>
      </c>
      <c r="AHG36" s="107" t="n">
        <f aca="false">[1]ВИБУЛО2!KM28</f>
        <v>0</v>
      </c>
      <c r="AHH36" s="108" t="n">
        <f aca="false">AHH35-AHG36+AHF36</f>
        <v>0</v>
      </c>
      <c r="AHI36" s="106" t="n">
        <f aca="false">[1]НАДІЙШЛО2!KN28</f>
        <v>0</v>
      </c>
      <c r="AHJ36" s="107" t="n">
        <f aca="false">[1]ВИБУЛО2!KN28</f>
        <v>0</v>
      </c>
      <c r="AHK36" s="108" t="n">
        <f aca="false">AHK35-AHJ36+AHI36</f>
        <v>0</v>
      </c>
      <c r="AHL36" s="106" t="n">
        <f aca="false">[1]НАДІЙШЛО2!KO28</f>
        <v>0</v>
      </c>
      <c r="AHM36" s="107" t="n">
        <f aca="false">[1]ВИБУЛО2!KO28</f>
        <v>0</v>
      </c>
      <c r="AHN36" s="108" t="n">
        <f aca="false">AHN35-AHM36+AHL36</f>
        <v>0</v>
      </c>
      <c r="AHO36" s="106" t="n">
        <f aca="false">[1]НАДІЙШЛО2!KP28</f>
        <v>0</v>
      </c>
      <c r="AHP36" s="107" t="n">
        <f aca="false">[1]ВИБУЛО2!KP28</f>
        <v>0</v>
      </c>
      <c r="AHQ36" s="108" t="n">
        <f aca="false">AHQ35-AHP36+AHO36</f>
        <v>0</v>
      </c>
      <c r="AHR36" s="106" t="n">
        <f aca="false">[1]НАДІЙШЛО2!KQ28</f>
        <v>0</v>
      </c>
      <c r="AHS36" s="107" t="n">
        <f aca="false">[1]ВИБУЛО2!KQ28</f>
        <v>0</v>
      </c>
      <c r="AHT36" s="108" t="n">
        <f aca="false">AHT35-AHS36+AHR36</f>
        <v>0</v>
      </c>
      <c r="AHU36" s="106" t="n">
        <f aca="false">[1]НАДІЙШЛО2!KR28</f>
        <v>0</v>
      </c>
      <c r="AHV36" s="107" t="n">
        <f aca="false">[1]ВИБУЛО2!KR28</f>
        <v>0</v>
      </c>
      <c r="AHW36" s="108" t="n">
        <f aca="false">AHW35-AHV36+AHU36</f>
        <v>0</v>
      </c>
      <c r="AHX36" s="106" t="n">
        <f aca="false">[1]НАДІЙШЛО2!KS28</f>
        <v>0</v>
      </c>
      <c r="AHY36" s="107" t="n">
        <f aca="false">[1]ВИБУЛО2!KS28</f>
        <v>0</v>
      </c>
      <c r="AHZ36" s="108" t="n">
        <f aca="false">AHZ35-AHY36+AHX36</f>
        <v>0</v>
      </c>
      <c r="AIA36" s="106" t="n">
        <f aca="false">[1]НАДІЙШЛО2!KT28</f>
        <v>0</v>
      </c>
      <c r="AIB36" s="107" t="n">
        <f aca="false">[1]ВИБУЛО2!KT28</f>
        <v>0</v>
      </c>
      <c r="AIC36" s="108" t="n">
        <f aca="false">AIC35-AIB36+AIA36</f>
        <v>0</v>
      </c>
      <c r="AID36" s="106" t="n">
        <f aca="false">[1]НАДІЙШЛО2!KU28</f>
        <v>0</v>
      </c>
      <c r="AIE36" s="107" t="n">
        <f aca="false">[1]ВИБУЛО2!KU28</f>
        <v>0</v>
      </c>
      <c r="AIF36" s="108" t="n">
        <f aca="false">AIF35-AIE36+AID36</f>
        <v>0</v>
      </c>
      <c r="AIG36" s="106" t="n">
        <f aca="false">[1]НАДІЙШЛО2!KV28</f>
        <v>0</v>
      </c>
      <c r="AIH36" s="107" t="n">
        <f aca="false">[1]ВИБУЛО2!KV28</f>
        <v>0</v>
      </c>
      <c r="AII36" s="108" t="n">
        <f aca="false">AII35-AIH36+AIG36</f>
        <v>0</v>
      </c>
      <c r="AIJ36" s="106" t="n">
        <f aca="false">[1]НАДІЙШЛО2!KW28</f>
        <v>0</v>
      </c>
      <c r="AIK36" s="107" t="n">
        <f aca="false">[1]ВИБУЛО2!KW28</f>
        <v>0</v>
      </c>
      <c r="AIL36" s="108" t="n">
        <f aca="false">AIL35-AIK36+AIJ36</f>
        <v>0</v>
      </c>
      <c r="AIM36" s="106" t="n">
        <f aca="false">[1]НАДІЙШЛО2!KX28</f>
        <v>0</v>
      </c>
      <c r="AIN36" s="107" t="n">
        <f aca="false">[1]ВИБУЛО2!KX28</f>
        <v>0</v>
      </c>
      <c r="AIO36" s="108" t="n">
        <f aca="false">AIO35-AIN36+AIM36</f>
        <v>0</v>
      </c>
      <c r="AIP36" s="106" t="n">
        <f aca="false">[1]НАДІЙШЛО2!KY28</f>
        <v>0</v>
      </c>
      <c r="AIQ36" s="107" t="n">
        <f aca="false">[1]ВИБУЛО2!KY28</f>
        <v>0</v>
      </c>
      <c r="AIR36" s="108" t="n">
        <f aca="false">AIR35-AIQ36+AIP36</f>
        <v>0</v>
      </c>
      <c r="AIS36" s="106" t="n">
        <f aca="false">[1]НАДІЙШЛО2!KZ28</f>
        <v>0</v>
      </c>
      <c r="AIT36" s="107" t="n">
        <f aca="false">[1]ВИБУЛО2!KZ28</f>
        <v>0</v>
      </c>
      <c r="AIU36" s="108" t="n">
        <f aca="false">AIU35-AIT36+AIS36</f>
        <v>0</v>
      </c>
      <c r="AIV36" s="106" t="n">
        <f aca="false">[1]НАДІЙШЛО2!LA28</f>
        <v>0</v>
      </c>
      <c r="AIW36" s="107" t="n">
        <f aca="false">[1]ВИБУЛО2!LA28</f>
        <v>0</v>
      </c>
      <c r="AIX36" s="108" t="n">
        <f aca="false">AIX35-AIW36+AIV36</f>
        <v>0</v>
      </c>
      <c r="AIY36" s="106" t="n">
        <f aca="false">[1]НАДІЙШЛО2!LB28</f>
        <v>0</v>
      </c>
      <c r="AIZ36" s="107" t="n">
        <f aca="false">[1]ВИБУЛО2!LB28</f>
        <v>0</v>
      </c>
      <c r="AJA36" s="108" t="n">
        <f aca="false">AJA35-AIZ36+AIY36</f>
        <v>0</v>
      </c>
      <c r="AJB36" s="106" t="n">
        <f aca="false">[1]НАДІЙШЛО2!LC28</f>
        <v>0</v>
      </c>
      <c r="AJC36" s="107" t="n">
        <f aca="false">[1]ВИБУЛО2!LC28</f>
        <v>0</v>
      </c>
      <c r="AJD36" s="108" t="n">
        <f aca="false">AJD35-AJC36+AJB36</f>
        <v>0</v>
      </c>
      <c r="AJE36" s="106" t="n">
        <f aca="false">[1]НАДІЙШЛО2!LD28</f>
        <v>0</v>
      </c>
      <c r="AJF36" s="107" t="n">
        <f aca="false">[1]ВИБУЛО2!LD28</f>
        <v>0</v>
      </c>
      <c r="AJG36" s="108" t="n">
        <f aca="false">AJG35-AJF36+AJE36</f>
        <v>0</v>
      </c>
      <c r="AJH36" s="106" t="n">
        <f aca="false">[1]НАДІЙШЛО2!LE28</f>
        <v>0</v>
      </c>
      <c r="AJI36" s="107" t="n">
        <f aca="false">[1]ВИБУЛО2!LE28</f>
        <v>0</v>
      </c>
      <c r="AJJ36" s="108" t="n">
        <f aca="false">AJJ35-AJI36+AJH36</f>
        <v>0</v>
      </c>
      <c r="AJK36" s="106" t="n">
        <f aca="false">[1]НАДІЙШЛО2!LF28</f>
        <v>0</v>
      </c>
      <c r="AJL36" s="107" t="n">
        <f aca="false">[1]ВИБУЛО2!LF28</f>
        <v>0</v>
      </c>
      <c r="AJM36" s="108" t="n">
        <f aca="false">AJM35-AJL36+AJK36</f>
        <v>0</v>
      </c>
      <c r="AJN36" s="106" t="n">
        <f aca="false">[1]НАДІЙШЛО2!LG28</f>
        <v>0</v>
      </c>
      <c r="AJO36" s="107" t="n">
        <f aca="false">[1]ВИБУЛО2!LG28</f>
        <v>0</v>
      </c>
      <c r="AJP36" s="108" t="n">
        <f aca="false">AJP35-AJO36+AJN36</f>
        <v>0</v>
      </c>
      <c r="AJQ36" s="106" t="n">
        <f aca="false">[1]НАДІЙШЛО2!LH28</f>
        <v>0</v>
      </c>
      <c r="AJR36" s="107" t="n">
        <f aca="false">[1]ВИБУЛО2!LH28</f>
        <v>0</v>
      </c>
      <c r="AJS36" s="108" t="n">
        <f aca="false">AJS35-AJR36+AJQ36</f>
        <v>0</v>
      </c>
      <c r="AJT36" s="106" t="n">
        <f aca="false">[1]НАДІЙШЛО2!LI28</f>
        <v>0</v>
      </c>
      <c r="AJU36" s="107" t="n">
        <f aca="false">[1]ВИБУЛО2!LI28</f>
        <v>0</v>
      </c>
      <c r="AJV36" s="108" t="n">
        <f aca="false">AJV35-AJU36+AJT36</f>
        <v>0</v>
      </c>
      <c r="AJW36" s="106" t="n">
        <f aca="false">[1]НАДІЙШЛО2!LJ28</f>
        <v>0</v>
      </c>
      <c r="AJX36" s="107" t="n">
        <f aca="false">[1]ВИБУЛО2!LJ28</f>
        <v>0</v>
      </c>
      <c r="AJY36" s="108" t="n">
        <f aca="false">AJY35-AJX36+AJW36</f>
        <v>0</v>
      </c>
      <c r="AJZ36" s="106" t="n">
        <f aca="false">[1]НАДІЙШЛО2!LK28</f>
        <v>0</v>
      </c>
      <c r="AKA36" s="107" t="n">
        <f aca="false">[1]ВИБУЛО2!LK28</f>
        <v>0</v>
      </c>
      <c r="AKB36" s="108" t="n">
        <f aca="false">AKB35-AKA36+AJZ36</f>
        <v>0</v>
      </c>
      <c r="AKC36" s="106" t="n">
        <f aca="false">[1]НАДІЙШЛО2!LL28</f>
        <v>0</v>
      </c>
      <c r="AKD36" s="107" t="n">
        <f aca="false">[1]ВИБУЛО2!LL28</f>
        <v>0</v>
      </c>
      <c r="AKE36" s="108" t="n">
        <f aca="false">AKE35-AKD36+AKC36</f>
        <v>0</v>
      </c>
      <c r="AKF36" s="106" t="n">
        <f aca="false">[1]НАДІЙШЛО2!LM28</f>
        <v>0</v>
      </c>
      <c r="AKG36" s="107" t="n">
        <f aca="false">[1]ВИБУЛО2!LM28</f>
        <v>0</v>
      </c>
      <c r="AKH36" s="108" t="n">
        <f aca="false">AKH35-AKG36+AKF36</f>
        <v>0</v>
      </c>
      <c r="AKI36" s="106" t="n">
        <f aca="false">[1]НАДІЙШЛО2!LN28</f>
        <v>0</v>
      </c>
      <c r="AKJ36" s="107" t="n">
        <f aca="false">[1]ВИБУЛО2!LN28</f>
        <v>0</v>
      </c>
      <c r="AKK36" s="108" t="n">
        <f aca="false">AKK35-AKJ36+AKI36</f>
        <v>0</v>
      </c>
      <c r="AKL36" s="106" t="n">
        <f aca="false">[1]НАДІЙШЛО2!LO28</f>
        <v>0</v>
      </c>
      <c r="AKM36" s="107" t="n">
        <f aca="false">[1]ВИБУЛО2!LO28</f>
        <v>0</v>
      </c>
      <c r="AKN36" s="108" t="n">
        <f aca="false">AKN35-AKM36+AKL36</f>
        <v>0</v>
      </c>
      <c r="AKO36" s="106" t="n">
        <f aca="false">[1]НАДІЙШЛО2!LP28</f>
        <v>0</v>
      </c>
      <c r="AKP36" s="107" t="n">
        <f aca="false">[1]ВИБУЛО2!LP28</f>
        <v>0</v>
      </c>
      <c r="AKQ36" s="108" t="n">
        <f aca="false">AKQ35-AKP36+AKO36</f>
        <v>0</v>
      </c>
      <c r="AKR36" s="106" t="n">
        <f aca="false">[1]НАДІЙШЛО2!LQ28</f>
        <v>0</v>
      </c>
      <c r="AKS36" s="107" t="n">
        <f aca="false">[1]ВИБУЛО2!LQ28</f>
        <v>0</v>
      </c>
      <c r="AKT36" s="108" t="n">
        <f aca="false">AKT35-AKS36+AKR36</f>
        <v>0</v>
      </c>
      <c r="AKU36" s="106" t="n">
        <f aca="false">[1]НАДІЙШЛО2!LR28</f>
        <v>0</v>
      </c>
      <c r="AKV36" s="107" t="n">
        <f aca="false">[1]ВИБУЛО2!LR28</f>
        <v>0</v>
      </c>
      <c r="AKW36" s="108" t="n">
        <f aca="false">AKW35-AKV36+AKU36</f>
        <v>0</v>
      </c>
      <c r="AKX36" s="106" t="n">
        <f aca="false">[1]НАДІЙШЛО2!LS28</f>
        <v>0</v>
      </c>
      <c r="AKY36" s="107" t="n">
        <f aca="false">[1]ВИБУЛО2!LS28</f>
        <v>0</v>
      </c>
      <c r="AKZ36" s="108" t="n">
        <f aca="false">AKZ35-AKY36+AKX36</f>
        <v>0</v>
      </c>
      <c r="ALA36" s="106" t="n">
        <f aca="false">[1]НАДІЙШЛО2!LT28</f>
        <v>0</v>
      </c>
      <c r="ALB36" s="107" t="n">
        <f aca="false">[1]ВИБУЛО2!LT28</f>
        <v>0</v>
      </c>
      <c r="ALC36" s="108" t="n">
        <f aca="false">ALC35-ALB36+ALA36</f>
        <v>0</v>
      </c>
      <c r="ALD36" s="106" t="n">
        <f aca="false">[1]НАДІЙШЛО2!LU28</f>
        <v>0</v>
      </c>
      <c r="ALE36" s="107" t="n">
        <f aca="false">[1]ВИБУЛО2!LU28</f>
        <v>0</v>
      </c>
      <c r="ALF36" s="108" t="n">
        <f aca="false">ALF35-ALE36+ALD36</f>
        <v>0</v>
      </c>
      <c r="ALG36" s="106" t="n">
        <f aca="false">[1]НАДІЙШЛО2!LV28</f>
        <v>0</v>
      </c>
      <c r="ALH36" s="107" t="n">
        <f aca="false">[1]ВИБУЛО2!LV28</f>
        <v>0</v>
      </c>
      <c r="ALI36" s="108" t="n">
        <f aca="false">ALI35-ALH36+ALG36</f>
        <v>0</v>
      </c>
      <c r="ALJ36" s="106" t="n">
        <f aca="false">[1]НАДІЙШЛО2!LW28</f>
        <v>0</v>
      </c>
      <c r="ALK36" s="107" t="n">
        <f aca="false">[1]ВИБУЛО2!LW28</f>
        <v>0</v>
      </c>
      <c r="ALL36" s="108" t="n">
        <f aca="false">ALL35-ALK36+ALJ36</f>
        <v>0</v>
      </c>
      <c r="ALM36" s="106" t="n">
        <f aca="false">[1]НАДІЙШЛО2!LX28</f>
        <v>0</v>
      </c>
      <c r="ALN36" s="107" t="n">
        <f aca="false">[1]ВИБУЛО2!LX28</f>
        <v>0</v>
      </c>
      <c r="ALO36" s="108" t="n">
        <f aca="false">ALO35-ALN36+ALM36</f>
        <v>0</v>
      </c>
      <c r="ALP36" s="106" t="n">
        <f aca="false">[1]НАДІЙШЛО2!LY28</f>
        <v>0</v>
      </c>
      <c r="ALQ36" s="107" t="n">
        <f aca="false">[1]ВИБУЛО2!LY28</f>
        <v>0</v>
      </c>
      <c r="ALR36" s="108" t="n">
        <f aca="false">ALR35-ALQ36+ALP36</f>
        <v>0</v>
      </c>
      <c r="ALS36" s="106" t="n">
        <f aca="false">[1]НАДІЙШЛО2!LZ28</f>
        <v>0</v>
      </c>
      <c r="ALT36" s="107" t="n">
        <f aca="false">[1]ВИБУЛО2!LZ28</f>
        <v>0</v>
      </c>
      <c r="ALU36" s="108" t="n">
        <f aca="false">ALU35-ALT36+ALS36</f>
        <v>0</v>
      </c>
      <c r="ALV36" s="106" t="n">
        <f aca="false">[1]НАДІЙШЛО2!MA28</f>
        <v>0</v>
      </c>
      <c r="ALW36" s="107" t="n">
        <f aca="false">[1]ВИБУЛО2!MA28</f>
        <v>0</v>
      </c>
      <c r="ALX36" s="108" t="n">
        <f aca="false">ALX35-ALW36+ALV36</f>
        <v>0</v>
      </c>
      <c r="ALY36" s="106" t="n">
        <f aca="false">[1]НАДІЙШЛО2!MB28</f>
        <v>0</v>
      </c>
      <c r="ALZ36" s="107" t="n">
        <f aca="false">[1]ВИБУЛО2!MB28</f>
        <v>0</v>
      </c>
      <c r="AMA36" s="108" t="n">
        <f aca="false">AMA35-ALZ36+ALY36</f>
        <v>0</v>
      </c>
      <c r="AMB36" s="106" t="n">
        <f aca="false">[1]НАДІЙШЛО2!MC28</f>
        <v>0</v>
      </c>
      <c r="AMC36" s="107" t="n">
        <f aca="false">[1]ВИБУЛО2!MC28</f>
        <v>0</v>
      </c>
      <c r="AMD36" s="108" t="n">
        <f aca="false">AMD35-AMC36+AMB36</f>
        <v>0</v>
      </c>
      <c r="AME36" s="106" t="n">
        <f aca="false">[1]НАДІЙШЛО2!MD28</f>
        <v>0</v>
      </c>
      <c r="AMF36" s="107" t="n">
        <f aca="false">[1]ВИБУЛО2!MD28</f>
        <v>0</v>
      </c>
      <c r="AMG36" s="108" t="n">
        <f aca="false">AMG35-AMF36+AME36</f>
        <v>0</v>
      </c>
      <c r="AMH36" s="106" t="n">
        <f aca="false">[1]НАДІЙШЛО2!ME28</f>
        <v>0</v>
      </c>
      <c r="AMI36" s="107" t="n">
        <f aca="false">[1]ВИБУЛО2!ME28</f>
        <v>0</v>
      </c>
      <c r="AMJ36" s="108" t="n">
        <f aca="false">AMJ35-AMI36+AMH36</f>
        <v>0</v>
      </c>
    </row>
    <row r="37" s="98" customFormat="true" ht="16.5" hidden="false" customHeight="false" outlineLevel="0" collapsed="false">
      <c r="B37" s="99"/>
      <c r="C37" s="104"/>
      <c r="D37" s="105"/>
      <c r="E37" s="106" t="n">
        <f aca="false">[1]НАДІЙШЛО2!D29</f>
        <v>0</v>
      </c>
      <c r="F37" s="107" t="n">
        <f aca="false">[1]ВИБУЛО2!D29</f>
        <v>0</v>
      </c>
      <c r="G37" s="108" t="n">
        <f aca="false">G36-F37+E37</f>
        <v>0</v>
      </c>
      <c r="H37" s="106" t="n">
        <f aca="false">[1]НАДІЙШЛО2!E29</f>
        <v>0</v>
      </c>
      <c r="I37" s="107" t="n">
        <f aca="false">[1]ВИБУЛО2!E29</f>
        <v>0</v>
      </c>
      <c r="J37" s="108" t="n">
        <f aca="false">J36-I37+H37</f>
        <v>0</v>
      </c>
      <c r="K37" s="106" t="n">
        <f aca="false">[1]НАДІЙШЛО2!F29</f>
        <v>0</v>
      </c>
      <c r="L37" s="107" t="n">
        <f aca="false">[1]ВИБУЛО2!F29</f>
        <v>0</v>
      </c>
      <c r="M37" s="108" t="n">
        <f aca="false">M36-L37+K37</f>
        <v>2.06</v>
      </c>
      <c r="N37" s="106" t="n">
        <f aca="false">[1]НАДІЙШЛО2!G29</f>
        <v>0</v>
      </c>
      <c r="O37" s="107" t="n">
        <f aca="false">[1]ВИБУЛО2!G29</f>
        <v>0</v>
      </c>
      <c r="P37" s="108" t="n">
        <f aca="false">P36-O37+N37</f>
        <v>0</v>
      </c>
      <c r="Q37" s="106" t="n">
        <f aca="false">[1]НАДІЙШЛО2!H29</f>
        <v>0</v>
      </c>
      <c r="R37" s="107" t="n">
        <f aca="false">[1]ВИБУЛО2!H29</f>
        <v>0</v>
      </c>
      <c r="S37" s="108" t="n">
        <f aca="false">S36-R37+Q37</f>
        <v>0</v>
      </c>
      <c r="T37" s="106" t="n">
        <f aca="false">[1]НАДІЙШЛО2!I29</f>
        <v>0</v>
      </c>
      <c r="U37" s="107" t="n">
        <f aca="false">[1]ВИБУЛО2!I29</f>
        <v>0</v>
      </c>
      <c r="V37" s="108" t="n">
        <f aca="false">V36-U37+T37</f>
        <v>0</v>
      </c>
      <c r="W37" s="106" t="n">
        <f aca="false">[1]НАДІЙШЛО2!J29</f>
        <v>0</v>
      </c>
      <c r="X37" s="107" t="n">
        <f aca="false">[1]ВИБУЛО2!J29</f>
        <v>0</v>
      </c>
      <c r="Y37" s="108" t="n">
        <f aca="false">Y36-X37+W37</f>
        <v>0</v>
      </c>
      <c r="Z37" s="106" t="n">
        <f aca="false">[1]НАДІЙШЛО2!K29</f>
        <v>0</v>
      </c>
      <c r="AA37" s="107" t="n">
        <f aca="false">[1]ВИБУЛО2!K29</f>
        <v>0</v>
      </c>
      <c r="AB37" s="108" t="n">
        <f aca="false">AB36-AA37+Z37</f>
        <v>0</v>
      </c>
      <c r="AC37" s="106" t="n">
        <f aca="false">[1]НАДІЙШЛО2!L29</f>
        <v>0</v>
      </c>
      <c r="AD37" s="107" t="n">
        <f aca="false">[1]ВИБУЛО2!L29</f>
        <v>0</v>
      </c>
      <c r="AE37" s="108" t="n">
        <f aca="false">AE36-AD37+AC37</f>
        <v>0</v>
      </c>
      <c r="AF37" s="106" t="n">
        <f aca="false">[1]НАДІЙШЛО2!M29</f>
        <v>0</v>
      </c>
      <c r="AG37" s="107" t="n">
        <f aca="false">[1]ВИБУЛО2!M29</f>
        <v>0</v>
      </c>
      <c r="AH37" s="108" t="n">
        <f aca="false">AH36-AG37+AF37</f>
        <v>0</v>
      </c>
      <c r="AI37" s="106" t="n">
        <f aca="false">[1]НАДІЙШЛО2!N29</f>
        <v>0</v>
      </c>
      <c r="AJ37" s="107" t="n">
        <f aca="false">[1]ВИБУЛО2!N29</f>
        <v>0</v>
      </c>
      <c r="AK37" s="108" t="n">
        <f aca="false">AK36-AJ37+AI37</f>
        <v>0</v>
      </c>
      <c r="AL37" s="106" t="n">
        <f aca="false">[1]НАДІЙШЛО2!O29</f>
        <v>0</v>
      </c>
      <c r="AM37" s="107" t="n">
        <f aca="false">[1]ВИБУЛО2!O29</f>
        <v>0</v>
      </c>
      <c r="AN37" s="108" t="n">
        <f aca="false">AN36-AM37+AL37</f>
        <v>0</v>
      </c>
      <c r="AO37" s="106" t="n">
        <f aca="false">[1]НАДІЙШЛО2!P29</f>
        <v>0</v>
      </c>
      <c r="AP37" s="107" t="n">
        <f aca="false">[1]ВИБУЛО2!P29</f>
        <v>0</v>
      </c>
      <c r="AQ37" s="108" t="n">
        <f aca="false">AQ36-AP37+AO37</f>
        <v>0</v>
      </c>
      <c r="AR37" s="106" t="n">
        <f aca="false">[1]НАДІЙШЛО2!Q29</f>
        <v>0</v>
      </c>
      <c r="AS37" s="107" t="n">
        <f aca="false">[1]ВИБУЛО2!Q29</f>
        <v>0</v>
      </c>
      <c r="AT37" s="108" t="n">
        <f aca="false">AT36-AS37+AR37</f>
        <v>0</v>
      </c>
      <c r="AU37" s="106" t="n">
        <f aca="false">[1]НАДІЙШЛО2!R29</f>
        <v>0</v>
      </c>
      <c r="AV37" s="107" t="n">
        <f aca="false">[1]ВИБУЛО2!R29</f>
        <v>0</v>
      </c>
      <c r="AW37" s="108" t="n">
        <f aca="false">AW36-AV37+AU37</f>
        <v>0</v>
      </c>
      <c r="AX37" s="106" t="n">
        <f aca="false">[1]НАДІЙШЛО2!S29</f>
        <v>0</v>
      </c>
      <c r="AY37" s="107" t="n">
        <f aca="false">[1]ВИБУЛО2!S29</f>
        <v>0</v>
      </c>
      <c r="AZ37" s="108" t="n">
        <f aca="false">AZ36-AY37+AX37</f>
        <v>0</v>
      </c>
      <c r="BA37" s="106" t="n">
        <f aca="false">[1]НАДІЙШЛО2!T29</f>
        <v>0</v>
      </c>
      <c r="BB37" s="107" t="n">
        <f aca="false">[1]ВИБУЛО2!T29</f>
        <v>0</v>
      </c>
      <c r="BC37" s="108" t="n">
        <f aca="false">BC36-BB37+BA37</f>
        <v>0</v>
      </c>
      <c r="BD37" s="106" t="n">
        <f aca="false">[1]НАДІЙШЛО2!U29</f>
        <v>0</v>
      </c>
      <c r="BE37" s="107" t="n">
        <f aca="false">[1]ВИБУЛО2!U29</f>
        <v>0</v>
      </c>
      <c r="BF37" s="108" t="n">
        <f aca="false">BF36-BE37+BD37</f>
        <v>0</v>
      </c>
      <c r="BG37" s="106" t="n">
        <f aca="false">[1]НАДІЙШЛО2!V29</f>
        <v>0</v>
      </c>
      <c r="BH37" s="107" t="n">
        <f aca="false">[1]ВИБУЛО2!V29</f>
        <v>0</v>
      </c>
      <c r="BI37" s="108" t="n">
        <f aca="false">BI36-BH37+BG37</f>
        <v>0</v>
      </c>
      <c r="BJ37" s="106" t="n">
        <f aca="false">[1]НАДІЙШЛО2!W29</f>
        <v>0</v>
      </c>
      <c r="BK37" s="107" t="n">
        <f aca="false">[1]ВИБУЛО2!W29</f>
        <v>0</v>
      </c>
      <c r="BL37" s="108" t="n">
        <f aca="false">BL36-BK37+BJ37</f>
        <v>0</v>
      </c>
      <c r="BM37" s="106" t="n">
        <f aca="false">[1]НАДІЙШЛО2!X29</f>
        <v>0</v>
      </c>
      <c r="BN37" s="107" t="n">
        <f aca="false">[1]ВИБУЛО2!X29</f>
        <v>0</v>
      </c>
      <c r="BO37" s="108" t="n">
        <f aca="false">BO36-BN37+BM37</f>
        <v>0</v>
      </c>
      <c r="BP37" s="106" t="n">
        <f aca="false">[1]НАДІЙШЛО2!Y29</f>
        <v>0</v>
      </c>
      <c r="BQ37" s="107" t="n">
        <f aca="false">[1]ВИБУЛО2!Y29</f>
        <v>0</v>
      </c>
      <c r="BR37" s="108" t="n">
        <f aca="false">BR36-BQ37+BP37</f>
        <v>0</v>
      </c>
      <c r="BS37" s="106" t="n">
        <f aca="false">[1]НАДІЙШЛО2!Z29</f>
        <v>0</v>
      </c>
      <c r="BT37" s="107" t="n">
        <f aca="false">[1]ВИБУЛО2!Z29</f>
        <v>0</v>
      </c>
      <c r="BU37" s="108" t="n">
        <f aca="false">BU36-BT37+BS37</f>
        <v>0</v>
      </c>
      <c r="BV37" s="106" t="n">
        <f aca="false">[1]НАДІЙШЛО2!AA29</f>
        <v>0</v>
      </c>
      <c r="BW37" s="107" t="n">
        <f aca="false">[1]ВИБУЛО2!AA29</f>
        <v>0</v>
      </c>
      <c r="BX37" s="108" t="n">
        <f aca="false">BX36-BW37+BV37</f>
        <v>0</v>
      </c>
      <c r="BY37" s="106" t="n">
        <f aca="false">[1]НАДІЙШЛО2!AB29</f>
        <v>0</v>
      </c>
      <c r="BZ37" s="107" t="n">
        <f aca="false">[1]ВИБУЛО2!AB29</f>
        <v>0</v>
      </c>
      <c r="CA37" s="108" t="n">
        <f aca="false">CA36-BZ37+BY37</f>
        <v>0</v>
      </c>
      <c r="CB37" s="106" t="n">
        <f aca="false">[1]НАДІЙШЛО2!AC29</f>
        <v>0</v>
      </c>
      <c r="CC37" s="107" t="n">
        <f aca="false">[1]ВИБУЛО2!AC29</f>
        <v>0</v>
      </c>
      <c r="CD37" s="108" t="n">
        <f aca="false">CD36-CC37+CB37</f>
        <v>0</v>
      </c>
      <c r="CE37" s="106" t="n">
        <f aca="false">[1]НАДІЙШЛО2!AD29</f>
        <v>0</v>
      </c>
      <c r="CF37" s="107" t="n">
        <f aca="false">[1]ВИБУЛО2!AD29</f>
        <v>0</v>
      </c>
      <c r="CG37" s="108" t="n">
        <f aca="false">CG36-CF37+CE37</f>
        <v>0</v>
      </c>
      <c r="CH37" s="106" t="n">
        <f aca="false">[1]НАДІЙШЛО2!AE29</f>
        <v>0</v>
      </c>
      <c r="CI37" s="107" t="n">
        <f aca="false">[1]ВИБУЛО2!AE29</f>
        <v>0</v>
      </c>
      <c r="CJ37" s="108" t="n">
        <f aca="false">CJ36-CI37+CH37</f>
        <v>0</v>
      </c>
      <c r="CK37" s="106" t="n">
        <f aca="false">[1]НАДІЙШЛО2!AF29</f>
        <v>0</v>
      </c>
      <c r="CL37" s="107" t="n">
        <f aca="false">[1]ВИБУЛО2!AF29</f>
        <v>0</v>
      </c>
      <c r="CM37" s="108" t="n">
        <f aca="false">CM36-CL37+CK37</f>
        <v>0</v>
      </c>
      <c r="CN37" s="106" t="n">
        <f aca="false">[1]НАДІЙШЛО2!AG29</f>
        <v>0</v>
      </c>
      <c r="CO37" s="107" t="n">
        <f aca="false">[1]ВИБУЛО2!AG29</f>
        <v>0</v>
      </c>
      <c r="CP37" s="108" t="n">
        <f aca="false">CP36-CO37+CN37</f>
        <v>0</v>
      </c>
      <c r="CQ37" s="106" t="n">
        <f aca="false">[1]НАДІЙШЛО2!AH29</f>
        <v>0</v>
      </c>
      <c r="CR37" s="107" t="n">
        <f aca="false">[1]ВИБУЛО2!AH29</f>
        <v>0</v>
      </c>
      <c r="CS37" s="108" t="n">
        <f aca="false">CS36-CR37+CQ37</f>
        <v>0</v>
      </c>
      <c r="CT37" s="106" t="n">
        <f aca="false">[1]НАДІЙШЛО2!AI29</f>
        <v>0</v>
      </c>
      <c r="CU37" s="107" t="n">
        <f aca="false">[1]ВИБУЛО2!AI29</f>
        <v>0</v>
      </c>
      <c r="CV37" s="108" t="n">
        <f aca="false">CV36-CU37+CT37</f>
        <v>0</v>
      </c>
      <c r="CW37" s="106" t="n">
        <f aca="false">[1]НАДІЙШЛО2!AJ29</f>
        <v>0</v>
      </c>
      <c r="CX37" s="107" t="n">
        <f aca="false">[1]ВИБУЛО2!AJ29</f>
        <v>0</v>
      </c>
      <c r="CY37" s="108" t="n">
        <f aca="false">CY36-CX37+CW37</f>
        <v>0</v>
      </c>
      <c r="CZ37" s="106" t="n">
        <f aca="false">[1]НАДІЙШЛО2!AK29</f>
        <v>0</v>
      </c>
      <c r="DA37" s="107" t="n">
        <f aca="false">[1]ВИБУЛО2!AK29</f>
        <v>0</v>
      </c>
      <c r="DB37" s="108" t="n">
        <f aca="false">DB36-DA37+CZ37</f>
        <v>0</v>
      </c>
      <c r="DC37" s="106" t="n">
        <f aca="false">[1]НАДІЙШЛО2!AL29</f>
        <v>0</v>
      </c>
      <c r="DD37" s="107" t="n">
        <f aca="false">[1]ВИБУЛО2!AL29</f>
        <v>0</v>
      </c>
      <c r="DE37" s="108" t="n">
        <f aca="false">DE36-DD37+DC37</f>
        <v>0</v>
      </c>
      <c r="DF37" s="106" t="n">
        <f aca="false">[1]НАДІЙШЛО2!AM29</f>
        <v>0</v>
      </c>
      <c r="DG37" s="107" t="n">
        <f aca="false">[1]ВИБУЛО2!AM29</f>
        <v>0</v>
      </c>
      <c r="DH37" s="108" t="n">
        <f aca="false">DH36-DG37+DF37</f>
        <v>0</v>
      </c>
      <c r="DI37" s="106" t="n">
        <f aca="false">[1]НАДІЙШЛО2!AN29</f>
        <v>0</v>
      </c>
      <c r="DJ37" s="107" t="n">
        <f aca="false">[1]ВИБУЛО2!AN29</f>
        <v>0</v>
      </c>
      <c r="DK37" s="108" t="n">
        <f aca="false">DK36-DJ37+DI37</f>
        <v>0</v>
      </c>
      <c r="DL37" s="106" t="n">
        <f aca="false">[1]НАДІЙШЛО2!AO29</f>
        <v>0</v>
      </c>
      <c r="DM37" s="107" t="n">
        <f aca="false">[1]ВИБУЛО2!AO29</f>
        <v>0</v>
      </c>
      <c r="DN37" s="108" t="n">
        <f aca="false">DN36-DM37+DL37</f>
        <v>0</v>
      </c>
      <c r="DO37" s="106" t="n">
        <f aca="false">[1]НАДІЙШЛО2!AP29</f>
        <v>0</v>
      </c>
      <c r="DP37" s="107" t="n">
        <f aca="false">[1]ВИБУЛО2!AP29</f>
        <v>0</v>
      </c>
      <c r="DQ37" s="108" t="n">
        <f aca="false">DQ36-DP37+DO37</f>
        <v>0</v>
      </c>
      <c r="DR37" s="106" t="n">
        <f aca="false">[1]НАДІЙШЛО2!AQ29</f>
        <v>0</v>
      </c>
      <c r="DS37" s="107" t="n">
        <f aca="false">[1]ВИБУЛО2!AQ29</f>
        <v>0</v>
      </c>
      <c r="DT37" s="108" t="n">
        <f aca="false">DT36-DS37+DR37</f>
        <v>0</v>
      </c>
      <c r="DU37" s="106" t="n">
        <f aca="false">[1]НАДІЙШЛО2!AR29</f>
        <v>0</v>
      </c>
      <c r="DV37" s="107" t="n">
        <f aca="false">[1]ВИБУЛО2!AR29</f>
        <v>0</v>
      </c>
      <c r="DW37" s="108" t="n">
        <f aca="false">DW36-DV37+DU37</f>
        <v>0</v>
      </c>
      <c r="DX37" s="106" t="n">
        <f aca="false">[1]НАДІЙШЛО2!AS29</f>
        <v>0</v>
      </c>
      <c r="DY37" s="107" t="n">
        <f aca="false">[1]ВИБУЛО2!AS29</f>
        <v>0</v>
      </c>
      <c r="DZ37" s="108" t="n">
        <f aca="false">DZ36-DY37+DX37</f>
        <v>0</v>
      </c>
      <c r="EA37" s="106" t="n">
        <f aca="false">[1]НАДІЙШЛО2!AT29</f>
        <v>0</v>
      </c>
      <c r="EB37" s="107" t="n">
        <f aca="false">[1]ВИБУЛО2!AT29</f>
        <v>0</v>
      </c>
      <c r="EC37" s="108" t="n">
        <f aca="false">EC36-EB37+EA37</f>
        <v>0</v>
      </c>
      <c r="ED37" s="106" t="n">
        <f aca="false">[1]НАДІЙШЛО2!AU29</f>
        <v>0</v>
      </c>
      <c r="EE37" s="107" t="n">
        <f aca="false">[1]ВИБУЛО2!AU29</f>
        <v>0</v>
      </c>
      <c r="EF37" s="108" t="n">
        <f aca="false">EF36-EE37+ED37</f>
        <v>0</v>
      </c>
      <c r="EG37" s="106" t="n">
        <f aca="false">[1]НАДІЙШЛО2!AV29</f>
        <v>0</v>
      </c>
      <c r="EH37" s="107" t="n">
        <f aca="false">[1]ВИБУЛО2!AV29</f>
        <v>0</v>
      </c>
      <c r="EI37" s="108" t="n">
        <f aca="false">EI36-EH37+EG37</f>
        <v>0</v>
      </c>
      <c r="EJ37" s="106" t="n">
        <f aca="false">[1]НАДІЙШЛО2!AW29</f>
        <v>0</v>
      </c>
      <c r="EK37" s="107" t="n">
        <f aca="false">[1]ВИБУЛО2!AW29</f>
        <v>0</v>
      </c>
      <c r="EL37" s="108" t="n">
        <f aca="false">EL36-EK37+EJ37</f>
        <v>0</v>
      </c>
      <c r="EM37" s="106" t="n">
        <f aca="false">[1]НАДІЙШЛО2!AX29</f>
        <v>0</v>
      </c>
      <c r="EN37" s="107" t="n">
        <f aca="false">[1]ВИБУЛО2!AX29</f>
        <v>0</v>
      </c>
      <c r="EO37" s="108" t="n">
        <f aca="false">EO36-EN37+EM37</f>
        <v>0</v>
      </c>
      <c r="EP37" s="106" t="n">
        <f aca="false">[1]НАДІЙШЛО2!AY29</f>
        <v>0</v>
      </c>
      <c r="EQ37" s="107" t="n">
        <f aca="false">[1]ВИБУЛО2!AY29</f>
        <v>0</v>
      </c>
      <c r="ER37" s="108" t="n">
        <f aca="false">ER36-EQ37+EP37</f>
        <v>0</v>
      </c>
      <c r="ES37" s="106" t="n">
        <f aca="false">[1]НАДІЙШЛО2!AZ29</f>
        <v>0</v>
      </c>
      <c r="ET37" s="107" t="n">
        <f aca="false">[1]ВИБУЛО2!AZ29</f>
        <v>0</v>
      </c>
      <c r="EU37" s="108" t="n">
        <f aca="false">EU36-ET37+ES37</f>
        <v>0</v>
      </c>
      <c r="EV37" s="106" t="n">
        <f aca="false">[1]НАДІЙШЛО2!BA29</f>
        <v>0</v>
      </c>
      <c r="EW37" s="107" t="n">
        <f aca="false">[1]ВИБУЛО2!BA29</f>
        <v>0</v>
      </c>
      <c r="EX37" s="108" t="n">
        <f aca="false">EX36-EW37+EV37</f>
        <v>0</v>
      </c>
      <c r="EY37" s="106" t="n">
        <f aca="false">[1]НАДІЙШЛО2!BB29</f>
        <v>0</v>
      </c>
      <c r="EZ37" s="107" t="n">
        <f aca="false">[1]ВИБУЛО2!BB29</f>
        <v>0</v>
      </c>
      <c r="FA37" s="108" t="n">
        <f aca="false">FA36-EZ37+EY37</f>
        <v>0</v>
      </c>
      <c r="FB37" s="106" t="n">
        <f aca="false">[1]НАДІЙШЛО2!BC29</f>
        <v>0</v>
      </c>
      <c r="FC37" s="107" t="n">
        <f aca="false">[1]ВИБУЛО2!BC29</f>
        <v>0</v>
      </c>
      <c r="FD37" s="108" t="n">
        <f aca="false">FD36-FC37+FB37</f>
        <v>0</v>
      </c>
      <c r="FE37" s="106" t="n">
        <f aca="false">[1]НАДІЙШЛО2!BD29</f>
        <v>0</v>
      </c>
      <c r="FF37" s="107" t="n">
        <f aca="false">[1]ВИБУЛО2!BD29</f>
        <v>0</v>
      </c>
      <c r="FG37" s="108" t="n">
        <f aca="false">FG36-FF37+FE37</f>
        <v>0</v>
      </c>
      <c r="FH37" s="106" t="n">
        <f aca="false">[1]НАДІЙШЛО2!BE29</f>
        <v>0</v>
      </c>
      <c r="FI37" s="107" t="n">
        <f aca="false">[1]ВИБУЛО2!BE29</f>
        <v>0</v>
      </c>
      <c r="FJ37" s="108" t="n">
        <f aca="false">FJ36-FI37+FH37</f>
        <v>0</v>
      </c>
      <c r="FK37" s="106" t="n">
        <f aca="false">[1]НАДІЙШЛО2!BF29</f>
        <v>0</v>
      </c>
      <c r="FL37" s="107" t="n">
        <f aca="false">[1]ВИБУЛО2!BF29</f>
        <v>0</v>
      </c>
      <c r="FM37" s="108" t="n">
        <f aca="false">FM36-FL37+FK37</f>
        <v>0</v>
      </c>
      <c r="FN37" s="106" t="n">
        <f aca="false">[1]НАДІЙШЛО2!BG29</f>
        <v>0</v>
      </c>
      <c r="FO37" s="107" t="n">
        <f aca="false">[1]ВИБУЛО2!BG29</f>
        <v>0</v>
      </c>
      <c r="FP37" s="108" t="n">
        <f aca="false">FP36-FO37+FN37</f>
        <v>0</v>
      </c>
      <c r="FQ37" s="106" t="n">
        <f aca="false">[1]НАДІЙШЛО2!BH29</f>
        <v>0</v>
      </c>
      <c r="FR37" s="107" t="n">
        <f aca="false">[1]ВИБУЛО2!BH29</f>
        <v>0</v>
      </c>
      <c r="FS37" s="108" t="n">
        <f aca="false">FS36-FR37+FQ37</f>
        <v>0</v>
      </c>
      <c r="FT37" s="106" t="n">
        <f aca="false">[1]НАДІЙШЛО2!BI29</f>
        <v>0</v>
      </c>
      <c r="FU37" s="107" t="n">
        <f aca="false">[1]ВИБУЛО2!BI29</f>
        <v>0</v>
      </c>
      <c r="FV37" s="108" t="n">
        <f aca="false">FV36-FU37+FT37</f>
        <v>0</v>
      </c>
      <c r="FW37" s="106" t="n">
        <f aca="false">[1]НАДІЙШЛО2!BJ29</f>
        <v>0</v>
      </c>
      <c r="FX37" s="107" t="n">
        <f aca="false">[1]ВИБУЛО2!BJ29</f>
        <v>0</v>
      </c>
      <c r="FY37" s="108" t="n">
        <f aca="false">FY36-FX37+FW37</f>
        <v>0</v>
      </c>
      <c r="FZ37" s="106" t="n">
        <f aca="false">[1]НАДІЙШЛО2!BK29</f>
        <v>0</v>
      </c>
      <c r="GA37" s="107" t="n">
        <f aca="false">[1]ВИБУЛО2!BK29</f>
        <v>0</v>
      </c>
      <c r="GB37" s="108" t="n">
        <f aca="false">GB36-GA37+FZ37</f>
        <v>0</v>
      </c>
      <c r="GC37" s="106" t="n">
        <f aca="false">[1]НАДІЙШЛО2!BL29</f>
        <v>0</v>
      </c>
      <c r="GD37" s="107" t="n">
        <f aca="false">[1]ВИБУЛО2!BL29</f>
        <v>0</v>
      </c>
      <c r="GE37" s="108" t="n">
        <f aca="false">GE36-GD37+GC37</f>
        <v>0</v>
      </c>
      <c r="GF37" s="106" t="n">
        <f aca="false">[1]НАДІЙШЛО2!BM29</f>
        <v>0</v>
      </c>
      <c r="GG37" s="107" t="n">
        <f aca="false">[1]ВИБУЛО2!BM29</f>
        <v>0</v>
      </c>
      <c r="GH37" s="108" t="n">
        <f aca="false">GH36-GG37+GF37</f>
        <v>0</v>
      </c>
      <c r="GI37" s="106" t="n">
        <f aca="false">[1]НАДІЙШЛО2!BN29</f>
        <v>0</v>
      </c>
      <c r="GJ37" s="107" t="n">
        <f aca="false">[1]ВИБУЛО2!BN29</f>
        <v>0</v>
      </c>
      <c r="GK37" s="108" t="n">
        <f aca="false">GK36-GJ37+GI37</f>
        <v>0</v>
      </c>
      <c r="GL37" s="106" t="n">
        <f aca="false">[1]НАДІЙШЛО2!BO29</f>
        <v>0</v>
      </c>
      <c r="GM37" s="107" t="n">
        <f aca="false">[1]ВИБУЛО2!BO29</f>
        <v>0</v>
      </c>
      <c r="GN37" s="108" t="n">
        <f aca="false">GN36-GM37+GL37</f>
        <v>0</v>
      </c>
      <c r="GO37" s="106" t="n">
        <f aca="false">[1]НАДІЙШЛО2!BP29</f>
        <v>0</v>
      </c>
      <c r="GP37" s="107" t="n">
        <f aca="false">[1]ВИБУЛО2!BP29</f>
        <v>0</v>
      </c>
      <c r="GQ37" s="108" t="n">
        <f aca="false">GQ36-GP37+GO37</f>
        <v>0</v>
      </c>
      <c r="GR37" s="106" t="n">
        <f aca="false">[1]НАДІЙШЛО2!BQ29</f>
        <v>0</v>
      </c>
      <c r="GS37" s="107" t="n">
        <f aca="false">[1]ВИБУЛО2!BQ29</f>
        <v>0</v>
      </c>
      <c r="GT37" s="108" t="n">
        <f aca="false">GT36-GS37+GR37</f>
        <v>0</v>
      </c>
      <c r="GU37" s="106" t="n">
        <f aca="false">[1]НАДІЙШЛО2!BR29</f>
        <v>0</v>
      </c>
      <c r="GV37" s="107" t="n">
        <f aca="false">[1]ВИБУЛО2!BR29</f>
        <v>0</v>
      </c>
      <c r="GW37" s="108" t="n">
        <f aca="false">GW36-GV37+GU37</f>
        <v>0</v>
      </c>
      <c r="GX37" s="106" t="n">
        <f aca="false">[1]НАДІЙШЛО2!BS29</f>
        <v>0</v>
      </c>
      <c r="GY37" s="107" t="n">
        <f aca="false">[1]ВИБУЛО2!BS29</f>
        <v>0</v>
      </c>
      <c r="GZ37" s="108" t="n">
        <f aca="false">GZ36-GY37+GX37</f>
        <v>0</v>
      </c>
      <c r="HA37" s="106" t="n">
        <f aca="false">[1]НАДІЙШЛО2!BT29</f>
        <v>0</v>
      </c>
      <c r="HB37" s="107" t="n">
        <f aca="false">[1]ВИБУЛО2!BT29</f>
        <v>0</v>
      </c>
      <c r="HC37" s="108" t="n">
        <f aca="false">HC36-HB37+HA37</f>
        <v>0</v>
      </c>
      <c r="HD37" s="106" t="n">
        <f aca="false">[1]НАДІЙШЛО2!BU29</f>
        <v>0</v>
      </c>
      <c r="HE37" s="107" t="n">
        <f aca="false">[1]ВИБУЛО2!BU29</f>
        <v>0</v>
      </c>
      <c r="HF37" s="108" t="n">
        <f aca="false">HF36-HE37+HD37</f>
        <v>0</v>
      </c>
      <c r="HG37" s="106" t="n">
        <f aca="false">[1]НАДІЙШЛО2!BV29</f>
        <v>0</v>
      </c>
      <c r="HH37" s="107" t="n">
        <f aca="false">[1]ВИБУЛО2!BV29</f>
        <v>0</v>
      </c>
      <c r="HI37" s="108" t="n">
        <f aca="false">HI36-HH37+HG37</f>
        <v>0</v>
      </c>
      <c r="HJ37" s="106" t="n">
        <f aca="false">[1]НАДІЙШЛО2!BW29</f>
        <v>0</v>
      </c>
      <c r="HK37" s="107" t="n">
        <f aca="false">[1]ВИБУЛО2!BW29</f>
        <v>0</v>
      </c>
      <c r="HL37" s="108" t="n">
        <f aca="false">HL36-HK37+HJ37</f>
        <v>0</v>
      </c>
      <c r="HM37" s="106" t="n">
        <f aca="false">[1]НАДІЙШЛО2!BX29</f>
        <v>0</v>
      </c>
      <c r="HN37" s="107" t="n">
        <f aca="false">[1]ВИБУЛО2!BX29</f>
        <v>0</v>
      </c>
      <c r="HO37" s="108" t="n">
        <f aca="false">HO36-HN37+HM37</f>
        <v>0</v>
      </c>
      <c r="HP37" s="106" t="n">
        <f aca="false">[1]НАДІЙШЛО2!BY29</f>
        <v>0</v>
      </c>
      <c r="HQ37" s="107" t="n">
        <f aca="false">[1]ВИБУЛО2!BY29</f>
        <v>0</v>
      </c>
      <c r="HR37" s="108" t="n">
        <f aca="false">HR36-HQ37+HP37</f>
        <v>0</v>
      </c>
      <c r="HS37" s="106" t="n">
        <f aca="false">[1]НАДІЙШЛО2!BZ29</f>
        <v>0</v>
      </c>
      <c r="HT37" s="107" t="n">
        <f aca="false">[1]ВИБУЛО2!BZ29</f>
        <v>0</v>
      </c>
      <c r="HU37" s="108" t="n">
        <f aca="false">HU36-HT37+HS37</f>
        <v>0</v>
      </c>
      <c r="HV37" s="106" t="n">
        <f aca="false">[1]НАДІЙШЛО2!CA29</f>
        <v>0</v>
      </c>
      <c r="HW37" s="107" t="n">
        <f aca="false">[1]ВИБУЛО2!CA29</f>
        <v>0</v>
      </c>
      <c r="HX37" s="108" t="n">
        <f aca="false">HX36-HW37+HV37</f>
        <v>0</v>
      </c>
      <c r="HY37" s="106" t="n">
        <f aca="false">[1]НАДІЙШЛО2!CB29</f>
        <v>0</v>
      </c>
      <c r="HZ37" s="107" t="n">
        <f aca="false">[1]ВИБУЛО2!CB29</f>
        <v>0</v>
      </c>
      <c r="IA37" s="108" t="n">
        <f aca="false">IA36-HZ37+HY37</f>
        <v>0</v>
      </c>
      <c r="IB37" s="106" t="n">
        <f aca="false">[1]НАДІЙШЛО2!CC29</f>
        <v>0</v>
      </c>
      <c r="IC37" s="107" t="n">
        <f aca="false">[1]ВИБУЛО2!CC29</f>
        <v>0</v>
      </c>
      <c r="ID37" s="108" t="n">
        <f aca="false">ID36-IC37+IB37</f>
        <v>0</v>
      </c>
      <c r="IE37" s="106" t="n">
        <f aca="false">[1]НАДІЙШЛО2!CD29</f>
        <v>0</v>
      </c>
      <c r="IF37" s="107" t="n">
        <f aca="false">[1]ВИБУЛО2!CD29</f>
        <v>0</v>
      </c>
      <c r="IG37" s="108" t="n">
        <f aca="false">IG36-IF37+IE37</f>
        <v>0</v>
      </c>
      <c r="IH37" s="106" t="n">
        <f aca="false">[1]НАДІЙШЛО2!CE29</f>
        <v>0</v>
      </c>
      <c r="II37" s="107" t="n">
        <f aca="false">[1]ВИБУЛО2!CE29</f>
        <v>0</v>
      </c>
      <c r="IJ37" s="108" t="n">
        <f aca="false">IJ36-II37+IH37</f>
        <v>0</v>
      </c>
      <c r="IK37" s="106" t="n">
        <f aca="false">[1]НАДІЙШЛО2!CF29</f>
        <v>0</v>
      </c>
      <c r="IL37" s="107" t="n">
        <f aca="false">[1]ВИБУЛО2!CF29</f>
        <v>0</v>
      </c>
      <c r="IM37" s="108" t="n">
        <f aca="false">IM36-IL37+IK37</f>
        <v>0</v>
      </c>
      <c r="IN37" s="106" t="n">
        <f aca="false">[1]НАДІЙШЛО2!CG29</f>
        <v>0</v>
      </c>
      <c r="IO37" s="107" t="n">
        <f aca="false">[1]ВИБУЛО2!CG29</f>
        <v>0</v>
      </c>
      <c r="IP37" s="108" t="n">
        <f aca="false">IP36-IO37+IN37</f>
        <v>0</v>
      </c>
      <c r="IQ37" s="106" t="n">
        <f aca="false">[1]НАДІЙШЛО2!CH29</f>
        <v>0</v>
      </c>
      <c r="IR37" s="107" t="n">
        <f aca="false">[1]ВИБУЛО2!CH29</f>
        <v>0</v>
      </c>
      <c r="IS37" s="108" t="n">
        <f aca="false">IS36-IR37+IQ37</f>
        <v>0</v>
      </c>
      <c r="IT37" s="106" t="n">
        <f aca="false">[1]НАДІЙШЛО2!CI29</f>
        <v>0</v>
      </c>
      <c r="IU37" s="107" t="n">
        <f aca="false">[1]ВИБУЛО2!CI29</f>
        <v>0</v>
      </c>
      <c r="IV37" s="108" t="n">
        <f aca="false">IV36-IU37+IT37</f>
        <v>0</v>
      </c>
      <c r="IW37" s="106" t="n">
        <f aca="false">[1]НАДІЙШЛО2!CJ29</f>
        <v>0</v>
      </c>
      <c r="IX37" s="107" t="n">
        <f aca="false">[1]ВИБУЛО2!CJ29</f>
        <v>0</v>
      </c>
      <c r="IY37" s="108" t="n">
        <f aca="false">IY36-IX37+IW37</f>
        <v>0</v>
      </c>
      <c r="IZ37" s="106" t="n">
        <f aca="false">[1]НАДІЙШЛО2!CK29</f>
        <v>0</v>
      </c>
      <c r="JA37" s="107" t="n">
        <f aca="false">[1]ВИБУЛО2!CK29</f>
        <v>0</v>
      </c>
      <c r="JB37" s="108" t="n">
        <f aca="false">JB36-JA37+IZ37</f>
        <v>0</v>
      </c>
      <c r="JC37" s="106" t="n">
        <f aca="false">[1]НАДІЙШЛО2!CL29</f>
        <v>0</v>
      </c>
      <c r="JD37" s="107" t="n">
        <f aca="false">[1]ВИБУЛО2!CL29</f>
        <v>0</v>
      </c>
      <c r="JE37" s="108" t="n">
        <f aca="false">JE36-JD37+JC37</f>
        <v>0</v>
      </c>
      <c r="JF37" s="106" t="n">
        <f aca="false">[1]НАДІЙШЛО2!CM29</f>
        <v>0</v>
      </c>
      <c r="JG37" s="107" t="n">
        <f aca="false">[1]ВИБУЛО2!CM29</f>
        <v>0</v>
      </c>
      <c r="JH37" s="108" t="n">
        <f aca="false">JH36-JG37+JF37</f>
        <v>0</v>
      </c>
      <c r="JI37" s="106" t="n">
        <f aca="false">[1]НАДІЙШЛО2!CN29</f>
        <v>0</v>
      </c>
      <c r="JJ37" s="107" t="n">
        <f aca="false">[1]ВИБУЛО2!CN29</f>
        <v>0</v>
      </c>
      <c r="JK37" s="108" t="n">
        <f aca="false">JK36-JJ37+JI37</f>
        <v>0</v>
      </c>
      <c r="JL37" s="106" t="n">
        <f aca="false">[1]НАДІЙШЛО2!CO29</f>
        <v>0</v>
      </c>
      <c r="JM37" s="107" t="n">
        <f aca="false">[1]ВИБУЛО2!CO29</f>
        <v>0</v>
      </c>
      <c r="JN37" s="108" t="n">
        <f aca="false">JN36-JM37+JL37</f>
        <v>0</v>
      </c>
      <c r="JO37" s="106" t="n">
        <f aca="false">[1]НАДІЙШЛО2!CP29</f>
        <v>0</v>
      </c>
      <c r="JP37" s="107" t="n">
        <f aca="false">[1]ВИБУЛО2!CP29</f>
        <v>0</v>
      </c>
      <c r="JQ37" s="108" t="n">
        <f aca="false">JQ36-JP37+JO37</f>
        <v>0</v>
      </c>
      <c r="JR37" s="106" t="n">
        <f aca="false">[1]НАДІЙШЛО2!CQ29</f>
        <v>0</v>
      </c>
      <c r="JS37" s="107" t="n">
        <f aca="false">[1]ВИБУЛО2!CQ29</f>
        <v>0</v>
      </c>
      <c r="JT37" s="108" t="n">
        <f aca="false">JT36-JS37+JR37</f>
        <v>0</v>
      </c>
      <c r="JU37" s="106" t="n">
        <f aca="false">[1]НАДІЙШЛО2!CR29</f>
        <v>0</v>
      </c>
      <c r="JV37" s="107" t="n">
        <f aca="false">[1]ВИБУЛО2!CR29</f>
        <v>0</v>
      </c>
      <c r="JW37" s="108" t="n">
        <f aca="false">JW36-JV37+JU37</f>
        <v>0</v>
      </c>
      <c r="JX37" s="106" t="n">
        <f aca="false">[1]НАДІЙШЛО2!CS29</f>
        <v>0</v>
      </c>
      <c r="JY37" s="107" t="n">
        <f aca="false">[1]ВИБУЛО2!CS29</f>
        <v>0</v>
      </c>
      <c r="JZ37" s="108" t="n">
        <f aca="false">JZ36-JY37+JX37</f>
        <v>0</v>
      </c>
      <c r="KA37" s="106" t="n">
        <f aca="false">[1]НАДІЙШЛО2!CT29</f>
        <v>0</v>
      </c>
      <c r="KB37" s="107" t="n">
        <f aca="false">[1]ВИБУЛО2!CT29</f>
        <v>0</v>
      </c>
      <c r="KC37" s="108" t="n">
        <f aca="false">KC36-KB37+KA37</f>
        <v>0</v>
      </c>
      <c r="KD37" s="106" t="n">
        <f aca="false">[1]НАДІЙШЛО2!CU29</f>
        <v>0</v>
      </c>
      <c r="KE37" s="107" t="n">
        <f aca="false">[1]ВИБУЛО2!CU29</f>
        <v>0</v>
      </c>
      <c r="KF37" s="108" t="n">
        <f aca="false">KF36-KE37+KD37</f>
        <v>0</v>
      </c>
      <c r="KG37" s="106" t="n">
        <f aca="false">[1]НАДІЙШЛО2!CV29</f>
        <v>0</v>
      </c>
      <c r="KH37" s="107" t="n">
        <f aca="false">[1]ВИБУЛО2!CV29</f>
        <v>0</v>
      </c>
      <c r="KI37" s="108" t="n">
        <f aca="false">KI36-KH37+KG37</f>
        <v>0</v>
      </c>
      <c r="KJ37" s="106" t="n">
        <f aca="false">[1]НАДІЙШЛО2!CW29</f>
        <v>0</v>
      </c>
      <c r="KK37" s="107" t="n">
        <f aca="false">[1]ВИБУЛО2!CW29</f>
        <v>0</v>
      </c>
      <c r="KL37" s="108" t="n">
        <f aca="false">KL36-KK37+KJ37</f>
        <v>0</v>
      </c>
      <c r="KM37" s="106" t="n">
        <f aca="false">[1]НАДІЙШЛО2!CX29</f>
        <v>0</v>
      </c>
      <c r="KN37" s="107" t="n">
        <f aca="false">[1]ВИБУЛО2!CX29</f>
        <v>0</v>
      </c>
      <c r="KO37" s="108" t="n">
        <f aca="false">KO36-KN37+KM37</f>
        <v>0</v>
      </c>
      <c r="KP37" s="106" t="n">
        <f aca="false">[1]НАДІЙШЛО2!CY29</f>
        <v>0</v>
      </c>
      <c r="KQ37" s="107" t="n">
        <f aca="false">[1]ВИБУЛО2!CY29</f>
        <v>0</v>
      </c>
      <c r="KR37" s="108" t="n">
        <f aca="false">KR36-KQ37+KP37</f>
        <v>0</v>
      </c>
      <c r="KS37" s="106" t="n">
        <f aca="false">[1]НАДІЙШЛО2!CZ29</f>
        <v>0</v>
      </c>
      <c r="KT37" s="107" t="n">
        <f aca="false">[1]ВИБУЛО2!CZ29</f>
        <v>0</v>
      </c>
      <c r="KU37" s="108" t="n">
        <f aca="false">KU36-KT37+KS37</f>
        <v>0</v>
      </c>
      <c r="KV37" s="106" t="n">
        <f aca="false">[1]НАДІЙШЛО2!DA29</f>
        <v>0</v>
      </c>
      <c r="KW37" s="107" t="n">
        <f aca="false">[1]ВИБУЛО2!DA29</f>
        <v>0</v>
      </c>
      <c r="KX37" s="108" t="n">
        <f aca="false">KX36-KW37+KV37</f>
        <v>0</v>
      </c>
      <c r="KY37" s="106" t="n">
        <f aca="false">[1]НАДІЙШЛО2!DB29</f>
        <v>0</v>
      </c>
      <c r="KZ37" s="107" t="n">
        <f aca="false">[1]ВИБУЛО2!DB29</f>
        <v>0</v>
      </c>
      <c r="LA37" s="108" t="n">
        <f aca="false">LA36-KZ37+KY37</f>
        <v>0</v>
      </c>
      <c r="LB37" s="106" t="n">
        <f aca="false">[1]НАДІЙШЛО2!DC29</f>
        <v>0</v>
      </c>
      <c r="LC37" s="107" t="n">
        <f aca="false">[1]ВИБУЛО2!DC29</f>
        <v>0</v>
      </c>
      <c r="LD37" s="108" t="n">
        <f aca="false">LD36-LC37+LB37</f>
        <v>0</v>
      </c>
      <c r="LE37" s="106" t="n">
        <f aca="false">[1]НАДІЙШЛО2!DD29</f>
        <v>0</v>
      </c>
      <c r="LF37" s="107" t="n">
        <f aca="false">[1]ВИБУЛО2!DD29</f>
        <v>0</v>
      </c>
      <c r="LG37" s="108" t="n">
        <f aca="false">LG36-LF37+LE37</f>
        <v>0</v>
      </c>
      <c r="LH37" s="106" t="n">
        <f aca="false">[1]НАДІЙШЛО2!DE29</f>
        <v>0</v>
      </c>
      <c r="LI37" s="107" t="n">
        <f aca="false">[1]ВИБУЛО2!DE29</f>
        <v>0</v>
      </c>
      <c r="LJ37" s="108" t="n">
        <f aca="false">LJ36-LI37+LH37</f>
        <v>0</v>
      </c>
      <c r="LK37" s="106" t="n">
        <f aca="false">[1]НАДІЙШЛО2!DF29</f>
        <v>0</v>
      </c>
      <c r="LL37" s="107" t="n">
        <f aca="false">[1]ВИБУЛО2!DF29</f>
        <v>0</v>
      </c>
      <c r="LM37" s="108" t="n">
        <f aca="false">LM36-LL37+LK37</f>
        <v>0</v>
      </c>
      <c r="LN37" s="106" t="n">
        <f aca="false">[1]НАДІЙШЛО2!DG29</f>
        <v>0</v>
      </c>
      <c r="LO37" s="107" t="n">
        <f aca="false">[1]ВИБУЛО2!DG29</f>
        <v>0</v>
      </c>
      <c r="LP37" s="108" t="n">
        <f aca="false">LP36-LO37+LN37</f>
        <v>0</v>
      </c>
      <c r="LQ37" s="106" t="n">
        <f aca="false">[1]НАДІЙШЛО2!DH29</f>
        <v>0</v>
      </c>
      <c r="LR37" s="107" t="n">
        <f aca="false">[1]ВИБУЛО2!DH29</f>
        <v>0</v>
      </c>
      <c r="LS37" s="108" t="n">
        <f aca="false">LS36-LR37+LQ37</f>
        <v>0</v>
      </c>
      <c r="LT37" s="106" t="n">
        <f aca="false">[1]НАДІЙШЛО2!DI29</f>
        <v>0</v>
      </c>
      <c r="LU37" s="107" t="n">
        <f aca="false">[1]ВИБУЛО2!DI29</f>
        <v>0</v>
      </c>
      <c r="LV37" s="108" t="n">
        <f aca="false">LV36-LU37+LT37</f>
        <v>0</v>
      </c>
      <c r="LW37" s="106" t="n">
        <f aca="false">[1]НАДІЙШЛО2!DJ29</f>
        <v>0</v>
      </c>
      <c r="LX37" s="107" t="n">
        <f aca="false">[1]ВИБУЛО2!DJ29</f>
        <v>0</v>
      </c>
      <c r="LY37" s="108" t="n">
        <f aca="false">LY36-LX37+LW37</f>
        <v>0</v>
      </c>
      <c r="LZ37" s="106" t="n">
        <f aca="false">[1]НАДІЙШЛО2!DK29</f>
        <v>0</v>
      </c>
      <c r="MA37" s="107" t="n">
        <f aca="false">[1]ВИБУЛО2!DK29</f>
        <v>0</v>
      </c>
      <c r="MB37" s="108" t="n">
        <f aca="false">MB36-MA37+LZ37</f>
        <v>0</v>
      </c>
      <c r="MC37" s="106" t="n">
        <f aca="false">[1]НАДІЙШЛО2!DL29</f>
        <v>0</v>
      </c>
      <c r="MD37" s="107" t="n">
        <f aca="false">[1]ВИБУЛО2!DL29</f>
        <v>0</v>
      </c>
      <c r="ME37" s="108" t="n">
        <f aca="false">ME36-MD37+MC37</f>
        <v>0</v>
      </c>
      <c r="MF37" s="106" t="n">
        <f aca="false">[1]НАДІЙШЛО2!DM29</f>
        <v>0</v>
      </c>
      <c r="MG37" s="107" t="n">
        <f aca="false">[1]ВИБУЛО2!DM29</f>
        <v>0</v>
      </c>
      <c r="MH37" s="108" t="n">
        <f aca="false">MH36-MG37+MF37</f>
        <v>0</v>
      </c>
      <c r="MI37" s="106" t="n">
        <f aca="false">[1]НАДІЙШЛО2!DN29</f>
        <v>0</v>
      </c>
      <c r="MJ37" s="107" t="n">
        <f aca="false">[1]ВИБУЛО2!DN29</f>
        <v>0</v>
      </c>
      <c r="MK37" s="108" t="n">
        <f aca="false">MK36-MJ37+MI37</f>
        <v>0</v>
      </c>
      <c r="ML37" s="106" t="n">
        <f aca="false">[1]НАДІЙШЛО2!DO29</f>
        <v>0</v>
      </c>
      <c r="MM37" s="107" t="n">
        <f aca="false">[1]ВИБУЛО2!DO29</f>
        <v>0</v>
      </c>
      <c r="MN37" s="108" t="n">
        <f aca="false">MN36-MM37+ML37</f>
        <v>0</v>
      </c>
      <c r="MO37" s="106" t="n">
        <f aca="false">[1]НАДІЙШЛО2!DP29</f>
        <v>0</v>
      </c>
      <c r="MP37" s="107" t="n">
        <f aca="false">[1]ВИБУЛО2!DP29</f>
        <v>0</v>
      </c>
      <c r="MQ37" s="108" t="n">
        <f aca="false">MQ36-MP37+MO37</f>
        <v>0</v>
      </c>
      <c r="MR37" s="106" t="n">
        <f aca="false">[1]НАДІЙШЛО2!DQ29</f>
        <v>0</v>
      </c>
      <c r="MS37" s="107" t="n">
        <f aca="false">[1]ВИБУЛО2!DQ29</f>
        <v>0</v>
      </c>
      <c r="MT37" s="108" t="n">
        <f aca="false">MT36-MS37+MR37</f>
        <v>0</v>
      </c>
      <c r="MU37" s="106" t="n">
        <f aca="false">[1]НАДІЙШЛО2!DR29</f>
        <v>0</v>
      </c>
      <c r="MV37" s="107" t="n">
        <f aca="false">[1]ВИБУЛО2!DR29</f>
        <v>0</v>
      </c>
      <c r="MW37" s="108" t="n">
        <f aca="false">MW36-MV37+MU37</f>
        <v>0</v>
      </c>
      <c r="MX37" s="106" t="n">
        <f aca="false">[1]НАДІЙШЛО2!DS29</f>
        <v>0</v>
      </c>
      <c r="MY37" s="107" t="n">
        <f aca="false">[1]ВИБУЛО2!DS29</f>
        <v>0</v>
      </c>
      <c r="MZ37" s="108" t="n">
        <f aca="false">MZ36-MY37+MX37</f>
        <v>0</v>
      </c>
      <c r="NA37" s="106" t="n">
        <f aca="false">[1]НАДІЙШЛО2!DT29</f>
        <v>0</v>
      </c>
      <c r="NB37" s="107" t="n">
        <f aca="false">[1]ВИБУЛО2!DT29</f>
        <v>0</v>
      </c>
      <c r="NC37" s="108" t="n">
        <f aca="false">NC36-NB37+NA37</f>
        <v>0</v>
      </c>
      <c r="ND37" s="106" t="n">
        <f aca="false">[1]НАДІЙШЛО2!DU29</f>
        <v>0</v>
      </c>
      <c r="NE37" s="107" t="n">
        <f aca="false">[1]ВИБУЛО2!DU29</f>
        <v>0</v>
      </c>
      <c r="NF37" s="108" t="n">
        <f aca="false">NF36-NE37+ND37</f>
        <v>0</v>
      </c>
      <c r="NG37" s="106" t="n">
        <f aca="false">[1]НАДІЙШЛО2!DV29</f>
        <v>0</v>
      </c>
      <c r="NH37" s="107" t="n">
        <f aca="false">[1]ВИБУЛО2!DV29</f>
        <v>0</v>
      </c>
      <c r="NI37" s="108" t="n">
        <f aca="false">NI36-NH37+NG37</f>
        <v>0</v>
      </c>
      <c r="NJ37" s="106" t="n">
        <f aca="false">[1]НАДІЙШЛО2!DW29</f>
        <v>0</v>
      </c>
      <c r="NK37" s="107" t="n">
        <f aca="false">[1]ВИБУЛО2!DW29</f>
        <v>0</v>
      </c>
      <c r="NL37" s="108" t="n">
        <f aca="false">NL36-NK37+NJ37</f>
        <v>0</v>
      </c>
      <c r="NM37" s="106" t="n">
        <f aca="false">[1]НАДІЙШЛО2!DX29</f>
        <v>0</v>
      </c>
      <c r="NN37" s="107" t="n">
        <f aca="false">[1]ВИБУЛО2!DX29</f>
        <v>0</v>
      </c>
      <c r="NO37" s="108" t="n">
        <f aca="false">NO36-NN37+NM37</f>
        <v>0</v>
      </c>
      <c r="NP37" s="106" t="n">
        <f aca="false">[1]НАДІЙШЛО2!DY29</f>
        <v>0</v>
      </c>
      <c r="NQ37" s="107" t="n">
        <f aca="false">[1]ВИБУЛО2!DY29</f>
        <v>0</v>
      </c>
      <c r="NR37" s="108" t="n">
        <f aca="false">NR36-NQ37+NP37</f>
        <v>0</v>
      </c>
      <c r="NS37" s="106" t="n">
        <f aca="false">[1]НАДІЙШЛО2!DZ29</f>
        <v>0</v>
      </c>
      <c r="NT37" s="107" t="n">
        <f aca="false">[1]ВИБУЛО2!DZ29</f>
        <v>0</v>
      </c>
      <c r="NU37" s="108" t="n">
        <f aca="false">NU36-NT37+NS37</f>
        <v>0</v>
      </c>
      <c r="NV37" s="106" t="n">
        <f aca="false">[1]НАДІЙШЛО2!EA29</f>
        <v>0</v>
      </c>
      <c r="NW37" s="107" t="n">
        <f aca="false">[1]ВИБУЛО2!EA29</f>
        <v>0</v>
      </c>
      <c r="NX37" s="108" t="n">
        <f aca="false">NX36-NW37+NV37</f>
        <v>0</v>
      </c>
      <c r="NY37" s="106" t="n">
        <f aca="false">[1]НАДІЙШЛО2!EB29</f>
        <v>0</v>
      </c>
      <c r="NZ37" s="107" t="n">
        <f aca="false">[1]ВИБУЛО2!EB29</f>
        <v>0</v>
      </c>
      <c r="OA37" s="108" t="n">
        <f aca="false">OA36-NZ37+NY37</f>
        <v>0</v>
      </c>
      <c r="OB37" s="106" t="n">
        <f aca="false">[1]НАДІЙШЛО2!EC29</f>
        <v>0</v>
      </c>
      <c r="OC37" s="107" t="n">
        <f aca="false">[1]ВИБУЛО2!EC29</f>
        <v>0</v>
      </c>
      <c r="OD37" s="108" t="n">
        <f aca="false">OD36-OC37+OB37</f>
        <v>0</v>
      </c>
      <c r="OE37" s="106" t="n">
        <f aca="false">[1]НАДІЙШЛО2!ED29</f>
        <v>0</v>
      </c>
      <c r="OF37" s="107" t="n">
        <f aca="false">[1]ВИБУЛО2!ED29</f>
        <v>0</v>
      </c>
      <c r="OG37" s="108" t="n">
        <f aca="false">OG36-OF37+OE37</f>
        <v>0</v>
      </c>
      <c r="OH37" s="106" t="n">
        <f aca="false">[1]НАДІЙШЛО2!EE29</f>
        <v>0</v>
      </c>
      <c r="OI37" s="107" t="n">
        <f aca="false">[1]ВИБУЛО2!EE29</f>
        <v>0</v>
      </c>
      <c r="OJ37" s="108" t="n">
        <f aca="false">OJ36-OI37+OH37</f>
        <v>0</v>
      </c>
      <c r="OK37" s="106" t="n">
        <f aca="false">[1]НАДІЙШЛО2!EF29</f>
        <v>0</v>
      </c>
      <c r="OL37" s="107" t="n">
        <f aca="false">[1]ВИБУЛО2!EF29</f>
        <v>0</v>
      </c>
      <c r="OM37" s="108" t="n">
        <f aca="false">OM36-OL37+OK37</f>
        <v>0</v>
      </c>
      <c r="ON37" s="106" t="n">
        <f aca="false">[1]НАДІЙШЛО2!EG29</f>
        <v>0</v>
      </c>
      <c r="OO37" s="107" t="n">
        <f aca="false">[1]ВИБУЛО2!EG29</f>
        <v>0</v>
      </c>
      <c r="OP37" s="108" t="n">
        <f aca="false">OP36-OO37+ON37</f>
        <v>0</v>
      </c>
      <c r="OQ37" s="106" t="n">
        <f aca="false">[1]НАДІЙШЛО2!EH29</f>
        <v>0</v>
      </c>
      <c r="OR37" s="107" t="n">
        <f aca="false">[1]ВИБУЛО2!EH29</f>
        <v>0</v>
      </c>
      <c r="OS37" s="108" t="n">
        <f aca="false">OS36-OR37+OQ37</f>
        <v>0</v>
      </c>
      <c r="OT37" s="106" t="n">
        <f aca="false">[1]НАДІЙШЛО2!EI29</f>
        <v>0</v>
      </c>
      <c r="OU37" s="107" t="n">
        <f aca="false">[1]ВИБУЛО2!EI29</f>
        <v>0</v>
      </c>
      <c r="OV37" s="108" t="n">
        <f aca="false">OV36-OU37+OT37</f>
        <v>0</v>
      </c>
      <c r="OW37" s="106" t="n">
        <f aca="false">[1]НАДІЙШЛО2!EJ29</f>
        <v>0</v>
      </c>
      <c r="OX37" s="107" t="n">
        <f aca="false">[1]ВИБУЛО2!EJ29</f>
        <v>0</v>
      </c>
      <c r="OY37" s="108" t="n">
        <f aca="false">OY36-OX37+OW37</f>
        <v>0</v>
      </c>
      <c r="OZ37" s="106" t="n">
        <f aca="false">[1]НАДІЙШЛО2!EK29</f>
        <v>0</v>
      </c>
      <c r="PA37" s="107" t="n">
        <f aca="false">[1]ВИБУЛО2!EK29</f>
        <v>0</v>
      </c>
      <c r="PB37" s="108" t="n">
        <f aca="false">PB36-PA37+OZ37</f>
        <v>0</v>
      </c>
      <c r="PC37" s="106" t="n">
        <f aca="false">[1]НАДІЙШЛО2!EL29</f>
        <v>0</v>
      </c>
      <c r="PD37" s="107" t="n">
        <f aca="false">[1]ВИБУЛО2!EL29</f>
        <v>0</v>
      </c>
      <c r="PE37" s="108" t="n">
        <f aca="false">PE36-PD37+PC37</f>
        <v>0</v>
      </c>
      <c r="PF37" s="106" t="n">
        <f aca="false">[1]НАДІЙШЛО2!EM29</f>
        <v>0</v>
      </c>
      <c r="PG37" s="107" t="n">
        <f aca="false">[1]ВИБУЛО2!EM29</f>
        <v>0</v>
      </c>
      <c r="PH37" s="108" t="n">
        <f aca="false">PH36-PG37+PF37</f>
        <v>0</v>
      </c>
      <c r="PI37" s="106" t="n">
        <f aca="false">[1]НАДІЙШЛО2!EN29</f>
        <v>0</v>
      </c>
      <c r="PJ37" s="107" t="n">
        <f aca="false">[1]ВИБУЛО2!EN29</f>
        <v>0</v>
      </c>
      <c r="PK37" s="108" t="n">
        <f aca="false">PK36-PJ37+PI37</f>
        <v>0</v>
      </c>
      <c r="PL37" s="106" t="n">
        <f aca="false">[1]НАДІЙШЛО2!EO29</f>
        <v>0</v>
      </c>
      <c r="PM37" s="107" t="n">
        <f aca="false">[1]ВИБУЛО2!EO29</f>
        <v>0</v>
      </c>
      <c r="PN37" s="108" t="n">
        <f aca="false">PN36-PM37+PL37</f>
        <v>0</v>
      </c>
      <c r="PO37" s="106" t="n">
        <f aca="false">[1]НАДІЙШЛО2!EP29</f>
        <v>0</v>
      </c>
      <c r="PP37" s="107" t="n">
        <f aca="false">[1]ВИБУЛО2!EP29</f>
        <v>0</v>
      </c>
      <c r="PQ37" s="108" t="n">
        <f aca="false">PQ36-PP37+PO37</f>
        <v>0</v>
      </c>
      <c r="PR37" s="106" t="n">
        <f aca="false">[1]НАДІЙШЛО2!EQ29</f>
        <v>0</v>
      </c>
      <c r="PS37" s="107" t="n">
        <f aca="false">[1]ВИБУЛО2!EQ29</f>
        <v>0</v>
      </c>
      <c r="PT37" s="108" t="n">
        <f aca="false">PT36-PS37+PR37</f>
        <v>0</v>
      </c>
      <c r="PU37" s="106" t="n">
        <f aca="false">[1]НАДІЙШЛО2!ER29</f>
        <v>0</v>
      </c>
      <c r="PV37" s="107" t="n">
        <f aca="false">[1]ВИБУЛО2!ER29</f>
        <v>0</v>
      </c>
      <c r="PW37" s="108" t="n">
        <f aca="false">PW36-PV37+PU37</f>
        <v>0</v>
      </c>
      <c r="PX37" s="106" t="n">
        <f aca="false">[1]НАДІЙШЛО2!ES29</f>
        <v>0</v>
      </c>
      <c r="PY37" s="107" t="n">
        <f aca="false">[1]ВИБУЛО2!ES29</f>
        <v>0</v>
      </c>
      <c r="PZ37" s="108" t="n">
        <f aca="false">PZ36-PY37+PX37</f>
        <v>0</v>
      </c>
      <c r="QA37" s="106" t="n">
        <f aca="false">[1]НАДІЙШЛО2!ET29</f>
        <v>0</v>
      </c>
      <c r="QB37" s="107" t="n">
        <f aca="false">[1]ВИБУЛО2!ET29</f>
        <v>0</v>
      </c>
      <c r="QC37" s="108" t="n">
        <f aca="false">QC36-QB37+QA37</f>
        <v>0</v>
      </c>
      <c r="QD37" s="106" t="n">
        <f aca="false">[1]НАДІЙШЛО2!EU29</f>
        <v>0</v>
      </c>
      <c r="QE37" s="107" t="n">
        <f aca="false">[1]ВИБУЛО2!EU29</f>
        <v>0</v>
      </c>
      <c r="QF37" s="108" t="n">
        <f aca="false">QF36-QE37+QD37</f>
        <v>0</v>
      </c>
      <c r="QG37" s="106" t="n">
        <f aca="false">[1]НАДІЙШЛО2!EV29</f>
        <v>0</v>
      </c>
      <c r="QH37" s="107" t="n">
        <f aca="false">[1]ВИБУЛО2!EV29</f>
        <v>0</v>
      </c>
      <c r="QI37" s="108" t="n">
        <f aca="false">QI36-QH37+QG37</f>
        <v>0</v>
      </c>
      <c r="QJ37" s="106" t="n">
        <f aca="false">[1]НАДІЙШЛО2!EW29</f>
        <v>0</v>
      </c>
      <c r="QK37" s="107" t="n">
        <f aca="false">[1]ВИБУЛО2!EW29</f>
        <v>0</v>
      </c>
      <c r="QL37" s="108" t="n">
        <f aca="false">QL36-QK37+QJ37</f>
        <v>0</v>
      </c>
      <c r="QM37" s="106" t="n">
        <f aca="false">[1]НАДІЙШЛО2!EX29</f>
        <v>0</v>
      </c>
      <c r="QN37" s="107" t="n">
        <f aca="false">[1]ВИБУЛО2!EX29</f>
        <v>0</v>
      </c>
      <c r="QO37" s="108" t="n">
        <f aca="false">QO36-QN37+QM37</f>
        <v>0</v>
      </c>
      <c r="QP37" s="106" t="n">
        <f aca="false">[1]НАДІЙШЛО2!EY29</f>
        <v>0</v>
      </c>
      <c r="QQ37" s="107" t="n">
        <f aca="false">[1]ВИБУЛО2!EY29</f>
        <v>0</v>
      </c>
      <c r="QR37" s="108" t="n">
        <f aca="false">QR36-QQ37+QP37</f>
        <v>0</v>
      </c>
      <c r="QS37" s="106" t="n">
        <f aca="false">[1]НАДІЙШЛО2!EZ29</f>
        <v>0</v>
      </c>
      <c r="QT37" s="107" t="n">
        <f aca="false">[1]ВИБУЛО2!EZ29</f>
        <v>0</v>
      </c>
      <c r="QU37" s="108" t="n">
        <f aca="false">QU36-QT37+QS37</f>
        <v>0</v>
      </c>
      <c r="QV37" s="106" t="n">
        <f aca="false">[1]НАДІЙШЛО2!FA29</f>
        <v>0</v>
      </c>
      <c r="QW37" s="107" t="n">
        <f aca="false">[1]ВИБУЛО2!FA29</f>
        <v>0</v>
      </c>
      <c r="QX37" s="108" t="n">
        <f aca="false">QX36-QW37+QV37</f>
        <v>0</v>
      </c>
      <c r="QY37" s="106" t="n">
        <f aca="false">[1]НАДІЙШЛО2!FB29</f>
        <v>0</v>
      </c>
      <c r="QZ37" s="107" t="n">
        <f aca="false">[1]ВИБУЛО2!FB29</f>
        <v>0</v>
      </c>
      <c r="RA37" s="108" t="n">
        <f aca="false">RA36-QZ37+QY37</f>
        <v>0</v>
      </c>
      <c r="RB37" s="106" t="n">
        <f aca="false">[1]НАДІЙШЛО2!FC29</f>
        <v>0</v>
      </c>
      <c r="RC37" s="107" t="n">
        <f aca="false">[1]ВИБУЛО2!FC29</f>
        <v>0</v>
      </c>
      <c r="RD37" s="108" t="n">
        <f aca="false">RD36-RC37+RB37</f>
        <v>0</v>
      </c>
      <c r="RE37" s="106" t="n">
        <f aca="false">[1]НАДІЙШЛО2!FD29</f>
        <v>0</v>
      </c>
      <c r="RF37" s="107" t="n">
        <f aca="false">[1]ВИБУЛО2!FD29</f>
        <v>0</v>
      </c>
      <c r="RG37" s="108" t="n">
        <f aca="false">RG36-RF37+RE37</f>
        <v>0</v>
      </c>
      <c r="RH37" s="106" t="n">
        <f aca="false">[1]НАДІЙШЛО2!FE29</f>
        <v>0</v>
      </c>
      <c r="RI37" s="107" t="n">
        <f aca="false">[1]ВИБУЛО2!FE29</f>
        <v>0</v>
      </c>
      <c r="RJ37" s="108" t="n">
        <f aca="false">RJ36-RI37+RH37</f>
        <v>0</v>
      </c>
      <c r="RK37" s="106" t="n">
        <f aca="false">[1]НАДІЙШЛО2!FF29</f>
        <v>0</v>
      </c>
      <c r="RL37" s="107" t="n">
        <f aca="false">[1]ВИБУЛО2!FF29</f>
        <v>0</v>
      </c>
      <c r="RM37" s="108" t="n">
        <f aca="false">RM36-RL37+RK37</f>
        <v>0</v>
      </c>
      <c r="RN37" s="106" t="n">
        <f aca="false">[1]НАДІЙШЛО2!FG29</f>
        <v>0</v>
      </c>
      <c r="RO37" s="107" t="n">
        <f aca="false">[1]ВИБУЛО2!FG29</f>
        <v>0</v>
      </c>
      <c r="RP37" s="108" t="n">
        <f aca="false">RP36-RO37+RN37</f>
        <v>0</v>
      </c>
      <c r="RQ37" s="106" t="n">
        <f aca="false">[1]НАДІЙШЛО2!FH29</f>
        <v>0</v>
      </c>
      <c r="RR37" s="107" t="n">
        <f aca="false">[1]ВИБУЛО2!FH29</f>
        <v>0</v>
      </c>
      <c r="RS37" s="108" t="n">
        <f aca="false">RS36-RR37+RQ37</f>
        <v>0</v>
      </c>
      <c r="RT37" s="106" t="n">
        <f aca="false">[1]НАДІЙШЛО2!FI29</f>
        <v>0</v>
      </c>
      <c r="RU37" s="107" t="n">
        <f aca="false">[1]ВИБУЛО2!FI29</f>
        <v>0</v>
      </c>
      <c r="RV37" s="108" t="n">
        <f aca="false">RV36-RU37+RT37</f>
        <v>0</v>
      </c>
      <c r="RW37" s="106" t="n">
        <f aca="false">[1]НАДІЙШЛО2!FJ29</f>
        <v>0</v>
      </c>
      <c r="RX37" s="107" t="n">
        <f aca="false">[1]ВИБУЛО2!FJ29</f>
        <v>0</v>
      </c>
      <c r="RY37" s="108" t="n">
        <f aca="false">RY36-RX37+RW37</f>
        <v>0</v>
      </c>
      <c r="RZ37" s="106" t="n">
        <f aca="false">[1]НАДІЙШЛО2!FK29</f>
        <v>0</v>
      </c>
      <c r="SA37" s="107" t="n">
        <f aca="false">[1]ВИБУЛО2!FK29</f>
        <v>0</v>
      </c>
      <c r="SB37" s="108" t="n">
        <f aca="false">SB36-SA37+RZ37</f>
        <v>0</v>
      </c>
      <c r="SC37" s="106" t="n">
        <f aca="false">[1]НАДІЙШЛО2!FL29</f>
        <v>0</v>
      </c>
      <c r="SD37" s="107" t="n">
        <f aca="false">[1]ВИБУЛО2!FL29</f>
        <v>0</v>
      </c>
      <c r="SE37" s="108" t="n">
        <f aca="false">SE36-SD37+SC37</f>
        <v>0</v>
      </c>
      <c r="SF37" s="106" t="n">
        <f aca="false">[1]НАДІЙШЛО2!FM29</f>
        <v>0</v>
      </c>
      <c r="SG37" s="107" t="n">
        <f aca="false">[1]ВИБУЛО2!FM29</f>
        <v>0</v>
      </c>
      <c r="SH37" s="108" t="n">
        <f aca="false">SH36-SG37+SF37</f>
        <v>0</v>
      </c>
      <c r="SI37" s="106" t="n">
        <f aca="false">[1]НАДІЙШЛО2!FN29</f>
        <v>0</v>
      </c>
      <c r="SJ37" s="107" t="n">
        <f aca="false">[1]ВИБУЛО2!FN29</f>
        <v>0</v>
      </c>
      <c r="SK37" s="108" t="n">
        <f aca="false">SK36-SJ37+SI37</f>
        <v>0</v>
      </c>
      <c r="SL37" s="106" t="n">
        <f aca="false">[1]НАДІЙШЛО2!FO29</f>
        <v>0</v>
      </c>
      <c r="SM37" s="107" t="n">
        <f aca="false">[1]ВИБУЛО2!FO29</f>
        <v>0</v>
      </c>
      <c r="SN37" s="108" t="n">
        <f aca="false">SN36-SM37+SL37</f>
        <v>0</v>
      </c>
      <c r="SO37" s="106" t="n">
        <f aca="false">[1]НАДІЙШЛО2!FP29</f>
        <v>0</v>
      </c>
      <c r="SP37" s="107" t="n">
        <f aca="false">[1]ВИБУЛО2!FP29</f>
        <v>0</v>
      </c>
      <c r="SQ37" s="108" t="n">
        <f aca="false">SQ36-SP37+SO37</f>
        <v>0</v>
      </c>
      <c r="SR37" s="106" t="n">
        <f aca="false">[1]НАДІЙШЛО2!FQ29</f>
        <v>0</v>
      </c>
      <c r="SS37" s="107" t="n">
        <f aca="false">[1]ВИБУЛО2!FQ29</f>
        <v>0</v>
      </c>
      <c r="ST37" s="108" t="n">
        <f aca="false">ST36-SS37+SR37</f>
        <v>0</v>
      </c>
      <c r="SU37" s="106" t="n">
        <f aca="false">[1]НАДІЙШЛО2!FR29</f>
        <v>0</v>
      </c>
      <c r="SV37" s="107" t="n">
        <f aca="false">[1]ВИБУЛО2!FR29</f>
        <v>0</v>
      </c>
      <c r="SW37" s="108" t="n">
        <f aca="false">SW36-SV37+SU37</f>
        <v>0</v>
      </c>
      <c r="SX37" s="106" t="n">
        <f aca="false">[1]НАДІЙШЛО2!FS29</f>
        <v>0</v>
      </c>
      <c r="SY37" s="107" t="n">
        <f aca="false">[1]ВИБУЛО2!FS29</f>
        <v>0</v>
      </c>
      <c r="SZ37" s="108" t="n">
        <f aca="false">SZ36-SY37+SX37</f>
        <v>0</v>
      </c>
      <c r="TA37" s="106" t="n">
        <f aca="false">[1]НАДІЙШЛО2!FT29</f>
        <v>0</v>
      </c>
      <c r="TB37" s="107" t="n">
        <f aca="false">[1]ВИБУЛО2!FT29</f>
        <v>0</v>
      </c>
      <c r="TC37" s="108" t="n">
        <f aca="false">TC36-TB37+TA37</f>
        <v>0</v>
      </c>
      <c r="TD37" s="106" t="n">
        <f aca="false">[1]НАДІЙШЛО2!FU29</f>
        <v>0</v>
      </c>
      <c r="TE37" s="107" t="n">
        <f aca="false">[1]ВИБУЛО2!FU29</f>
        <v>0</v>
      </c>
      <c r="TF37" s="108" t="n">
        <f aca="false">TF36-TE37+TD37</f>
        <v>0</v>
      </c>
      <c r="TG37" s="106" t="n">
        <f aca="false">[1]НАДІЙШЛО2!FV29</f>
        <v>0</v>
      </c>
      <c r="TH37" s="107" t="n">
        <f aca="false">[1]ВИБУЛО2!FV29</f>
        <v>0</v>
      </c>
      <c r="TI37" s="108" t="n">
        <f aca="false">TI36-TH37+TG37</f>
        <v>0</v>
      </c>
      <c r="TJ37" s="106" t="n">
        <f aca="false">[1]НАДІЙШЛО2!FW29</f>
        <v>0</v>
      </c>
      <c r="TK37" s="107" t="n">
        <f aca="false">[1]ВИБУЛО2!FW29</f>
        <v>0</v>
      </c>
      <c r="TL37" s="108" t="n">
        <f aca="false">TL36-TK37+TJ37</f>
        <v>0</v>
      </c>
      <c r="TM37" s="106" t="n">
        <f aca="false">[1]НАДІЙШЛО2!FX29</f>
        <v>0</v>
      </c>
      <c r="TN37" s="107" t="n">
        <f aca="false">[1]ВИБУЛО2!FX29</f>
        <v>0</v>
      </c>
      <c r="TO37" s="108" t="n">
        <f aca="false">TO36-TN37+TM37</f>
        <v>0</v>
      </c>
      <c r="TP37" s="106" t="n">
        <f aca="false">[1]НАДІЙШЛО2!FY29</f>
        <v>0</v>
      </c>
      <c r="TQ37" s="107" t="n">
        <f aca="false">[1]ВИБУЛО2!FY29</f>
        <v>0</v>
      </c>
      <c r="TR37" s="108" t="n">
        <f aca="false">TR36-TQ37+TP37</f>
        <v>0</v>
      </c>
      <c r="TS37" s="106" t="n">
        <f aca="false">[1]НАДІЙШЛО2!FZ29</f>
        <v>0</v>
      </c>
      <c r="TT37" s="107" t="n">
        <f aca="false">[1]ВИБУЛО2!FZ29</f>
        <v>0</v>
      </c>
      <c r="TU37" s="108" t="n">
        <f aca="false">TU36-TT37+TS37</f>
        <v>0</v>
      </c>
      <c r="TV37" s="106" t="n">
        <f aca="false">[1]НАДІЙШЛО2!GA29</f>
        <v>0</v>
      </c>
      <c r="TW37" s="107" t="n">
        <f aca="false">[1]ВИБУЛО2!GA29</f>
        <v>0</v>
      </c>
      <c r="TX37" s="108" t="n">
        <f aca="false">TX36-TW37+TV37</f>
        <v>0</v>
      </c>
      <c r="TY37" s="106" t="n">
        <f aca="false">[1]НАДІЙШЛО2!GB29</f>
        <v>0</v>
      </c>
      <c r="TZ37" s="107" t="n">
        <f aca="false">[1]ВИБУЛО2!GB29</f>
        <v>0</v>
      </c>
      <c r="UA37" s="108" t="n">
        <f aca="false">UA36-TZ37+TY37</f>
        <v>0</v>
      </c>
      <c r="UB37" s="106" t="n">
        <f aca="false">[1]НАДІЙШЛО2!GC29</f>
        <v>0</v>
      </c>
      <c r="UC37" s="107" t="n">
        <f aca="false">[1]ВИБУЛО2!GC29</f>
        <v>0</v>
      </c>
      <c r="UD37" s="108" t="n">
        <f aca="false">UD36-UC37+UB37</f>
        <v>0</v>
      </c>
      <c r="UE37" s="106" t="n">
        <f aca="false">[1]НАДІЙШЛО2!GD29</f>
        <v>0</v>
      </c>
      <c r="UF37" s="107" t="n">
        <f aca="false">[1]ВИБУЛО2!GD29</f>
        <v>0</v>
      </c>
      <c r="UG37" s="108" t="n">
        <f aca="false">UG36-UF37+UE37</f>
        <v>0</v>
      </c>
      <c r="UH37" s="106" t="n">
        <f aca="false">[1]НАДІЙШЛО2!GE29</f>
        <v>0</v>
      </c>
      <c r="UI37" s="107" t="n">
        <f aca="false">[1]ВИБУЛО2!GE29</f>
        <v>0</v>
      </c>
      <c r="UJ37" s="108" t="n">
        <f aca="false">UJ36-UI37+UH37</f>
        <v>0</v>
      </c>
      <c r="UK37" s="106" t="n">
        <f aca="false">[1]НАДІЙШЛО2!GF29</f>
        <v>0</v>
      </c>
      <c r="UL37" s="107" t="n">
        <f aca="false">[1]ВИБУЛО2!GF29</f>
        <v>0</v>
      </c>
      <c r="UM37" s="108" t="n">
        <f aca="false">UM36-UL37+UK37</f>
        <v>0</v>
      </c>
      <c r="UN37" s="106" t="n">
        <f aca="false">[1]НАДІЙШЛО2!GG29</f>
        <v>0</v>
      </c>
      <c r="UO37" s="107" t="n">
        <f aca="false">[1]ВИБУЛО2!GG29</f>
        <v>0</v>
      </c>
      <c r="UP37" s="108" t="n">
        <f aca="false">UP36-UO37+UN37</f>
        <v>0</v>
      </c>
      <c r="UQ37" s="106" t="n">
        <f aca="false">[1]НАДІЙШЛО2!GH29</f>
        <v>0</v>
      </c>
      <c r="UR37" s="107" t="n">
        <f aca="false">[1]ВИБУЛО2!GH29</f>
        <v>0</v>
      </c>
      <c r="US37" s="108" t="n">
        <f aca="false">US36-UR37+UQ37</f>
        <v>0</v>
      </c>
      <c r="UT37" s="106" t="n">
        <f aca="false">[1]НАДІЙШЛО2!GI29</f>
        <v>0</v>
      </c>
      <c r="UU37" s="107" t="n">
        <f aca="false">[1]ВИБУЛО2!GI29</f>
        <v>0</v>
      </c>
      <c r="UV37" s="108" t="n">
        <f aca="false">UV36-UU37+UT37</f>
        <v>0</v>
      </c>
      <c r="UW37" s="106" t="n">
        <f aca="false">[1]НАДІЙШЛО2!GJ29</f>
        <v>0</v>
      </c>
      <c r="UX37" s="107" t="n">
        <f aca="false">[1]ВИБУЛО2!GJ29</f>
        <v>0</v>
      </c>
      <c r="UY37" s="108" t="n">
        <f aca="false">UY36-UX37+UW37</f>
        <v>0</v>
      </c>
      <c r="UZ37" s="106" t="n">
        <f aca="false">[1]НАДІЙШЛО2!GK29</f>
        <v>0</v>
      </c>
      <c r="VA37" s="107" t="n">
        <f aca="false">[1]ВИБУЛО2!GK29</f>
        <v>0</v>
      </c>
      <c r="VB37" s="108" t="n">
        <f aca="false">VB36-VA37+UZ37</f>
        <v>0</v>
      </c>
      <c r="VC37" s="106" t="n">
        <f aca="false">[1]НАДІЙШЛО2!GL29</f>
        <v>0</v>
      </c>
      <c r="VD37" s="107" t="n">
        <f aca="false">[1]ВИБУЛО2!GL29</f>
        <v>0</v>
      </c>
      <c r="VE37" s="108" t="n">
        <f aca="false">VE36-VD37+VC37</f>
        <v>0</v>
      </c>
      <c r="VF37" s="106" t="n">
        <f aca="false">[1]НАДІЙШЛО2!GM29</f>
        <v>0</v>
      </c>
      <c r="VG37" s="107" t="n">
        <f aca="false">[1]ВИБУЛО2!GM29</f>
        <v>0</v>
      </c>
      <c r="VH37" s="108" t="n">
        <f aca="false">VH36-VG37+VF37</f>
        <v>0</v>
      </c>
      <c r="VI37" s="106" t="n">
        <f aca="false">[1]НАДІЙШЛО2!GN29</f>
        <v>0</v>
      </c>
      <c r="VJ37" s="107" t="n">
        <f aca="false">[1]ВИБУЛО2!GN29</f>
        <v>0</v>
      </c>
      <c r="VK37" s="108" t="n">
        <f aca="false">VK36-VJ37+VI37</f>
        <v>0</v>
      </c>
      <c r="VL37" s="106" t="n">
        <f aca="false">[1]НАДІЙШЛО2!GO29</f>
        <v>0</v>
      </c>
      <c r="VM37" s="107" t="n">
        <f aca="false">[1]ВИБУЛО2!GO29</f>
        <v>0</v>
      </c>
      <c r="VN37" s="108" t="n">
        <f aca="false">VN36-VM37+VL37</f>
        <v>0</v>
      </c>
      <c r="VO37" s="106" t="n">
        <f aca="false">[1]НАДІЙШЛО2!GP29</f>
        <v>0</v>
      </c>
      <c r="VP37" s="107" t="n">
        <f aca="false">[1]ВИБУЛО2!GP29</f>
        <v>0</v>
      </c>
      <c r="VQ37" s="108" t="n">
        <f aca="false">VQ36-VP37+VO37</f>
        <v>0</v>
      </c>
      <c r="VR37" s="106" t="n">
        <f aca="false">[1]НАДІЙШЛО2!GQ29</f>
        <v>0</v>
      </c>
      <c r="VS37" s="107" t="n">
        <f aca="false">[1]ВИБУЛО2!GQ29</f>
        <v>0</v>
      </c>
      <c r="VT37" s="108" t="n">
        <f aca="false">VT36-VS37+VR37</f>
        <v>0</v>
      </c>
      <c r="VU37" s="106" t="n">
        <f aca="false">[1]НАДІЙШЛО2!GR29</f>
        <v>0</v>
      </c>
      <c r="VV37" s="107" t="n">
        <f aca="false">[1]ВИБУЛО2!GR29</f>
        <v>0</v>
      </c>
      <c r="VW37" s="108" t="n">
        <f aca="false">VW36-VV37+VU37</f>
        <v>0</v>
      </c>
      <c r="VX37" s="106" t="n">
        <f aca="false">[1]НАДІЙШЛО2!GS29</f>
        <v>0</v>
      </c>
      <c r="VY37" s="107" t="n">
        <f aca="false">[1]ВИБУЛО2!GS29</f>
        <v>0</v>
      </c>
      <c r="VZ37" s="108" t="n">
        <f aca="false">VZ36-VY37+VX37</f>
        <v>0</v>
      </c>
      <c r="WA37" s="106" t="n">
        <f aca="false">[1]НАДІЙШЛО2!GT29</f>
        <v>0</v>
      </c>
      <c r="WB37" s="107" t="n">
        <f aca="false">[1]ВИБУЛО2!GT29</f>
        <v>0</v>
      </c>
      <c r="WC37" s="108" t="n">
        <f aca="false">WC36-WB37+WA37</f>
        <v>0</v>
      </c>
      <c r="WD37" s="106" t="n">
        <f aca="false">[1]НАДІЙШЛО2!GU29</f>
        <v>0</v>
      </c>
      <c r="WE37" s="107" t="n">
        <f aca="false">[1]ВИБУЛО2!GU29</f>
        <v>0</v>
      </c>
      <c r="WF37" s="108" t="n">
        <f aca="false">WF36-WE37+WD37</f>
        <v>0</v>
      </c>
      <c r="WG37" s="106" t="n">
        <f aca="false">[1]НАДІЙШЛО2!GV29</f>
        <v>0</v>
      </c>
      <c r="WH37" s="107" t="n">
        <f aca="false">[1]ВИБУЛО2!GV29</f>
        <v>0</v>
      </c>
      <c r="WI37" s="108" t="n">
        <f aca="false">WI36-WH37+WG37</f>
        <v>0</v>
      </c>
      <c r="WJ37" s="106" t="n">
        <f aca="false">[1]НАДІЙШЛО2!GW29</f>
        <v>0</v>
      </c>
      <c r="WK37" s="107" t="n">
        <f aca="false">[1]ВИБУЛО2!GW29</f>
        <v>0</v>
      </c>
      <c r="WL37" s="108" t="n">
        <f aca="false">WL36-WK37+WJ37</f>
        <v>0</v>
      </c>
      <c r="WM37" s="106" t="n">
        <f aca="false">[1]НАДІЙШЛО2!GX29</f>
        <v>0</v>
      </c>
      <c r="WN37" s="107" t="n">
        <f aca="false">[1]ВИБУЛО2!GX29</f>
        <v>0</v>
      </c>
      <c r="WO37" s="108" t="n">
        <f aca="false">WO36-WN37+WM37</f>
        <v>0</v>
      </c>
      <c r="WP37" s="106" t="n">
        <f aca="false">[1]НАДІЙШЛО2!GY29</f>
        <v>0</v>
      </c>
      <c r="WQ37" s="107" t="n">
        <f aca="false">[1]ВИБУЛО2!GY29</f>
        <v>0</v>
      </c>
      <c r="WR37" s="108" t="n">
        <f aca="false">WR36-WQ37+WP37</f>
        <v>0</v>
      </c>
      <c r="WS37" s="106" t="n">
        <f aca="false">[1]НАДІЙШЛО2!GZ29</f>
        <v>0</v>
      </c>
      <c r="WT37" s="107" t="n">
        <f aca="false">[1]ВИБУЛО2!GZ29</f>
        <v>0</v>
      </c>
      <c r="WU37" s="108" t="n">
        <f aca="false">WU36-WT37+WS37</f>
        <v>0</v>
      </c>
      <c r="WV37" s="106" t="n">
        <f aca="false">[1]НАДІЙШЛО2!HA29</f>
        <v>0</v>
      </c>
      <c r="WW37" s="107" t="n">
        <f aca="false">[1]ВИБУЛО2!HA29</f>
        <v>0</v>
      </c>
      <c r="WX37" s="108" t="n">
        <f aca="false">WX36-WW37+WV37</f>
        <v>0</v>
      </c>
      <c r="WY37" s="106" t="n">
        <f aca="false">[1]НАДІЙШЛО2!HB29</f>
        <v>0</v>
      </c>
      <c r="WZ37" s="107" t="n">
        <f aca="false">[1]ВИБУЛО2!HB29</f>
        <v>0</v>
      </c>
      <c r="XA37" s="108" t="n">
        <f aca="false">XA36-WZ37+WY37</f>
        <v>0</v>
      </c>
      <c r="XB37" s="106" t="n">
        <f aca="false">[1]НАДІЙШЛО2!HC29</f>
        <v>0</v>
      </c>
      <c r="XC37" s="107" t="n">
        <f aca="false">[1]ВИБУЛО2!HC29</f>
        <v>0</v>
      </c>
      <c r="XD37" s="108" t="n">
        <f aca="false">XD36-XC37+XB37</f>
        <v>0</v>
      </c>
      <c r="XE37" s="106" t="n">
        <f aca="false">[1]НАДІЙШЛО2!HD29</f>
        <v>0</v>
      </c>
      <c r="XF37" s="107" t="n">
        <f aca="false">[1]ВИБУЛО2!HD29</f>
        <v>0</v>
      </c>
      <c r="XG37" s="108" t="n">
        <f aca="false">XG36-XF37+XE37</f>
        <v>0</v>
      </c>
      <c r="XH37" s="106" t="n">
        <f aca="false">[1]НАДІЙШЛО2!HE29</f>
        <v>0</v>
      </c>
      <c r="XI37" s="107" t="n">
        <f aca="false">[1]ВИБУЛО2!HE29</f>
        <v>0</v>
      </c>
      <c r="XJ37" s="108" t="n">
        <f aca="false">XJ36-XI37+XH37</f>
        <v>0</v>
      </c>
      <c r="XK37" s="106" t="n">
        <f aca="false">[1]НАДІЙШЛО2!HF29</f>
        <v>0</v>
      </c>
      <c r="XL37" s="107" t="n">
        <f aca="false">[1]ВИБУЛО2!HF29</f>
        <v>0</v>
      </c>
      <c r="XM37" s="108" t="n">
        <f aca="false">XM36-XL37+XK37</f>
        <v>0</v>
      </c>
      <c r="XN37" s="106" t="n">
        <f aca="false">[1]НАДІЙШЛО2!HG29</f>
        <v>0</v>
      </c>
      <c r="XO37" s="107" t="n">
        <f aca="false">[1]ВИБУЛО2!HG29</f>
        <v>0</v>
      </c>
      <c r="XP37" s="108" t="n">
        <f aca="false">XP36-XO37+XN37</f>
        <v>0</v>
      </c>
      <c r="XQ37" s="106" t="n">
        <f aca="false">[1]НАДІЙШЛО2!HH29</f>
        <v>0</v>
      </c>
      <c r="XR37" s="107" t="n">
        <f aca="false">[1]ВИБУЛО2!HH29</f>
        <v>0</v>
      </c>
      <c r="XS37" s="108" t="n">
        <f aca="false">XS36-XR37+XQ37</f>
        <v>0</v>
      </c>
      <c r="XT37" s="106" t="n">
        <f aca="false">[1]НАДІЙШЛО2!HI29</f>
        <v>0</v>
      </c>
      <c r="XU37" s="107" t="n">
        <f aca="false">[1]ВИБУЛО2!HI29</f>
        <v>0</v>
      </c>
      <c r="XV37" s="108" t="n">
        <f aca="false">XV36-XU37+XT37</f>
        <v>0</v>
      </c>
      <c r="XW37" s="106" t="n">
        <f aca="false">[1]НАДІЙШЛО2!HJ29</f>
        <v>0</v>
      </c>
      <c r="XX37" s="107" t="n">
        <f aca="false">[1]ВИБУЛО2!HJ29</f>
        <v>0</v>
      </c>
      <c r="XY37" s="108" t="n">
        <f aca="false">XY36-XX37+XW37</f>
        <v>0</v>
      </c>
      <c r="XZ37" s="106" t="n">
        <f aca="false">[1]НАДІЙШЛО2!HK29</f>
        <v>0</v>
      </c>
      <c r="YA37" s="107" t="n">
        <f aca="false">[1]ВИБУЛО2!HK29</f>
        <v>0</v>
      </c>
      <c r="YB37" s="108" t="n">
        <f aca="false">YB36-YA37+XZ37</f>
        <v>0</v>
      </c>
      <c r="YC37" s="106" t="n">
        <f aca="false">[1]НАДІЙШЛО2!HL29</f>
        <v>0</v>
      </c>
      <c r="YD37" s="107" t="n">
        <f aca="false">[1]ВИБУЛО2!HL29</f>
        <v>0</v>
      </c>
      <c r="YE37" s="108" t="n">
        <f aca="false">YE36-YD37+YC37</f>
        <v>0</v>
      </c>
      <c r="YF37" s="106" t="n">
        <f aca="false">[1]НАДІЙШЛО2!HM29</f>
        <v>0</v>
      </c>
      <c r="YG37" s="107" t="n">
        <f aca="false">[1]ВИБУЛО2!HM29</f>
        <v>0</v>
      </c>
      <c r="YH37" s="108" t="n">
        <f aca="false">YH36-YG37+YF37</f>
        <v>0</v>
      </c>
      <c r="YI37" s="106" t="n">
        <f aca="false">[1]НАДІЙШЛО2!HN29</f>
        <v>0</v>
      </c>
      <c r="YJ37" s="107" t="n">
        <f aca="false">[1]ВИБУЛО2!HN29</f>
        <v>0</v>
      </c>
      <c r="YK37" s="108" t="n">
        <f aca="false">YK36-YJ37+YI37</f>
        <v>0</v>
      </c>
      <c r="YL37" s="106" t="n">
        <f aca="false">[1]НАДІЙШЛО2!HO29</f>
        <v>0</v>
      </c>
      <c r="YM37" s="107" t="n">
        <f aca="false">[1]ВИБУЛО2!HO29</f>
        <v>0</v>
      </c>
      <c r="YN37" s="108" t="n">
        <f aca="false">YN36-YM37+YL37</f>
        <v>0</v>
      </c>
      <c r="YO37" s="106" t="n">
        <f aca="false">[1]НАДІЙШЛО2!HP29</f>
        <v>0</v>
      </c>
      <c r="YP37" s="107" t="n">
        <f aca="false">[1]ВИБУЛО2!HP29</f>
        <v>0</v>
      </c>
      <c r="YQ37" s="108" t="n">
        <f aca="false">YQ36-YP37+YO37</f>
        <v>0</v>
      </c>
      <c r="YR37" s="106" t="n">
        <f aca="false">[1]НАДІЙШЛО2!HQ29</f>
        <v>0</v>
      </c>
      <c r="YS37" s="107" t="n">
        <f aca="false">[1]ВИБУЛО2!HQ29</f>
        <v>0</v>
      </c>
      <c r="YT37" s="108" t="n">
        <f aca="false">YT36-YS37+YR37</f>
        <v>0</v>
      </c>
      <c r="YU37" s="106" t="n">
        <f aca="false">[1]НАДІЙШЛО2!HR29</f>
        <v>0</v>
      </c>
      <c r="YV37" s="107" t="n">
        <f aca="false">[1]ВИБУЛО2!HR29</f>
        <v>0</v>
      </c>
      <c r="YW37" s="108" t="n">
        <f aca="false">YW36-YV37+YU37</f>
        <v>0</v>
      </c>
      <c r="YX37" s="106" t="n">
        <f aca="false">[1]НАДІЙШЛО2!HS29</f>
        <v>0</v>
      </c>
      <c r="YY37" s="107" t="n">
        <f aca="false">[1]ВИБУЛО2!HS29</f>
        <v>0</v>
      </c>
      <c r="YZ37" s="108" t="n">
        <f aca="false">YZ36-YY37+YX37</f>
        <v>0</v>
      </c>
      <c r="ZA37" s="106" t="n">
        <f aca="false">[1]НАДІЙШЛО2!HT29</f>
        <v>0</v>
      </c>
      <c r="ZB37" s="107" t="n">
        <f aca="false">[1]ВИБУЛО2!HT29</f>
        <v>0</v>
      </c>
      <c r="ZC37" s="108" t="n">
        <f aca="false">ZC36-ZB37+ZA37</f>
        <v>0</v>
      </c>
      <c r="ZD37" s="106" t="n">
        <f aca="false">[1]НАДІЙШЛО2!HU29</f>
        <v>0</v>
      </c>
      <c r="ZE37" s="107" t="n">
        <f aca="false">[1]ВИБУЛО2!HU29</f>
        <v>0</v>
      </c>
      <c r="ZF37" s="108" t="n">
        <f aca="false">ZF36-ZE37+ZD37</f>
        <v>0</v>
      </c>
      <c r="ZG37" s="106" t="n">
        <f aca="false">[1]НАДІЙШЛО2!HV29</f>
        <v>0</v>
      </c>
      <c r="ZH37" s="107" t="n">
        <f aca="false">[1]ВИБУЛО2!HV29</f>
        <v>0</v>
      </c>
      <c r="ZI37" s="108" t="n">
        <f aca="false">ZI36-ZH37+ZG37</f>
        <v>0</v>
      </c>
      <c r="ZJ37" s="106" t="n">
        <f aca="false">[1]НАДІЙШЛО2!HW29</f>
        <v>0</v>
      </c>
      <c r="ZK37" s="107" t="n">
        <f aca="false">[1]ВИБУЛО2!HW29</f>
        <v>0</v>
      </c>
      <c r="ZL37" s="108" t="n">
        <f aca="false">ZL36-ZK37+ZJ37</f>
        <v>0</v>
      </c>
      <c r="ZM37" s="106" t="n">
        <f aca="false">[1]НАДІЙШЛО2!HX29</f>
        <v>0</v>
      </c>
      <c r="ZN37" s="107" t="n">
        <f aca="false">[1]ВИБУЛО2!HX29</f>
        <v>0</v>
      </c>
      <c r="ZO37" s="108" t="n">
        <f aca="false">ZO36-ZN37+ZM37</f>
        <v>0</v>
      </c>
      <c r="ZP37" s="106" t="n">
        <f aca="false">[1]НАДІЙШЛО2!HY29</f>
        <v>0</v>
      </c>
      <c r="ZQ37" s="107" t="n">
        <f aca="false">[1]ВИБУЛО2!HY29</f>
        <v>0</v>
      </c>
      <c r="ZR37" s="108" t="n">
        <f aca="false">ZR36-ZQ37+ZP37</f>
        <v>0</v>
      </c>
      <c r="ZS37" s="106" t="n">
        <f aca="false">[1]НАДІЙШЛО2!HZ29</f>
        <v>0</v>
      </c>
      <c r="ZT37" s="107" t="n">
        <f aca="false">[1]ВИБУЛО2!HZ29</f>
        <v>0</v>
      </c>
      <c r="ZU37" s="108" t="n">
        <f aca="false">ZU36-ZT37+ZS37</f>
        <v>0</v>
      </c>
      <c r="ZV37" s="106" t="n">
        <f aca="false">[1]НАДІЙШЛО2!IA29</f>
        <v>0</v>
      </c>
      <c r="ZW37" s="107" t="n">
        <f aca="false">[1]ВИБУЛО2!IA29</f>
        <v>0</v>
      </c>
      <c r="ZX37" s="108" t="n">
        <f aca="false">ZX36-ZW37+ZV37</f>
        <v>0</v>
      </c>
      <c r="ZY37" s="106" t="n">
        <f aca="false">[1]НАДІЙШЛО2!IB29</f>
        <v>0</v>
      </c>
      <c r="ZZ37" s="107" t="n">
        <f aca="false">[1]ВИБУЛО2!IB29</f>
        <v>0</v>
      </c>
      <c r="AAA37" s="108" t="n">
        <f aca="false">AAA36-ZZ37+ZY37</f>
        <v>0</v>
      </c>
      <c r="AAB37" s="106" t="n">
        <f aca="false">[1]НАДІЙШЛО2!IC29</f>
        <v>0</v>
      </c>
      <c r="AAC37" s="107" t="n">
        <f aca="false">[1]ВИБУЛО2!IC29</f>
        <v>0</v>
      </c>
      <c r="AAD37" s="108" t="n">
        <f aca="false">AAD36-AAC37+AAB37</f>
        <v>0</v>
      </c>
      <c r="AAE37" s="106" t="n">
        <f aca="false">[1]НАДІЙШЛО2!ID29</f>
        <v>0</v>
      </c>
      <c r="AAF37" s="107" t="n">
        <f aca="false">[1]ВИБУЛО2!ID29</f>
        <v>0</v>
      </c>
      <c r="AAG37" s="108" t="n">
        <f aca="false">AAG36-AAF37+AAE37</f>
        <v>0</v>
      </c>
      <c r="AAH37" s="106" t="n">
        <f aca="false">[1]НАДІЙШЛО2!IE29</f>
        <v>0</v>
      </c>
      <c r="AAI37" s="107" t="n">
        <f aca="false">[1]ВИБУЛО2!IE29</f>
        <v>0</v>
      </c>
      <c r="AAJ37" s="108" t="n">
        <f aca="false">AAJ36-AAI37+AAH37</f>
        <v>0</v>
      </c>
      <c r="AAK37" s="106" t="n">
        <f aca="false">[1]НАДІЙШЛО2!IF29</f>
        <v>0</v>
      </c>
      <c r="AAL37" s="107" t="n">
        <f aca="false">[1]ВИБУЛО2!IF29</f>
        <v>0</v>
      </c>
      <c r="AAM37" s="108" t="n">
        <f aca="false">AAM36-AAL37+AAK37</f>
        <v>0</v>
      </c>
      <c r="AAN37" s="106" t="n">
        <f aca="false">[1]НАДІЙШЛО2!IG29</f>
        <v>0</v>
      </c>
      <c r="AAO37" s="107" t="n">
        <f aca="false">[1]ВИБУЛО2!IG29</f>
        <v>0</v>
      </c>
      <c r="AAP37" s="108" t="n">
        <f aca="false">AAP36-AAO37+AAN37</f>
        <v>0</v>
      </c>
      <c r="AAQ37" s="106" t="n">
        <f aca="false">[1]НАДІЙШЛО2!IH29</f>
        <v>0</v>
      </c>
      <c r="AAR37" s="107" t="n">
        <f aca="false">[1]ВИБУЛО2!IH29</f>
        <v>0</v>
      </c>
      <c r="AAS37" s="108" t="n">
        <f aca="false">AAS36-AAR37+AAQ37</f>
        <v>0</v>
      </c>
      <c r="AAT37" s="106" t="n">
        <f aca="false">[1]НАДІЙШЛО2!II29</f>
        <v>0</v>
      </c>
      <c r="AAU37" s="107" t="n">
        <f aca="false">[1]ВИБУЛО2!II29</f>
        <v>0</v>
      </c>
      <c r="AAV37" s="108" t="n">
        <f aca="false">AAV36-AAU37+AAT37</f>
        <v>0</v>
      </c>
      <c r="AAW37" s="106" t="n">
        <f aca="false">[1]НАДІЙШЛО2!IJ29</f>
        <v>0</v>
      </c>
      <c r="AAX37" s="107" t="n">
        <f aca="false">[1]ВИБУЛО2!IJ29</f>
        <v>0</v>
      </c>
      <c r="AAY37" s="108" t="n">
        <f aca="false">AAY36-AAX37+AAW37</f>
        <v>0</v>
      </c>
      <c r="AAZ37" s="106" t="n">
        <f aca="false">[1]НАДІЙШЛО2!IK29</f>
        <v>0</v>
      </c>
      <c r="ABA37" s="107" t="n">
        <f aca="false">[1]ВИБУЛО2!IK29</f>
        <v>0</v>
      </c>
      <c r="ABB37" s="108" t="n">
        <f aca="false">ABB36-ABA37+AAZ37</f>
        <v>0</v>
      </c>
      <c r="ABC37" s="106" t="n">
        <f aca="false">[1]НАДІЙШЛО2!IL29</f>
        <v>0</v>
      </c>
      <c r="ABD37" s="107" t="n">
        <f aca="false">[1]ВИБУЛО2!IL29</f>
        <v>0</v>
      </c>
      <c r="ABE37" s="108" t="n">
        <f aca="false">ABE36-ABD37+ABC37</f>
        <v>0</v>
      </c>
      <c r="ABF37" s="106" t="n">
        <f aca="false">[1]НАДІЙШЛО2!IM29</f>
        <v>0</v>
      </c>
      <c r="ABG37" s="107" t="n">
        <f aca="false">[1]ВИБУЛО2!IM29</f>
        <v>0</v>
      </c>
      <c r="ABH37" s="108" t="n">
        <f aca="false">ABH36-ABG37+ABF37</f>
        <v>0</v>
      </c>
      <c r="ABI37" s="106" t="n">
        <f aca="false">[1]НАДІЙШЛО2!IN29</f>
        <v>0</v>
      </c>
      <c r="ABJ37" s="107" t="n">
        <f aca="false">[1]ВИБУЛО2!IN29</f>
        <v>0</v>
      </c>
      <c r="ABK37" s="108" t="n">
        <f aca="false">ABK36-ABJ37+ABI37</f>
        <v>0</v>
      </c>
      <c r="ABL37" s="106" t="n">
        <f aca="false">[1]НАДІЙШЛО2!IO29</f>
        <v>0</v>
      </c>
      <c r="ABM37" s="107" t="n">
        <f aca="false">[1]ВИБУЛО2!IO29</f>
        <v>0</v>
      </c>
      <c r="ABN37" s="108" t="n">
        <f aca="false">ABN36-ABM37+ABL37</f>
        <v>0</v>
      </c>
      <c r="ABO37" s="106" t="n">
        <f aca="false">[1]НАДІЙШЛО2!IP29</f>
        <v>0</v>
      </c>
      <c r="ABP37" s="107" t="n">
        <f aca="false">[1]ВИБУЛО2!IP29</f>
        <v>0</v>
      </c>
      <c r="ABQ37" s="108" t="n">
        <f aca="false">ABQ36-ABP37+ABO37</f>
        <v>0</v>
      </c>
      <c r="ABR37" s="106" t="n">
        <f aca="false">[1]НАДІЙШЛО2!IQ29</f>
        <v>0</v>
      </c>
      <c r="ABS37" s="107" t="n">
        <f aca="false">[1]ВИБУЛО2!IQ29</f>
        <v>0</v>
      </c>
      <c r="ABT37" s="108" t="n">
        <f aca="false">ABT36-ABS37+ABR37</f>
        <v>0</v>
      </c>
      <c r="ABU37" s="106" t="n">
        <f aca="false">[1]НАДІЙШЛО2!IR29</f>
        <v>0</v>
      </c>
      <c r="ABV37" s="107" t="n">
        <f aca="false">[1]ВИБУЛО2!IR29</f>
        <v>0</v>
      </c>
      <c r="ABW37" s="108" t="n">
        <f aca="false">ABW36-ABV37+ABU37</f>
        <v>0</v>
      </c>
      <c r="ABX37" s="106" t="n">
        <f aca="false">[1]НАДІЙШЛО2!IS29</f>
        <v>0</v>
      </c>
      <c r="ABY37" s="107" t="n">
        <f aca="false">[1]ВИБУЛО2!IS29</f>
        <v>0</v>
      </c>
      <c r="ABZ37" s="108" t="n">
        <f aca="false">ABZ36-ABY37+ABX37</f>
        <v>0</v>
      </c>
      <c r="ACA37" s="106" t="n">
        <f aca="false">[1]НАДІЙШЛО2!IT29</f>
        <v>0</v>
      </c>
      <c r="ACB37" s="107" t="n">
        <f aca="false">[1]ВИБУЛО2!IT29</f>
        <v>0</v>
      </c>
      <c r="ACC37" s="108" t="n">
        <f aca="false">ACC36-ACB37+ACA37</f>
        <v>0</v>
      </c>
      <c r="ACD37" s="106" t="n">
        <f aca="false">[1]НАДІЙШЛО2!IU29</f>
        <v>0</v>
      </c>
      <c r="ACE37" s="107" t="n">
        <f aca="false">[1]ВИБУЛО2!IU29</f>
        <v>0</v>
      </c>
      <c r="ACF37" s="108" t="n">
        <f aca="false">ACF36-ACE37+ACD37</f>
        <v>0</v>
      </c>
      <c r="ACG37" s="106" t="n">
        <f aca="false">[1]НАДІЙШЛО2!IV29</f>
        <v>0</v>
      </c>
      <c r="ACH37" s="107" t="n">
        <f aca="false">[1]ВИБУЛО2!IV29</f>
        <v>0</v>
      </c>
      <c r="ACI37" s="108" t="n">
        <f aca="false">ACI36-ACH37+ACG37</f>
        <v>0</v>
      </c>
      <c r="ACJ37" s="106" t="n">
        <f aca="false">[1]НАДІЙШЛО2!IW29</f>
        <v>0</v>
      </c>
      <c r="ACK37" s="107" t="n">
        <f aca="false">[1]ВИБУЛО2!IW29</f>
        <v>0</v>
      </c>
      <c r="ACL37" s="108" t="n">
        <f aca="false">ACL36-ACK37+ACJ37</f>
        <v>0</v>
      </c>
      <c r="ACM37" s="106" t="n">
        <f aca="false">[1]НАДІЙШЛО2!IX29</f>
        <v>0</v>
      </c>
      <c r="ACN37" s="107" t="n">
        <f aca="false">[1]ВИБУЛО2!IX29</f>
        <v>0</v>
      </c>
      <c r="ACO37" s="108" t="n">
        <f aca="false">ACO36-ACN37+ACM37</f>
        <v>0</v>
      </c>
      <c r="ACP37" s="106" t="n">
        <f aca="false">[1]НАДІЙШЛО2!IY29</f>
        <v>0</v>
      </c>
      <c r="ACQ37" s="107" t="n">
        <f aca="false">[1]ВИБУЛО2!IY29</f>
        <v>0</v>
      </c>
      <c r="ACR37" s="108" t="n">
        <f aca="false">ACR36-ACQ37+ACP37</f>
        <v>0</v>
      </c>
      <c r="ACS37" s="106" t="n">
        <f aca="false">[1]НАДІЙШЛО2!IZ29</f>
        <v>0</v>
      </c>
      <c r="ACT37" s="107" t="n">
        <f aca="false">[1]ВИБУЛО2!IZ29</f>
        <v>0</v>
      </c>
      <c r="ACU37" s="108" t="n">
        <f aca="false">ACU36-ACT37+ACS37</f>
        <v>0</v>
      </c>
      <c r="ACV37" s="106" t="n">
        <f aca="false">[1]НАДІЙШЛО2!JA29</f>
        <v>0</v>
      </c>
      <c r="ACW37" s="107" t="n">
        <f aca="false">[1]ВИБУЛО2!JA29</f>
        <v>0</v>
      </c>
      <c r="ACX37" s="108" t="n">
        <f aca="false">ACX36-ACW37+ACV37</f>
        <v>0</v>
      </c>
      <c r="ACY37" s="106" t="n">
        <f aca="false">[1]НАДІЙШЛО2!JB29</f>
        <v>0</v>
      </c>
      <c r="ACZ37" s="107" t="n">
        <f aca="false">[1]ВИБУЛО2!JB29</f>
        <v>0</v>
      </c>
      <c r="ADA37" s="108" t="n">
        <f aca="false">ADA36-ACZ37+ACY37</f>
        <v>0</v>
      </c>
      <c r="ADB37" s="106" t="n">
        <f aca="false">[1]НАДІЙШЛО2!JC29</f>
        <v>0</v>
      </c>
      <c r="ADC37" s="107" t="n">
        <f aca="false">[1]ВИБУЛО2!JC29</f>
        <v>0</v>
      </c>
      <c r="ADD37" s="108" t="n">
        <f aca="false">ADD36-ADC37+ADB37</f>
        <v>0</v>
      </c>
      <c r="ADE37" s="106" t="n">
        <f aca="false">[1]НАДІЙШЛО2!JD29</f>
        <v>0</v>
      </c>
      <c r="ADF37" s="107" t="n">
        <f aca="false">[1]ВИБУЛО2!JD29</f>
        <v>0</v>
      </c>
      <c r="ADG37" s="108" t="n">
        <f aca="false">ADG36-ADF37+ADE37</f>
        <v>0</v>
      </c>
      <c r="ADH37" s="106" t="n">
        <f aca="false">[1]НАДІЙШЛО2!JE29</f>
        <v>0</v>
      </c>
      <c r="ADI37" s="107" t="n">
        <f aca="false">[1]ВИБУЛО2!JE29</f>
        <v>0</v>
      </c>
      <c r="ADJ37" s="108" t="n">
        <f aca="false">ADJ36-ADI37+ADH37</f>
        <v>0</v>
      </c>
      <c r="ADK37" s="106" t="n">
        <f aca="false">[1]НАДІЙШЛО2!JF29</f>
        <v>0</v>
      </c>
      <c r="ADL37" s="107" t="n">
        <f aca="false">[1]ВИБУЛО2!JF29</f>
        <v>0</v>
      </c>
      <c r="ADM37" s="108" t="n">
        <f aca="false">ADM36-ADL37+ADK37</f>
        <v>0</v>
      </c>
      <c r="ADN37" s="106" t="n">
        <f aca="false">[1]НАДІЙШЛО2!JG29</f>
        <v>0</v>
      </c>
      <c r="ADO37" s="107" t="n">
        <f aca="false">[1]ВИБУЛО2!JG29</f>
        <v>0</v>
      </c>
      <c r="ADP37" s="108" t="n">
        <f aca="false">ADP36-ADO37+ADN37</f>
        <v>0</v>
      </c>
      <c r="ADQ37" s="106" t="n">
        <f aca="false">[1]НАДІЙШЛО2!JH29</f>
        <v>0</v>
      </c>
      <c r="ADR37" s="107" t="n">
        <f aca="false">[1]ВИБУЛО2!JH29</f>
        <v>0</v>
      </c>
      <c r="ADS37" s="108" t="n">
        <f aca="false">ADS36-ADR37+ADQ37</f>
        <v>0</v>
      </c>
      <c r="ADT37" s="106" t="n">
        <f aca="false">[1]НАДІЙШЛО2!JI29</f>
        <v>0</v>
      </c>
      <c r="ADU37" s="107" t="n">
        <f aca="false">[1]ВИБУЛО2!JI29</f>
        <v>0</v>
      </c>
      <c r="ADV37" s="108" t="n">
        <f aca="false">ADV36-ADU37+ADT37</f>
        <v>0</v>
      </c>
      <c r="ADW37" s="106" t="n">
        <f aca="false">[1]НАДІЙШЛО2!JJ29</f>
        <v>0</v>
      </c>
      <c r="ADX37" s="107" t="n">
        <f aca="false">[1]ВИБУЛО2!JJ29</f>
        <v>0</v>
      </c>
      <c r="ADY37" s="108" t="n">
        <f aca="false">ADY36-ADX37+ADW37</f>
        <v>0</v>
      </c>
      <c r="ADZ37" s="106" t="n">
        <f aca="false">[1]НАДІЙШЛО2!JK29</f>
        <v>0</v>
      </c>
      <c r="AEA37" s="107" t="n">
        <f aca="false">[1]ВИБУЛО2!JK29</f>
        <v>0</v>
      </c>
      <c r="AEB37" s="108" t="n">
        <f aca="false">AEB36-AEA37+ADZ37</f>
        <v>0</v>
      </c>
      <c r="AEC37" s="106" t="n">
        <f aca="false">[1]НАДІЙШЛО2!JL29</f>
        <v>0</v>
      </c>
      <c r="AED37" s="107" t="n">
        <f aca="false">[1]ВИБУЛО2!JL29</f>
        <v>0</v>
      </c>
      <c r="AEE37" s="108" t="n">
        <f aca="false">AEE36-AED37+AEC37</f>
        <v>0</v>
      </c>
      <c r="AEF37" s="106" t="n">
        <f aca="false">[1]НАДІЙШЛО2!JM29</f>
        <v>0</v>
      </c>
      <c r="AEG37" s="107" t="n">
        <f aca="false">[1]ВИБУЛО2!JM29</f>
        <v>0</v>
      </c>
      <c r="AEH37" s="108" t="n">
        <f aca="false">AEH36-AEG37+AEF37</f>
        <v>0</v>
      </c>
      <c r="AEI37" s="106" t="n">
        <f aca="false">[1]НАДІЙШЛО2!JN29</f>
        <v>0</v>
      </c>
      <c r="AEJ37" s="107" t="n">
        <f aca="false">[1]ВИБУЛО2!JN29</f>
        <v>0</v>
      </c>
      <c r="AEK37" s="108" t="n">
        <f aca="false">AEK36-AEJ37+AEI37</f>
        <v>0</v>
      </c>
      <c r="AEL37" s="106" t="n">
        <f aca="false">[1]НАДІЙШЛО2!JO29</f>
        <v>0</v>
      </c>
      <c r="AEM37" s="107" t="n">
        <f aca="false">[1]ВИБУЛО2!JO29</f>
        <v>0</v>
      </c>
      <c r="AEN37" s="108" t="n">
        <f aca="false">AEN36-AEM37+AEL37</f>
        <v>0</v>
      </c>
      <c r="AEO37" s="106" t="n">
        <f aca="false">[1]НАДІЙШЛО2!JP29</f>
        <v>0</v>
      </c>
      <c r="AEP37" s="107" t="n">
        <f aca="false">[1]ВИБУЛО2!JP29</f>
        <v>0</v>
      </c>
      <c r="AEQ37" s="108" t="n">
        <f aca="false">AEQ36-AEP37+AEO37</f>
        <v>0</v>
      </c>
      <c r="AER37" s="106" t="n">
        <f aca="false">[1]НАДІЙШЛО2!JQ29</f>
        <v>0</v>
      </c>
      <c r="AES37" s="107" t="n">
        <f aca="false">[1]ВИБУЛО2!JQ29</f>
        <v>0</v>
      </c>
      <c r="AET37" s="108" t="n">
        <f aca="false">AET36-AES37+AER37</f>
        <v>0</v>
      </c>
      <c r="AEU37" s="106" t="n">
        <f aca="false">[1]НАДІЙШЛО2!JR29</f>
        <v>0</v>
      </c>
      <c r="AEV37" s="107" t="n">
        <f aca="false">[1]ВИБУЛО2!JR29</f>
        <v>0</v>
      </c>
      <c r="AEW37" s="108" t="n">
        <f aca="false">AEW36-AEV37+AEU37</f>
        <v>0</v>
      </c>
      <c r="AEX37" s="106" t="n">
        <f aca="false">[1]НАДІЙШЛО2!JS29</f>
        <v>0</v>
      </c>
      <c r="AEY37" s="107" t="n">
        <f aca="false">[1]ВИБУЛО2!JS29</f>
        <v>0</v>
      </c>
      <c r="AEZ37" s="108" t="n">
        <f aca="false">AEZ36-AEY37+AEX37</f>
        <v>0</v>
      </c>
      <c r="AFA37" s="106" t="n">
        <f aca="false">[1]НАДІЙШЛО2!JT29</f>
        <v>0</v>
      </c>
      <c r="AFB37" s="107" t="n">
        <f aca="false">[1]ВИБУЛО2!JT29</f>
        <v>0</v>
      </c>
      <c r="AFC37" s="108" t="n">
        <f aca="false">AFC36-AFB37+AFA37</f>
        <v>0</v>
      </c>
      <c r="AFD37" s="106" t="n">
        <f aca="false">[1]НАДІЙШЛО2!JU29</f>
        <v>0</v>
      </c>
      <c r="AFE37" s="107" t="n">
        <f aca="false">[1]ВИБУЛО2!JU29</f>
        <v>0</v>
      </c>
      <c r="AFF37" s="108" t="n">
        <f aca="false">AFF36-AFE37+AFD37</f>
        <v>0</v>
      </c>
      <c r="AFG37" s="106" t="n">
        <f aca="false">[1]НАДІЙШЛО2!JV29</f>
        <v>0</v>
      </c>
      <c r="AFH37" s="107" t="n">
        <f aca="false">[1]ВИБУЛО2!JV29</f>
        <v>0</v>
      </c>
      <c r="AFI37" s="108" t="n">
        <f aca="false">AFI36-AFH37+AFG37</f>
        <v>0</v>
      </c>
      <c r="AFJ37" s="106" t="n">
        <f aca="false">[1]НАДІЙШЛО2!JW29</f>
        <v>0</v>
      </c>
      <c r="AFK37" s="107" t="n">
        <f aca="false">[1]ВИБУЛО2!JW29</f>
        <v>0</v>
      </c>
      <c r="AFL37" s="108" t="n">
        <f aca="false">AFL36-AFK37+AFJ37</f>
        <v>0</v>
      </c>
      <c r="AFM37" s="106" t="n">
        <f aca="false">[1]НАДІЙШЛО2!JX29</f>
        <v>0</v>
      </c>
      <c r="AFN37" s="107" t="n">
        <f aca="false">[1]ВИБУЛО2!JX29</f>
        <v>0</v>
      </c>
      <c r="AFO37" s="108" t="n">
        <f aca="false">AFO36-AFN37+AFM37</f>
        <v>0</v>
      </c>
      <c r="AFP37" s="106" t="n">
        <f aca="false">[1]НАДІЙШЛО2!JY29</f>
        <v>0</v>
      </c>
      <c r="AFQ37" s="107" t="n">
        <f aca="false">[1]ВИБУЛО2!JY29</f>
        <v>0</v>
      </c>
      <c r="AFR37" s="108" t="n">
        <f aca="false">AFR36-AFQ37+AFP37</f>
        <v>0</v>
      </c>
      <c r="AFS37" s="106" t="n">
        <f aca="false">[1]НАДІЙШЛО2!JZ29</f>
        <v>0</v>
      </c>
      <c r="AFT37" s="107" t="n">
        <f aca="false">[1]ВИБУЛО2!JZ29</f>
        <v>0</v>
      </c>
      <c r="AFU37" s="108" t="n">
        <f aca="false">AFU36-AFT37+AFS37</f>
        <v>0</v>
      </c>
      <c r="AFV37" s="106" t="n">
        <f aca="false">[1]НАДІЙШЛО2!KA29</f>
        <v>0</v>
      </c>
      <c r="AFW37" s="107" t="n">
        <f aca="false">[1]ВИБУЛО2!KA29</f>
        <v>0</v>
      </c>
      <c r="AFX37" s="108" t="n">
        <f aca="false">AFX36-AFW37+AFV37</f>
        <v>0</v>
      </c>
      <c r="AFY37" s="106" t="n">
        <f aca="false">[1]НАДІЙШЛО2!KB29</f>
        <v>0</v>
      </c>
      <c r="AFZ37" s="107" t="n">
        <f aca="false">[1]ВИБУЛО2!KB29</f>
        <v>0</v>
      </c>
      <c r="AGA37" s="108" t="n">
        <f aca="false">AGA36-AFZ37+AFY37</f>
        <v>0</v>
      </c>
      <c r="AGB37" s="106" t="n">
        <f aca="false">[1]НАДІЙШЛО2!KC29</f>
        <v>0</v>
      </c>
      <c r="AGC37" s="107" t="n">
        <f aca="false">[1]ВИБУЛО2!KC29</f>
        <v>0</v>
      </c>
      <c r="AGD37" s="108" t="n">
        <f aca="false">AGD36-AGC37+AGB37</f>
        <v>0</v>
      </c>
      <c r="AGE37" s="106" t="n">
        <f aca="false">[1]НАДІЙШЛО2!KD29</f>
        <v>0</v>
      </c>
      <c r="AGF37" s="107" t="n">
        <f aca="false">[1]ВИБУЛО2!KD29</f>
        <v>0</v>
      </c>
      <c r="AGG37" s="108" t="n">
        <f aca="false">AGG36-AGF37+AGE37</f>
        <v>0</v>
      </c>
      <c r="AGH37" s="106" t="n">
        <f aca="false">[1]НАДІЙШЛО2!KE29</f>
        <v>0</v>
      </c>
      <c r="AGI37" s="107" t="n">
        <f aca="false">[1]ВИБУЛО2!KE29</f>
        <v>0</v>
      </c>
      <c r="AGJ37" s="108" t="n">
        <f aca="false">AGJ36-AGI37+AGH37</f>
        <v>0</v>
      </c>
      <c r="AGK37" s="106" t="n">
        <f aca="false">[1]НАДІЙШЛО2!KF29</f>
        <v>0</v>
      </c>
      <c r="AGL37" s="107" t="n">
        <f aca="false">[1]ВИБУЛО2!KF29</f>
        <v>0</v>
      </c>
      <c r="AGM37" s="108" t="n">
        <f aca="false">AGM36-AGL37+AGK37</f>
        <v>0</v>
      </c>
      <c r="AGN37" s="106" t="n">
        <f aca="false">[1]НАДІЙШЛО2!KG29</f>
        <v>0</v>
      </c>
      <c r="AGO37" s="107" t="n">
        <f aca="false">[1]ВИБУЛО2!KG29</f>
        <v>0</v>
      </c>
      <c r="AGP37" s="108" t="n">
        <f aca="false">AGP36-AGO37+AGN37</f>
        <v>0</v>
      </c>
      <c r="AGQ37" s="106" t="n">
        <f aca="false">[1]НАДІЙШЛО2!KH29</f>
        <v>0</v>
      </c>
      <c r="AGR37" s="107" t="n">
        <f aca="false">[1]ВИБУЛО2!KH29</f>
        <v>0</v>
      </c>
      <c r="AGS37" s="108" t="n">
        <f aca="false">AGS36-AGR37+AGQ37</f>
        <v>0</v>
      </c>
      <c r="AGT37" s="106" t="n">
        <f aca="false">[1]НАДІЙШЛО2!KI29</f>
        <v>0</v>
      </c>
      <c r="AGU37" s="107" t="n">
        <f aca="false">[1]ВИБУЛО2!KI29</f>
        <v>0</v>
      </c>
      <c r="AGV37" s="108" t="n">
        <f aca="false">AGV36-AGU37+AGT37</f>
        <v>0</v>
      </c>
      <c r="AGW37" s="106" t="n">
        <f aca="false">[1]НАДІЙШЛО2!KJ29</f>
        <v>0</v>
      </c>
      <c r="AGX37" s="107" t="n">
        <f aca="false">[1]ВИБУЛО2!KJ29</f>
        <v>0</v>
      </c>
      <c r="AGY37" s="108" t="n">
        <f aca="false">AGY36-AGX37+AGW37</f>
        <v>0</v>
      </c>
      <c r="AGZ37" s="106" t="n">
        <f aca="false">[1]НАДІЙШЛО2!KK29</f>
        <v>0</v>
      </c>
      <c r="AHA37" s="107" t="n">
        <f aca="false">[1]ВИБУЛО2!KK29</f>
        <v>0</v>
      </c>
      <c r="AHB37" s="108" t="n">
        <f aca="false">AHB36-AHA37+AGZ37</f>
        <v>0</v>
      </c>
      <c r="AHC37" s="106" t="n">
        <f aca="false">[1]НАДІЙШЛО2!KL29</f>
        <v>0</v>
      </c>
      <c r="AHD37" s="107" t="n">
        <f aca="false">[1]ВИБУЛО2!KL29</f>
        <v>0</v>
      </c>
      <c r="AHE37" s="108" t="n">
        <f aca="false">AHE36-AHD37+AHC37</f>
        <v>0</v>
      </c>
      <c r="AHF37" s="106" t="n">
        <f aca="false">[1]НАДІЙШЛО2!KM29</f>
        <v>0</v>
      </c>
      <c r="AHG37" s="107" t="n">
        <f aca="false">[1]ВИБУЛО2!KM29</f>
        <v>0</v>
      </c>
      <c r="AHH37" s="108" t="n">
        <f aca="false">AHH36-AHG37+AHF37</f>
        <v>0</v>
      </c>
      <c r="AHI37" s="106" t="n">
        <f aca="false">[1]НАДІЙШЛО2!KN29</f>
        <v>0</v>
      </c>
      <c r="AHJ37" s="107" t="n">
        <f aca="false">[1]ВИБУЛО2!KN29</f>
        <v>0</v>
      </c>
      <c r="AHK37" s="108" t="n">
        <f aca="false">AHK36-AHJ37+AHI37</f>
        <v>0</v>
      </c>
      <c r="AHL37" s="106" t="n">
        <f aca="false">[1]НАДІЙШЛО2!KO29</f>
        <v>0</v>
      </c>
      <c r="AHM37" s="107" t="n">
        <f aca="false">[1]ВИБУЛО2!KO29</f>
        <v>0</v>
      </c>
      <c r="AHN37" s="108" t="n">
        <f aca="false">AHN36-AHM37+AHL37</f>
        <v>0</v>
      </c>
      <c r="AHO37" s="106" t="n">
        <f aca="false">[1]НАДІЙШЛО2!KP29</f>
        <v>0</v>
      </c>
      <c r="AHP37" s="107" t="n">
        <f aca="false">[1]ВИБУЛО2!KP29</f>
        <v>0</v>
      </c>
      <c r="AHQ37" s="108" t="n">
        <f aca="false">AHQ36-AHP37+AHO37</f>
        <v>0</v>
      </c>
      <c r="AHR37" s="106" t="n">
        <f aca="false">[1]НАДІЙШЛО2!KQ29</f>
        <v>0</v>
      </c>
      <c r="AHS37" s="107" t="n">
        <f aca="false">[1]ВИБУЛО2!KQ29</f>
        <v>0</v>
      </c>
      <c r="AHT37" s="108" t="n">
        <f aca="false">AHT36-AHS37+AHR37</f>
        <v>0</v>
      </c>
      <c r="AHU37" s="106" t="n">
        <f aca="false">[1]НАДІЙШЛО2!KR29</f>
        <v>0</v>
      </c>
      <c r="AHV37" s="107" t="n">
        <f aca="false">[1]ВИБУЛО2!KR29</f>
        <v>0</v>
      </c>
      <c r="AHW37" s="108" t="n">
        <f aca="false">AHW36-AHV37+AHU37</f>
        <v>0</v>
      </c>
      <c r="AHX37" s="106" t="n">
        <f aca="false">[1]НАДІЙШЛО2!KS29</f>
        <v>0</v>
      </c>
      <c r="AHY37" s="107" t="n">
        <f aca="false">[1]ВИБУЛО2!KS29</f>
        <v>0</v>
      </c>
      <c r="AHZ37" s="108" t="n">
        <f aca="false">AHZ36-AHY37+AHX37</f>
        <v>0</v>
      </c>
      <c r="AIA37" s="106" t="n">
        <f aca="false">[1]НАДІЙШЛО2!KT29</f>
        <v>0</v>
      </c>
      <c r="AIB37" s="107" t="n">
        <f aca="false">[1]ВИБУЛО2!KT29</f>
        <v>0</v>
      </c>
      <c r="AIC37" s="108" t="n">
        <f aca="false">AIC36-AIB37+AIA37</f>
        <v>0</v>
      </c>
      <c r="AID37" s="106" t="n">
        <f aca="false">[1]НАДІЙШЛО2!KU29</f>
        <v>0</v>
      </c>
      <c r="AIE37" s="107" t="n">
        <f aca="false">[1]ВИБУЛО2!KU29</f>
        <v>0</v>
      </c>
      <c r="AIF37" s="108" t="n">
        <f aca="false">AIF36-AIE37+AID37</f>
        <v>0</v>
      </c>
      <c r="AIG37" s="106" t="n">
        <f aca="false">[1]НАДІЙШЛО2!KV29</f>
        <v>0</v>
      </c>
      <c r="AIH37" s="107" t="n">
        <f aca="false">[1]ВИБУЛО2!KV29</f>
        <v>0</v>
      </c>
      <c r="AII37" s="108" t="n">
        <f aca="false">AII36-AIH37+AIG37</f>
        <v>0</v>
      </c>
      <c r="AIJ37" s="106" t="n">
        <f aca="false">[1]НАДІЙШЛО2!KW29</f>
        <v>0</v>
      </c>
      <c r="AIK37" s="107" t="n">
        <f aca="false">[1]ВИБУЛО2!KW29</f>
        <v>0</v>
      </c>
      <c r="AIL37" s="108" t="n">
        <f aca="false">AIL36-AIK37+AIJ37</f>
        <v>0</v>
      </c>
      <c r="AIM37" s="106" t="n">
        <f aca="false">[1]НАДІЙШЛО2!KX29</f>
        <v>0</v>
      </c>
      <c r="AIN37" s="107" t="n">
        <f aca="false">[1]ВИБУЛО2!KX29</f>
        <v>0</v>
      </c>
      <c r="AIO37" s="108" t="n">
        <f aca="false">AIO36-AIN37+AIM37</f>
        <v>0</v>
      </c>
      <c r="AIP37" s="106" t="n">
        <f aca="false">[1]НАДІЙШЛО2!KY29</f>
        <v>0</v>
      </c>
      <c r="AIQ37" s="107" t="n">
        <f aca="false">[1]ВИБУЛО2!KY29</f>
        <v>0</v>
      </c>
      <c r="AIR37" s="108" t="n">
        <f aca="false">AIR36-AIQ37+AIP37</f>
        <v>0</v>
      </c>
      <c r="AIS37" s="106" t="n">
        <f aca="false">[1]НАДІЙШЛО2!KZ29</f>
        <v>0</v>
      </c>
      <c r="AIT37" s="107" t="n">
        <f aca="false">[1]ВИБУЛО2!KZ29</f>
        <v>0</v>
      </c>
      <c r="AIU37" s="108" t="n">
        <f aca="false">AIU36-AIT37+AIS37</f>
        <v>0</v>
      </c>
      <c r="AIV37" s="106" t="n">
        <f aca="false">[1]НАДІЙШЛО2!LA29</f>
        <v>0</v>
      </c>
      <c r="AIW37" s="107" t="n">
        <f aca="false">[1]ВИБУЛО2!LA29</f>
        <v>0</v>
      </c>
      <c r="AIX37" s="108" t="n">
        <f aca="false">AIX36-AIW37+AIV37</f>
        <v>0</v>
      </c>
      <c r="AIY37" s="106" t="n">
        <f aca="false">[1]НАДІЙШЛО2!LB29</f>
        <v>0</v>
      </c>
      <c r="AIZ37" s="107" t="n">
        <f aca="false">[1]ВИБУЛО2!LB29</f>
        <v>0</v>
      </c>
      <c r="AJA37" s="108" t="n">
        <f aca="false">AJA36-AIZ37+AIY37</f>
        <v>0</v>
      </c>
      <c r="AJB37" s="106" t="n">
        <f aca="false">[1]НАДІЙШЛО2!LC29</f>
        <v>0</v>
      </c>
      <c r="AJC37" s="107" t="n">
        <f aca="false">[1]ВИБУЛО2!LC29</f>
        <v>0</v>
      </c>
      <c r="AJD37" s="108" t="n">
        <f aca="false">AJD36-AJC37+AJB37</f>
        <v>0</v>
      </c>
      <c r="AJE37" s="106" t="n">
        <f aca="false">[1]НАДІЙШЛО2!LD29</f>
        <v>0</v>
      </c>
      <c r="AJF37" s="107" t="n">
        <f aca="false">[1]ВИБУЛО2!LD29</f>
        <v>0</v>
      </c>
      <c r="AJG37" s="108" t="n">
        <f aca="false">AJG36-AJF37+AJE37</f>
        <v>0</v>
      </c>
      <c r="AJH37" s="106" t="n">
        <f aca="false">[1]НАДІЙШЛО2!LE29</f>
        <v>0</v>
      </c>
      <c r="AJI37" s="107" t="n">
        <f aca="false">[1]ВИБУЛО2!LE29</f>
        <v>0</v>
      </c>
      <c r="AJJ37" s="108" t="n">
        <f aca="false">AJJ36-AJI37+AJH37</f>
        <v>0</v>
      </c>
      <c r="AJK37" s="106" t="n">
        <f aca="false">[1]НАДІЙШЛО2!LF29</f>
        <v>0</v>
      </c>
      <c r="AJL37" s="107" t="n">
        <f aca="false">[1]ВИБУЛО2!LF29</f>
        <v>0</v>
      </c>
      <c r="AJM37" s="108" t="n">
        <f aca="false">AJM36-AJL37+AJK37</f>
        <v>0</v>
      </c>
      <c r="AJN37" s="106" t="n">
        <f aca="false">[1]НАДІЙШЛО2!LG29</f>
        <v>0</v>
      </c>
      <c r="AJO37" s="107" t="n">
        <f aca="false">[1]ВИБУЛО2!LG29</f>
        <v>0</v>
      </c>
      <c r="AJP37" s="108" t="n">
        <f aca="false">AJP36-AJO37+AJN37</f>
        <v>0</v>
      </c>
      <c r="AJQ37" s="106" t="n">
        <f aca="false">[1]НАДІЙШЛО2!LH29</f>
        <v>0</v>
      </c>
      <c r="AJR37" s="107" t="n">
        <f aca="false">[1]ВИБУЛО2!LH29</f>
        <v>0</v>
      </c>
      <c r="AJS37" s="108" t="n">
        <f aca="false">AJS36-AJR37+AJQ37</f>
        <v>0</v>
      </c>
      <c r="AJT37" s="106" t="n">
        <f aca="false">[1]НАДІЙШЛО2!LI29</f>
        <v>0</v>
      </c>
      <c r="AJU37" s="107" t="n">
        <f aca="false">[1]ВИБУЛО2!LI29</f>
        <v>0</v>
      </c>
      <c r="AJV37" s="108" t="n">
        <f aca="false">AJV36-AJU37+AJT37</f>
        <v>0</v>
      </c>
      <c r="AJW37" s="106" t="n">
        <f aca="false">[1]НАДІЙШЛО2!LJ29</f>
        <v>0</v>
      </c>
      <c r="AJX37" s="107" t="n">
        <f aca="false">[1]ВИБУЛО2!LJ29</f>
        <v>0</v>
      </c>
      <c r="AJY37" s="108" t="n">
        <f aca="false">AJY36-AJX37+AJW37</f>
        <v>0</v>
      </c>
      <c r="AJZ37" s="106" t="n">
        <f aca="false">[1]НАДІЙШЛО2!LK29</f>
        <v>0</v>
      </c>
      <c r="AKA37" s="107" t="n">
        <f aca="false">[1]ВИБУЛО2!LK29</f>
        <v>0</v>
      </c>
      <c r="AKB37" s="108" t="n">
        <f aca="false">AKB36-AKA37+AJZ37</f>
        <v>0</v>
      </c>
      <c r="AKC37" s="106" t="n">
        <f aca="false">[1]НАДІЙШЛО2!LL29</f>
        <v>0</v>
      </c>
      <c r="AKD37" s="107" t="n">
        <f aca="false">[1]ВИБУЛО2!LL29</f>
        <v>0</v>
      </c>
      <c r="AKE37" s="108" t="n">
        <f aca="false">AKE36-AKD37+AKC37</f>
        <v>0</v>
      </c>
      <c r="AKF37" s="106" t="n">
        <f aca="false">[1]НАДІЙШЛО2!LM29</f>
        <v>0</v>
      </c>
      <c r="AKG37" s="107" t="n">
        <f aca="false">[1]ВИБУЛО2!LM29</f>
        <v>0</v>
      </c>
      <c r="AKH37" s="108" t="n">
        <f aca="false">AKH36-AKG37+AKF37</f>
        <v>0</v>
      </c>
      <c r="AKI37" s="106" t="n">
        <f aca="false">[1]НАДІЙШЛО2!LN29</f>
        <v>0</v>
      </c>
      <c r="AKJ37" s="107" t="n">
        <f aca="false">[1]ВИБУЛО2!LN29</f>
        <v>0</v>
      </c>
      <c r="AKK37" s="108" t="n">
        <f aca="false">AKK36-AKJ37+AKI37</f>
        <v>0</v>
      </c>
      <c r="AKL37" s="106" t="n">
        <f aca="false">[1]НАДІЙШЛО2!LO29</f>
        <v>0</v>
      </c>
      <c r="AKM37" s="107" t="n">
        <f aca="false">[1]ВИБУЛО2!LO29</f>
        <v>0</v>
      </c>
      <c r="AKN37" s="108" t="n">
        <f aca="false">AKN36-AKM37+AKL37</f>
        <v>0</v>
      </c>
      <c r="AKO37" s="106" t="n">
        <f aca="false">[1]НАДІЙШЛО2!LP29</f>
        <v>0</v>
      </c>
      <c r="AKP37" s="107" t="n">
        <f aca="false">[1]ВИБУЛО2!LP29</f>
        <v>0</v>
      </c>
      <c r="AKQ37" s="108" t="n">
        <f aca="false">AKQ36-AKP37+AKO37</f>
        <v>0</v>
      </c>
      <c r="AKR37" s="106" t="n">
        <f aca="false">[1]НАДІЙШЛО2!LQ29</f>
        <v>0</v>
      </c>
      <c r="AKS37" s="107" t="n">
        <f aca="false">[1]ВИБУЛО2!LQ29</f>
        <v>0</v>
      </c>
      <c r="AKT37" s="108" t="n">
        <f aca="false">AKT36-AKS37+AKR37</f>
        <v>0</v>
      </c>
      <c r="AKU37" s="106" t="n">
        <f aca="false">[1]НАДІЙШЛО2!LR29</f>
        <v>0</v>
      </c>
      <c r="AKV37" s="107" t="n">
        <f aca="false">[1]ВИБУЛО2!LR29</f>
        <v>0</v>
      </c>
      <c r="AKW37" s="108" t="n">
        <f aca="false">AKW36-AKV37+AKU37</f>
        <v>0</v>
      </c>
      <c r="AKX37" s="106" t="n">
        <f aca="false">[1]НАДІЙШЛО2!LS29</f>
        <v>0</v>
      </c>
      <c r="AKY37" s="107" t="n">
        <f aca="false">[1]ВИБУЛО2!LS29</f>
        <v>0</v>
      </c>
      <c r="AKZ37" s="108" t="n">
        <f aca="false">AKZ36-AKY37+AKX37</f>
        <v>0</v>
      </c>
      <c r="ALA37" s="106" t="n">
        <f aca="false">[1]НАДІЙШЛО2!LT29</f>
        <v>0</v>
      </c>
      <c r="ALB37" s="107" t="n">
        <f aca="false">[1]ВИБУЛО2!LT29</f>
        <v>0</v>
      </c>
      <c r="ALC37" s="108" t="n">
        <f aca="false">ALC36-ALB37+ALA37</f>
        <v>0</v>
      </c>
      <c r="ALD37" s="106" t="n">
        <f aca="false">[1]НАДІЙШЛО2!LU29</f>
        <v>0</v>
      </c>
      <c r="ALE37" s="107" t="n">
        <f aca="false">[1]ВИБУЛО2!LU29</f>
        <v>0</v>
      </c>
      <c r="ALF37" s="108" t="n">
        <f aca="false">ALF36-ALE37+ALD37</f>
        <v>0</v>
      </c>
      <c r="ALG37" s="106" t="n">
        <f aca="false">[1]НАДІЙШЛО2!LV29</f>
        <v>0</v>
      </c>
      <c r="ALH37" s="107" t="n">
        <f aca="false">[1]ВИБУЛО2!LV29</f>
        <v>0</v>
      </c>
      <c r="ALI37" s="108" t="n">
        <f aca="false">ALI36-ALH37+ALG37</f>
        <v>0</v>
      </c>
      <c r="ALJ37" s="106" t="n">
        <f aca="false">[1]НАДІЙШЛО2!LW29</f>
        <v>0</v>
      </c>
      <c r="ALK37" s="107" t="n">
        <f aca="false">[1]ВИБУЛО2!LW29</f>
        <v>0</v>
      </c>
      <c r="ALL37" s="108" t="n">
        <f aca="false">ALL36-ALK37+ALJ37</f>
        <v>0</v>
      </c>
      <c r="ALM37" s="106" t="n">
        <f aca="false">[1]НАДІЙШЛО2!LX29</f>
        <v>0</v>
      </c>
      <c r="ALN37" s="107" t="n">
        <f aca="false">[1]ВИБУЛО2!LX29</f>
        <v>0</v>
      </c>
      <c r="ALO37" s="108" t="n">
        <f aca="false">ALO36-ALN37+ALM37</f>
        <v>0</v>
      </c>
      <c r="ALP37" s="106" t="n">
        <f aca="false">[1]НАДІЙШЛО2!LY29</f>
        <v>0</v>
      </c>
      <c r="ALQ37" s="107" t="n">
        <f aca="false">[1]ВИБУЛО2!LY29</f>
        <v>0</v>
      </c>
      <c r="ALR37" s="108" t="n">
        <f aca="false">ALR36-ALQ37+ALP37</f>
        <v>0</v>
      </c>
      <c r="ALS37" s="106" t="n">
        <f aca="false">[1]НАДІЙШЛО2!LZ29</f>
        <v>0</v>
      </c>
      <c r="ALT37" s="107" t="n">
        <f aca="false">[1]ВИБУЛО2!LZ29</f>
        <v>0</v>
      </c>
      <c r="ALU37" s="108" t="n">
        <f aca="false">ALU36-ALT37+ALS37</f>
        <v>0</v>
      </c>
      <c r="ALV37" s="106" t="n">
        <f aca="false">[1]НАДІЙШЛО2!MA29</f>
        <v>0</v>
      </c>
      <c r="ALW37" s="107" t="n">
        <f aca="false">[1]ВИБУЛО2!MA29</f>
        <v>0</v>
      </c>
      <c r="ALX37" s="108" t="n">
        <f aca="false">ALX36-ALW37+ALV37</f>
        <v>0</v>
      </c>
      <c r="ALY37" s="106" t="n">
        <f aca="false">[1]НАДІЙШЛО2!MB29</f>
        <v>0</v>
      </c>
      <c r="ALZ37" s="107" t="n">
        <f aca="false">[1]ВИБУЛО2!MB29</f>
        <v>0</v>
      </c>
      <c r="AMA37" s="108" t="n">
        <f aca="false">AMA36-ALZ37+ALY37</f>
        <v>0</v>
      </c>
      <c r="AMB37" s="106" t="n">
        <f aca="false">[1]НАДІЙШЛО2!MC29</f>
        <v>0</v>
      </c>
      <c r="AMC37" s="107" t="n">
        <f aca="false">[1]ВИБУЛО2!MC29</f>
        <v>0</v>
      </c>
      <c r="AMD37" s="108" t="n">
        <f aca="false">AMD36-AMC37+AMB37</f>
        <v>0</v>
      </c>
      <c r="AME37" s="106" t="n">
        <f aca="false">[1]НАДІЙШЛО2!MD29</f>
        <v>0</v>
      </c>
      <c r="AMF37" s="107" t="n">
        <f aca="false">[1]ВИБУЛО2!MD29</f>
        <v>0</v>
      </c>
      <c r="AMG37" s="108" t="n">
        <f aca="false">AMG36-AMF37+AME37</f>
        <v>0</v>
      </c>
      <c r="AMH37" s="106" t="n">
        <f aca="false">[1]НАДІЙШЛО2!ME29</f>
        <v>0</v>
      </c>
      <c r="AMI37" s="107" t="n">
        <f aca="false">[1]ВИБУЛО2!ME29</f>
        <v>0</v>
      </c>
      <c r="AMJ37" s="108" t="n">
        <f aca="false">AMJ36-AMI37+AMH37</f>
        <v>0</v>
      </c>
    </row>
    <row r="38" s="109" customFormat="true" ht="17.25" hidden="false" customHeight="false" outlineLevel="0" collapsed="false">
      <c r="B38" s="110"/>
      <c r="C38" s="111"/>
      <c r="D38" s="112"/>
      <c r="E38" s="113" t="n">
        <f aca="false">[1]НАДІЙШЛО2!D30</f>
        <v>0</v>
      </c>
      <c r="F38" s="114" t="n">
        <f aca="false">[1]ВИБУЛО2!D30</f>
        <v>0</v>
      </c>
      <c r="G38" s="115" t="n">
        <f aca="false">G37-F38+E38</f>
        <v>0</v>
      </c>
      <c r="H38" s="113" t="n">
        <f aca="false">[1]НАДІЙШЛО2!E30</f>
        <v>0</v>
      </c>
      <c r="I38" s="114" t="n">
        <f aca="false">[1]ВИБУЛО2!E30</f>
        <v>0</v>
      </c>
      <c r="J38" s="115" t="n">
        <f aca="false">J37-I38+H38</f>
        <v>0</v>
      </c>
      <c r="K38" s="113" t="n">
        <f aca="false">[1]НАДІЙШЛО2!F30</f>
        <v>0</v>
      </c>
      <c r="L38" s="114" t="n">
        <f aca="false">[1]ВИБУЛО2!F30</f>
        <v>0</v>
      </c>
      <c r="M38" s="115" t="n">
        <f aca="false">M37-L38+K38</f>
        <v>2.06</v>
      </c>
      <c r="N38" s="113" t="n">
        <f aca="false">[1]НАДІЙШЛО2!G30</f>
        <v>0</v>
      </c>
      <c r="O38" s="114" t="n">
        <f aca="false">[1]ВИБУЛО2!G30</f>
        <v>0</v>
      </c>
      <c r="P38" s="115" t="n">
        <f aca="false">P37-O38+N38</f>
        <v>0</v>
      </c>
      <c r="Q38" s="113" t="n">
        <f aca="false">[1]НАДІЙШЛО2!H30</f>
        <v>0</v>
      </c>
      <c r="R38" s="114" t="n">
        <f aca="false">[1]ВИБУЛО2!H30</f>
        <v>0</v>
      </c>
      <c r="S38" s="115" t="n">
        <f aca="false">S37-R38+Q38</f>
        <v>0</v>
      </c>
      <c r="T38" s="113" t="n">
        <f aca="false">[1]НАДІЙШЛО2!I30</f>
        <v>0</v>
      </c>
      <c r="U38" s="114" t="n">
        <f aca="false">[1]ВИБУЛО2!I30</f>
        <v>0</v>
      </c>
      <c r="V38" s="115" t="n">
        <f aca="false">V37-U38+T38</f>
        <v>0</v>
      </c>
      <c r="W38" s="113" t="n">
        <f aca="false">[1]НАДІЙШЛО2!J30</f>
        <v>0</v>
      </c>
      <c r="X38" s="114" t="n">
        <f aca="false">[1]ВИБУЛО2!J30</f>
        <v>0</v>
      </c>
      <c r="Y38" s="115" t="n">
        <f aca="false">Y37-X38+W38</f>
        <v>0</v>
      </c>
      <c r="Z38" s="113" t="n">
        <f aca="false">[1]НАДІЙШЛО2!K30</f>
        <v>0</v>
      </c>
      <c r="AA38" s="114" t="n">
        <f aca="false">[1]ВИБУЛО2!K30</f>
        <v>0</v>
      </c>
      <c r="AB38" s="115" t="n">
        <f aca="false">AB37-AA38+Z38</f>
        <v>0</v>
      </c>
      <c r="AC38" s="113" t="n">
        <f aca="false">[1]НАДІЙШЛО2!L30</f>
        <v>0</v>
      </c>
      <c r="AD38" s="114" t="n">
        <f aca="false">[1]ВИБУЛО2!L30</f>
        <v>0</v>
      </c>
      <c r="AE38" s="115" t="n">
        <f aca="false">AE37-AD38+AC38</f>
        <v>0</v>
      </c>
      <c r="AF38" s="113" t="n">
        <f aca="false">[1]НАДІЙШЛО2!M30</f>
        <v>0</v>
      </c>
      <c r="AG38" s="114" t="n">
        <f aca="false">[1]ВИБУЛО2!M30</f>
        <v>0</v>
      </c>
      <c r="AH38" s="115" t="n">
        <f aca="false">AH37-AG38+AF38</f>
        <v>0</v>
      </c>
      <c r="AI38" s="113" t="n">
        <f aca="false">[1]НАДІЙШЛО2!N30</f>
        <v>0</v>
      </c>
      <c r="AJ38" s="114" t="n">
        <f aca="false">[1]ВИБУЛО2!N30</f>
        <v>0</v>
      </c>
      <c r="AK38" s="115" t="n">
        <f aca="false">AK37-AJ38+AI38</f>
        <v>0</v>
      </c>
      <c r="AL38" s="113" t="n">
        <f aca="false">[1]НАДІЙШЛО2!O30</f>
        <v>0</v>
      </c>
      <c r="AM38" s="114" t="n">
        <f aca="false">[1]ВИБУЛО2!O30</f>
        <v>0</v>
      </c>
      <c r="AN38" s="115" t="n">
        <f aca="false">AN37-AM38+AL38</f>
        <v>0</v>
      </c>
      <c r="AO38" s="113" t="n">
        <f aca="false">[1]НАДІЙШЛО2!P30</f>
        <v>0</v>
      </c>
      <c r="AP38" s="114" t="n">
        <f aca="false">[1]ВИБУЛО2!P30</f>
        <v>0</v>
      </c>
      <c r="AQ38" s="115" t="n">
        <f aca="false">AQ37-AP38+AO38</f>
        <v>0</v>
      </c>
      <c r="AR38" s="113" t="n">
        <f aca="false">[1]НАДІЙШЛО2!Q30</f>
        <v>0</v>
      </c>
      <c r="AS38" s="114" t="n">
        <f aca="false">[1]ВИБУЛО2!Q30</f>
        <v>0</v>
      </c>
      <c r="AT38" s="115" t="n">
        <f aca="false">AT37-AS38+AR38</f>
        <v>0</v>
      </c>
      <c r="AU38" s="113" t="n">
        <f aca="false">[1]НАДІЙШЛО2!R30</f>
        <v>0</v>
      </c>
      <c r="AV38" s="114" t="n">
        <f aca="false">[1]ВИБУЛО2!R30</f>
        <v>0</v>
      </c>
      <c r="AW38" s="115" t="n">
        <f aca="false">AW37-AV38+AU38</f>
        <v>0</v>
      </c>
      <c r="AX38" s="113" t="n">
        <f aca="false">[1]НАДІЙШЛО2!S30</f>
        <v>0</v>
      </c>
      <c r="AY38" s="114" t="n">
        <f aca="false">[1]ВИБУЛО2!S30</f>
        <v>0</v>
      </c>
      <c r="AZ38" s="115" t="n">
        <f aca="false">AZ37-AY38+AX38</f>
        <v>0</v>
      </c>
      <c r="BA38" s="113" t="n">
        <f aca="false">[1]НАДІЙШЛО2!T30</f>
        <v>0</v>
      </c>
      <c r="BB38" s="114" t="n">
        <f aca="false">[1]ВИБУЛО2!T30</f>
        <v>0</v>
      </c>
      <c r="BC38" s="115" t="n">
        <f aca="false">BC37-BB38+BA38</f>
        <v>0</v>
      </c>
      <c r="BD38" s="113" t="n">
        <f aca="false">[1]НАДІЙШЛО2!U30</f>
        <v>0</v>
      </c>
      <c r="BE38" s="114" t="n">
        <f aca="false">[1]ВИБУЛО2!U30</f>
        <v>0</v>
      </c>
      <c r="BF38" s="115" t="n">
        <f aca="false">BF37-BE38+BD38</f>
        <v>0</v>
      </c>
      <c r="BG38" s="113" t="n">
        <f aca="false">[1]НАДІЙШЛО2!V30</f>
        <v>0</v>
      </c>
      <c r="BH38" s="114" t="n">
        <f aca="false">[1]ВИБУЛО2!V30</f>
        <v>0</v>
      </c>
      <c r="BI38" s="115" t="n">
        <f aca="false">BI37-BH38+BG38</f>
        <v>0</v>
      </c>
      <c r="BJ38" s="113" t="n">
        <f aca="false">[1]НАДІЙШЛО2!W30</f>
        <v>0</v>
      </c>
      <c r="BK38" s="114" t="n">
        <f aca="false">[1]ВИБУЛО2!W30</f>
        <v>0</v>
      </c>
      <c r="BL38" s="115" t="n">
        <f aca="false">BL37-BK38+BJ38</f>
        <v>0</v>
      </c>
      <c r="BM38" s="113" t="n">
        <f aca="false">[1]НАДІЙШЛО2!X30</f>
        <v>0</v>
      </c>
      <c r="BN38" s="114" t="n">
        <f aca="false">[1]ВИБУЛО2!X30</f>
        <v>0</v>
      </c>
      <c r="BO38" s="115" t="n">
        <f aca="false">BO37-BN38+BM38</f>
        <v>0</v>
      </c>
      <c r="BP38" s="113" t="n">
        <f aca="false">[1]НАДІЙШЛО2!Y30</f>
        <v>0</v>
      </c>
      <c r="BQ38" s="114" t="n">
        <f aca="false">[1]ВИБУЛО2!Y30</f>
        <v>0</v>
      </c>
      <c r="BR38" s="115" t="n">
        <f aca="false">BR37-BQ38+BP38</f>
        <v>0</v>
      </c>
      <c r="BS38" s="113" t="n">
        <f aca="false">[1]НАДІЙШЛО2!Z30</f>
        <v>0</v>
      </c>
      <c r="BT38" s="114" t="n">
        <f aca="false">[1]ВИБУЛО2!Z30</f>
        <v>0</v>
      </c>
      <c r="BU38" s="115" t="n">
        <f aca="false">BU37-BT38+BS38</f>
        <v>0</v>
      </c>
      <c r="BV38" s="113" t="n">
        <f aca="false">[1]НАДІЙШЛО2!AA30</f>
        <v>0</v>
      </c>
      <c r="BW38" s="114" t="n">
        <f aca="false">[1]ВИБУЛО2!AA30</f>
        <v>0</v>
      </c>
      <c r="BX38" s="115" t="n">
        <f aca="false">BX37-BW38+BV38</f>
        <v>0</v>
      </c>
      <c r="BY38" s="113" t="n">
        <f aca="false">[1]НАДІЙШЛО2!AB30</f>
        <v>0</v>
      </c>
      <c r="BZ38" s="114" t="n">
        <f aca="false">[1]ВИБУЛО2!AB30</f>
        <v>0</v>
      </c>
      <c r="CA38" s="115" t="n">
        <f aca="false">CA37-BZ38+BY38</f>
        <v>0</v>
      </c>
      <c r="CB38" s="113" t="n">
        <f aca="false">[1]НАДІЙШЛО2!AC30</f>
        <v>0</v>
      </c>
      <c r="CC38" s="114" t="n">
        <f aca="false">[1]ВИБУЛО2!AC30</f>
        <v>0</v>
      </c>
      <c r="CD38" s="115" t="n">
        <f aca="false">CD37-CC38+CB38</f>
        <v>0</v>
      </c>
      <c r="CE38" s="113" t="n">
        <f aca="false">[1]НАДІЙШЛО2!AD30</f>
        <v>0</v>
      </c>
      <c r="CF38" s="114" t="n">
        <f aca="false">[1]ВИБУЛО2!AD30</f>
        <v>0</v>
      </c>
      <c r="CG38" s="115" t="n">
        <f aca="false">CG37-CF38+CE38</f>
        <v>0</v>
      </c>
      <c r="CH38" s="113" t="n">
        <f aca="false">[1]НАДІЙШЛО2!AE30</f>
        <v>0</v>
      </c>
      <c r="CI38" s="114" t="n">
        <f aca="false">[1]ВИБУЛО2!AE30</f>
        <v>0</v>
      </c>
      <c r="CJ38" s="115" t="n">
        <f aca="false">CJ37-CI38+CH38</f>
        <v>0</v>
      </c>
      <c r="CK38" s="113" t="n">
        <f aca="false">[1]НАДІЙШЛО2!AF30</f>
        <v>0</v>
      </c>
      <c r="CL38" s="114" t="n">
        <f aca="false">[1]ВИБУЛО2!AF30</f>
        <v>0</v>
      </c>
      <c r="CM38" s="115" t="n">
        <f aca="false">CM37-CL38+CK38</f>
        <v>0</v>
      </c>
      <c r="CN38" s="113" t="n">
        <f aca="false">[1]НАДІЙШЛО2!AG30</f>
        <v>0</v>
      </c>
      <c r="CO38" s="114" t="n">
        <f aca="false">[1]ВИБУЛО2!AG30</f>
        <v>0</v>
      </c>
      <c r="CP38" s="115" t="n">
        <f aca="false">CP37-CO38+CN38</f>
        <v>0</v>
      </c>
      <c r="CQ38" s="113" t="n">
        <f aca="false">[1]НАДІЙШЛО2!AH30</f>
        <v>0</v>
      </c>
      <c r="CR38" s="114" t="n">
        <f aca="false">[1]ВИБУЛО2!AH30</f>
        <v>0</v>
      </c>
      <c r="CS38" s="115" t="n">
        <f aca="false">CS37-CR38+CQ38</f>
        <v>0</v>
      </c>
      <c r="CT38" s="113" t="n">
        <f aca="false">[1]НАДІЙШЛО2!AI30</f>
        <v>0</v>
      </c>
      <c r="CU38" s="114" t="n">
        <f aca="false">[1]ВИБУЛО2!AI30</f>
        <v>0</v>
      </c>
      <c r="CV38" s="115" t="n">
        <f aca="false">CV37-CU38+CT38</f>
        <v>0</v>
      </c>
      <c r="CW38" s="113" t="n">
        <f aca="false">[1]НАДІЙШЛО2!AJ30</f>
        <v>0</v>
      </c>
      <c r="CX38" s="114" t="n">
        <f aca="false">[1]ВИБУЛО2!AJ30</f>
        <v>0</v>
      </c>
      <c r="CY38" s="115" t="n">
        <f aca="false">CY37-CX38+CW38</f>
        <v>0</v>
      </c>
      <c r="CZ38" s="113" t="n">
        <f aca="false">[1]НАДІЙШЛО2!AK30</f>
        <v>0</v>
      </c>
      <c r="DA38" s="114" t="n">
        <f aca="false">[1]ВИБУЛО2!AK30</f>
        <v>0</v>
      </c>
      <c r="DB38" s="115" t="n">
        <f aca="false">DB37-DA38+CZ38</f>
        <v>0</v>
      </c>
      <c r="DC38" s="113" t="n">
        <f aca="false">[1]НАДІЙШЛО2!AL30</f>
        <v>0</v>
      </c>
      <c r="DD38" s="114" t="n">
        <f aca="false">[1]ВИБУЛО2!AL30</f>
        <v>0</v>
      </c>
      <c r="DE38" s="115" t="n">
        <f aca="false">DE37-DD38+DC38</f>
        <v>0</v>
      </c>
      <c r="DF38" s="113" t="n">
        <f aca="false">[1]НАДІЙШЛО2!AM30</f>
        <v>0</v>
      </c>
      <c r="DG38" s="114" t="n">
        <f aca="false">[1]ВИБУЛО2!AM30</f>
        <v>0</v>
      </c>
      <c r="DH38" s="115" t="n">
        <f aca="false">DH37-DG38+DF38</f>
        <v>0</v>
      </c>
      <c r="DI38" s="113" t="n">
        <f aca="false">[1]НАДІЙШЛО2!AN30</f>
        <v>0</v>
      </c>
      <c r="DJ38" s="114" t="n">
        <f aca="false">[1]ВИБУЛО2!AN30</f>
        <v>0</v>
      </c>
      <c r="DK38" s="115" t="n">
        <f aca="false">DK37-DJ38+DI38</f>
        <v>0</v>
      </c>
      <c r="DL38" s="113" t="n">
        <f aca="false">[1]НАДІЙШЛО2!AO30</f>
        <v>0</v>
      </c>
      <c r="DM38" s="114" t="n">
        <f aca="false">[1]ВИБУЛО2!AO30</f>
        <v>0</v>
      </c>
      <c r="DN38" s="115" t="n">
        <f aca="false">DN37-DM38+DL38</f>
        <v>0</v>
      </c>
      <c r="DO38" s="113" t="n">
        <f aca="false">[1]НАДІЙШЛО2!AP30</f>
        <v>0</v>
      </c>
      <c r="DP38" s="114" t="n">
        <f aca="false">[1]ВИБУЛО2!AP30</f>
        <v>0</v>
      </c>
      <c r="DQ38" s="115" t="n">
        <f aca="false">DQ37-DP38+DO38</f>
        <v>0</v>
      </c>
      <c r="DR38" s="113" t="n">
        <f aca="false">[1]НАДІЙШЛО2!AQ30</f>
        <v>0</v>
      </c>
      <c r="DS38" s="114" t="n">
        <f aca="false">[1]ВИБУЛО2!AQ30</f>
        <v>0</v>
      </c>
      <c r="DT38" s="115" t="n">
        <f aca="false">DT37-DS38+DR38</f>
        <v>0</v>
      </c>
      <c r="DU38" s="113" t="n">
        <f aca="false">[1]НАДІЙШЛО2!AR30</f>
        <v>0</v>
      </c>
      <c r="DV38" s="114" t="n">
        <f aca="false">[1]ВИБУЛО2!AR30</f>
        <v>0</v>
      </c>
      <c r="DW38" s="115" t="n">
        <f aca="false">DW37-DV38+DU38</f>
        <v>0</v>
      </c>
      <c r="DX38" s="113" t="n">
        <f aca="false">[1]НАДІЙШЛО2!AS30</f>
        <v>0</v>
      </c>
      <c r="DY38" s="114" t="n">
        <f aca="false">[1]ВИБУЛО2!AS30</f>
        <v>0</v>
      </c>
      <c r="DZ38" s="115" t="n">
        <f aca="false">DZ37-DY38+DX38</f>
        <v>0</v>
      </c>
      <c r="EA38" s="113" t="n">
        <f aca="false">[1]НАДІЙШЛО2!AT30</f>
        <v>0</v>
      </c>
      <c r="EB38" s="114" t="n">
        <f aca="false">[1]ВИБУЛО2!AT30</f>
        <v>0</v>
      </c>
      <c r="EC38" s="115" t="n">
        <f aca="false">EC37-EB38+EA38</f>
        <v>0</v>
      </c>
      <c r="ED38" s="113" t="n">
        <f aca="false">[1]НАДІЙШЛО2!AU30</f>
        <v>0</v>
      </c>
      <c r="EE38" s="114" t="n">
        <f aca="false">[1]ВИБУЛО2!AU30</f>
        <v>0</v>
      </c>
      <c r="EF38" s="115" t="n">
        <f aca="false">EF37-EE38+ED38</f>
        <v>0</v>
      </c>
      <c r="EG38" s="113" t="n">
        <f aca="false">[1]НАДІЙШЛО2!AV30</f>
        <v>0</v>
      </c>
      <c r="EH38" s="114" t="n">
        <f aca="false">[1]ВИБУЛО2!AV30</f>
        <v>0</v>
      </c>
      <c r="EI38" s="115" t="n">
        <f aca="false">EI37-EH38+EG38</f>
        <v>0</v>
      </c>
      <c r="EJ38" s="113" t="n">
        <f aca="false">[1]НАДІЙШЛО2!AW30</f>
        <v>0</v>
      </c>
      <c r="EK38" s="114" t="n">
        <f aca="false">[1]ВИБУЛО2!AW30</f>
        <v>0</v>
      </c>
      <c r="EL38" s="115" t="n">
        <f aca="false">EL37-EK38+EJ38</f>
        <v>0</v>
      </c>
      <c r="EM38" s="113" t="n">
        <f aca="false">[1]НАДІЙШЛО2!AX30</f>
        <v>0</v>
      </c>
      <c r="EN38" s="114" t="n">
        <f aca="false">[1]ВИБУЛО2!AX30</f>
        <v>0</v>
      </c>
      <c r="EO38" s="115" t="n">
        <f aca="false">EO37-EN38+EM38</f>
        <v>0</v>
      </c>
      <c r="EP38" s="113" t="n">
        <f aca="false">[1]НАДІЙШЛО2!AY30</f>
        <v>0</v>
      </c>
      <c r="EQ38" s="114" t="n">
        <f aca="false">[1]ВИБУЛО2!AY30</f>
        <v>0</v>
      </c>
      <c r="ER38" s="115" t="n">
        <f aca="false">ER37-EQ38+EP38</f>
        <v>0</v>
      </c>
      <c r="ES38" s="113" t="n">
        <f aca="false">[1]НАДІЙШЛО2!AZ30</f>
        <v>0</v>
      </c>
      <c r="ET38" s="114" t="n">
        <f aca="false">[1]ВИБУЛО2!AZ30</f>
        <v>0</v>
      </c>
      <c r="EU38" s="115" t="n">
        <f aca="false">EU37-ET38+ES38</f>
        <v>0</v>
      </c>
      <c r="EV38" s="113" t="n">
        <f aca="false">[1]НАДІЙШЛО2!BA30</f>
        <v>0</v>
      </c>
      <c r="EW38" s="114" t="n">
        <f aca="false">[1]ВИБУЛО2!BA30</f>
        <v>0</v>
      </c>
      <c r="EX38" s="115" t="n">
        <f aca="false">EX37-EW38+EV38</f>
        <v>0</v>
      </c>
      <c r="EY38" s="113" t="n">
        <f aca="false">[1]НАДІЙШЛО2!BB30</f>
        <v>0</v>
      </c>
      <c r="EZ38" s="114" t="n">
        <f aca="false">[1]ВИБУЛО2!BB30</f>
        <v>0</v>
      </c>
      <c r="FA38" s="115" t="n">
        <f aca="false">FA37-EZ38+EY38</f>
        <v>0</v>
      </c>
      <c r="FB38" s="113" t="n">
        <f aca="false">[1]НАДІЙШЛО2!BC30</f>
        <v>0</v>
      </c>
      <c r="FC38" s="114" t="n">
        <f aca="false">[1]ВИБУЛО2!BC30</f>
        <v>0</v>
      </c>
      <c r="FD38" s="115" t="n">
        <f aca="false">FD37-FC38+FB38</f>
        <v>0</v>
      </c>
      <c r="FE38" s="113" t="n">
        <f aca="false">[1]НАДІЙШЛО2!BD30</f>
        <v>0</v>
      </c>
      <c r="FF38" s="114" t="n">
        <f aca="false">[1]ВИБУЛО2!BD30</f>
        <v>0</v>
      </c>
      <c r="FG38" s="115" t="n">
        <f aca="false">FG37-FF38+FE38</f>
        <v>0</v>
      </c>
      <c r="FH38" s="113" t="n">
        <f aca="false">[1]НАДІЙШЛО2!BE30</f>
        <v>0</v>
      </c>
      <c r="FI38" s="114" t="n">
        <f aca="false">[1]ВИБУЛО2!BE30</f>
        <v>0</v>
      </c>
      <c r="FJ38" s="115" t="n">
        <f aca="false">FJ37-FI38+FH38</f>
        <v>0</v>
      </c>
      <c r="FK38" s="113" t="n">
        <f aca="false">[1]НАДІЙШЛО2!BF30</f>
        <v>0</v>
      </c>
      <c r="FL38" s="114" t="n">
        <f aca="false">[1]ВИБУЛО2!BF30</f>
        <v>0</v>
      </c>
      <c r="FM38" s="115" t="n">
        <f aca="false">FM37-FL38+FK38</f>
        <v>0</v>
      </c>
      <c r="FN38" s="113" t="n">
        <f aca="false">[1]НАДІЙШЛО2!BG30</f>
        <v>0</v>
      </c>
      <c r="FO38" s="114" t="n">
        <f aca="false">[1]ВИБУЛО2!BG30</f>
        <v>0</v>
      </c>
      <c r="FP38" s="115" t="n">
        <f aca="false">FP37-FO38+FN38</f>
        <v>0</v>
      </c>
      <c r="FQ38" s="113" t="n">
        <f aca="false">[1]НАДІЙШЛО2!BH30</f>
        <v>0</v>
      </c>
      <c r="FR38" s="114" t="n">
        <f aca="false">[1]ВИБУЛО2!BH30</f>
        <v>0</v>
      </c>
      <c r="FS38" s="115" t="n">
        <f aca="false">FS37-FR38+FQ38</f>
        <v>0</v>
      </c>
      <c r="FT38" s="113" t="n">
        <f aca="false">[1]НАДІЙШЛО2!BI30</f>
        <v>0</v>
      </c>
      <c r="FU38" s="114" t="n">
        <f aca="false">[1]ВИБУЛО2!BI30</f>
        <v>0</v>
      </c>
      <c r="FV38" s="115" t="n">
        <f aca="false">FV37-FU38+FT38</f>
        <v>0</v>
      </c>
      <c r="FW38" s="113" t="n">
        <f aca="false">[1]НАДІЙШЛО2!BJ30</f>
        <v>0</v>
      </c>
      <c r="FX38" s="114" t="n">
        <f aca="false">[1]ВИБУЛО2!BJ30</f>
        <v>0</v>
      </c>
      <c r="FY38" s="115" t="n">
        <f aca="false">FY37-FX38+FW38</f>
        <v>0</v>
      </c>
      <c r="FZ38" s="113" t="n">
        <f aca="false">[1]НАДІЙШЛО2!BK30</f>
        <v>0</v>
      </c>
      <c r="GA38" s="114" t="n">
        <f aca="false">[1]ВИБУЛО2!BK30</f>
        <v>0</v>
      </c>
      <c r="GB38" s="115" t="n">
        <f aca="false">GB37-GA38+FZ38</f>
        <v>0</v>
      </c>
      <c r="GC38" s="113" t="n">
        <f aca="false">[1]НАДІЙШЛО2!BL30</f>
        <v>0</v>
      </c>
      <c r="GD38" s="114" t="n">
        <f aca="false">[1]ВИБУЛО2!BL30</f>
        <v>0</v>
      </c>
      <c r="GE38" s="115" t="n">
        <f aca="false">GE37-GD38+GC38</f>
        <v>0</v>
      </c>
      <c r="GF38" s="113" t="n">
        <f aca="false">[1]НАДІЙШЛО2!BM30</f>
        <v>0</v>
      </c>
      <c r="GG38" s="114" t="n">
        <f aca="false">[1]ВИБУЛО2!BM30</f>
        <v>0</v>
      </c>
      <c r="GH38" s="115" t="n">
        <f aca="false">GH37-GG38+GF38</f>
        <v>0</v>
      </c>
      <c r="GI38" s="113" t="n">
        <f aca="false">[1]НАДІЙШЛО2!BN30</f>
        <v>0</v>
      </c>
      <c r="GJ38" s="114" t="n">
        <f aca="false">[1]ВИБУЛО2!BN30</f>
        <v>0</v>
      </c>
      <c r="GK38" s="115" t="n">
        <f aca="false">GK37-GJ38+GI38</f>
        <v>0</v>
      </c>
      <c r="GL38" s="113" t="n">
        <f aca="false">[1]НАДІЙШЛО2!BO30</f>
        <v>0</v>
      </c>
      <c r="GM38" s="114" t="n">
        <f aca="false">[1]ВИБУЛО2!BO30</f>
        <v>0</v>
      </c>
      <c r="GN38" s="115" t="n">
        <f aca="false">GN37-GM38+GL38</f>
        <v>0</v>
      </c>
      <c r="GO38" s="113" t="n">
        <f aca="false">[1]НАДІЙШЛО2!BP30</f>
        <v>0</v>
      </c>
      <c r="GP38" s="114" t="n">
        <f aca="false">[1]ВИБУЛО2!BP30</f>
        <v>0</v>
      </c>
      <c r="GQ38" s="115" t="n">
        <f aca="false">GQ37-GP38+GO38</f>
        <v>0</v>
      </c>
      <c r="GR38" s="113" t="n">
        <f aca="false">[1]НАДІЙШЛО2!BQ30</f>
        <v>0</v>
      </c>
      <c r="GS38" s="114" t="n">
        <f aca="false">[1]ВИБУЛО2!BQ30</f>
        <v>0</v>
      </c>
      <c r="GT38" s="115" t="n">
        <f aca="false">GT37-GS38+GR38</f>
        <v>0</v>
      </c>
      <c r="GU38" s="113" t="n">
        <f aca="false">[1]НАДІЙШЛО2!BR30</f>
        <v>0</v>
      </c>
      <c r="GV38" s="114" t="n">
        <f aca="false">[1]ВИБУЛО2!BR30</f>
        <v>0</v>
      </c>
      <c r="GW38" s="115" t="n">
        <f aca="false">GW37-GV38+GU38</f>
        <v>0</v>
      </c>
      <c r="GX38" s="113" t="n">
        <f aca="false">[1]НАДІЙШЛО2!BS30</f>
        <v>0</v>
      </c>
      <c r="GY38" s="114" t="n">
        <f aca="false">[1]ВИБУЛО2!BS30</f>
        <v>0</v>
      </c>
      <c r="GZ38" s="115" t="n">
        <f aca="false">GZ37-GY38+GX38</f>
        <v>0</v>
      </c>
      <c r="HA38" s="113" t="n">
        <f aca="false">[1]НАДІЙШЛО2!BT30</f>
        <v>0</v>
      </c>
      <c r="HB38" s="114" t="n">
        <f aca="false">[1]ВИБУЛО2!BT30</f>
        <v>0</v>
      </c>
      <c r="HC38" s="115" t="n">
        <f aca="false">HC37-HB38+HA38</f>
        <v>0</v>
      </c>
      <c r="HD38" s="113" t="n">
        <f aca="false">[1]НАДІЙШЛО2!BU30</f>
        <v>0</v>
      </c>
      <c r="HE38" s="114" t="n">
        <f aca="false">[1]ВИБУЛО2!BU30</f>
        <v>0</v>
      </c>
      <c r="HF38" s="115" t="n">
        <f aca="false">HF37-HE38+HD38</f>
        <v>0</v>
      </c>
      <c r="HG38" s="113" t="n">
        <f aca="false">[1]НАДІЙШЛО2!BV30</f>
        <v>0</v>
      </c>
      <c r="HH38" s="114" t="n">
        <f aca="false">[1]ВИБУЛО2!BV30</f>
        <v>0</v>
      </c>
      <c r="HI38" s="115" t="n">
        <f aca="false">HI37-HH38+HG38</f>
        <v>0</v>
      </c>
      <c r="HJ38" s="113" t="n">
        <f aca="false">[1]НАДІЙШЛО2!BW30</f>
        <v>0</v>
      </c>
      <c r="HK38" s="114" t="n">
        <f aca="false">[1]ВИБУЛО2!BW30</f>
        <v>0</v>
      </c>
      <c r="HL38" s="115" t="n">
        <f aca="false">HL37-HK38+HJ38</f>
        <v>0</v>
      </c>
      <c r="HM38" s="113" t="n">
        <f aca="false">[1]НАДІЙШЛО2!BX30</f>
        <v>0</v>
      </c>
      <c r="HN38" s="114" t="n">
        <f aca="false">[1]ВИБУЛО2!BX30</f>
        <v>0</v>
      </c>
      <c r="HO38" s="115" t="n">
        <f aca="false">HO37-HN38+HM38</f>
        <v>0</v>
      </c>
      <c r="HP38" s="113" t="n">
        <f aca="false">[1]НАДІЙШЛО2!BY30</f>
        <v>0</v>
      </c>
      <c r="HQ38" s="114" t="n">
        <f aca="false">[1]ВИБУЛО2!BY30</f>
        <v>0</v>
      </c>
      <c r="HR38" s="115" t="n">
        <f aca="false">HR37-HQ38+HP38</f>
        <v>0</v>
      </c>
      <c r="HS38" s="113" t="n">
        <f aca="false">[1]НАДІЙШЛО2!BZ30</f>
        <v>0</v>
      </c>
      <c r="HT38" s="114" t="n">
        <f aca="false">[1]ВИБУЛО2!BZ30</f>
        <v>0</v>
      </c>
      <c r="HU38" s="115" t="n">
        <f aca="false">HU37-HT38+HS38</f>
        <v>0</v>
      </c>
      <c r="HV38" s="113" t="n">
        <f aca="false">[1]НАДІЙШЛО2!CA30</f>
        <v>0</v>
      </c>
      <c r="HW38" s="114" t="n">
        <f aca="false">[1]ВИБУЛО2!CA30</f>
        <v>0</v>
      </c>
      <c r="HX38" s="115" t="n">
        <f aca="false">HX37-HW38+HV38</f>
        <v>0</v>
      </c>
      <c r="HY38" s="113" t="n">
        <f aca="false">[1]НАДІЙШЛО2!CB30</f>
        <v>0</v>
      </c>
      <c r="HZ38" s="114" t="n">
        <f aca="false">[1]ВИБУЛО2!CB30</f>
        <v>0</v>
      </c>
      <c r="IA38" s="115" t="n">
        <f aca="false">IA37-HZ38+HY38</f>
        <v>0</v>
      </c>
      <c r="IB38" s="113" t="n">
        <f aca="false">[1]НАДІЙШЛО2!CC30</f>
        <v>0</v>
      </c>
      <c r="IC38" s="114" t="n">
        <f aca="false">[1]ВИБУЛО2!CC30</f>
        <v>0</v>
      </c>
      <c r="ID38" s="115" t="n">
        <f aca="false">ID37-IC38+IB38</f>
        <v>0</v>
      </c>
      <c r="IE38" s="113" t="n">
        <f aca="false">[1]НАДІЙШЛО2!CD30</f>
        <v>0</v>
      </c>
      <c r="IF38" s="114" t="n">
        <f aca="false">[1]ВИБУЛО2!CD30</f>
        <v>0</v>
      </c>
      <c r="IG38" s="115" t="n">
        <f aca="false">IG37-IF38+IE38</f>
        <v>0</v>
      </c>
      <c r="IH38" s="113" t="n">
        <f aca="false">[1]НАДІЙШЛО2!CE30</f>
        <v>0</v>
      </c>
      <c r="II38" s="114" t="n">
        <f aca="false">[1]ВИБУЛО2!CE30</f>
        <v>0</v>
      </c>
      <c r="IJ38" s="115" t="n">
        <f aca="false">IJ37-II38+IH38</f>
        <v>0</v>
      </c>
      <c r="IK38" s="113" t="n">
        <f aca="false">[1]НАДІЙШЛО2!CF30</f>
        <v>0</v>
      </c>
      <c r="IL38" s="114" t="n">
        <f aca="false">[1]ВИБУЛО2!CF30</f>
        <v>0</v>
      </c>
      <c r="IM38" s="115" t="n">
        <f aca="false">IM37-IL38+IK38</f>
        <v>0</v>
      </c>
      <c r="IN38" s="113" t="n">
        <f aca="false">[1]НАДІЙШЛО2!CG30</f>
        <v>0</v>
      </c>
      <c r="IO38" s="114" t="n">
        <f aca="false">[1]ВИБУЛО2!CG30</f>
        <v>0</v>
      </c>
      <c r="IP38" s="115" t="n">
        <f aca="false">IP37-IO38+IN38</f>
        <v>0</v>
      </c>
      <c r="IQ38" s="113" t="n">
        <f aca="false">[1]НАДІЙШЛО2!CH30</f>
        <v>0</v>
      </c>
      <c r="IR38" s="114" t="n">
        <f aca="false">[1]ВИБУЛО2!CH30</f>
        <v>0</v>
      </c>
      <c r="IS38" s="115" t="n">
        <f aca="false">IS37-IR38+IQ38</f>
        <v>0</v>
      </c>
      <c r="IT38" s="113" t="n">
        <f aca="false">[1]НАДІЙШЛО2!CI30</f>
        <v>0</v>
      </c>
      <c r="IU38" s="114" t="n">
        <f aca="false">[1]ВИБУЛО2!CI30</f>
        <v>0</v>
      </c>
      <c r="IV38" s="115" t="n">
        <f aca="false">IV37-IU38+IT38</f>
        <v>0</v>
      </c>
      <c r="IW38" s="113" t="n">
        <f aca="false">[1]НАДІЙШЛО2!CJ30</f>
        <v>0</v>
      </c>
      <c r="IX38" s="114" t="n">
        <f aca="false">[1]ВИБУЛО2!CJ30</f>
        <v>0</v>
      </c>
      <c r="IY38" s="115" t="n">
        <f aca="false">IY37-IX38+IW38</f>
        <v>0</v>
      </c>
      <c r="IZ38" s="113" t="n">
        <f aca="false">[1]НАДІЙШЛО2!CK30</f>
        <v>0</v>
      </c>
      <c r="JA38" s="114" t="n">
        <f aca="false">[1]ВИБУЛО2!CK30</f>
        <v>0</v>
      </c>
      <c r="JB38" s="115" t="n">
        <f aca="false">JB37-JA38+IZ38</f>
        <v>0</v>
      </c>
      <c r="JC38" s="113" t="n">
        <f aca="false">[1]НАДІЙШЛО2!CL30</f>
        <v>0</v>
      </c>
      <c r="JD38" s="114" t="n">
        <f aca="false">[1]ВИБУЛО2!CL30</f>
        <v>0</v>
      </c>
      <c r="JE38" s="115" t="n">
        <f aca="false">JE37-JD38+JC38</f>
        <v>0</v>
      </c>
      <c r="JF38" s="113" t="n">
        <f aca="false">[1]НАДІЙШЛО2!CM30</f>
        <v>0</v>
      </c>
      <c r="JG38" s="114" t="n">
        <f aca="false">[1]ВИБУЛО2!CM30</f>
        <v>0</v>
      </c>
      <c r="JH38" s="115" t="n">
        <f aca="false">JH37-JG38+JF38</f>
        <v>0</v>
      </c>
      <c r="JI38" s="113" t="n">
        <f aca="false">[1]НАДІЙШЛО2!CN30</f>
        <v>0</v>
      </c>
      <c r="JJ38" s="114" t="n">
        <f aca="false">[1]ВИБУЛО2!CN30</f>
        <v>0</v>
      </c>
      <c r="JK38" s="115" t="n">
        <f aca="false">JK37-JJ38+JI38</f>
        <v>0</v>
      </c>
      <c r="JL38" s="113" t="n">
        <f aca="false">[1]НАДІЙШЛО2!CO30</f>
        <v>0</v>
      </c>
      <c r="JM38" s="114" t="n">
        <f aca="false">[1]ВИБУЛО2!CO30</f>
        <v>0</v>
      </c>
      <c r="JN38" s="115" t="n">
        <f aca="false">JN37-JM38+JL38</f>
        <v>0</v>
      </c>
      <c r="JO38" s="113" t="n">
        <f aca="false">[1]НАДІЙШЛО2!CP30</f>
        <v>0</v>
      </c>
      <c r="JP38" s="114" t="n">
        <f aca="false">[1]ВИБУЛО2!CP30</f>
        <v>0</v>
      </c>
      <c r="JQ38" s="115" t="n">
        <f aca="false">JQ37-JP38+JO38</f>
        <v>0</v>
      </c>
      <c r="JR38" s="113" t="n">
        <f aca="false">[1]НАДІЙШЛО2!CQ30</f>
        <v>0</v>
      </c>
      <c r="JS38" s="114" t="n">
        <f aca="false">[1]ВИБУЛО2!CQ30</f>
        <v>0</v>
      </c>
      <c r="JT38" s="115" t="n">
        <f aca="false">JT37-JS38+JR38</f>
        <v>0</v>
      </c>
      <c r="JU38" s="113" t="n">
        <f aca="false">[1]НАДІЙШЛО2!CR30</f>
        <v>0</v>
      </c>
      <c r="JV38" s="114" t="n">
        <f aca="false">[1]ВИБУЛО2!CR30</f>
        <v>0</v>
      </c>
      <c r="JW38" s="115" t="n">
        <f aca="false">JW37-JV38+JU38</f>
        <v>0</v>
      </c>
      <c r="JX38" s="113" t="n">
        <f aca="false">[1]НАДІЙШЛО2!CS30</f>
        <v>0</v>
      </c>
      <c r="JY38" s="114" t="n">
        <f aca="false">[1]ВИБУЛО2!CS30</f>
        <v>0</v>
      </c>
      <c r="JZ38" s="115" t="n">
        <f aca="false">JZ37-JY38+JX38</f>
        <v>0</v>
      </c>
      <c r="KA38" s="113" t="n">
        <f aca="false">[1]НАДІЙШЛО2!CT30</f>
        <v>0</v>
      </c>
      <c r="KB38" s="114" t="n">
        <f aca="false">[1]ВИБУЛО2!CT30</f>
        <v>0</v>
      </c>
      <c r="KC38" s="115" t="n">
        <f aca="false">KC37-KB38+KA38</f>
        <v>0</v>
      </c>
      <c r="KD38" s="113" t="n">
        <f aca="false">[1]НАДІЙШЛО2!CU30</f>
        <v>0</v>
      </c>
      <c r="KE38" s="114" t="n">
        <f aca="false">[1]ВИБУЛО2!CU30</f>
        <v>0</v>
      </c>
      <c r="KF38" s="115" t="n">
        <f aca="false">KF37-KE38+KD38</f>
        <v>0</v>
      </c>
      <c r="KG38" s="113" t="n">
        <f aca="false">[1]НАДІЙШЛО2!CV30</f>
        <v>0</v>
      </c>
      <c r="KH38" s="114" t="n">
        <f aca="false">[1]ВИБУЛО2!CV30</f>
        <v>0</v>
      </c>
      <c r="KI38" s="115" t="n">
        <f aca="false">KI37-KH38+KG38</f>
        <v>0</v>
      </c>
      <c r="KJ38" s="113" t="n">
        <f aca="false">[1]НАДІЙШЛО2!CW30</f>
        <v>0</v>
      </c>
      <c r="KK38" s="114" t="n">
        <f aca="false">[1]ВИБУЛО2!CW30</f>
        <v>0</v>
      </c>
      <c r="KL38" s="115" t="n">
        <f aca="false">KL37-KK38+KJ38</f>
        <v>0</v>
      </c>
      <c r="KM38" s="113" t="n">
        <f aca="false">[1]НАДІЙШЛО2!CX30</f>
        <v>0</v>
      </c>
      <c r="KN38" s="114" t="n">
        <f aca="false">[1]ВИБУЛО2!CX30</f>
        <v>0</v>
      </c>
      <c r="KO38" s="115" t="n">
        <f aca="false">KO37-KN38+KM38</f>
        <v>0</v>
      </c>
      <c r="KP38" s="113" t="n">
        <f aca="false">[1]НАДІЙШЛО2!CY30</f>
        <v>0</v>
      </c>
      <c r="KQ38" s="114" t="n">
        <f aca="false">[1]ВИБУЛО2!CY30</f>
        <v>0</v>
      </c>
      <c r="KR38" s="115" t="n">
        <f aca="false">KR37-KQ38+KP38</f>
        <v>0</v>
      </c>
      <c r="KS38" s="113" t="n">
        <f aca="false">[1]НАДІЙШЛО2!CZ30</f>
        <v>0</v>
      </c>
      <c r="KT38" s="114" t="n">
        <f aca="false">[1]ВИБУЛО2!CZ30</f>
        <v>0</v>
      </c>
      <c r="KU38" s="115" t="n">
        <f aca="false">KU37-KT38+KS38</f>
        <v>0</v>
      </c>
      <c r="KV38" s="113" t="n">
        <f aca="false">[1]НАДІЙШЛО2!DA30</f>
        <v>0</v>
      </c>
      <c r="KW38" s="114" t="n">
        <f aca="false">[1]ВИБУЛО2!DA30</f>
        <v>0</v>
      </c>
      <c r="KX38" s="115" t="n">
        <f aca="false">KX37-KW38+KV38</f>
        <v>0</v>
      </c>
      <c r="KY38" s="113" t="n">
        <f aca="false">[1]НАДІЙШЛО2!DB30</f>
        <v>0</v>
      </c>
      <c r="KZ38" s="114" t="n">
        <f aca="false">[1]ВИБУЛО2!DB30</f>
        <v>0</v>
      </c>
      <c r="LA38" s="115" t="n">
        <f aca="false">LA37-KZ38+KY38</f>
        <v>0</v>
      </c>
      <c r="LB38" s="113" t="n">
        <f aca="false">[1]НАДІЙШЛО2!DC30</f>
        <v>0</v>
      </c>
      <c r="LC38" s="114" t="n">
        <f aca="false">[1]ВИБУЛО2!DC30</f>
        <v>0</v>
      </c>
      <c r="LD38" s="115" t="n">
        <f aca="false">LD37-LC38+LB38</f>
        <v>0</v>
      </c>
      <c r="LE38" s="113" t="n">
        <f aca="false">[1]НАДІЙШЛО2!DD30</f>
        <v>0</v>
      </c>
      <c r="LF38" s="114" t="n">
        <f aca="false">[1]ВИБУЛО2!DD30</f>
        <v>0</v>
      </c>
      <c r="LG38" s="115" t="n">
        <f aca="false">LG37-LF38+LE38</f>
        <v>0</v>
      </c>
      <c r="LH38" s="113" t="n">
        <f aca="false">[1]НАДІЙШЛО2!DE30</f>
        <v>0</v>
      </c>
      <c r="LI38" s="114" t="n">
        <f aca="false">[1]ВИБУЛО2!DE30</f>
        <v>0</v>
      </c>
      <c r="LJ38" s="115" t="n">
        <f aca="false">LJ37-LI38+LH38</f>
        <v>0</v>
      </c>
      <c r="LK38" s="113" t="n">
        <f aca="false">[1]НАДІЙШЛО2!DF30</f>
        <v>0</v>
      </c>
      <c r="LL38" s="114" t="n">
        <f aca="false">[1]ВИБУЛО2!DF30</f>
        <v>0</v>
      </c>
      <c r="LM38" s="115" t="n">
        <f aca="false">LM37-LL38+LK38</f>
        <v>0</v>
      </c>
      <c r="LN38" s="113" t="n">
        <f aca="false">[1]НАДІЙШЛО2!DG30</f>
        <v>0</v>
      </c>
      <c r="LO38" s="114" t="n">
        <f aca="false">[1]ВИБУЛО2!DG30</f>
        <v>0</v>
      </c>
      <c r="LP38" s="115" t="n">
        <f aca="false">LP37-LO38+LN38</f>
        <v>0</v>
      </c>
      <c r="LQ38" s="113" t="n">
        <f aca="false">[1]НАДІЙШЛО2!DH30</f>
        <v>0</v>
      </c>
      <c r="LR38" s="114" t="n">
        <f aca="false">[1]ВИБУЛО2!DH30</f>
        <v>0</v>
      </c>
      <c r="LS38" s="115" t="n">
        <f aca="false">LS37-LR38+LQ38</f>
        <v>0</v>
      </c>
      <c r="LT38" s="113" t="n">
        <f aca="false">[1]НАДІЙШЛО2!DI30</f>
        <v>0</v>
      </c>
      <c r="LU38" s="114" t="n">
        <f aca="false">[1]ВИБУЛО2!DI30</f>
        <v>0</v>
      </c>
      <c r="LV38" s="115" t="n">
        <f aca="false">LV37-LU38+LT38</f>
        <v>0</v>
      </c>
      <c r="LW38" s="113" t="n">
        <f aca="false">[1]НАДІЙШЛО2!DJ30</f>
        <v>0</v>
      </c>
      <c r="LX38" s="114" t="n">
        <f aca="false">[1]ВИБУЛО2!DJ30</f>
        <v>0</v>
      </c>
      <c r="LY38" s="115" t="n">
        <f aca="false">LY37-LX38+LW38</f>
        <v>0</v>
      </c>
      <c r="LZ38" s="113" t="n">
        <f aca="false">[1]НАДІЙШЛО2!DK30</f>
        <v>0</v>
      </c>
      <c r="MA38" s="114" t="n">
        <f aca="false">[1]ВИБУЛО2!DK30</f>
        <v>0</v>
      </c>
      <c r="MB38" s="115" t="n">
        <f aca="false">MB37-MA38+LZ38</f>
        <v>0</v>
      </c>
      <c r="MC38" s="113" t="n">
        <f aca="false">[1]НАДІЙШЛО2!DL30</f>
        <v>0</v>
      </c>
      <c r="MD38" s="114" t="n">
        <f aca="false">[1]ВИБУЛО2!DL30</f>
        <v>0</v>
      </c>
      <c r="ME38" s="115" t="n">
        <f aca="false">ME37-MD38+MC38</f>
        <v>0</v>
      </c>
      <c r="MF38" s="113" t="n">
        <f aca="false">[1]НАДІЙШЛО2!DM30</f>
        <v>0</v>
      </c>
      <c r="MG38" s="114" t="n">
        <f aca="false">[1]ВИБУЛО2!DM30</f>
        <v>0</v>
      </c>
      <c r="MH38" s="115" t="n">
        <f aca="false">MH37-MG38+MF38</f>
        <v>0</v>
      </c>
      <c r="MI38" s="113" t="n">
        <f aca="false">[1]НАДІЙШЛО2!DN30</f>
        <v>0</v>
      </c>
      <c r="MJ38" s="114" t="n">
        <f aca="false">[1]ВИБУЛО2!DN30</f>
        <v>0</v>
      </c>
      <c r="MK38" s="115" t="n">
        <f aca="false">MK37-MJ38+MI38</f>
        <v>0</v>
      </c>
      <c r="ML38" s="113" t="n">
        <f aca="false">[1]НАДІЙШЛО2!DO30</f>
        <v>0</v>
      </c>
      <c r="MM38" s="114" t="n">
        <f aca="false">[1]ВИБУЛО2!DO30</f>
        <v>0</v>
      </c>
      <c r="MN38" s="115" t="n">
        <f aca="false">MN37-MM38+ML38</f>
        <v>0</v>
      </c>
      <c r="MO38" s="113" t="n">
        <f aca="false">[1]НАДІЙШЛО2!DP30</f>
        <v>0</v>
      </c>
      <c r="MP38" s="114" t="n">
        <f aca="false">[1]ВИБУЛО2!DP30</f>
        <v>0</v>
      </c>
      <c r="MQ38" s="115" t="n">
        <f aca="false">MQ37-MP38+MO38</f>
        <v>0</v>
      </c>
      <c r="MR38" s="113" t="n">
        <f aca="false">[1]НАДІЙШЛО2!DQ30</f>
        <v>0</v>
      </c>
      <c r="MS38" s="114" t="n">
        <f aca="false">[1]ВИБУЛО2!DQ30</f>
        <v>0</v>
      </c>
      <c r="MT38" s="115" t="n">
        <f aca="false">MT37-MS38+MR38</f>
        <v>0</v>
      </c>
      <c r="MU38" s="113" t="n">
        <f aca="false">[1]НАДІЙШЛО2!DR30</f>
        <v>0</v>
      </c>
      <c r="MV38" s="114" t="n">
        <f aca="false">[1]ВИБУЛО2!DR30</f>
        <v>0</v>
      </c>
      <c r="MW38" s="115" t="n">
        <f aca="false">MW37-MV38+MU38</f>
        <v>0</v>
      </c>
      <c r="MX38" s="113" t="n">
        <f aca="false">[1]НАДІЙШЛО2!DS30</f>
        <v>0</v>
      </c>
      <c r="MY38" s="114" t="n">
        <f aca="false">[1]ВИБУЛО2!DS30</f>
        <v>0</v>
      </c>
      <c r="MZ38" s="115" t="n">
        <f aca="false">MZ37-MY38+MX38</f>
        <v>0</v>
      </c>
      <c r="NA38" s="113" t="n">
        <f aca="false">[1]НАДІЙШЛО2!DT30</f>
        <v>0</v>
      </c>
      <c r="NB38" s="114" t="n">
        <f aca="false">[1]ВИБУЛО2!DT30</f>
        <v>0</v>
      </c>
      <c r="NC38" s="115" t="n">
        <f aca="false">NC37-NB38+NA38</f>
        <v>0</v>
      </c>
      <c r="ND38" s="113" t="n">
        <f aca="false">[1]НАДІЙШЛО2!DU30</f>
        <v>0</v>
      </c>
      <c r="NE38" s="114" t="n">
        <f aca="false">[1]ВИБУЛО2!DU30</f>
        <v>0</v>
      </c>
      <c r="NF38" s="115" t="n">
        <f aca="false">NF37-NE38+ND38</f>
        <v>0</v>
      </c>
      <c r="NG38" s="113" t="n">
        <f aca="false">[1]НАДІЙШЛО2!DV30</f>
        <v>0</v>
      </c>
      <c r="NH38" s="114" t="n">
        <f aca="false">[1]ВИБУЛО2!DV30</f>
        <v>0</v>
      </c>
      <c r="NI38" s="115" t="n">
        <f aca="false">NI37-NH38+NG38</f>
        <v>0</v>
      </c>
      <c r="NJ38" s="113" t="n">
        <f aca="false">[1]НАДІЙШЛО2!DW30</f>
        <v>0</v>
      </c>
      <c r="NK38" s="114" t="n">
        <f aca="false">[1]ВИБУЛО2!DW30</f>
        <v>0</v>
      </c>
      <c r="NL38" s="115" t="n">
        <f aca="false">NL37-NK38+NJ38</f>
        <v>0</v>
      </c>
      <c r="NM38" s="113" t="n">
        <f aca="false">[1]НАДІЙШЛО2!DX30</f>
        <v>0</v>
      </c>
      <c r="NN38" s="114" t="n">
        <f aca="false">[1]ВИБУЛО2!DX30</f>
        <v>0</v>
      </c>
      <c r="NO38" s="115" t="n">
        <f aca="false">NO37-NN38+NM38</f>
        <v>0</v>
      </c>
      <c r="NP38" s="113" t="n">
        <f aca="false">[1]НАДІЙШЛО2!DY30</f>
        <v>0</v>
      </c>
      <c r="NQ38" s="114" t="n">
        <f aca="false">[1]ВИБУЛО2!DY30</f>
        <v>0</v>
      </c>
      <c r="NR38" s="115" t="n">
        <f aca="false">NR37-NQ38+NP38</f>
        <v>0</v>
      </c>
      <c r="NS38" s="113" t="n">
        <f aca="false">[1]НАДІЙШЛО2!DZ30</f>
        <v>0</v>
      </c>
      <c r="NT38" s="114" t="n">
        <f aca="false">[1]ВИБУЛО2!DZ30</f>
        <v>0</v>
      </c>
      <c r="NU38" s="115" t="n">
        <f aca="false">NU37-NT38+NS38</f>
        <v>0</v>
      </c>
      <c r="NV38" s="113" t="n">
        <f aca="false">[1]НАДІЙШЛО2!EA30</f>
        <v>0</v>
      </c>
      <c r="NW38" s="114" t="n">
        <f aca="false">[1]ВИБУЛО2!EA30</f>
        <v>0</v>
      </c>
      <c r="NX38" s="115" t="n">
        <f aca="false">NX37-NW38+NV38</f>
        <v>0</v>
      </c>
      <c r="NY38" s="113" t="n">
        <f aca="false">[1]НАДІЙШЛО2!EB30</f>
        <v>0</v>
      </c>
      <c r="NZ38" s="114" t="n">
        <f aca="false">[1]ВИБУЛО2!EB30</f>
        <v>0</v>
      </c>
      <c r="OA38" s="115" t="n">
        <f aca="false">OA37-NZ38+NY38</f>
        <v>0</v>
      </c>
      <c r="OB38" s="113" t="n">
        <f aca="false">[1]НАДІЙШЛО2!EC30</f>
        <v>0</v>
      </c>
      <c r="OC38" s="114" t="n">
        <f aca="false">[1]ВИБУЛО2!EC30</f>
        <v>0</v>
      </c>
      <c r="OD38" s="115" t="n">
        <f aca="false">OD37-OC38+OB38</f>
        <v>0</v>
      </c>
      <c r="OE38" s="113" t="n">
        <f aca="false">[1]НАДІЙШЛО2!ED30</f>
        <v>0</v>
      </c>
      <c r="OF38" s="114" t="n">
        <f aca="false">[1]ВИБУЛО2!ED30</f>
        <v>0</v>
      </c>
      <c r="OG38" s="115" t="n">
        <f aca="false">OG37-OF38+OE38</f>
        <v>0</v>
      </c>
      <c r="OH38" s="113" t="n">
        <f aca="false">[1]НАДІЙШЛО2!EE30</f>
        <v>0</v>
      </c>
      <c r="OI38" s="114" t="n">
        <f aca="false">[1]ВИБУЛО2!EE30</f>
        <v>0</v>
      </c>
      <c r="OJ38" s="115" t="n">
        <f aca="false">OJ37-OI38+OH38</f>
        <v>0</v>
      </c>
      <c r="OK38" s="113" t="n">
        <f aca="false">[1]НАДІЙШЛО2!EF30</f>
        <v>0</v>
      </c>
      <c r="OL38" s="114" t="n">
        <f aca="false">[1]ВИБУЛО2!EF30</f>
        <v>0</v>
      </c>
      <c r="OM38" s="115" t="n">
        <f aca="false">OM37-OL38+OK38</f>
        <v>0</v>
      </c>
      <c r="ON38" s="113" t="n">
        <f aca="false">[1]НАДІЙШЛО2!EG30</f>
        <v>0</v>
      </c>
      <c r="OO38" s="114" t="n">
        <f aca="false">[1]ВИБУЛО2!EG30</f>
        <v>0</v>
      </c>
      <c r="OP38" s="115" t="n">
        <f aca="false">OP37-OO38+ON38</f>
        <v>0</v>
      </c>
      <c r="OQ38" s="113" t="n">
        <f aca="false">[1]НАДІЙШЛО2!EH30</f>
        <v>0</v>
      </c>
      <c r="OR38" s="114" t="n">
        <f aca="false">[1]ВИБУЛО2!EH30</f>
        <v>0</v>
      </c>
      <c r="OS38" s="115" t="n">
        <f aca="false">OS37-OR38+OQ38</f>
        <v>0</v>
      </c>
      <c r="OT38" s="113" t="n">
        <f aca="false">[1]НАДІЙШЛО2!EI30</f>
        <v>0</v>
      </c>
      <c r="OU38" s="114" t="n">
        <f aca="false">[1]ВИБУЛО2!EI30</f>
        <v>0</v>
      </c>
      <c r="OV38" s="115" t="n">
        <f aca="false">OV37-OU38+OT38</f>
        <v>0</v>
      </c>
      <c r="OW38" s="113" t="n">
        <f aca="false">[1]НАДІЙШЛО2!EJ30</f>
        <v>0</v>
      </c>
      <c r="OX38" s="114" t="n">
        <f aca="false">[1]ВИБУЛО2!EJ30</f>
        <v>0</v>
      </c>
      <c r="OY38" s="115" t="n">
        <f aca="false">OY37-OX38+OW38</f>
        <v>0</v>
      </c>
      <c r="OZ38" s="113" t="n">
        <f aca="false">[1]НАДІЙШЛО2!EK30</f>
        <v>0</v>
      </c>
      <c r="PA38" s="114" t="n">
        <f aca="false">[1]ВИБУЛО2!EK30</f>
        <v>0</v>
      </c>
      <c r="PB38" s="115" t="n">
        <f aca="false">PB37-PA38+OZ38</f>
        <v>0</v>
      </c>
      <c r="PC38" s="113" t="n">
        <f aca="false">[1]НАДІЙШЛО2!EL30</f>
        <v>0</v>
      </c>
      <c r="PD38" s="114" t="n">
        <f aca="false">[1]ВИБУЛО2!EL30</f>
        <v>0</v>
      </c>
      <c r="PE38" s="115" t="n">
        <f aca="false">PE37-PD38+PC38</f>
        <v>0</v>
      </c>
      <c r="PF38" s="113" t="n">
        <f aca="false">[1]НАДІЙШЛО2!EM30</f>
        <v>0</v>
      </c>
      <c r="PG38" s="114" t="n">
        <f aca="false">[1]ВИБУЛО2!EM30</f>
        <v>0</v>
      </c>
      <c r="PH38" s="115" t="n">
        <f aca="false">PH37-PG38+PF38</f>
        <v>0</v>
      </c>
      <c r="PI38" s="113" t="n">
        <f aca="false">[1]НАДІЙШЛО2!EN30</f>
        <v>0</v>
      </c>
      <c r="PJ38" s="114" t="n">
        <f aca="false">[1]ВИБУЛО2!EN30</f>
        <v>0</v>
      </c>
      <c r="PK38" s="115" t="n">
        <f aca="false">PK37-PJ38+PI38</f>
        <v>0</v>
      </c>
      <c r="PL38" s="113" t="n">
        <f aca="false">[1]НАДІЙШЛО2!EO30</f>
        <v>0</v>
      </c>
      <c r="PM38" s="114" t="n">
        <f aca="false">[1]ВИБУЛО2!EO30</f>
        <v>0</v>
      </c>
      <c r="PN38" s="115" t="n">
        <f aca="false">PN37-PM38+PL38</f>
        <v>0</v>
      </c>
      <c r="PO38" s="113" t="n">
        <f aca="false">[1]НАДІЙШЛО2!EP30</f>
        <v>0</v>
      </c>
      <c r="PP38" s="114" t="n">
        <f aca="false">[1]ВИБУЛО2!EP30</f>
        <v>0</v>
      </c>
      <c r="PQ38" s="115" t="n">
        <f aca="false">PQ37-PP38+PO38</f>
        <v>0</v>
      </c>
      <c r="PR38" s="113" t="n">
        <f aca="false">[1]НАДІЙШЛО2!EQ30</f>
        <v>0</v>
      </c>
      <c r="PS38" s="114" t="n">
        <f aca="false">[1]ВИБУЛО2!EQ30</f>
        <v>0</v>
      </c>
      <c r="PT38" s="115" t="n">
        <f aca="false">PT37-PS38+PR38</f>
        <v>0</v>
      </c>
      <c r="PU38" s="113" t="n">
        <f aca="false">[1]НАДІЙШЛО2!ER30</f>
        <v>0</v>
      </c>
      <c r="PV38" s="114" t="n">
        <f aca="false">[1]ВИБУЛО2!ER30</f>
        <v>0</v>
      </c>
      <c r="PW38" s="115" t="n">
        <f aca="false">PW37-PV38+PU38</f>
        <v>0</v>
      </c>
      <c r="PX38" s="113" t="n">
        <f aca="false">[1]НАДІЙШЛО2!ES30</f>
        <v>0</v>
      </c>
      <c r="PY38" s="114" t="n">
        <f aca="false">[1]ВИБУЛО2!ES30</f>
        <v>0</v>
      </c>
      <c r="PZ38" s="115" t="n">
        <f aca="false">PZ37-PY38+PX38</f>
        <v>0</v>
      </c>
      <c r="QA38" s="113" t="n">
        <f aca="false">[1]НАДІЙШЛО2!ET30</f>
        <v>0</v>
      </c>
      <c r="QB38" s="114" t="n">
        <f aca="false">[1]ВИБУЛО2!ET30</f>
        <v>0</v>
      </c>
      <c r="QC38" s="115" t="n">
        <f aca="false">QC37-QB38+QA38</f>
        <v>0</v>
      </c>
      <c r="QD38" s="113" t="n">
        <f aca="false">[1]НАДІЙШЛО2!EU30</f>
        <v>0</v>
      </c>
      <c r="QE38" s="114" t="n">
        <f aca="false">[1]ВИБУЛО2!EU30</f>
        <v>0</v>
      </c>
      <c r="QF38" s="115" t="n">
        <f aca="false">QF37-QE38+QD38</f>
        <v>0</v>
      </c>
      <c r="QG38" s="113" t="n">
        <f aca="false">[1]НАДІЙШЛО2!EV30</f>
        <v>0</v>
      </c>
      <c r="QH38" s="114" t="n">
        <f aca="false">[1]ВИБУЛО2!EV30</f>
        <v>0</v>
      </c>
      <c r="QI38" s="115" t="n">
        <f aca="false">QI37-QH38+QG38</f>
        <v>0</v>
      </c>
      <c r="QJ38" s="113" t="n">
        <f aca="false">[1]НАДІЙШЛО2!EW30</f>
        <v>0</v>
      </c>
      <c r="QK38" s="114" t="n">
        <f aca="false">[1]ВИБУЛО2!EW30</f>
        <v>0</v>
      </c>
      <c r="QL38" s="115" t="n">
        <f aca="false">QL37-QK38+QJ38</f>
        <v>0</v>
      </c>
      <c r="QM38" s="113" t="n">
        <f aca="false">[1]НАДІЙШЛО2!EX30</f>
        <v>0</v>
      </c>
      <c r="QN38" s="114" t="n">
        <f aca="false">[1]ВИБУЛО2!EX30</f>
        <v>0</v>
      </c>
      <c r="QO38" s="115" t="n">
        <f aca="false">QO37-QN38+QM38</f>
        <v>0</v>
      </c>
      <c r="QP38" s="113" t="n">
        <f aca="false">[1]НАДІЙШЛО2!EY30</f>
        <v>0</v>
      </c>
      <c r="QQ38" s="114" t="n">
        <f aca="false">[1]ВИБУЛО2!EY30</f>
        <v>0</v>
      </c>
      <c r="QR38" s="115" t="n">
        <f aca="false">QR37-QQ38+QP38</f>
        <v>0</v>
      </c>
      <c r="QS38" s="113" t="n">
        <f aca="false">[1]НАДІЙШЛО2!EZ30</f>
        <v>0</v>
      </c>
      <c r="QT38" s="114" t="n">
        <f aca="false">[1]ВИБУЛО2!EZ30</f>
        <v>0</v>
      </c>
      <c r="QU38" s="115" t="n">
        <f aca="false">QU37-QT38+QS38</f>
        <v>0</v>
      </c>
      <c r="QV38" s="113" t="n">
        <f aca="false">[1]НАДІЙШЛО2!FA30</f>
        <v>0</v>
      </c>
      <c r="QW38" s="114" t="n">
        <f aca="false">[1]ВИБУЛО2!FA30</f>
        <v>0</v>
      </c>
      <c r="QX38" s="115" t="n">
        <f aca="false">QX37-QW38+QV38</f>
        <v>0</v>
      </c>
      <c r="QY38" s="113" t="n">
        <f aca="false">[1]НАДІЙШЛО2!FB30</f>
        <v>0</v>
      </c>
      <c r="QZ38" s="114" t="n">
        <f aca="false">[1]ВИБУЛО2!FB30</f>
        <v>0</v>
      </c>
      <c r="RA38" s="115" t="n">
        <f aca="false">RA37-QZ38+QY38</f>
        <v>0</v>
      </c>
      <c r="RB38" s="113" t="n">
        <f aca="false">[1]НАДІЙШЛО2!FC30</f>
        <v>0</v>
      </c>
      <c r="RC38" s="114" t="n">
        <f aca="false">[1]ВИБУЛО2!FC30</f>
        <v>0</v>
      </c>
      <c r="RD38" s="115" t="n">
        <f aca="false">RD37-RC38+RB38</f>
        <v>0</v>
      </c>
      <c r="RE38" s="113" t="n">
        <f aca="false">[1]НАДІЙШЛО2!FD30</f>
        <v>0</v>
      </c>
      <c r="RF38" s="114" t="n">
        <f aca="false">[1]ВИБУЛО2!FD30</f>
        <v>0</v>
      </c>
      <c r="RG38" s="115" t="n">
        <f aca="false">RG37-RF38+RE38</f>
        <v>0</v>
      </c>
      <c r="RH38" s="113" t="n">
        <f aca="false">[1]НАДІЙШЛО2!FE30</f>
        <v>0</v>
      </c>
      <c r="RI38" s="114" t="n">
        <f aca="false">[1]ВИБУЛО2!FE30</f>
        <v>0</v>
      </c>
      <c r="RJ38" s="115" t="n">
        <f aca="false">RJ37-RI38+RH38</f>
        <v>0</v>
      </c>
      <c r="RK38" s="113" t="n">
        <f aca="false">[1]НАДІЙШЛО2!FF30</f>
        <v>0</v>
      </c>
      <c r="RL38" s="114" t="n">
        <f aca="false">[1]ВИБУЛО2!FF30</f>
        <v>0</v>
      </c>
      <c r="RM38" s="115" t="n">
        <f aca="false">RM37-RL38+RK38</f>
        <v>0</v>
      </c>
      <c r="RN38" s="113" t="n">
        <f aca="false">[1]НАДІЙШЛО2!FG30</f>
        <v>0</v>
      </c>
      <c r="RO38" s="114" t="n">
        <f aca="false">[1]ВИБУЛО2!FG30</f>
        <v>0</v>
      </c>
      <c r="RP38" s="115" t="n">
        <f aca="false">RP37-RO38+RN38</f>
        <v>0</v>
      </c>
      <c r="RQ38" s="113" t="n">
        <f aca="false">[1]НАДІЙШЛО2!FH30</f>
        <v>0</v>
      </c>
      <c r="RR38" s="114" t="n">
        <f aca="false">[1]ВИБУЛО2!FH30</f>
        <v>0</v>
      </c>
      <c r="RS38" s="115" t="n">
        <f aca="false">RS37-RR38+RQ38</f>
        <v>0</v>
      </c>
      <c r="RT38" s="113" t="n">
        <f aca="false">[1]НАДІЙШЛО2!FI30</f>
        <v>0</v>
      </c>
      <c r="RU38" s="114" t="n">
        <f aca="false">[1]ВИБУЛО2!FI30</f>
        <v>0</v>
      </c>
      <c r="RV38" s="115" t="n">
        <f aca="false">RV37-RU38+RT38</f>
        <v>0</v>
      </c>
      <c r="RW38" s="113" t="n">
        <f aca="false">[1]НАДІЙШЛО2!FJ30</f>
        <v>0</v>
      </c>
      <c r="RX38" s="114" t="n">
        <f aca="false">[1]ВИБУЛО2!FJ30</f>
        <v>0</v>
      </c>
      <c r="RY38" s="115" t="n">
        <f aca="false">RY37-RX38+RW38</f>
        <v>0</v>
      </c>
      <c r="RZ38" s="113" t="n">
        <f aca="false">[1]НАДІЙШЛО2!FK30</f>
        <v>0</v>
      </c>
      <c r="SA38" s="114" t="n">
        <f aca="false">[1]ВИБУЛО2!FK30</f>
        <v>0</v>
      </c>
      <c r="SB38" s="115" t="n">
        <f aca="false">SB37-SA38+RZ38</f>
        <v>0</v>
      </c>
      <c r="SC38" s="113" t="n">
        <f aca="false">[1]НАДІЙШЛО2!FL30</f>
        <v>0</v>
      </c>
      <c r="SD38" s="114" t="n">
        <f aca="false">[1]ВИБУЛО2!FL30</f>
        <v>0</v>
      </c>
      <c r="SE38" s="115" t="n">
        <f aca="false">SE37-SD38+SC38</f>
        <v>0</v>
      </c>
      <c r="SF38" s="113" t="n">
        <f aca="false">[1]НАДІЙШЛО2!FM30</f>
        <v>0</v>
      </c>
      <c r="SG38" s="114" t="n">
        <f aca="false">[1]ВИБУЛО2!FM30</f>
        <v>0</v>
      </c>
      <c r="SH38" s="115" t="n">
        <f aca="false">SH37-SG38+SF38</f>
        <v>0</v>
      </c>
      <c r="SI38" s="113" t="n">
        <f aca="false">[1]НАДІЙШЛО2!FN30</f>
        <v>0</v>
      </c>
      <c r="SJ38" s="114" t="n">
        <f aca="false">[1]ВИБУЛО2!FN30</f>
        <v>0</v>
      </c>
      <c r="SK38" s="115" t="n">
        <f aca="false">SK37-SJ38+SI38</f>
        <v>0</v>
      </c>
      <c r="SL38" s="113" t="n">
        <f aca="false">[1]НАДІЙШЛО2!FO30</f>
        <v>0</v>
      </c>
      <c r="SM38" s="114" t="n">
        <f aca="false">[1]ВИБУЛО2!FO30</f>
        <v>0</v>
      </c>
      <c r="SN38" s="115" t="n">
        <f aca="false">SN37-SM38+SL38</f>
        <v>0</v>
      </c>
      <c r="SO38" s="113" t="n">
        <f aca="false">[1]НАДІЙШЛО2!FP30</f>
        <v>0</v>
      </c>
      <c r="SP38" s="114" t="n">
        <f aca="false">[1]ВИБУЛО2!FP30</f>
        <v>0</v>
      </c>
      <c r="SQ38" s="115" t="n">
        <f aca="false">SQ37-SP38+SO38</f>
        <v>0</v>
      </c>
      <c r="SR38" s="113" t="n">
        <f aca="false">[1]НАДІЙШЛО2!FQ30</f>
        <v>0</v>
      </c>
      <c r="SS38" s="114" t="n">
        <f aca="false">[1]ВИБУЛО2!FQ30</f>
        <v>0</v>
      </c>
      <c r="ST38" s="115" t="n">
        <f aca="false">ST37-SS38+SR38</f>
        <v>0</v>
      </c>
      <c r="SU38" s="113" t="n">
        <f aca="false">[1]НАДІЙШЛО2!FR30</f>
        <v>0</v>
      </c>
      <c r="SV38" s="114" t="n">
        <f aca="false">[1]ВИБУЛО2!FR30</f>
        <v>0</v>
      </c>
      <c r="SW38" s="115" t="n">
        <f aca="false">SW37-SV38+SU38</f>
        <v>0</v>
      </c>
      <c r="SX38" s="113" t="n">
        <f aca="false">[1]НАДІЙШЛО2!FS30</f>
        <v>0</v>
      </c>
      <c r="SY38" s="114" t="n">
        <f aca="false">[1]ВИБУЛО2!FS30</f>
        <v>0</v>
      </c>
      <c r="SZ38" s="115" t="n">
        <f aca="false">SZ37-SY38+SX38</f>
        <v>0</v>
      </c>
      <c r="TA38" s="113" t="n">
        <f aca="false">[1]НАДІЙШЛО2!FT30</f>
        <v>0</v>
      </c>
      <c r="TB38" s="114" t="n">
        <f aca="false">[1]ВИБУЛО2!FT30</f>
        <v>0</v>
      </c>
      <c r="TC38" s="115" t="n">
        <f aca="false">TC37-TB38+TA38</f>
        <v>0</v>
      </c>
      <c r="TD38" s="113" t="n">
        <f aca="false">[1]НАДІЙШЛО2!FU30</f>
        <v>0</v>
      </c>
      <c r="TE38" s="114" t="n">
        <f aca="false">[1]ВИБУЛО2!FU30</f>
        <v>0</v>
      </c>
      <c r="TF38" s="115" t="n">
        <f aca="false">TF37-TE38+TD38</f>
        <v>0</v>
      </c>
      <c r="TG38" s="113" t="n">
        <f aca="false">[1]НАДІЙШЛО2!FV30</f>
        <v>0</v>
      </c>
      <c r="TH38" s="114" t="n">
        <f aca="false">[1]ВИБУЛО2!FV30</f>
        <v>0</v>
      </c>
      <c r="TI38" s="115" t="n">
        <f aca="false">TI37-TH38+TG38</f>
        <v>0</v>
      </c>
      <c r="TJ38" s="113" t="n">
        <f aca="false">[1]НАДІЙШЛО2!FW30</f>
        <v>0</v>
      </c>
      <c r="TK38" s="114" t="n">
        <f aca="false">[1]ВИБУЛО2!FW30</f>
        <v>0</v>
      </c>
      <c r="TL38" s="115" t="n">
        <f aca="false">TL37-TK38+TJ38</f>
        <v>0</v>
      </c>
      <c r="TM38" s="113" t="n">
        <f aca="false">[1]НАДІЙШЛО2!FX30</f>
        <v>0</v>
      </c>
      <c r="TN38" s="114" t="n">
        <f aca="false">[1]ВИБУЛО2!FX30</f>
        <v>0</v>
      </c>
      <c r="TO38" s="115" t="n">
        <f aca="false">TO37-TN38+TM38</f>
        <v>0</v>
      </c>
      <c r="TP38" s="113" t="n">
        <f aca="false">[1]НАДІЙШЛО2!FY30</f>
        <v>0</v>
      </c>
      <c r="TQ38" s="114" t="n">
        <f aca="false">[1]ВИБУЛО2!FY30</f>
        <v>0</v>
      </c>
      <c r="TR38" s="115" t="n">
        <f aca="false">TR37-TQ38+TP38</f>
        <v>0</v>
      </c>
      <c r="TS38" s="113" t="n">
        <f aca="false">[1]НАДІЙШЛО2!FZ30</f>
        <v>0</v>
      </c>
      <c r="TT38" s="114" t="n">
        <f aca="false">[1]ВИБУЛО2!FZ30</f>
        <v>0</v>
      </c>
      <c r="TU38" s="115" t="n">
        <f aca="false">TU37-TT38+TS38</f>
        <v>0</v>
      </c>
      <c r="TV38" s="113" t="n">
        <f aca="false">[1]НАДІЙШЛО2!GA30</f>
        <v>0</v>
      </c>
      <c r="TW38" s="114" t="n">
        <f aca="false">[1]ВИБУЛО2!GA30</f>
        <v>0</v>
      </c>
      <c r="TX38" s="115" t="n">
        <f aca="false">TX37-TW38+TV38</f>
        <v>0</v>
      </c>
      <c r="TY38" s="113" t="n">
        <f aca="false">[1]НАДІЙШЛО2!GB30</f>
        <v>0</v>
      </c>
      <c r="TZ38" s="114" t="n">
        <f aca="false">[1]ВИБУЛО2!GB30</f>
        <v>0</v>
      </c>
      <c r="UA38" s="115" t="n">
        <f aca="false">UA37-TZ38+TY38</f>
        <v>0</v>
      </c>
      <c r="UB38" s="113" t="n">
        <f aca="false">[1]НАДІЙШЛО2!GC30</f>
        <v>0</v>
      </c>
      <c r="UC38" s="114" t="n">
        <f aca="false">[1]ВИБУЛО2!GC30</f>
        <v>0</v>
      </c>
      <c r="UD38" s="115" t="n">
        <f aca="false">UD37-UC38+UB38</f>
        <v>0</v>
      </c>
      <c r="UE38" s="113" t="n">
        <f aca="false">[1]НАДІЙШЛО2!GD30</f>
        <v>0</v>
      </c>
      <c r="UF38" s="114" t="n">
        <f aca="false">[1]ВИБУЛО2!GD30</f>
        <v>0</v>
      </c>
      <c r="UG38" s="115" t="n">
        <f aca="false">UG37-UF38+UE38</f>
        <v>0</v>
      </c>
      <c r="UH38" s="113" t="n">
        <f aca="false">[1]НАДІЙШЛО2!GE30</f>
        <v>0</v>
      </c>
      <c r="UI38" s="114" t="n">
        <f aca="false">[1]ВИБУЛО2!GE30</f>
        <v>0</v>
      </c>
      <c r="UJ38" s="115" t="n">
        <f aca="false">UJ37-UI38+UH38</f>
        <v>0</v>
      </c>
      <c r="UK38" s="113" t="n">
        <f aca="false">[1]НАДІЙШЛО2!GF30</f>
        <v>0</v>
      </c>
      <c r="UL38" s="114" t="n">
        <f aca="false">[1]ВИБУЛО2!GF30</f>
        <v>0</v>
      </c>
      <c r="UM38" s="115" t="n">
        <f aca="false">UM37-UL38+UK38</f>
        <v>0</v>
      </c>
      <c r="UN38" s="113" t="n">
        <f aca="false">[1]НАДІЙШЛО2!GG30</f>
        <v>0</v>
      </c>
      <c r="UO38" s="114" t="n">
        <f aca="false">[1]ВИБУЛО2!GG30</f>
        <v>0</v>
      </c>
      <c r="UP38" s="115" t="n">
        <f aca="false">UP37-UO38+UN38</f>
        <v>0</v>
      </c>
      <c r="UQ38" s="113" t="n">
        <f aca="false">[1]НАДІЙШЛО2!GH30</f>
        <v>0</v>
      </c>
      <c r="UR38" s="114" t="n">
        <f aca="false">[1]ВИБУЛО2!GH30</f>
        <v>0</v>
      </c>
      <c r="US38" s="115" t="n">
        <f aca="false">US37-UR38+UQ38</f>
        <v>0</v>
      </c>
      <c r="UT38" s="113" t="n">
        <f aca="false">[1]НАДІЙШЛО2!GI30</f>
        <v>0</v>
      </c>
      <c r="UU38" s="114" t="n">
        <f aca="false">[1]ВИБУЛО2!GI30</f>
        <v>0</v>
      </c>
      <c r="UV38" s="115" t="n">
        <f aca="false">UV37-UU38+UT38</f>
        <v>0</v>
      </c>
      <c r="UW38" s="113" t="n">
        <f aca="false">[1]НАДІЙШЛО2!GJ30</f>
        <v>0</v>
      </c>
      <c r="UX38" s="114" t="n">
        <f aca="false">[1]ВИБУЛО2!GJ30</f>
        <v>0</v>
      </c>
      <c r="UY38" s="115" t="n">
        <f aca="false">UY37-UX38+UW38</f>
        <v>0</v>
      </c>
      <c r="UZ38" s="113" t="n">
        <f aca="false">[1]НАДІЙШЛО2!GK30</f>
        <v>0</v>
      </c>
      <c r="VA38" s="114" t="n">
        <f aca="false">[1]ВИБУЛО2!GK30</f>
        <v>0</v>
      </c>
      <c r="VB38" s="115" t="n">
        <f aca="false">VB37-VA38+UZ38</f>
        <v>0</v>
      </c>
      <c r="VC38" s="113" t="n">
        <f aca="false">[1]НАДІЙШЛО2!GL30</f>
        <v>0</v>
      </c>
      <c r="VD38" s="114" t="n">
        <f aca="false">[1]ВИБУЛО2!GL30</f>
        <v>0</v>
      </c>
      <c r="VE38" s="115" t="n">
        <f aca="false">VE37-VD38+VC38</f>
        <v>0</v>
      </c>
      <c r="VF38" s="113" t="n">
        <f aca="false">[1]НАДІЙШЛО2!GM30</f>
        <v>0</v>
      </c>
      <c r="VG38" s="114" t="n">
        <f aca="false">[1]ВИБУЛО2!GM30</f>
        <v>0</v>
      </c>
      <c r="VH38" s="115" t="n">
        <f aca="false">VH37-VG38+VF38</f>
        <v>0</v>
      </c>
      <c r="VI38" s="113" t="n">
        <f aca="false">[1]НАДІЙШЛО2!GN30</f>
        <v>0</v>
      </c>
      <c r="VJ38" s="114" t="n">
        <f aca="false">[1]ВИБУЛО2!GN30</f>
        <v>0</v>
      </c>
      <c r="VK38" s="115" t="n">
        <f aca="false">VK37-VJ38+VI38</f>
        <v>0</v>
      </c>
      <c r="VL38" s="113" t="n">
        <f aca="false">[1]НАДІЙШЛО2!GO30</f>
        <v>0</v>
      </c>
      <c r="VM38" s="114" t="n">
        <f aca="false">[1]ВИБУЛО2!GO30</f>
        <v>0</v>
      </c>
      <c r="VN38" s="115" t="n">
        <f aca="false">VN37-VM38+VL38</f>
        <v>0</v>
      </c>
      <c r="VO38" s="113" t="n">
        <f aca="false">[1]НАДІЙШЛО2!GP30</f>
        <v>0</v>
      </c>
      <c r="VP38" s="114" t="n">
        <f aca="false">[1]ВИБУЛО2!GP30</f>
        <v>0</v>
      </c>
      <c r="VQ38" s="115" t="n">
        <f aca="false">VQ37-VP38+VO38</f>
        <v>0</v>
      </c>
      <c r="VR38" s="113" t="n">
        <f aca="false">[1]НАДІЙШЛО2!GQ30</f>
        <v>0</v>
      </c>
      <c r="VS38" s="114" t="n">
        <f aca="false">[1]ВИБУЛО2!GQ30</f>
        <v>0</v>
      </c>
      <c r="VT38" s="115" t="n">
        <f aca="false">VT37-VS38+VR38</f>
        <v>0</v>
      </c>
      <c r="VU38" s="113" t="n">
        <f aca="false">[1]НАДІЙШЛО2!GR30</f>
        <v>0</v>
      </c>
      <c r="VV38" s="114" t="n">
        <f aca="false">[1]ВИБУЛО2!GR30</f>
        <v>0</v>
      </c>
      <c r="VW38" s="115" t="n">
        <f aca="false">VW37-VV38+VU38</f>
        <v>0</v>
      </c>
      <c r="VX38" s="113" t="n">
        <f aca="false">[1]НАДІЙШЛО2!GS30</f>
        <v>0</v>
      </c>
      <c r="VY38" s="114" t="n">
        <f aca="false">[1]ВИБУЛО2!GS30</f>
        <v>0</v>
      </c>
      <c r="VZ38" s="115" t="n">
        <f aca="false">VZ37-VY38+VX38</f>
        <v>0</v>
      </c>
      <c r="WA38" s="113" t="n">
        <f aca="false">[1]НАДІЙШЛО2!GT30</f>
        <v>0</v>
      </c>
      <c r="WB38" s="114" t="n">
        <f aca="false">[1]ВИБУЛО2!GT30</f>
        <v>0</v>
      </c>
      <c r="WC38" s="115" t="n">
        <f aca="false">WC37-WB38+WA38</f>
        <v>0</v>
      </c>
      <c r="WD38" s="113" t="n">
        <f aca="false">[1]НАДІЙШЛО2!GU30</f>
        <v>0</v>
      </c>
      <c r="WE38" s="114" t="n">
        <f aca="false">[1]ВИБУЛО2!GU30</f>
        <v>0</v>
      </c>
      <c r="WF38" s="115" t="n">
        <f aca="false">WF37-WE38+WD38</f>
        <v>0</v>
      </c>
      <c r="WG38" s="113" t="n">
        <f aca="false">[1]НАДІЙШЛО2!GV30</f>
        <v>0</v>
      </c>
      <c r="WH38" s="114" t="n">
        <f aca="false">[1]ВИБУЛО2!GV30</f>
        <v>0</v>
      </c>
      <c r="WI38" s="115" t="n">
        <f aca="false">WI37-WH38+WG38</f>
        <v>0</v>
      </c>
      <c r="WJ38" s="113" t="n">
        <f aca="false">[1]НАДІЙШЛО2!GW30</f>
        <v>0</v>
      </c>
      <c r="WK38" s="114" t="n">
        <f aca="false">[1]ВИБУЛО2!GW30</f>
        <v>0</v>
      </c>
      <c r="WL38" s="115" t="n">
        <f aca="false">WL37-WK38+WJ38</f>
        <v>0</v>
      </c>
      <c r="WM38" s="113" t="n">
        <f aca="false">[1]НАДІЙШЛО2!GX30</f>
        <v>0</v>
      </c>
      <c r="WN38" s="114" t="n">
        <f aca="false">[1]ВИБУЛО2!GX30</f>
        <v>0</v>
      </c>
      <c r="WO38" s="115" t="n">
        <f aca="false">WO37-WN38+WM38</f>
        <v>0</v>
      </c>
      <c r="WP38" s="113" t="n">
        <f aca="false">[1]НАДІЙШЛО2!GY30</f>
        <v>0</v>
      </c>
      <c r="WQ38" s="114" t="n">
        <f aca="false">[1]ВИБУЛО2!GY30</f>
        <v>0</v>
      </c>
      <c r="WR38" s="115" t="n">
        <f aca="false">WR37-WQ38+WP38</f>
        <v>0</v>
      </c>
      <c r="WS38" s="113" t="n">
        <f aca="false">[1]НАДІЙШЛО2!GZ30</f>
        <v>0</v>
      </c>
      <c r="WT38" s="114" t="n">
        <f aca="false">[1]ВИБУЛО2!GZ30</f>
        <v>0</v>
      </c>
      <c r="WU38" s="115" t="n">
        <f aca="false">WU37-WT38+WS38</f>
        <v>0</v>
      </c>
      <c r="WV38" s="113" t="n">
        <f aca="false">[1]НАДІЙШЛО2!HA30</f>
        <v>0</v>
      </c>
      <c r="WW38" s="114" t="n">
        <f aca="false">[1]ВИБУЛО2!HA30</f>
        <v>0</v>
      </c>
      <c r="WX38" s="115" t="n">
        <f aca="false">WX37-WW38+WV38</f>
        <v>0</v>
      </c>
      <c r="WY38" s="113" t="n">
        <f aca="false">[1]НАДІЙШЛО2!HB30</f>
        <v>0</v>
      </c>
      <c r="WZ38" s="114" t="n">
        <f aca="false">[1]ВИБУЛО2!HB30</f>
        <v>0</v>
      </c>
      <c r="XA38" s="115" t="n">
        <f aca="false">XA37-WZ38+WY38</f>
        <v>0</v>
      </c>
      <c r="XB38" s="113" t="n">
        <f aca="false">[1]НАДІЙШЛО2!HC30</f>
        <v>0</v>
      </c>
      <c r="XC38" s="114" t="n">
        <f aca="false">[1]ВИБУЛО2!HC30</f>
        <v>0</v>
      </c>
      <c r="XD38" s="115" t="n">
        <f aca="false">XD37-XC38+XB38</f>
        <v>0</v>
      </c>
      <c r="XE38" s="113" t="n">
        <f aca="false">[1]НАДІЙШЛО2!HD30</f>
        <v>0</v>
      </c>
      <c r="XF38" s="114" t="n">
        <f aca="false">[1]ВИБУЛО2!HD30</f>
        <v>0</v>
      </c>
      <c r="XG38" s="115" t="n">
        <f aca="false">XG37-XF38+XE38</f>
        <v>0</v>
      </c>
      <c r="XH38" s="113" t="n">
        <f aca="false">[1]НАДІЙШЛО2!HE30</f>
        <v>0</v>
      </c>
      <c r="XI38" s="114" t="n">
        <f aca="false">[1]ВИБУЛО2!HE30</f>
        <v>0</v>
      </c>
      <c r="XJ38" s="115" t="n">
        <f aca="false">XJ37-XI38+XH38</f>
        <v>0</v>
      </c>
      <c r="XK38" s="113" t="n">
        <f aca="false">[1]НАДІЙШЛО2!HF30</f>
        <v>0</v>
      </c>
      <c r="XL38" s="114" t="n">
        <f aca="false">[1]ВИБУЛО2!HF30</f>
        <v>0</v>
      </c>
      <c r="XM38" s="115" t="n">
        <f aca="false">XM37-XL38+XK38</f>
        <v>0</v>
      </c>
      <c r="XN38" s="113" t="n">
        <f aca="false">[1]НАДІЙШЛО2!HG30</f>
        <v>0</v>
      </c>
      <c r="XO38" s="114" t="n">
        <f aca="false">[1]ВИБУЛО2!HG30</f>
        <v>0</v>
      </c>
      <c r="XP38" s="115" t="n">
        <f aca="false">XP37-XO38+XN38</f>
        <v>0</v>
      </c>
      <c r="XQ38" s="113" t="n">
        <f aca="false">[1]НАДІЙШЛО2!HH30</f>
        <v>0</v>
      </c>
      <c r="XR38" s="114" t="n">
        <f aca="false">[1]ВИБУЛО2!HH30</f>
        <v>0</v>
      </c>
      <c r="XS38" s="115" t="n">
        <f aca="false">XS37-XR38+XQ38</f>
        <v>0</v>
      </c>
      <c r="XT38" s="113" t="n">
        <f aca="false">[1]НАДІЙШЛО2!HI30</f>
        <v>0</v>
      </c>
      <c r="XU38" s="114" t="n">
        <f aca="false">[1]ВИБУЛО2!HI30</f>
        <v>0</v>
      </c>
      <c r="XV38" s="115" t="n">
        <f aca="false">XV37-XU38+XT38</f>
        <v>0</v>
      </c>
      <c r="XW38" s="113" t="n">
        <f aca="false">[1]НАДІЙШЛО2!HJ30</f>
        <v>0</v>
      </c>
      <c r="XX38" s="114" t="n">
        <f aca="false">[1]ВИБУЛО2!HJ30</f>
        <v>0</v>
      </c>
      <c r="XY38" s="115" t="n">
        <f aca="false">XY37-XX38+XW38</f>
        <v>0</v>
      </c>
      <c r="XZ38" s="113" t="n">
        <f aca="false">[1]НАДІЙШЛО2!HK30</f>
        <v>0</v>
      </c>
      <c r="YA38" s="114" t="n">
        <f aca="false">[1]ВИБУЛО2!HK30</f>
        <v>0</v>
      </c>
      <c r="YB38" s="115" t="n">
        <f aca="false">YB37-YA38+XZ38</f>
        <v>0</v>
      </c>
      <c r="YC38" s="113" t="n">
        <f aca="false">[1]НАДІЙШЛО2!HL30</f>
        <v>0</v>
      </c>
      <c r="YD38" s="114" t="n">
        <f aca="false">[1]ВИБУЛО2!HL30</f>
        <v>0</v>
      </c>
      <c r="YE38" s="115" t="n">
        <f aca="false">YE37-YD38+YC38</f>
        <v>0</v>
      </c>
      <c r="YF38" s="113" t="n">
        <f aca="false">[1]НАДІЙШЛО2!HM30</f>
        <v>0</v>
      </c>
      <c r="YG38" s="114" t="n">
        <f aca="false">[1]ВИБУЛО2!HM30</f>
        <v>0</v>
      </c>
      <c r="YH38" s="115" t="n">
        <f aca="false">YH37-YG38+YF38</f>
        <v>0</v>
      </c>
      <c r="YI38" s="113" t="n">
        <f aca="false">[1]НАДІЙШЛО2!HN30</f>
        <v>0</v>
      </c>
      <c r="YJ38" s="114" t="n">
        <f aca="false">[1]ВИБУЛО2!HN30</f>
        <v>0</v>
      </c>
      <c r="YK38" s="115" t="n">
        <f aca="false">YK37-YJ38+YI38</f>
        <v>0</v>
      </c>
      <c r="YL38" s="113" t="n">
        <f aca="false">[1]НАДІЙШЛО2!HO30</f>
        <v>0</v>
      </c>
      <c r="YM38" s="114" t="n">
        <f aca="false">[1]ВИБУЛО2!HO30</f>
        <v>0</v>
      </c>
      <c r="YN38" s="115" t="n">
        <f aca="false">YN37-YM38+YL38</f>
        <v>0</v>
      </c>
      <c r="YO38" s="113" t="n">
        <f aca="false">[1]НАДІЙШЛО2!HP30</f>
        <v>0</v>
      </c>
      <c r="YP38" s="114" t="n">
        <f aca="false">[1]ВИБУЛО2!HP30</f>
        <v>0</v>
      </c>
      <c r="YQ38" s="115" t="n">
        <f aca="false">YQ37-YP38+YO38</f>
        <v>0</v>
      </c>
      <c r="YR38" s="113" t="n">
        <f aca="false">[1]НАДІЙШЛО2!HQ30</f>
        <v>0</v>
      </c>
      <c r="YS38" s="114" t="n">
        <f aca="false">[1]ВИБУЛО2!HQ30</f>
        <v>0</v>
      </c>
      <c r="YT38" s="115" t="n">
        <f aca="false">YT37-YS38+YR38</f>
        <v>0</v>
      </c>
      <c r="YU38" s="113" t="n">
        <f aca="false">[1]НАДІЙШЛО2!HR30</f>
        <v>0</v>
      </c>
      <c r="YV38" s="114" t="n">
        <f aca="false">[1]ВИБУЛО2!HR30</f>
        <v>0</v>
      </c>
      <c r="YW38" s="115" t="n">
        <f aca="false">YW37-YV38+YU38</f>
        <v>0</v>
      </c>
      <c r="YX38" s="113" t="n">
        <f aca="false">[1]НАДІЙШЛО2!HS30</f>
        <v>0</v>
      </c>
      <c r="YY38" s="114" t="n">
        <f aca="false">[1]ВИБУЛО2!HS30</f>
        <v>0</v>
      </c>
      <c r="YZ38" s="115" t="n">
        <f aca="false">YZ37-YY38+YX38</f>
        <v>0</v>
      </c>
      <c r="ZA38" s="113" t="n">
        <f aca="false">[1]НАДІЙШЛО2!HT30</f>
        <v>0</v>
      </c>
      <c r="ZB38" s="114" t="n">
        <f aca="false">[1]ВИБУЛО2!HT30</f>
        <v>0</v>
      </c>
      <c r="ZC38" s="115" t="n">
        <f aca="false">ZC37-ZB38+ZA38</f>
        <v>0</v>
      </c>
      <c r="ZD38" s="113" t="n">
        <f aca="false">[1]НАДІЙШЛО2!HU30</f>
        <v>0</v>
      </c>
      <c r="ZE38" s="114" t="n">
        <f aca="false">[1]ВИБУЛО2!HU30</f>
        <v>0</v>
      </c>
      <c r="ZF38" s="115" t="n">
        <f aca="false">ZF37-ZE38+ZD38</f>
        <v>0</v>
      </c>
      <c r="ZG38" s="113" t="n">
        <f aca="false">[1]НАДІЙШЛО2!HV30</f>
        <v>0</v>
      </c>
      <c r="ZH38" s="114" t="n">
        <f aca="false">[1]ВИБУЛО2!HV30</f>
        <v>0</v>
      </c>
      <c r="ZI38" s="115" t="n">
        <f aca="false">ZI37-ZH38+ZG38</f>
        <v>0</v>
      </c>
      <c r="ZJ38" s="113" t="n">
        <f aca="false">[1]НАДІЙШЛО2!HW30</f>
        <v>0</v>
      </c>
      <c r="ZK38" s="114" t="n">
        <f aca="false">[1]ВИБУЛО2!HW30</f>
        <v>0</v>
      </c>
      <c r="ZL38" s="115" t="n">
        <f aca="false">ZL37-ZK38+ZJ38</f>
        <v>0</v>
      </c>
      <c r="ZM38" s="113" t="n">
        <f aca="false">[1]НАДІЙШЛО2!HX30</f>
        <v>0</v>
      </c>
      <c r="ZN38" s="114" t="n">
        <f aca="false">[1]ВИБУЛО2!HX30</f>
        <v>0</v>
      </c>
      <c r="ZO38" s="115" t="n">
        <f aca="false">ZO37-ZN38+ZM38</f>
        <v>0</v>
      </c>
      <c r="ZP38" s="113" t="n">
        <f aca="false">[1]НАДІЙШЛО2!HY30</f>
        <v>0</v>
      </c>
      <c r="ZQ38" s="114" t="n">
        <f aca="false">[1]ВИБУЛО2!HY30</f>
        <v>0</v>
      </c>
      <c r="ZR38" s="115" t="n">
        <f aca="false">ZR37-ZQ38+ZP38</f>
        <v>0</v>
      </c>
      <c r="ZS38" s="113" t="n">
        <f aca="false">[1]НАДІЙШЛО2!HZ30</f>
        <v>0</v>
      </c>
      <c r="ZT38" s="114" t="n">
        <f aca="false">[1]ВИБУЛО2!HZ30</f>
        <v>0</v>
      </c>
      <c r="ZU38" s="115" t="n">
        <f aca="false">ZU37-ZT38+ZS38</f>
        <v>0</v>
      </c>
      <c r="ZV38" s="113" t="n">
        <f aca="false">[1]НАДІЙШЛО2!IA30</f>
        <v>0</v>
      </c>
      <c r="ZW38" s="114" t="n">
        <f aca="false">[1]ВИБУЛО2!IA30</f>
        <v>0</v>
      </c>
      <c r="ZX38" s="115" t="n">
        <f aca="false">ZX37-ZW38+ZV38</f>
        <v>0</v>
      </c>
      <c r="ZY38" s="113" t="n">
        <f aca="false">[1]НАДІЙШЛО2!IB30</f>
        <v>0</v>
      </c>
      <c r="ZZ38" s="114" t="n">
        <f aca="false">[1]ВИБУЛО2!IB30</f>
        <v>0</v>
      </c>
      <c r="AAA38" s="115" t="n">
        <f aca="false">AAA37-ZZ38+ZY38</f>
        <v>0</v>
      </c>
      <c r="AAB38" s="113" t="n">
        <f aca="false">[1]НАДІЙШЛО2!IC30</f>
        <v>0</v>
      </c>
      <c r="AAC38" s="114" t="n">
        <f aca="false">[1]ВИБУЛО2!IC30</f>
        <v>0</v>
      </c>
      <c r="AAD38" s="115" t="n">
        <f aca="false">AAD37-AAC38+AAB38</f>
        <v>0</v>
      </c>
      <c r="AAE38" s="113" t="n">
        <f aca="false">[1]НАДІЙШЛО2!ID30</f>
        <v>0</v>
      </c>
      <c r="AAF38" s="114" t="n">
        <f aca="false">[1]ВИБУЛО2!ID30</f>
        <v>0</v>
      </c>
      <c r="AAG38" s="115" t="n">
        <f aca="false">AAG37-AAF38+AAE38</f>
        <v>0</v>
      </c>
      <c r="AAH38" s="113" t="n">
        <f aca="false">[1]НАДІЙШЛО2!IE30</f>
        <v>0</v>
      </c>
      <c r="AAI38" s="114" t="n">
        <f aca="false">[1]ВИБУЛО2!IE30</f>
        <v>0</v>
      </c>
      <c r="AAJ38" s="115" t="n">
        <f aca="false">AAJ37-AAI38+AAH38</f>
        <v>0</v>
      </c>
      <c r="AAK38" s="113" t="n">
        <f aca="false">[1]НАДІЙШЛО2!IF30</f>
        <v>0</v>
      </c>
      <c r="AAL38" s="114" t="n">
        <f aca="false">[1]ВИБУЛО2!IF30</f>
        <v>0</v>
      </c>
      <c r="AAM38" s="115" t="n">
        <f aca="false">AAM37-AAL38+AAK38</f>
        <v>0</v>
      </c>
      <c r="AAN38" s="113" t="n">
        <f aca="false">[1]НАДІЙШЛО2!IG30</f>
        <v>0</v>
      </c>
      <c r="AAO38" s="114" t="n">
        <f aca="false">[1]ВИБУЛО2!IG30</f>
        <v>0</v>
      </c>
      <c r="AAP38" s="115" t="n">
        <f aca="false">AAP37-AAO38+AAN38</f>
        <v>0</v>
      </c>
      <c r="AAQ38" s="113" t="n">
        <f aca="false">[1]НАДІЙШЛО2!IH30</f>
        <v>0</v>
      </c>
      <c r="AAR38" s="114" t="n">
        <f aca="false">[1]ВИБУЛО2!IH30</f>
        <v>0</v>
      </c>
      <c r="AAS38" s="115" t="n">
        <f aca="false">AAS37-AAR38+AAQ38</f>
        <v>0</v>
      </c>
      <c r="AAT38" s="113" t="n">
        <f aca="false">[1]НАДІЙШЛО2!II30</f>
        <v>0</v>
      </c>
      <c r="AAU38" s="114" t="n">
        <f aca="false">[1]ВИБУЛО2!II30</f>
        <v>0</v>
      </c>
      <c r="AAV38" s="115" t="n">
        <f aca="false">AAV37-AAU38+AAT38</f>
        <v>0</v>
      </c>
      <c r="AAW38" s="113" t="n">
        <f aca="false">[1]НАДІЙШЛО2!IJ30</f>
        <v>0</v>
      </c>
      <c r="AAX38" s="114" t="n">
        <f aca="false">[1]ВИБУЛО2!IJ30</f>
        <v>0</v>
      </c>
      <c r="AAY38" s="115" t="n">
        <f aca="false">AAY37-AAX38+AAW38</f>
        <v>0</v>
      </c>
      <c r="AAZ38" s="113" t="n">
        <f aca="false">[1]НАДІЙШЛО2!IK30</f>
        <v>0</v>
      </c>
      <c r="ABA38" s="114" t="n">
        <f aca="false">[1]ВИБУЛО2!IK30</f>
        <v>0</v>
      </c>
      <c r="ABB38" s="115" t="n">
        <f aca="false">ABB37-ABA38+AAZ38</f>
        <v>0</v>
      </c>
      <c r="ABC38" s="113" t="n">
        <f aca="false">[1]НАДІЙШЛО2!IL30</f>
        <v>0</v>
      </c>
      <c r="ABD38" s="114" t="n">
        <f aca="false">[1]ВИБУЛО2!IL30</f>
        <v>0</v>
      </c>
      <c r="ABE38" s="115" t="n">
        <f aca="false">ABE37-ABD38+ABC38</f>
        <v>0</v>
      </c>
      <c r="ABF38" s="113" t="n">
        <f aca="false">[1]НАДІЙШЛО2!IM30</f>
        <v>0</v>
      </c>
      <c r="ABG38" s="114" t="n">
        <f aca="false">[1]ВИБУЛО2!IM30</f>
        <v>0</v>
      </c>
      <c r="ABH38" s="115" t="n">
        <f aca="false">ABH37-ABG38+ABF38</f>
        <v>0</v>
      </c>
      <c r="ABI38" s="113" t="n">
        <f aca="false">[1]НАДІЙШЛО2!IN30</f>
        <v>0</v>
      </c>
      <c r="ABJ38" s="114" t="n">
        <f aca="false">[1]ВИБУЛО2!IN30</f>
        <v>0</v>
      </c>
      <c r="ABK38" s="115" t="n">
        <f aca="false">ABK37-ABJ38+ABI38</f>
        <v>0</v>
      </c>
      <c r="ABL38" s="113" t="n">
        <f aca="false">[1]НАДІЙШЛО2!IO30</f>
        <v>0</v>
      </c>
      <c r="ABM38" s="114" t="n">
        <f aca="false">[1]ВИБУЛО2!IO30</f>
        <v>0</v>
      </c>
      <c r="ABN38" s="115" t="n">
        <f aca="false">ABN37-ABM38+ABL38</f>
        <v>0</v>
      </c>
      <c r="ABO38" s="113" t="n">
        <f aca="false">[1]НАДІЙШЛО2!IP30</f>
        <v>0</v>
      </c>
      <c r="ABP38" s="114" t="n">
        <f aca="false">[1]ВИБУЛО2!IP30</f>
        <v>0</v>
      </c>
      <c r="ABQ38" s="115" t="n">
        <f aca="false">ABQ37-ABP38+ABO38</f>
        <v>0</v>
      </c>
      <c r="ABR38" s="113" t="n">
        <f aca="false">[1]НАДІЙШЛО2!IQ30</f>
        <v>0</v>
      </c>
      <c r="ABS38" s="114" t="n">
        <f aca="false">[1]ВИБУЛО2!IQ30</f>
        <v>0</v>
      </c>
      <c r="ABT38" s="115" t="n">
        <f aca="false">ABT37-ABS38+ABR38</f>
        <v>0</v>
      </c>
      <c r="ABU38" s="113" t="n">
        <f aca="false">[1]НАДІЙШЛО2!IR30</f>
        <v>0</v>
      </c>
      <c r="ABV38" s="114" t="n">
        <f aca="false">[1]ВИБУЛО2!IR30</f>
        <v>0</v>
      </c>
      <c r="ABW38" s="115" t="n">
        <f aca="false">ABW37-ABV38+ABU38</f>
        <v>0</v>
      </c>
      <c r="ABX38" s="113" t="n">
        <f aca="false">[1]НАДІЙШЛО2!IS30</f>
        <v>0</v>
      </c>
      <c r="ABY38" s="114" t="n">
        <f aca="false">[1]ВИБУЛО2!IS30</f>
        <v>0</v>
      </c>
      <c r="ABZ38" s="115" t="n">
        <f aca="false">ABZ37-ABY38+ABX38</f>
        <v>0</v>
      </c>
      <c r="ACA38" s="113" t="n">
        <f aca="false">[1]НАДІЙШЛО2!IT30</f>
        <v>0</v>
      </c>
      <c r="ACB38" s="114" t="n">
        <f aca="false">[1]ВИБУЛО2!IT30</f>
        <v>0</v>
      </c>
      <c r="ACC38" s="115" t="n">
        <f aca="false">ACC37-ACB38+ACA38</f>
        <v>0</v>
      </c>
      <c r="ACD38" s="113" t="n">
        <f aca="false">[1]НАДІЙШЛО2!IU30</f>
        <v>0</v>
      </c>
      <c r="ACE38" s="114" t="n">
        <f aca="false">[1]ВИБУЛО2!IU30</f>
        <v>0</v>
      </c>
      <c r="ACF38" s="115" t="n">
        <f aca="false">ACF37-ACE38+ACD38</f>
        <v>0</v>
      </c>
      <c r="ACG38" s="113" t="n">
        <f aca="false">[1]НАДІЙШЛО2!IV30</f>
        <v>0</v>
      </c>
      <c r="ACH38" s="114" t="n">
        <f aca="false">[1]ВИБУЛО2!IV30</f>
        <v>0</v>
      </c>
      <c r="ACI38" s="115" t="n">
        <f aca="false">ACI37-ACH38+ACG38</f>
        <v>0</v>
      </c>
      <c r="ACJ38" s="113" t="n">
        <f aca="false">[1]НАДІЙШЛО2!IW30</f>
        <v>0</v>
      </c>
      <c r="ACK38" s="114" t="n">
        <f aca="false">[1]ВИБУЛО2!IW30</f>
        <v>0</v>
      </c>
      <c r="ACL38" s="115" t="n">
        <f aca="false">ACL37-ACK38+ACJ38</f>
        <v>0</v>
      </c>
      <c r="ACM38" s="113" t="n">
        <f aca="false">[1]НАДІЙШЛО2!IX30</f>
        <v>0</v>
      </c>
      <c r="ACN38" s="114" t="n">
        <f aca="false">[1]ВИБУЛО2!IX30</f>
        <v>0</v>
      </c>
      <c r="ACO38" s="115" t="n">
        <f aca="false">ACO37-ACN38+ACM38</f>
        <v>0</v>
      </c>
      <c r="ACP38" s="113" t="n">
        <f aca="false">[1]НАДІЙШЛО2!IY30</f>
        <v>0</v>
      </c>
      <c r="ACQ38" s="114" t="n">
        <f aca="false">[1]ВИБУЛО2!IY30</f>
        <v>0</v>
      </c>
      <c r="ACR38" s="115" t="n">
        <f aca="false">ACR37-ACQ38+ACP38</f>
        <v>0</v>
      </c>
      <c r="ACS38" s="113" t="n">
        <f aca="false">[1]НАДІЙШЛО2!IZ30</f>
        <v>0</v>
      </c>
      <c r="ACT38" s="114" t="n">
        <f aca="false">[1]ВИБУЛО2!IZ30</f>
        <v>0</v>
      </c>
      <c r="ACU38" s="115" t="n">
        <f aca="false">ACU37-ACT38+ACS38</f>
        <v>0</v>
      </c>
      <c r="ACV38" s="113" t="n">
        <f aca="false">[1]НАДІЙШЛО2!JA30</f>
        <v>0</v>
      </c>
      <c r="ACW38" s="114" t="n">
        <f aca="false">[1]ВИБУЛО2!JA30</f>
        <v>0</v>
      </c>
      <c r="ACX38" s="115" t="n">
        <f aca="false">ACX37-ACW38+ACV38</f>
        <v>0</v>
      </c>
      <c r="ACY38" s="113" t="n">
        <f aca="false">[1]НАДІЙШЛО2!JB30</f>
        <v>0</v>
      </c>
      <c r="ACZ38" s="114" t="n">
        <f aca="false">[1]ВИБУЛО2!JB30</f>
        <v>0</v>
      </c>
      <c r="ADA38" s="115" t="n">
        <f aca="false">ADA37-ACZ38+ACY38</f>
        <v>0</v>
      </c>
      <c r="ADB38" s="113" t="n">
        <f aca="false">[1]НАДІЙШЛО2!JC30</f>
        <v>0</v>
      </c>
      <c r="ADC38" s="114" t="n">
        <f aca="false">[1]ВИБУЛО2!JC30</f>
        <v>0</v>
      </c>
      <c r="ADD38" s="115" t="n">
        <f aca="false">ADD37-ADC38+ADB38</f>
        <v>0</v>
      </c>
      <c r="ADE38" s="113" t="n">
        <f aca="false">[1]НАДІЙШЛО2!JD30</f>
        <v>0</v>
      </c>
      <c r="ADF38" s="114" t="n">
        <f aca="false">[1]ВИБУЛО2!JD30</f>
        <v>0</v>
      </c>
      <c r="ADG38" s="115" t="n">
        <f aca="false">ADG37-ADF38+ADE38</f>
        <v>0</v>
      </c>
      <c r="ADH38" s="113" t="n">
        <f aca="false">[1]НАДІЙШЛО2!JE30</f>
        <v>0</v>
      </c>
      <c r="ADI38" s="114" t="n">
        <f aca="false">[1]ВИБУЛО2!JE30</f>
        <v>0</v>
      </c>
      <c r="ADJ38" s="115" t="n">
        <f aca="false">ADJ37-ADI38+ADH38</f>
        <v>0</v>
      </c>
      <c r="ADK38" s="113" t="n">
        <f aca="false">[1]НАДІЙШЛО2!JF30</f>
        <v>0</v>
      </c>
      <c r="ADL38" s="114" t="n">
        <f aca="false">[1]ВИБУЛО2!JF30</f>
        <v>0</v>
      </c>
      <c r="ADM38" s="115" t="n">
        <f aca="false">ADM37-ADL38+ADK38</f>
        <v>0</v>
      </c>
      <c r="ADN38" s="113" t="n">
        <f aca="false">[1]НАДІЙШЛО2!JG30</f>
        <v>0</v>
      </c>
      <c r="ADO38" s="114" t="n">
        <f aca="false">[1]ВИБУЛО2!JG30</f>
        <v>0</v>
      </c>
      <c r="ADP38" s="115" t="n">
        <f aca="false">ADP37-ADO38+ADN38</f>
        <v>0</v>
      </c>
      <c r="ADQ38" s="113" t="n">
        <f aca="false">[1]НАДІЙШЛО2!JH30</f>
        <v>0</v>
      </c>
      <c r="ADR38" s="114" t="n">
        <f aca="false">[1]ВИБУЛО2!JH30</f>
        <v>0</v>
      </c>
      <c r="ADS38" s="115" t="n">
        <f aca="false">ADS37-ADR38+ADQ38</f>
        <v>0</v>
      </c>
      <c r="ADT38" s="113" t="n">
        <f aca="false">[1]НАДІЙШЛО2!JI30</f>
        <v>0</v>
      </c>
      <c r="ADU38" s="114" t="n">
        <f aca="false">[1]ВИБУЛО2!JI30</f>
        <v>0</v>
      </c>
      <c r="ADV38" s="115" t="n">
        <f aca="false">ADV37-ADU38+ADT38</f>
        <v>0</v>
      </c>
      <c r="ADW38" s="113" t="n">
        <f aca="false">[1]НАДІЙШЛО2!JJ30</f>
        <v>0</v>
      </c>
      <c r="ADX38" s="114" t="n">
        <f aca="false">[1]ВИБУЛО2!JJ30</f>
        <v>0</v>
      </c>
      <c r="ADY38" s="115" t="n">
        <f aca="false">ADY37-ADX38+ADW38</f>
        <v>0</v>
      </c>
      <c r="ADZ38" s="113" t="n">
        <f aca="false">[1]НАДІЙШЛО2!JK30</f>
        <v>0</v>
      </c>
      <c r="AEA38" s="114" t="n">
        <f aca="false">[1]ВИБУЛО2!JK30</f>
        <v>0</v>
      </c>
      <c r="AEB38" s="115" t="n">
        <f aca="false">AEB37-AEA38+ADZ38</f>
        <v>0</v>
      </c>
      <c r="AEC38" s="113" t="n">
        <f aca="false">[1]НАДІЙШЛО2!JL30</f>
        <v>0</v>
      </c>
      <c r="AED38" s="114" t="n">
        <f aca="false">[1]ВИБУЛО2!JL30</f>
        <v>0</v>
      </c>
      <c r="AEE38" s="115" t="n">
        <f aca="false">AEE37-AED38+AEC38</f>
        <v>0</v>
      </c>
      <c r="AEF38" s="113" t="n">
        <f aca="false">[1]НАДІЙШЛО2!JM30</f>
        <v>0</v>
      </c>
      <c r="AEG38" s="114" t="n">
        <f aca="false">[1]ВИБУЛО2!JM30</f>
        <v>0</v>
      </c>
      <c r="AEH38" s="115" t="n">
        <f aca="false">AEH37-AEG38+AEF38</f>
        <v>0</v>
      </c>
      <c r="AEI38" s="113" t="n">
        <f aca="false">[1]НАДІЙШЛО2!JN30</f>
        <v>0</v>
      </c>
      <c r="AEJ38" s="114" t="n">
        <f aca="false">[1]ВИБУЛО2!JN30</f>
        <v>0</v>
      </c>
      <c r="AEK38" s="115" t="n">
        <f aca="false">AEK37-AEJ38+AEI38</f>
        <v>0</v>
      </c>
      <c r="AEL38" s="113" t="n">
        <f aca="false">[1]НАДІЙШЛО2!JO30</f>
        <v>0</v>
      </c>
      <c r="AEM38" s="114" t="n">
        <f aca="false">[1]ВИБУЛО2!JO30</f>
        <v>0</v>
      </c>
      <c r="AEN38" s="115" t="n">
        <f aca="false">AEN37-AEM38+AEL38</f>
        <v>0</v>
      </c>
      <c r="AEO38" s="113" t="n">
        <f aca="false">[1]НАДІЙШЛО2!JP30</f>
        <v>0</v>
      </c>
      <c r="AEP38" s="114" t="n">
        <f aca="false">[1]ВИБУЛО2!JP30</f>
        <v>0</v>
      </c>
      <c r="AEQ38" s="115" t="n">
        <f aca="false">AEQ37-AEP38+AEO38</f>
        <v>0</v>
      </c>
      <c r="AER38" s="113" t="n">
        <f aca="false">[1]НАДІЙШЛО2!JQ30</f>
        <v>0</v>
      </c>
      <c r="AES38" s="114" t="n">
        <f aca="false">[1]ВИБУЛО2!JQ30</f>
        <v>0</v>
      </c>
      <c r="AET38" s="115" t="n">
        <f aca="false">AET37-AES38+AER38</f>
        <v>0</v>
      </c>
      <c r="AEU38" s="113" t="n">
        <f aca="false">[1]НАДІЙШЛО2!JR30</f>
        <v>0</v>
      </c>
      <c r="AEV38" s="114" t="n">
        <f aca="false">[1]ВИБУЛО2!JR30</f>
        <v>0</v>
      </c>
      <c r="AEW38" s="115" t="n">
        <f aca="false">AEW37-AEV38+AEU38</f>
        <v>0</v>
      </c>
      <c r="AEX38" s="113" t="n">
        <f aca="false">[1]НАДІЙШЛО2!JS30</f>
        <v>0</v>
      </c>
      <c r="AEY38" s="114" t="n">
        <f aca="false">[1]ВИБУЛО2!JS30</f>
        <v>0</v>
      </c>
      <c r="AEZ38" s="115" t="n">
        <f aca="false">AEZ37-AEY38+AEX38</f>
        <v>0</v>
      </c>
      <c r="AFA38" s="113" t="n">
        <f aca="false">[1]НАДІЙШЛО2!JT30</f>
        <v>0</v>
      </c>
      <c r="AFB38" s="114" t="n">
        <f aca="false">[1]ВИБУЛО2!JT30</f>
        <v>0</v>
      </c>
      <c r="AFC38" s="115" t="n">
        <f aca="false">AFC37-AFB38+AFA38</f>
        <v>0</v>
      </c>
      <c r="AFD38" s="113" t="n">
        <f aca="false">[1]НАДІЙШЛО2!JU30</f>
        <v>0</v>
      </c>
      <c r="AFE38" s="114" t="n">
        <f aca="false">[1]ВИБУЛО2!JU30</f>
        <v>0</v>
      </c>
      <c r="AFF38" s="115" t="n">
        <f aca="false">AFF37-AFE38+AFD38</f>
        <v>0</v>
      </c>
      <c r="AFG38" s="113" t="n">
        <f aca="false">[1]НАДІЙШЛО2!JV30</f>
        <v>0</v>
      </c>
      <c r="AFH38" s="114" t="n">
        <f aca="false">[1]ВИБУЛО2!JV30</f>
        <v>0</v>
      </c>
      <c r="AFI38" s="115" t="n">
        <f aca="false">AFI37-AFH38+AFG38</f>
        <v>0</v>
      </c>
      <c r="AFJ38" s="113" t="n">
        <f aca="false">[1]НАДІЙШЛО2!JW30</f>
        <v>0</v>
      </c>
      <c r="AFK38" s="114" t="n">
        <f aca="false">[1]ВИБУЛО2!JW30</f>
        <v>0</v>
      </c>
      <c r="AFL38" s="115" t="n">
        <f aca="false">AFL37-AFK38+AFJ38</f>
        <v>0</v>
      </c>
      <c r="AFM38" s="113" t="n">
        <f aca="false">[1]НАДІЙШЛО2!JX30</f>
        <v>0</v>
      </c>
      <c r="AFN38" s="114" t="n">
        <f aca="false">[1]ВИБУЛО2!JX30</f>
        <v>0</v>
      </c>
      <c r="AFO38" s="115" t="n">
        <f aca="false">AFO37-AFN38+AFM38</f>
        <v>0</v>
      </c>
      <c r="AFP38" s="113" t="n">
        <f aca="false">[1]НАДІЙШЛО2!JY30</f>
        <v>0</v>
      </c>
      <c r="AFQ38" s="114" t="n">
        <f aca="false">[1]ВИБУЛО2!JY30</f>
        <v>0</v>
      </c>
      <c r="AFR38" s="115" t="n">
        <f aca="false">AFR37-AFQ38+AFP38</f>
        <v>0</v>
      </c>
      <c r="AFS38" s="113" t="n">
        <f aca="false">[1]НАДІЙШЛО2!JZ30</f>
        <v>0</v>
      </c>
      <c r="AFT38" s="114" t="n">
        <f aca="false">[1]ВИБУЛО2!JZ30</f>
        <v>0</v>
      </c>
      <c r="AFU38" s="115" t="n">
        <f aca="false">AFU37-AFT38+AFS38</f>
        <v>0</v>
      </c>
      <c r="AFV38" s="113" t="n">
        <f aca="false">[1]НАДІЙШЛО2!KA30</f>
        <v>0</v>
      </c>
      <c r="AFW38" s="114" t="n">
        <f aca="false">[1]ВИБУЛО2!KA30</f>
        <v>0</v>
      </c>
      <c r="AFX38" s="115" t="n">
        <f aca="false">AFX37-AFW38+AFV38</f>
        <v>0</v>
      </c>
      <c r="AFY38" s="113" t="n">
        <f aca="false">[1]НАДІЙШЛО2!KB30</f>
        <v>0</v>
      </c>
      <c r="AFZ38" s="114" t="n">
        <f aca="false">[1]ВИБУЛО2!KB30</f>
        <v>0</v>
      </c>
      <c r="AGA38" s="115" t="n">
        <f aca="false">AGA37-AFZ38+AFY38</f>
        <v>0</v>
      </c>
      <c r="AGB38" s="113" t="n">
        <f aca="false">[1]НАДІЙШЛО2!KC30</f>
        <v>0</v>
      </c>
      <c r="AGC38" s="114" t="n">
        <f aca="false">[1]ВИБУЛО2!KC30</f>
        <v>0</v>
      </c>
      <c r="AGD38" s="115" t="n">
        <f aca="false">AGD37-AGC38+AGB38</f>
        <v>0</v>
      </c>
      <c r="AGE38" s="113" t="n">
        <f aca="false">[1]НАДІЙШЛО2!KD30</f>
        <v>0</v>
      </c>
      <c r="AGF38" s="114" t="n">
        <f aca="false">[1]ВИБУЛО2!KD30</f>
        <v>0</v>
      </c>
      <c r="AGG38" s="115" t="n">
        <f aca="false">AGG37-AGF38+AGE38</f>
        <v>0</v>
      </c>
      <c r="AGH38" s="113" t="n">
        <f aca="false">[1]НАДІЙШЛО2!KE30</f>
        <v>0</v>
      </c>
      <c r="AGI38" s="114" t="n">
        <f aca="false">[1]ВИБУЛО2!KE30</f>
        <v>0</v>
      </c>
      <c r="AGJ38" s="115" t="n">
        <f aca="false">AGJ37-AGI38+AGH38</f>
        <v>0</v>
      </c>
      <c r="AGK38" s="113" t="n">
        <f aca="false">[1]НАДІЙШЛО2!KF30</f>
        <v>0</v>
      </c>
      <c r="AGL38" s="114" t="n">
        <f aca="false">[1]ВИБУЛО2!KF30</f>
        <v>0</v>
      </c>
      <c r="AGM38" s="115" t="n">
        <f aca="false">AGM37-AGL38+AGK38</f>
        <v>0</v>
      </c>
      <c r="AGN38" s="113" t="n">
        <f aca="false">[1]НАДІЙШЛО2!KG30</f>
        <v>0</v>
      </c>
      <c r="AGO38" s="114" t="n">
        <f aca="false">[1]ВИБУЛО2!KG30</f>
        <v>0</v>
      </c>
      <c r="AGP38" s="115" t="n">
        <f aca="false">AGP37-AGO38+AGN38</f>
        <v>0</v>
      </c>
      <c r="AGQ38" s="113" t="n">
        <f aca="false">[1]НАДІЙШЛО2!KH30</f>
        <v>0</v>
      </c>
      <c r="AGR38" s="114" t="n">
        <f aca="false">[1]ВИБУЛО2!KH30</f>
        <v>0</v>
      </c>
      <c r="AGS38" s="115" t="n">
        <f aca="false">AGS37-AGR38+AGQ38</f>
        <v>0</v>
      </c>
      <c r="AGT38" s="113" t="n">
        <f aca="false">[1]НАДІЙШЛО2!KI30</f>
        <v>0</v>
      </c>
      <c r="AGU38" s="114" t="n">
        <f aca="false">[1]ВИБУЛО2!KI30</f>
        <v>0</v>
      </c>
      <c r="AGV38" s="115" t="n">
        <f aca="false">AGV37-AGU38+AGT38</f>
        <v>0</v>
      </c>
      <c r="AGW38" s="113" t="n">
        <f aca="false">[1]НАДІЙШЛО2!KJ30</f>
        <v>0</v>
      </c>
      <c r="AGX38" s="114" t="n">
        <f aca="false">[1]ВИБУЛО2!KJ30</f>
        <v>0</v>
      </c>
      <c r="AGY38" s="115" t="n">
        <f aca="false">AGY37-AGX38+AGW38</f>
        <v>0</v>
      </c>
      <c r="AGZ38" s="113" t="n">
        <f aca="false">[1]НАДІЙШЛО2!KK30</f>
        <v>0</v>
      </c>
      <c r="AHA38" s="114" t="n">
        <f aca="false">[1]ВИБУЛО2!KK30</f>
        <v>0</v>
      </c>
      <c r="AHB38" s="115" t="n">
        <f aca="false">AHB37-AHA38+AGZ38</f>
        <v>0</v>
      </c>
      <c r="AHC38" s="113" t="n">
        <f aca="false">[1]НАДІЙШЛО2!KL30</f>
        <v>0</v>
      </c>
      <c r="AHD38" s="114" t="n">
        <f aca="false">[1]ВИБУЛО2!KL30</f>
        <v>0</v>
      </c>
      <c r="AHE38" s="115" t="n">
        <f aca="false">AHE37-AHD38+AHC38</f>
        <v>0</v>
      </c>
      <c r="AHF38" s="113" t="n">
        <f aca="false">[1]НАДІЙШЛО2!KM30</f>
        <v>0</v>
      </c>
      <c r="AHG38" s="114" t="n">
        <f aca="false">[1]ВИБУЛО2!KM30</f>
        <v>0</v>
      </c>
      <c r="AHH38" s="115" t="n">
        <f aca="false">AHH37-AHG38+AHF38</f>
        <v>0</v>
      </c>
      <c r="AHI38" s="113" t="n">
        <f aca="false">[1]НАДІЙШЛО2!KN30</f>
        <v>0</v>
      </c>
      <c r="AHJ38" s="114" t="n">
        <f aca="false">[1]ВИБУЛО2!KN30</f>
        <v>0</v>
      </c>
      <c r="AHK38" s="115" t="n">
        <f aca="false">AHK37-AHJ38+AHI38</f>
        <v>0</v>
      </c>
      <c r="AHL38" s="113" t="n">
        <f aca="false">[1]НАДІЙШЛО2!KO30</f>
        <v>0</v>
      </c>
      <c r="AHM38" s="114" t="n">
        <f aca="false">[1]ВИБУЛО2!KO30</f>
        <v>0</v>
      </c>
      <c r="AHN38" s="115" t="n">
        <f aca="false">AHN37-AHM38+AHL38</f>
        <v>0</v>
      </c>
      <c r="AHO38" s="113" t="n">
        <f aca="false">[1]НАДІЙШЛО2!KP30</f>
        <v>0</v>
      </c>
      <c r="AHP38" s="114" t="n">
        <f aca="false">[1]ВИБУЛО2!KP30</f>
        <v>0</v>
      </c>
      <c r="AHQ38" s="115" t="n">
        <f aca="false">AHQ37-AHP38+AHO38</f>
        <v>0</v>
      </c>
      <c r="AHR38" s="113" t="n">
        <f aca="false">[1]НАДІЙШЛО2!KQ30</f>
        <v>0</v>
      </c>
      <c r="AHS38" s="114" t="n">
        <f aca="false">[1]ВИБУЛО2!KQ30</f>
        <v>0</v>
      </c>
      <c r="AHT38" s="115" t="n">
        <f aca="false">AHT37-AHS38+AHR38</f>
        <v>0</v>
      </c>
      <c r="AHU38" s="113" t="n">
        <f aca="false">[1]НАДІЙШЛО2!KR30</f>
        <v>0</v>
      </c>
      <c r="AHV38" s="114" t="n">
        <f aca="false">[1]ВИБУЛО2!KR30</f>
        <v>0</v>
      </c>
      <c r="AHW38" s="115" t="n">
        <f aca="false">AHW37-AHV38+AHU38</f>
        <v>0</v>
      </c>
      <c r="AHX38" s="113" t="n">
        <f aca="false">[1]НАДІЙШЛО2!KS30</f>
        <v>0</v>
      </c>
      <c r="AHY38" s="114" t="n">
        <f aca="false">[1]ВИБУЛО2!KS30</f>
        <v>0</v>
      </c>
      <c r="AHZ38" s="115" t="n">
        <f aca="false">AHZ37-AHY38+AHX38</f>
        <v>0</v>
      </c>
      <c r="AIA38" s="113" t="n">
        <f aca="false">[1]НАДІЙШЛО2!KT30</f>
        <v>0</v>
      </c>
      <c r="AIB38" s="114" t="n">
        <f aca="false">[1]ВИБУЛО2!KT30</f>
        <v>0</v>
      </c>
      <c r="AIC38" s="115" t="n">
        <f aca="false">AIC37-AIB38+AIA38</f>
        <v>0</v>
      </c>
      <c r="AID38" s="113" t="n">
        <f aca="false">[1]НАДІЙШЛО2!KU30</f>
        <v>0</v>
      </c>
      <c r="AIE38" s="114" t="n">
        <f aca="false">[1]ВИБУЛО2!KU30</f>
        <v>0</v>
      </c>
      <c r="AIF38" s="115" t="n">
        <f aca="false">AIF37-AIE38+AID38</f>
        <v>0</v>
      </c>
      <c r="AIG38" s="113" t="n">
        <f aca="false">[1]НАДІЙШЛО2!KV30</f>
        <v>0</v>
      </c>
      <c r="AIH38" s="114" t="n">
        <f aca="false">[1]ВИБУЛО2!KV30</f>
        <v>0</v>
      </c>
      <c r="AII38" s="115" t="n">
        <f aca="false">AII37-AIH38+AIG38</f>
        <v>0</v>
      </c>
      <c r="AIJ38" s="113" t="n">
        <f aca="false">[1]НАДІЙШЛО2!KW30</f>
        <v>0</v>
      </c>
      <c r="AIK38" s="114" t="n">
        <f aca="false">[1]ВИБУЛО2!KW30</f>
        <v>0</v>
      </c>
      <c r="AIL38" s="115" t="n">
        <f aca="false">AIL37-AIK38+AIJ38</f>
        <v>0</v>
      </c>
      <c r="AIM38" s="113" t="n">
        <f aca="false">[1]НАДІЙШЛО2!KX30</f>
        <v>0</v>
      </c>
      <c r="AIN38" s="114" t="n">
        <f aca="false">[1]ВИБУЛО2!KX30</f>
        <v>0</v>
      </c>
      <c r="AIO38" s="115" t="n">
        <f aca="false">AIO37-AIN38+AIM38</f>
        <v>0</v>
      </c>
      <c r="AIP38" s="113" t="n">
        <f aca="false">[1]НАДІЙШЛО2!KY30</f>
        <v>0</v>
      </c>
      <c r="AIQ38" s="114" t="n">
        <f aca="false">[1]ВИБУЛО2!KY30</f>
        <v>0</v>
      </c>
      <c r="AIR38" s="115" t="n">
        <f aca="false">AIR37-AIQ38+AIP38</f>
        <v>0</v>
      </c>
      <c r="AIS38" s="113" t="n">
        <f aca="false">[1]НАДІЙШЛО2!KZ30</f>
        <v>0</v>
      </c>
      <c r="AIT38" s="114" t="n">
        <f aca="false">[1]ВИБУЛО2!KZ30</f>
        <v>0</v>
      </c>
      <c r="AIU38" s="115" t="n">
        <f aca="false">AIU37-AIT38+AIS38</f>
        <v>0</v>
      </c>
      <c r="AIV38" s="113" t="n">
        <f aca="false">[1]НАДІЙШЛО2!LA30</f>
        <v>0</v>
      </c>
      <c r="AIW38" s="114" t="n">
        <f aca="false">[1]ВИБУЛО2!LA30</f>
        <v>0</v>
      </c>
      <c r="AIX38" s="115" t="n">
        <f aca="false">AIX37-AIW38+AIV38</f>
        <v>0</v>
      </c>
      <c r="AIY38" s="113" t="n">
        <f aca="false">[1]НАДІЙШЛО2!LB30</f>
        <v>0</v>
      </c>
      <c r="AIZ38" s="114" t="n">
        <f aca="false">[1]ВИБУЛО2!LB30</f>
        <v>0</v>
      </c>
      <c r="AJA38" s="115" t="n">
        <f aca="false">AJA37-AIZ38+AIY38</f>
        <v>0</v>
      </c>
      <c r="AJB38" s="113" t="n">
        <f aca="false">[1]НАДІЙШЛО2!LC30</f>
        <v>0</v>
      </c>
      <c r="AJC38" s="114" t="n">
        <f aca="false">[1]ВИБУЛО2!LC30</f>
        <v>0</v>
      </c>
      <c r="AJD38" s="115" t="n">
        <f aca="false">AJD37-AJC38+AJB38</f>
        <v>0</v>
      </c>
      <c r="AJE38" s="113" t="n">
        <f aca="false">[1]НАДІЙШЛО2!LD30</f>
        <v>0</v>
      </c>
      <c r="AJF38" s="114" t="n">
        <f aca="false">[1]ВИБУЛО2!LD30</f>
        <v>0</v>
      </c>
      <c r="AJG38" s="115" t="n">
        <f aca="false">AJG37-AJF38+AJE38</f>
        <v>0</v>
      </c>
      <c r="AJH38" s="113" t="n">
        <f aca="false">[1]НАДІЙШЛО2!LE30</f>
        <v>0</v>
      </c>
      <c r="AJI38" s="114" t="n">
        <f aca="false">[1]ВИБУЛО2!LE30</f>
        <v>0</v>
      </c>
      <c r="AJJ38" s="115" t="n">
        <f aca="false">AJJ37-AJI38+AJH38</f>
        <v>0</v>
      </c>
      <c r="AJK38" s="113" t="n">
        <f aca="false">[1]НАДІЙШЛО2!LF30</f>
        <v>0</v>
      </c>
      <c r="AJL38" s="114" t="n">
        <f aca="false">[1]ВИБУЛО2!LF30</f>
        <v>0</v>
      </c>
      <c r="AJM38" s="115" t="n">
        <f aca="false">AJM37-AJL38+AJK38</f>
        <v>0</v>
      </c>
      <c r="AJN38" s="113" t="n">
        <f aca="false">[1]НАДІЙШЛО2!LG30</f>
        <v>0</v>
      </c>
      <c r="AJO38" s="114" t="n">
        <f aca="false">[1]ВИБУЛО2!LG30</f>
        <v>0</v>
      </c>
      <c r="AJP38" s="115" t="n">
        <f aca="false">AJP37-AJO38+AJN38</f>
        <v>0</v>
      </c>
      <c r="AJQ38" s="113" t="n">
        <f aca="false">[1]НАДІЙШЛО2!LH30</f>
        <v>0</v>
      </c>
      <c r="AJR38" s="114" t="n">
        <f aca="false">[1]ВИБУЛО2!LH30</f>
        <v>0</v>
      </c>
      <c r="AJS38" s="115" t="n">
        <f aca="false">AJS37-AJR38+AJQ38</f>
        <v>0</v>
      </c>
      <c r="AJT38" s="113" t="n">
        <f aca="false">[1]НАДІЙШЛО2!LI30</f>
        <v>0</v>
      </c>
      <c r="AJU38" s="114" t="n">
        <f aca="false">[1]ВИБУЛО2!LI30</f>
        <v>0</v>
      </c>
      <c r="AJV38" s="115" t="n">
        <f aca="false">AJV37-AJU38+AJT38</f>
        <v>0</v>
      </c>
      <c r="AJW38" s="113" t="n">
        <f aca="false">[1]НАДІЙШЛО2!LJ30</f>
        <v>0</v>
      </c>
      <c r="AJX38" s="114" t="n">
        <f aca="false">[1]ВИБУЛО2!LJ30</f>
        <v>0</v>
      </c>
      <c r="AJY38" s="115" t="n">
        <f aca="false">AJY37-AJX38+AJW38</f>
        <v>0</v>
      </c>
      <c r="AJZ38" s="113" t="n">
        <f aca="false">[1]НАДІЙШЛО2!LK30</f>
        <v>0</v>
      </c>
      <c r="AKA38" s="114" t="n">
        <f aca="false">[1]ВИБУЛО2!LK30</f>
        <v>0</v>
      </c>
      <c r="AKB38" s="115" t="n">
        <f aca="false">AKB37-AKA38+AJZ38</f>
        <v>0</v>
      </c>
      <c r="AKC38" s="113" t="n">
        <f aca="false">[1]НАДІЙШЛО2!LL30</f>
        <v>0</v>
      </c>
      <c r="AKD38" s="114" t="n">
        <f aca="false">[1]ВИБУЛО2!LL30</f>
        <v>0</v>
      </c>
      <c r="AKE38" s="115" t="n">
        <f aca="false">AKE37-AKD38+AKC38</f>
        <v>0</v>
      </c>
      <c r="AKF38" s="113" t="n">
        <f aca="false">[1]НАДІЙШЛО2!LM30</f>
        <v>0</v>
      </c>
      <c r="AKG38" s="114" t="n">
        <f aca="false">[1]ВИБУЛО2!LM30</f>
        <v>0</v>
      </c>
      <c r="AKH38" s="115" t="n">
        <f aca="false">AKH37-AKG38+AKF38</f>
        <v>0</v>
      </c>
      <c r="AKI38" s="113" t="n">
        <f aca="false">[1]НАДІЙШЛО2!LN30</f>
        <v>0</v>
      </c>
      <c r="AKJ38" s="114" t="n">
        <f aca="false">[1]ВИБУЛО2!LN30</f>
        <v>0</v>
      </c>
      <c r="AKK38" s="115" t="n">
        <f aca="false">AKK37-AKJ38+AKI38</f>
        <v>0</v>
      </c>
      <c r="AKL38" s="113" t="n">
        <f aca="false">[1]НАДІЙШЛО2!LO30</f>
        <v>0</v>
      </c>
      <c r="AKM38" s="114" t="n">
        <f aca="false">[1]ВИБУЛО2!LO30</f>
        <v>0</v>
      </c>
      <c r="AKN38" s="115" t="n">
        <f aca="false">AKN37-AKM38+AKL38</f>
        <v>0</v>
      </c>
      <c r="AKO38" s="113" t="n">
        <f aca="false">[1]НАДІЙШЛО2!LP30</f>
        <v>0</v>
      </c>
      <c r="AKP38" s="114" t="n">
        <f aca="false">[1]ВИБУЛО2!LP30</f>
        <v>0</v>
      </c>
      <c r="AKQ38" s="115" t="n">
        <f aca="false">AKQ37-AKP38+AKO38</f>
        <v>0</v>
      </c>
      <c r="AKR38" s="113" t="n">
        <f aca="false">[1]НАДІЙШЛО2!LQ30</f>
        <v>0</v>
      </c>
      <c r="AKS38" s="114" t="n">
        <f aca="false">[1]ВИБУЛО2!LQ30</f>
        <v>0</v>
      </c>
      <c r="AKT38" s="115" t="n">
        <f aca="false">AKT37-AKS38+AKR38</f>
        <v>0</v>
      </c>
      <c r="AKU38" s="113" t="n">
        <f aca="false">[1]НАДІЙШЛО2!LR30</f>
        <v>0</v>
      </c>
      <c r="AKV38" s="114" t="n">
        <f aca="false">[1]ВИБУЛО2!LR30</f>
        <v>0</v>
      </c>
      <c r="AKW38" s="115" t="n">
        <f aca="false">AKW37-AKV38+AKU38</f>
        <v>0</v>
      </c>
      <c r="AKX38" s="113" t="n">
        <f aca="false">[1]НАДІЙШЛО2!LS30</f>
        <v>0</v>
      </c>
      <c r="AKY38" s="114" t="n">
        <f aca="false">[1]ВИБУЛО2!LS30</f>
        <v>0</v>
      </c>
      <c r="AKZ38" s="115" t="n">
        <f aca="false">AKZ37-AKY38+AKX38</f>
        <v>0</v>
      </c>
      <c r="ALA38" s="113" t="n">
        <f aca="false">[1]НАДІЙШЛО2!LT30</f>
        <v>0</v>
      </c>
      <c r="ALB38" s="114" t="n">
        <f aca="false">[1]ВИБУЛО2!LT30</f>
        <v>0</v>
      </c>
      <c r="ALC38" s="115" t="n">
        <f aca="false">ALC37-ALB38+ALA38</f>
        <v>0</v>
      </c>
      <c r="ALD38" s="113" t="n">
        <f aca="false">[1]НАДІЙШЛО2!LU30</f>
        <v>0</v>
      </c>
      <c r="ALE38" s="114" t="n">
        <f aca="false">[1]ВИБУЛО2!LU30</f>
        <v>0</v>
      </c>
      <c r="ALF38" s="115" t="n">
        <f aca="false">ALF37-ALE38+ALD38</f>
        <v>0</v>
      </c>
      <c r="ALG38" s="113" t="n">
        <f aca="false">[1]НАДІЙШЛО2!LV30</f>
        <v>0</v>
      </c>
      <c r="ALH38" s="114" t="n">
        <f aca="false">[1]ВИБУЛО2!LV30</f>
        <v>0</v>
      </c>
      <c r="ALI38" s="115" t="n">
        <f aca="false">ALI37-ALH38+ALG38</f>
        <v>0</v>
      </c>
      <c r="ALJ38" s="113" t="n">
        <f aca="false">[1]НАДІЙШЛО2!LW30</f>
        <v>0</v>
      </c>
      <c r="ALK38" s="114" t="n">
        <f aca="false">[1]ВИБУЛО2!LW30</f>
        <v>0</v>
      </c>
      <c r="ALL38" s="115" t="n">
        <f aca="false">ALL37-ALK38+ALJ38</f>
        <v>0</v>
      </c>
      <c r="ALM38" s="113" t="n">
        <f aca="false">[1]НАДІЙШЛО2!LX30</f>
        <v>0</v>
      </c>
      <c r="ALN38" s="114" t="n">
        <f aca="false">[1]ВИБУЛО2!LX30</f>
        <v>0</v>
      </c>
      <c r="ALO38" s="115" t="n">
        <f aca="false">ALO37-ALN38+ALM38</f>
        <v>0</v>
      </c>
      <c r="ALP38" s="113" t="n">
        <f aca="false">[1]НАДІЙШЛО2!LY30</f>
        <v>0</v>
      </c>
      <c r="ALQ38" s="114" t="n">
        <f aca="false">[1]ВИБУЛО2!LY30</f>
        <v>0</v>
      </c>
      <c r="ALR38" s="115" t="n">
        <f aca="false">ALR37-ALQ38+ALP38</f>
        <v>0</v>
      </c>
      <c r="ALS38" s="113" t="n">
        <f aca="false">[1]НАДІЙШЛО2!LZ30</f>
        <v>0</v>
      </c>
      <c r="ALT38" s="114" t="n">
        <f aca="false">[1]ВИБУЛО2!LZ30</f>
        <v>0</v>
      </c>
      <c r="ALU38" s="115" t="n">
        <f aca="false">ALU37-ALT38+ALS38</f>
        <v>0</v>
      </c>
      <c r="ALV38" s="113" t="n">
        <f aca="false">[1]НАДІЙШЛО2!MA30</f>
        <v>0</v>
      </c>
      <c r="ALW38" s="114" t="n">
        <f aca="false">[1]ВИБУЛО2!MA30</f>
        <v>0</v>
      </c>
      <c r="ALX38" s="115" t="n">
        <f aca="false">ALX37-ALW38+ALV38</f>
        <v>0</v>
      </c>
      <c r="ALY38" s="113" t="n">
        <f aca="false">[1]НАДІЙШЛО2!MB30</f>
        <v>0</v>
      </c>
      <c r="ALZ38" s="114" t="n">
        <f aca="false">[1]ВИБУЛО2!MB30</f>
        <v>0</v>
      </c>
      <c r="AMA38" s="115" t="n">
        <f aca="false">AMA37-ALZ38+ALY38</f>
        <v>0</v>
      </c>
      <c r="AMB38" s="113" t="n">
        <f aca="false">[1]НАДІЙШЛО2!MC30</f>
        <v>0</v>
      </c>
      <c r="AMC38" s="114" t="n">
        <f aca="false">[1]ВИБУЛО2!MC30</f>
        <v>0</v>
      </c>
      <c r="AMD38" s="115" t="n">
        <f aca="false">AMD37-AMC38+AMB38</f>
        <v>0</v>
      </c>
      <c r="AME38" s="113" t="n">
        <f aca="false">[1]НАДІЙШЛО2!MD30</f>
        <v>0</v>
      </c>
      <c r="AMF38" s="114" t="n">
        <f aca="false">[1]ВИБУЛО2!MD30</f>
        <v>0</v>
      </c>
      <c r="AMG38" s="115" t="n">
        <f aca="false">AMG37-AMF38+AME38</f>
        <v>0</v>
      </c>
      <c r="AMH38" s="113" t="n">
        <f aca="false">[1]НАДІЙШЛО2!ME30</f>
        <v>0</v>
      </c>
      <c r="AMI38" s="114" t="n">
        <f aca="false">[1]ВИБУЛО2!ME30</f>
        <v>0</v>
      </c>
      <c r="AMJ38" s="115" t="n">
        <f aca="false">AMJ37-AMI38+AMH38</f>
        <v>0</v>
      </c>
    </row>
    <row r="39" s="118" customFormat="true" ht="16.5" hidden="false" customHeight="false" outlineLevel="0" collapsed="false">
      <c r="A39" s="116"/>
      <c r="B39" s="117"/>
      <c r="C39" s="117"/>
      <c r="D39" s="117"/>
      <c r="G39" s="119"/>
      <c r="J39" s="119"/>
      <c r="M39" s="119"/>
      <c r="P39" s="119"/>
      <c r="S39" s="119"/>
      <c r="V39" s="119"/>
      <c r="Y39" s="119"/>
      <c r="AB39" s="119"/>
      <c r="AE39" s="119"/>
      <c r="AH39" s="119"/>
      <c r="AK39" s="119"/>
      <c r="AN39" s="119"/>
      <c r="AQ39" s="119"/>
      <c r="AT39" s="119"/>
      <c r="AW39" s="119"/>
      <c r="AZ39" s="119"/>
      <c r="BC39" s="119"/>
      <c r="BF39" s="119"/>
      <c r="BI39" s="119"/>
      <c r="BL39" s="119"/>
      <c r="BO39" s="119"/>
      <c r="BR39" s="119"/>
      <c r="BU39" s="119"/>
      <c r="BX39" s="119"/>
      <c r="CA39" s="119"/>
      <c r="CD39" s="119"/>
      <c r="CG39" s="119"/>
      <c r="CJ39" s="119"/>
      <c r="CM39" s="119"/>
      <c r="CP39" s="119"/>
      <c r="CS39" s="119"/>
      <c r="CV39" s="119"/>
      <c r="CY39" s="119"/>
      <c r="DB39" s="119"/>
      <c r="DE39" s="119"/>
      <c r="DH39" s="119"/>
      <c r="DK39" s="119"/>
      <c r="DN39" s="119"/>
      <c r="DQ39" s="119"/>
      <c r="DT39" s="119"/>
      <c r="DW39" s="119"/>
      <c r="DZ39" s="119"/>
      <c r="EC39" s="119"/>
      <c r="EF39" s="119"/>
      <c r="EI39" s="119"/>
      <c r="EL39" s="119"/>
      <c r="EO39" s="119"/>
      <c r="ER39" s="119"/>
      <c r="EU39" s="119"/>
      <c r="EX39" s="119"/>
      <c r="FA39" s="119"/>
      <c r="FD39" s="119"/>
      <c r="FG39" s="119"/>
      <c r="FJ39" s="119"/>
      <c r="FM39" s="119"/>
      <c r="FP39" s="119"/>
      <c r="FS39" s="119"/>
      <c r="FV39" s="119"/>
      <c r="FY39" s="119"/>
      <c r="GB39" s="119"/>
      <c r="GE39" s="119"/>
      <c r="GH39" s="119"/>
      <c r="GK39" s="119"/>
      <c r="GN39" s="119"/>
      <c r="GQ39" s="119"/>
      <c r="GT39" s="119"/>
      <c r="GW39" s="119"/>
      <c r="GZ39" s="119"/>
      <c r="HC39" s="119"/>
      <c r="HF39" s="119"/>
      <c r="HI39" s="119"/>
      <c r="HL39" s="119"/>
      <c r="HO39" s="119"/>
      <c r="HR39" s="119"/>
      <c r="HU39" s="119"/>
      <c r="HX39" s="119"/>
      <c r="IA39" s="119"/>
      <c r="ID39" s="119"/>
      <c r="IG39" s="119"/>
      <c r="IJ39" s="119"/>
      <c r="IM39" s="119"/>
      <c r="IP39" s="119"/>
      <c r="IS39" s="119"/>
      <c r="IV39" s="119"/>
      <c r="IY39" s="119"/>
      <c r="JB39" s="119"/>
      <c r="JE39" s="119"/>
      <c r="JH39" s="119"/>
      <c r="JK39" s="119"/>
      <c r="JN39" s="119"/>
      <c r="JQ39" s="119"/>
      <c r="JT39" s="119"/>
      <c r="JW39" s="119"/>
      <c r="JZ39" s="119"/>
      <c r="KC39" s="119"/>
      <c r="KF39" s="119"/>
      <c r="KI39" s="119"/>
      <c r="KL39" s="119"/>
      <c r="KO39" s="119"/>
      <c r="KR39" s="119"/>
      <c r="KU39" s="119"/>
      <c r="KX39" s="119"/>
      <c r="LA39" s="119"/>
      <c r="LD39" s="119"/>
      <c r="LG39" s="119"/>
      <c r="LJ39" s="119"/>
      <c r="LM39" s="119"/>
      <c r="LP39" s="119"/>
      <c r="LS39" s="119"/>
      <c r="LV39" s="119"/>
      <c r="LY39" s="119"/>
      <c r="MB39" s="119"/>
      <c r="ME39" s="119"/>
      <c r="MH39" s="119"/>
      <c r="MK39" s="119"/>
      <c r="MN39" s="119"/>
      <c r="MQ39" s="119"/>
      <c r="MT39" s="119"/>
      <c r="MW39" s="119"/>
      <c r="MZ39" s="119"/>
      <c r="NC39" s="119"/>
      <c r="NF39" s="119"/>
      <c r="NI39" s="119"/>
      <c r="NL39" s="119"/>
      <c r="NO39" s="119"/>
      <c r="NR39" s="119"/>
      <c r="NU39" s="119"/>
      <c r="NX39" s="119"/>
      <c r="OA39" s="119"/>
      <c r="OD39" s="119"/>
      <c r="OG39" s="119"/>
      <c r="OJ39" s="119"/>
      <c r="OM39" s="119"/>
      <c r="OP39" s="119"/>
      <c r="OS39" s="119"/>
      <c r="OV39" s="119"/>
      <c r="OY39" s="119"/>
      <c r="PB39" s="119"/>
      <c r="PE39" s="119"/>
      <c r="PH39" s="119"/>
      <c r="PK39" s="119"/>
      <c r="PN39" s="119"/>
      <c r="PQ39" s="119"/>
      <c r="PT39" s="119"/>
      <c r="PW39" s="119"/>
      <c r="PZ39" s="119"/>
      <c r="QC39" s="119"/>
      <c r="QF39" s="119"/>
      <c r="QI39" s="119"/>
      <c r="QL39" s="119"/>
      <c r="QO39" s="119"/>
      <c r="QR39" s="119"/>
      <c r="QU39" s="119"/>
      <c r="QX39" s="119"/>
      <c r="RA39" s="119"/>
      <c r="RD39" s="119"/>
      <c r="RG39" s="119"/>
      <c r="RJ39" s="119"/>
      <c r="RM39" s="119"/>
      <c r="RP39" s="119"/>
      <c r="RS39" s="119"/>
      <c r="RV39" s="119"/>
      <c r="RY39" s="119"/>
      <c r="SB39" s="119"/>
      <c r="SE39" s="119"/>
      <c r="SH39" s="119"/>
      <c r="SK39" s="119"/>
      <c r="SN39" s="119"/>
      <c r="SQ39" s="119"/>
      <c r="ST39" s="119"/>
      <c r="SW39" s="119"/>
      <c r="SZ39" s="119"/>
      <c r="TC39" s="119"/>
      <c r="TF39" s="119"/>
      <c r="TI39" s="119"/>
      <c r="TL39" s="119"/>
      <c r="TO39" s="119"/>
      <c r="TR39" s="119"/>
      <c r="TU39" s="119"/>
      <c r="TX39" s="119"/>
      <c r="UA39" s="119"/>
      <c r="UD39" s="119"/>
      <c r="UG39" s="119"/>
      <c r="UJ39" s="119"/>
      <c r="UM39" s="119"/>
      <c r="UP39" s="119"/>
      <c r="US39" s="119"/>
      <c r="UV39" s="119"/>
      <c r="UY39" s="119"/>
      <c r="VB39" s="119"/>
      <c r="VE39" s="119"/>
      <c r="VH39" s="119"/>
      <c r="VK39" s="119"/>
      <c r="VN39" s="119"/>
      <c r="VQ39" s="119"/>
      <c r="VT39" s="119"/>
      <c r="VW39" s="119"/>
      <c r="VZ39" s="119"/>
      <c r="WC39" s="119"/>
      <c r="WF39" s="119"/>
      <c r="WI39" s="119"/>
      <c r="WL39" s="119"/>
      <c r="WO39" s="119"/>
      <c r="WR39" s="119"/>
      <c r="WU39" s="119"/>
      <c r="WX39" s="119"/>
      <c r="XA39" s="119"/>
      <c r="XD39" s="119"/>
      <c r="XG39" s="119"/>
      <c r="XJ39" s="119"/>
      <c r="XM39" s="119"/>
      <c r="XP39" s="119"/>
      <c r="XS39" s="119"/>
      <c r="XV39" s="119"/>
      <c r="XY39" s="119"/>
      <c r="YB39" s="119"/>
      <c r="YE39" s="119"/>
      <c r="YH39" s="119"/>
      <c r="YK39" s="119"/>
      <c r="YN39" s="119"/>
      <c r="YQ39" s="119"/>
      <c r="YT39" s="119"/>
      <c r="YW39" s="119"/>
      <c r="YZ39" s="119"/>
      <c r="ZC39" s="119"/>
      <c r="ZF39" s="119"/>
      <c r="ZI39" s="119"/>
      <c r="ZL39" s="119"/>
      <c r="ZO39" s="119"/>
      <c r="ZR39" s="119"/>
      <c r="ZU39" s="119"/>
      <c r="ZX39" s="119"/>
      <c r="AAA39" s="119"/>
      <c r="AAD39" s="119"/>
      <c r="AAG39" s="119"/>
      <c r="AAJ39" s="119"/>
      <c r="AAM39" s="119"/>
      <c r="AAP39" s="119"/>
      <c r="AAS39" s="119"/>
      <c r="AAV39" s="119"/>
      <c r="AAY39" s="119"/>
      <c r="ABB39" s="119"/>
      <c r="ABE39" s="119"/>
      <c r="ABH39" s="119"/>
      <c r="ABK39" s="119"/>
      <c r="ABN39" s="119"/>
      <c r="ABQ39" s="119"/>
      <c r="ABT39" s="119"/>
      <c r="ABW39" s="119"/>
      <c r="ABZ39" s="119"/>
      <c r="ACC39" s="119"/>
      <c r="ACF39" s="119"/>
      <c r="ACI39" s="119"/>
      <c r="ACL39" s="119"/>
      <c r="ACO39" s="119"/>
      <c r="ACR39" s="119"/>
      <c r="ACU39" s="119"/>
      <c r="ACX39" s="119"/>
      <c r="ADA39" s="119"/>
      <c r="ADD39" s="119"/>
      <c r="ADG39" s="119"/>
      <c r="ADJ39" s="119"/>
      <c r="ADM39" s="119"/>
      <c r="ADP39" s="119"/>
      <c r="ADS39" s="119"/>
      <c r="ADV39" s="119"/>
      <c r="ADY39" s="119"/>
      <c r="AEB39" s="119"/>
      <c r="AEE39" s="119"/>
      <c r="AEH39" s="119"/>
      <c r="AEK39" s="119"/>
      <c r="AEN39" s="119"/>
      <c r="AEQ39" s="119"/>
      <c r="AET39" s="119"/>
      <c r="AEW39" s="119"/>
      <c r="AEZ39" s="119"/>
      <c r="AFC39" s="119"/>
      <c r="AFF39" s="119"/>
      <c r="AFI39" s="119"/>
      <c r="AFL39" s="119"/>
      <c r="AFO39" s="119"/>
      <c r="AFR39" s="119"/>
      <c r="AFU39" s="119"/>
      <c r="AFX39" s="119"/>
      <c r="AGA39" s="119"/>
      <c r="AGD39" s="119"/>
      <c r="AGG39" s="119"/>
      <c r="AGJ39" s="119"/>
      <c r="AGM39" s="119"/>
      <c r="AGP39" s="119"/>
      <c r="AGS39" s="119"/>
      <c r="AGV39" s="119"/>
      <c r="AGY39" s="119"/>
      <c r="AHB39" s="119"/>
      <c r="AHE39" s="119"/>
      <c r="AHH39" s="119"/>
      <c r="AHK39" s="119"/>
      <c r="AHN39" s="119"/>
      <c r="AHQ39" s="119"/>
      <c r="AHT39" s="119"/>
      <c r="AHW39" s="119"/>
      <c r="AHZ39" s="119"/>
      <c r="AIC39" s="119"/>
      <c r="AIF39" s="119"/>
      <c r="AII39" s="119"/>
      <c r="AIL39" s="119"/>
      <c r="AIO39" s="119"/>
      <c r="AIR39" s="119"/>
      <c r="AIU39" s="119"/>
      <c r="AIX39" s="119"/>
      <c r="AJA39" s="119"/>
      <c r="AJD39" s="119"/>
      <c r="AJG39" s="119"/>
      <c r="AJJ39" s="119"/>
      <c r="AJM39" s="119"/>
      <c r="AJP39" s="119"/>
      <c r="AJS39" s="119"/>
      <c r="AJV39" s="119"/>
      <c r="AJY39" s="119"/>
      <c r="AKB39" s="119"/>
      <c r="AKE39" s="119"/>
      <c r="AKH39" s="119"/>
      <c r="AKK39" s="119"/>
      <c r="AKN39" s="119"/>
      <c r="AKQ39" s="119"/>
      <c r="AKT39" s="119"/>
      <c r="AKW39" s="119"/>
      <c r="AKZ39" s="119"/>
      <c r="ALC39" s="119"/>
      <c r="ALF39" s="119"/>
      <c r="ALI39" s="119"/>
      <c r="ALL39" s="119"/>
      <c r="ALO39" s="119"/>
      <c r="ALR39" s="119"/>
      <c r="ALU39" s="119"/>
      <c r="ALX39" s="119"/>
      <c r="AMA39" s="119"/>
      <c r="AMD39" s="119"/>
      <c r="AMG39" s="119"/>
      <c r="AMJ39" s="119"/>
    </row>
    <row r="40" s="118" customFormat="true" ht="16.5" hidden="false" customHeight="false" outlineLevel="0" collapsed="false">
      <c r="A40" s="116"/>
      <c r="B40" s="117"/>
      <c r="C40" s="117"/>
      <c r="D40" s="117"/>
      <c r="G40" s="119"/>
      <c r="J40" s="119"/>
      <c r="M40" s="119"/>
      <c r="P40" s="119"/>
      <c r="S40" s="119"/>
      <c r="V40" s="119"/>
      <c r="Y40" s="119"/>
      <c r="AB40" s="119"/>
      <c r="AE40" s="119"/>
      <c r="AH40" s="119"/>
      <c r="AK40" s="119"/>
      <c r="AN40" s="119"/>
      <c r="AQ40" s="119"/>
      <c r="AT40" s="119"/>
      <c r="AW40" s="119"/>
      <c r="AZ40" s="119"/>
      <c r="BC40" s="119"/>
      <c r="BF40" s="119"/>
      <c r="BI40" s="119"/>
      <c r="BL40" s="119"/>
      <c r="BO40" s="119"/>
      <c r="BR40" s="119"/>
      <c r="BU40" s="119"/>
      <c r="BX40" s="119"/>
      <c r="CA40" s="119"/>
      <c r="CD40" s="119"/>
      <c r="CG40" s="119"/>
      <c r="CJ40" s="119"/>
      <c r="CM40" s="119"/>
      <c r="CP40" s="119"/>
      <c r="CS40" s="119"/>
      <c r="CV40" s="119"/>
      <c r="CY40" s="119"/>
      <c r="DB40" s="119"/>
      <c r="DE40" s="119"/>
      <c r="DH40" s="119"/>
      <c r="DK40" s="119"/>
      <c r="DN40" s="119"/>
      <c r="DQ40" s="119"/>
      <c r="DT40" s="119"/>
      <c r="DW40" s="119"/>
      <c r="DZ40" s="119"/>
      <c r="EC40" s="119"/>
      <c r="EF40" s="119"/>
      <c r="EI40" s="119"/>
      <c r="EL40" s="119"/>
      <c r="EO40" s="119"/>
      <c r="ER40" s="119"/>
      <c r="EU40" s="119"/>
      <c r="EX40" s="119"/>
      <c r="FA40" s="119"/>
      <c r="FD40" s="119"/>
      <c r="FG40" s="119"/>
      <c r="FJ40" s="119"/>
      <c r="FM40" s="119"/>
      <c r="FP40" s="119"/>
      <c r="FS40" s="119"/>
      <c r="FV40" s="119"/>
      <c r="FY40" s="119"/>
      <c r="GB40" s="119"/>
      <c r="GE40" s="119"/>
      <c r="GH40" s="119"/>
      <c r="GK40" s="119"/>
      <c r="GN40" s="119"/>
      <c r="GQ40" s="119"/>
      <c r="GT40" s="119"/>
      <c r="GW40" s="119"/>
      <c r="GZ40" s="119"/>
      <c r="HC40" s="119"/>
      <c r="HF40" s="119"/>
      <c r="HI40" s="119"/>
      <c r="HL40" s="119"/>
      <c r="HO40" s="119"/>
      <c r="HR40" s="119"/>
      <c r="HU40" s="119"/>
      <c r="HX40" s="119"/>
      <c r="IA40" s="119"/>
      <c r="ID40" s="119"/>
      <c r="IG40" s="119"/>
      <c r="IJ40" s="119"/>
      <c r="IM40" s="119"/>
      <c r="IP40" s="119"/>
      <c r="IS40" s="119"/>
      <c r="IV40" s="119"/>
      <c r="IY40" s="119"/>
      <c r="JB40" s="119"/>
      <c r="JE40" s="119"/>
      <c r="JH40" s="119"/>
      <c r="JK40" s="119"/>
      <c r="JN40" s="119"/>
      <c r="JQ40" s="119"/>
      <c r="JT40" s="119"/>
      <c r="JW40" s="119"/>
      <c r="JZ40" s="119"/>
      <c r="KC40" s="119"/>
      <c r="KF40" s="119"/>
      <c r="KI40" s="119"/>
      <c r="KL40" s="119"/>
      <c r="KO40" s="119"/>
      <c r="KR40" s="119"/>
      <c r="KU40" s="119"/>
      <c r="KX40" s="119"/>
      <c r="LA40" s="119"/>
      <c r="LD40" s="119"/>
      <c r="LG40" s="119"/>
      <c r="LJ40" s="119"/>
      <c r="LM40" s="119"/>
      <c r="LP40" s="119"/>
      <c r="LS40" s="119"/>
      <c r="LV40" s="119"/>
      <c r="LY40" s="119"/>
      <c r="MB40" s="119"/>
      <c r="ME40" s="119"/>
      <c r="MH40" s="119"/>
      <c r="MK40" s="119"/>
      <c r="MN40" s="119"/>
      <c r="MQ40" s="119"/>
      <c r="MT40" s="119"/>
      <c r="MW40" s="119"/>
      <c r="MZ40" s="119"/>
      <c r="NC40" s="119"/>
      <c r="NF40" s="119"/>
      <c r="NI40" s="119"/>
      <c r="NL40" s="119"/>
      <c r="NO40" s="119"/>
      <c r="NR40" s="119"/>
      <c r="NU40" s="119"/>
      <c r="NX40" s="119"/>
      <c r="OA40" s="119"/>
      <c r="OD40" s="119"/>
      <c r="OG40" s="119"/>
      <c r="OJ40" s="119"/>
      <c r="OM40" s="119"/>
      <c r="OP40" s="119"/>
      <c r="OS40" s="119"/>
      <c r="OV40" s="119"/>
      <c r="OY40" s="119"/>
      <c r="PB40" s="119"/>
      <c r="PE40" s="119"/>
      <c r="PH40" s="119"/>
      <c r="PK40" s="119"/>
      <c r="PN40" s="119"/>
      <c r="PQ40" s="119"/>
      <c r="PT40" s="119"/>
      <c r="PW40" s="119"/>
      <c r="PZ40" s="119"/>
      <c r="QC40" s="119"/>
      <c r="QF40" s="119"/>
      <c r="QI40" s="119"/>
      <c r="QL40" s="119"/>
      <c r="QO40" s="119"/>
      <c r="QR40" s="119"/>
      <c r="QU40" s="119"/>
      <c r="QX40" s="119"/>
      <c r="RA40" s="119"/>
      <c r="RD40" s="119"/>
      <c r="RG40" s="119"/>
      <c r="RJ40" s="119"/>
      <c r="RM40" s="119"/>
      <c r="RP40" s="119"/>
      <c r="RS40" s="119"/>
      <c r="RV40" s="119"/>
      <c r="RY40" s="119"/>
      <c r="SB40" s="119"/>
      <c r="SE40" s="119"/>
      <c r="SH40" s="119"/>
      <c r="SK40" s="119"/>
      <c r="SN40" s="119"/>
      <c r="SQ40" s="119"/>
      <c r="ST40" s="119"/>
      <c r="SW40" s="119"/>
      <c r="SZ40" s="119"/>
      <c r="TC40" s="119"/>
      <c r="TF40" s="119"/>
      <c r="TI40" s="119"/>
      <c r="TL40" s="119"/>
      <c r="TO40" s="119"/>
      <c r="TR40" s="119"/>
      <c r="TU40" s="119"/>
      <c r="TX40" s="119"/>
      <c r="UA40" s="119"/>
      <c r="UD40" s="119"/>
      <c r="UG40" s="119"/>
      <c r="UJ40" s="119"/>
      <c r="UM40" s="119"/>
      <c r="UP40" s="119"/>
      <c r="US40" s="119"/>
      <c r="UV40" s="119"/>
      <c r="UY40" s="119"/>
      <c r="VB40" s="119"/>
      <c r="VE40" s="119"/>
      <c r="VH40" s="119"/>
      <c r="VK40" s="119"/>
      <c r="VN40" s="119"/>
      <c r="VQ40" s="119"/>
      <c r="VT40" s="119"/>
      <c r="VW40" s="119"/>
      <c r="VZ40" s="119"/>
      <c r="WC40" s="119"/>
      <c r="WF40" s="119"/>
      <c r="WI40" s="119"/>
      <c r="WL40" s="119"/>
      <c r="WO40" s="119"/>
      <c r="WR40" s="119"/>
      <c r="WU40" s="119"/>
      <c r="WX40" s="119"/>
      <c r="XA40" s="119"/>
      <c r="XD40" s="119"/>
      <c r="XG40" s="119"/>
      <c r="XJ40" s="119"/>
      <c r="XM40" s="119"/>
      <c r="XP40" s="119"/>
      <c r="XS40" s="119"/>
      <c r="XV40" s="119"/>
      <c r="XY40" s="119"/>
      <c r="YB40" s="119"/>
      <c r="YE40" s="119"/>
      <c r="YH40" s="119"/>
      <c r="YK40" s="119"/>
      <c r="YN40" s="119"/>
      <c r="YQ40" s="119"/>
      <c r="YT40" s="119"/>
      <c r="YW40" s="119"/>
      <c r="YZ40" s="119"/>
      <c r="ZC40" s="119"/>
      <c r="ZF40" s="119"/>
      <c r="ZI40" s="119"/>
      <c r="ZL40" s="119"/>
      <c r="ZO40" s="119"/>
      <c r="ZR40" s="119"/>
      <c r="ZU40" s="119"/>
      <c r="ZX40" s="119"/>
      <c r="AAA40" s="119"/>
      <c r="AAD40" s="119"/>
      <c r="AAG40" s="119"/>
      <c r="AAJ40" s="119"/>
      <c r="AAM40" s="119"/>
      <c r="AAP40" s="119"/>
      <c r="AAS40" s="119"/>
      <c r="AAV40" s="119"/>
      <c r="AAY40" s="119"/>
      <c r="ABB40" s="119"/>
      <c r="ABE40" s="119"/>
      <c r="ABH40" s="119"/>
      <c r="ABK40" s="119"/>
      <c r="ABN40" s="119"/>
      <c r="ABQ40" s="119"/>
      <c r="ABT40" s="119"/>
      <c r="ABW40" s="119"/>
      <c r="ABZ40" s="119"/>
      <c r="ACC40" s="119"/>
      <c r="ACF40" s="119"/>
      <c r="ACI40" s="119"/>
      <c r="ACL40" s="119"/>
      <c r="ACO40" s="119"/>
      <c r="ACR40" s="119"/>
      <c r="ACU40" s="119"/>
      <c r="ACX40" s="119"/>
      <c r="ADA40" s="119"/>
      <c r="ADD40" s="119"/>
      <c r="ADG40" s="119"/>
      <c r="ADJ40" s="119"/>
      <c r="ADM40" s="119"/>
      <c r="ADP40" s="119"/>
      <c r="ADS40" s="119"/>
      <c r="ADV40" s="119"/>
      <c r="ADY40" s="119"/>
      <c r="AEB40" s="119"/>
      <c r="AEE40" s="119"/>
      <c r="AEH40" s="119"/>
      <c r="AEK40" s="119"/>
      <c r="AEN40" s="119"/>
      <c r="AEQ40" s="119"/>
      <c r="AET40" s="119"/>
      <c r="AEW40" s="119"/>
      <c r="AEZ40" s="119"/>
      <c r="AFC40" s="119"/>
      <c r="AFF40" s="119"/>
      <c r="AFI40" s="119"/>
      <c r="AFL40" s="119"/>
      <c r="AFO40" s="119"/>
      <c r="AFR40" s="119"/>
      <c r="AFU40" s="119"/>
      <c r="AFX40" s="119"/>
      <c r="AGA40" s="119"/>
      <c r="AGD40" s="119"/>
      <c r="AGG40" s="119"/>
      <c r="AGJ40" s="119"/>
      <c r="AGM40" s="119"/>
      <c r="AGP40" s="119"/>
      <c r="AGS40" s="119"/>
      <c r="AGV40" s="119"/>
      <c r="AGY40" s="119"/>
      <c r="AHB40" s="119"/>
      <c r="AHE40" s="119"/>
      <c r="AHH40" s="119"/>
      <c r="AHK40" s="119"/>
      <c r="AHN40" s="119"/>
      <c r="AHQ40" s="119"/>
      <c r="AHT40" s="119"/>
      <c r="AHW40" s="119"/>
      <c r="AHZ40" s="119"/>
      <c r="AIC40" s="119"/>
      <c r="AIF40" s="119"/>
      <c r="AII40" s="119"/>
      <c r="AIL40" s="119"/>
      <c r="AIO40" s="119"/>
      <c r="AIR40" s="119"/>
      <c r="AIU40" s="119"/>
      <c r="AIX40" s="119"/>
      <c r="AJA40" s="119"/>
      <c r="AJD40" s="119"/>
      <c r="AJG40" s="119"/>
      <c r="AJJ40" s="119"/>
      <c r="AJM40" s="119"/>
      <c r="AJP40" s="119"/>
      <c r="AJS40" s="119"/>
      <c r="AJV40" s="119"/>
      <c r="AJY40" s="119"/>
      <c r="AKB40" s="119"/>
      <c r="AKE40" s="119"/>
      <c r="AKH40" s="119"/>
      <c r="AKK40" s="119"/>
      <c r="AKN40" s="119"/>
      <c r="AKQ40" s="119"/>
      <c r="AKT40" s="119"/>
      <c r="AKW40" s="119"/>
      <c r="AKZ40" s="119"/>
      <c r="ALC40" s="119"/>
      <c r="ALF40" s="119"/>
      <c r="ALI40" s="119"/>
      <c r="ALL40" s="119"/>
      <c r="ALO40" s="119"/>
      <c r="ALR40" s="119"/>
      <c r="ALU40" s="119"/>
      <c r="ALX40" s="119"/>
      <c r="AMA40" s="119"/>
      <c r="AMD40" s="119"/>
      <c r="AMG40" s="119"/>
      <c r="AMJ40" s="119"/>
    </row>
  </sheetData>
  <mergeCells count="1501">
    <mergeCell ref="A1:A9"/>
    <mergeCell ref="B1:B9"/>
    <mergeCell ref="C1:C9"/>
    <mergeCell ref="D1:D9"/>
    <mergeCell ref="E1:AH1"/>
    <mergeCell ref="AI1:BL1"/>
    <mergeCell ref="BM1:CP1"/>
    <mergeCell ref="CQ1:DT1"/>
    <mergeCell ref="DU1:EX1"/>
    <mergeCell ref="EY1:GB1"/>
    <mergeCell ref="GC1:HF1"/>
    <mergeCell ref="HG1:IJ1"/>
    <mergeCell ref="IK1:JN1"/>
    <mergeCell ref="JO1:KR1"/>
    <mergeCell ref="KS1:LV1"/>
    <mergeCell ref="LW1:MZ1"/>
    <mergeCell ref="NA1:OD1"/>
    <mergeCell ref="OE1:PH1"/>
    <mergeCell ref="PI1:QL1"/>
    <mergeCell ref="QM1:RP1"/>
    <mergeCell ref="RQ1:ST1"/>
    <mergeCell ref="SU1:TX1"/>
    <mergeCell ref="TY1:VB1"/>
    <mergeCell ref="VC1:WF1"/>
    <mergeCell ref="WG1:XJ1"/>
    <mergeCell ref="XK1:YN1"/>
    <mergeCell ref="YO1:ZR1"/>
    <mergeCell ref="ZS1:AAV1"/>
    <mergeCell ref="AAW1:ABZ1"/>
    <mergeCell ref="ACA1:ADD1"/>
    <mergeCell ref="ADE1:AEH1"/>
    <mergeCell ref="AEI1:AFL1"/>
    <mergeCell ref="AFM1:AGP1"/>
    <mergeCell ref="AGQ1:AHT1"/>
    <mergeCell ref="AHU1:AIX1"/>
    <mergeCell ref="AIY1:AKB1"/>
    <mergeCell ref="AKC1:ALF1"/>
    <mergeCell ref="ALG1:AMJ1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  <mergeCell ref="AI2:AK2"/>
    <mergeCell ref="AL2:AN2"/>
    <mergeCell ref="AO2:AQ2"/>
    <mergeCell ref="AR2:AT2"/>
    <mergeCell ref="AU2:AW2"/>
    <mergeCell ref="AX2:AZ2"/>
    <mergeCell ref="BA2:BC2"/>
    <mergeCell ref="BD2:BF2"/>
    <mergeCell ref="BG2:BI2"/>
    <mergeCell ref="BJ2:BL2"/>
    <mergeCell ref="BM2:BO2"/>
    <mergeCell ref="BP2:BR2"/>
    <mergeCell ref="BS2:BU2"/>
    <mergeCell ref="BV2:BX2"/>
    <mergeCell ref="BY2:CA2"/>
    <mergeCell ref="CB2:CD2"/>
    <mergeCell ref="CE2:CG2"/>
    <mergeCell ref="CH2:CJ2"/>
    <mergeCell ref="CK2:CM2"/>
    <mergeCell ref="CN2:CP2"/>
    <mergeCell ref="CQ2:CS2"/>
    <mergeCell ref="CT2:CV2"/>
    <mergeCell ref="CW2:CY2"/>
    <mergeCell ref="CZ2:DB2"/>
    <mergeCell ref="DC2:DE2"/>
    <mergeCell ref="DF2:DH2"/>
    <mergeCell ref="DI2:DK2"/>
    <mergeCell ref="DL2:DN2"/>
    <mergeCell ref="DO2:DQ2"/>
    <mergeCell ref="DR2:DT2"/>
    <mergeCell ref="DU2:DW2"/>
    <mergeCell ref="DX2:DZ2"/>
    <mergeCell ref="EA2:EC2"/>
    <mergeCell ref="ED2:EF2"/>
    <mergeCell ref="EG2:EI2"/>
    <mergeCell ref="EJ2:EL2"/>
    <mergeCell ref="EM2:EO2"/>
    <mergeCell ref="EP2:ER2"/>
    <mergeCell ref="ES2:EU2"/>
    <mergeCell ref="EV2:EX2"/>
    <mergeCell ref="EY2:FA2"/>
    <mergeCell ref="FB2:FD2"/>
    <mergeCell ref="FE2:FG2"/>
    <mergeCell ref="FH2:FJ2"/>
    <mergeCell ref="FK2:FM2"/>
    <mergeCell ref="FN2:FP2"/>
    <mergeCell ref="FQ2:FS2"/>
    <mergeCell ref="FT2:FV2"/>
    <mergeCell ref="FW2:FY2"/>
    <mergeCell ref="FZ2:GB2"/>
    <mergeCell ref="GC2:GE2"/>
    <mergeCell ref="GF2:GH2"/>
    <mergeCell ref="GI2:GK2"/>
    <mergeCell ref="GL2:GN2"/>
    <mergeCell ref="GO2:GQ2"/>
    <mergeCell ref="GR2:GT2"/>
    <mergeCell ref="GU2:GW2"/>
    <mergeCell ref="GX2:GZ2"/>
    <mergeCell ref="HA2:HC2"/>
    <mergeCell ref="HD2:HF2"/>
    <mergeCell ref="HG2:HI2"/>
    <mergeCell ref="HJ2:HL2"/>
    <mergeCell ref="HM2:HO2"/>
    <mergeCell ref="HP2:HR2"/>
    <mergeCell ref="HS2:HU2"/>
    <mergeCell ref="HV2:HX2"/>
    <mergeCell ref="HY2:IA2"/>
    <mergeCell ref="IB2:ID2"/>
    <mergeCell ref="IE2:IG2"/>
    <mergeCell ref="IH2:IJ2"/>
    <mergeCell ref="IK2:IM2"/>
    <mergeCell ref="IN2:IP2"/>
    <mergeCell ref="IQ2:IS2"/>
    <mergeCell ref="IT2:IV2"/>
    <mergeCell ref="IW2:IY2"/>
    <mergeCell ref="IZ2:JB2"/>
    <mergeCell ref="JC2:JE2"/>
    <mergeCell ref="JF2:JH2"/>
    <mergeCell ref="JI2:JK2"/>
    <mergeCell ref="JL2:JN2"/>
    <mergeCell ref="JO2:JQ2"/>
    <mergeCell ref="JR2:JT2"/>
    <mergeCell ref="JU2:JW2"/>
    <mergeCell ref="JX2:JZ2"/>
    <mergeCell ref="KA2:KC2"/>
    <mergeCell ref="KD2:KF2"/>
    <mergeCell ref="KG2:KI2"/>
    <mergeCell ref="KJ2:KL2"/>
    <mergeCell ref="KM2:KO2"/>
    <mergeCell ref="KP2:KR2"/>
    <mergeCell ref="KS2:KU2"/>
    <mergeCell ref="KV2:KX2"/>
    <mergeCell ref="KY2:LA2"/>
    <mergeCell ref="LB2:LD2"/>
    <mergeCell ref="LE2:LG2"/>
    <mergeCell ref="LH2:LJ2"/>
    <mergeCell ref="LK2:LM2"/>
    <mergeCell ref="LN2:LP2"/>
    <mergeCell ref="LQ2:LS2"/>
    <mergeCell ref="LT2:LV2"/>
    <mergeCell ref="LW2:LY2"/>
    <mergeCell ref="LZ2:MB2"/>
    <mergeCell ref="MC2:ME2"/>
    <mergeCell ref="MF2:MH2"/>
    <mergeCell ref="MI2:MK2"/>
    <mergeCell ref="ML2:MN2"/>
    <mergeCell ref="MO2:MQ2"/>
    <mergeCell ref="MR2:MT2"/>
    <mergeCell ref="MU2:MW2"/>
    <mergeCell ref="MX2:MZ2"/>
    <mergeCell ref="NA2:NC2"/>
    <mergeCell ref="ND2:NF2"/>
    <mergeCell ref="NG2:NI2"/>
    <mergeCell ref="NJ2:NL2"/>
    <mergeCell ref="NM2:NO2"/>
    <mergeCell ref="NP2:NR2"/>
    <mergeCell ref="NS2:NU2"/>
    <mergeCell ref="NV2:NX2"/>
    <mergeCell ref="NY2:OA2"/>
    <mergeCell ref="OB2:OD2"/>
    <mergeCell ref="OE2:OG2"/>
    <mergeCell ref="OH2:OJ2"/>
    <mergeCell ref="OK2:OM2"/>
    <mergeCell ref="ON2:OP2"/>
    <mergeCell ref="OQ2:OS2"/>
    <mergeCell ref="OT2:OV2"/>
    <mergeCell ref="OW2:OY2"/>
    <mergeCell ref="OZ2:PB2"/>
    <mergeCell ref="PC2:PE2"/>
    <mergeCell ref="PF2:PH2"/>
    <mergeCell ref="PI2:PK2"/>
    <mergeCell ref="PL2:PN2"/>
    <mergeCell ref="PO2:PQ2"/>
    <mergeCell ref="PR2:PT2"/>
    <mergeCell ref="PU2:PW2"/>
    <mergeCell ref="PX2:PZ2"/>
    <mergeCell ref="QA2:QC2"/>
    <mergeCell ref="QD2:QF2"/>
    <mergeCell ref="QG2:QI2"/>
    <mergeCell ref="QJ2:QL2"/>
    <mergeCell ref="QM2:QO2"/>
    <mergeCell ref="QP2:QR2"/>
    <mergeCell ref="QS2:QU2"/>
    <mergeCell ref="QV2:QX2"/>
    <mergeCell ref="QY2:RA2"/>
    <mergeCell ref="RB2:RD2"/>
    <mergeCell ref="RE2:RG2"/>
    <mergeCell ref="RH2:RJ2"/>
    <mergeCell ref="RK2:RM2"/>
    <mergeCell ref="RN2:RP2"/>
    <mergeCell ref="RQ2:RS2"/>
    <mergeCell ref="RT2:RV2"/>
    <mergeCell ref="RW2:RY2"/>
    <mergeCell ref="RZ2:SB2"/>
    <mergeCell ref="SC2:SE2"/>
    <mergeCell ref="SF2:SH2"/>
    <mergeCell ref="SI2:SK2"/>
    <mergeCell ref="SL2:SN2"/>
    <mergeCell ref="SO2:SQ2"/>
    <mergeCell ref="SR2:ST2"/>
    <mergeCell ref="SU2:SW2"/>
    <mergeCell ref="SX2:SZ2"/>
    <mergeCell ref="TA2:TC2"/>
    <mergeCell ref="TD2:TF2"/>
    <mergeCell ref="TG2:TI2"/>
    <mergeCell ref="TJ2:TL2"/>
    <mergeCell ref="TM2:TO2"/>
    <mergeCell ref="TP2:TR2"/>
    <mergeCell ref="TS2:TU2"/>
    <mergeCell ref="TV2:TX2"/>
    <mergeCell ref="TY2:UA2"/>
    <mergeCell ref="UB2:UD2"/>
    <mergeCell ref="UE2:UG2"/>
    <mergeCell ref="UH2:UJ2"/>
    <mergeCell ref="UK2:UM2"/>
    <mergeCell ref="UN2:UP2"/>
    <mergeCell ref="UQ2:US2"/>
    <mergeCell ref="UT2:UV2"/>
    <mergeCell ref="UW2:UY2"/>
    <mergeCell ref="UZ2:VB2"/>
    <mergeCell ref="VC2:VE2"/>
    <mergeCell ref="VF2:VH2"/>
    <mergeCell ref="VI2:VK2"/>
    <mergeCell ref="VL2:VN2"/>
    <mergeCell ref="VO2:VQ2"/>
    <mergeCell ref="VR2:VT2"/>
    <mergeCell ref="VU2:VW2"/>
    <mergeCell ref="VX2:VZ2"/>
    <mergeCell ref="WA2:WC2"/>
    <mergeCell ref="WD2:WF2"/>
    <mergeCell ref="WG2:WI2"/>
    <mergeCell ref="WJ2:WL2"/>
    <mergeCell ref="WM2:WO2"/>
    <mergeCell ref="WP2:WR2"/>
    <mergeCell ref="WS2:WU2"/>
    <mergeCell ref="WV2:WX2"/>
    <mergeCell ref="WY2:XA2"/>
    <mergeCell ref="XB2:XD2"/>
    <mergeCell ref="XE2:XG2"/>
    <mergeCell ref="XH2:XJ2"/>
    <mergeCell ref="XK2:XM2"/>
    <mergeCell ref="XN2:XP2"/>
    <mergeCell ref="XQ2:XS2"/>
    <mergeCell ref="XT2:XV2"/>
    <mergeCell ref="XW2:XY2"/>
    <mergeCell ref="XZ2:YB2"/>
    <mergeCell ref="YC2:YE2"/>
    <mergeCell ref="YF2:YH2"/>
    <mergeCell ref="YI2:YK2"/>
    <mergeCell ref="YL2:YN2"/>
    <mergeCell ref="YO2:YQ2"/>
    <mergeCell ref="YR2:YT2"/>
    <mergeCell ref="YU2:YW2"/>
    <mergeCell ref="YX2:YZ2"/>
    <mergeCell ref="ZA2:ZC2"/>
    <mergeCell ref="ZD2:ZF2"/>
    <mergeCell ref="ZG2:ZI2"/>
    <mergeCell ref="ZJ2:ZL2"/>
    <mergeCell ref="ZM2:ZO2"/>
    <mergeCell ref="ZP2:ZR2"/>
    <mergeCell ref="ZS2:ZU2"/>
    <mergeCell ref="ZV2:ZX2"/>
    <mergeCell ref="ZY2:AAA2"/>
    <mergeCell ref="AAB2:AAD2"/>
    <mergeCell ref="AAE2:AAG2"/>
    <mergeCell ref="AAH2:AAJ2"/>
    <mergeCell ref="AAK2:AAM2"/>
    <mergeCell ref="AAN2:AAP2"/>
    <mergeCell ref="AAQ2:AAS2"/>
    <mergeCell ref="AAT2:AAV2"/>
    <mergeCell ref="AAW2:AAY2"/>
    <mergeCell ref="AAZ2:ABB2"/>
    <mergeCell ref="ABC2:ABE2"/>
    <mergeCell ref="ABF2:ABH2"/>
    <mergeCell ref="ABI2:ABK2"/>
    <mergeCell ref="ABL2:ABN2"/>
    <mergeCell ref="ABO2:ABQ2"/>
    <mergeCell ref="ABR2:ABT2"/>
    <mergeCell ref="ABU2:ABW2"/>
    <mergeCell ref="ABX2:ABZ2"/>
    <mergeCell ref="ACA2:ACC2"/>
    <mergeCell ref="ACD2:ACF2"/>
    <mergeCell ref="ACG2:ACI2"/>
    <mergeCell ref="ACJ2:ACL2"/>
    <mergeCell ref="ACM2:ACO2"/>
    <mergeCell ref="ACP2:ACR2"/>
    <mergeCell ref="ACS2:ACU2"/>
    <mergeCell ref="ACV2:ACX2"/>
    <mergeCell ref="ACY2:ADA2"/>
    <mergeCell ref="ADB2:ADD2"/>
    <mergeCell ref="ADE2:ADG2"/>
    <mergeCell ref="ADH2:ADJ2"/>
    <mergeCell ref="ADK2:ADM2"/>
    <mergeCell ref="ADN2:ADP2"/>
    <mergeCell ref="ADQ2:ADS2"/>
    <mergeCell ref="ADT2:ADV2"/>
    <mergeCell ref="ADW2:ADY2"/>
    <mergeCell ref="ADZ2:AEB2"/>
    <mergeCell ref="AEC2:AEE2"/>
    <mergeCell ref="AEF2:AEH2"/>
    <mergeCell ref="AEI2:AEK2"/>
    <mergeCell ref="AEL2:AEN2"/>
    <mergeCell ref="AEO2:AEQ2"/>
    <mergeCell ref="AER2:AET2"/>
    <mergeCell ref="AEU2:AEW2"/>
    <mergeCell ref="AEX2:AEZ2"/>
    <mergeCell ref="AFA2:AFC2"/>
    <mergeCell ref="AFD2:AFF2"/>
    <mergeCell ref="AFG2:AFI2"/>
    <mergeCell ref="AFJ2:AFL2"/>
    <mergeCell ref="AFM2:AFO2"/>
    <mergeCell ref="AFP2:AFR2"/>
    <mergeCell ref="AFS2:AFU2"/>
    <mergeCell ref="AFV2:AFX2"/>
    <mergeCell ref="AFY2:AGA2"/>
    <mergeCell ref="AGB2:AGD2"/>
    <mergeCell ref="AGE2:AGG2"/>
    <mergeCell ref="AGH2:AGJ2"/>
    <mergeCell ref="AGK2:AGM2"/>
    <mergeCell ref="AGN2:AGP2"/>
    <mergeCell ref="AGQ2:AGS2"/>
    <mergeCell ref="AGT2:AGV2"/>
    <mergeCell ref="AGW2:AGY2"/>
    <mergeCell ref="AGZ2:AHB2"/>
    <mergeCell ref="AHC2:AHE2"/>
    <mergeCell ref="AHF2:AHH2"/>
    <mergeCell ref="AHI2:AHK2"/>
    <mergeCell ref="AHL2:AHN2"/>
    <mergeCell ref="AHO2:AHQ2"/>
    <mergeCell ref="AHR2:AHT2"/>
    <mergeCell ref="AHU2:AHW2"/>
    <mergeCell ref="AHX2:AHZ2"/>
    <mergeCell ref="AIA2:AIC2"/>
    <mergeCell ref="AID2:AIF2"/>
    <mergeCell ref="AIG2:AII2"/>
    <mergeCell ref="AIJ2:AIL2"/>
    <mergeCell ref="AIM2:AIO2"/>
    <mergeCell ref="AIP2:AIR2"/>
    <mergeCell ref="AIS2:AIU2"/>
    <mergeCell ref="AIV2:AIX2"/>
    <mergeCell ref="AIY2:AJA2"/>
    <mergeCell ref="AJB2:AJD2"/>
    <mergeCell ref="AJE2:AJG2"/>
    <mergeCell ref="AJH2:AJJ2"/>
    <mergeCell ref="AJK2:AJM2"/>
    <mergeCell ref="AJN2:AJP2"/>
    <mergeCell ref="AJQ2:AJS2"/>
    <mergeCell ref="AJT2:AJV2"/>
    <mergeCell ref="AJW2:AJY2"/>
    <mergeCell ref="AJZ2:AKB2"/>
    <mergeCell ref="AKC2:AKE2"/>
    <mergeCell ref="AKF2:AKH2"/>
    <mergeCell ref="AKI2:AKK2"/>
    <mergeCell ref="AKL2:AKN2"/>
    <mergeCell ref="AKO2:AKQ2"/>
    <mergeCell ref="AKR2:AKT2"/>
    <mergeCell ref="AKU2:AKW2"/>
    <mergeCell ref="AKX2:AKZ2"/>
    <mergeCell ref="ALA2:ALC2"/>
    <mergeCell ref="ALD2:ALF2"/>
    <mergeCell ref="ALG2:ALI2"/>
    <mergeCell ref="ALJ2:ALL2"/>
    <mergeCell ref="ALM2:ALO2"/>
    <mergeCell ref="ALP2:ALR2"/>
    <mergeCell ref="ALS2:ALU2"/>
    <mergeCell ref="ALV2:ALX2"/>
    <mergeCell ref="ALY2:AMA2"/>
    <mergeCell ref="AMB2:AMD2"/>
    <mergeCell ref="AME2:AMG2"/>
    <mergeCell ref="AMH2:AMJ2"/>
    <mergeCell ref="E3:AH3"/>
    <mergeCell ref="AI3:BL3"/>
    <mergeCell ref="BM3:CP3"/>
    <mergeCell ref="CQ3:DT3"/>
    <mergeCell ref="DU3:EX3"/>
    <mergeCell ref="EY3:GB3"/>
    <mergeCell ref="GC3:HF3"/>
    <mergeCell ref="HG3:IJ3"/>
    <mergeCell ref="IK3:JN3"/>
    <mergeCell ref="JO3:KR3"/>
    <mergeCell ref="KS3:LV3"/>
    <mergeCell ref="LW3:MZ3"/>
    <mergeCell ref="NA3:OD3"/>
    <mergeCell ref="OE3:PH3"/>
    <mergeCell ref="PI3:QL3"/>
    <mergeCell ref="QM3:RP3"/>
    <mergeCell ref="RQ3:ST3"/>
    <mergeCell ref="SU3:TX3"/>
    <mergeCell ref="TY3:VB3"/>
    <mergeCell ref="VC3:WF3"/>
    <mergeCell ref="WG3:XJ3"/>
    <mergeCell ref="XK3:YN3"/>
    <mergeCell ref="YO3:ZR3"/>
    <mergeCell ref="ZS3:AAV3"/>
    <mergeCell ref="AAW3:ABZ3"/>
    <mergeCell ref="ACA3:ADD3"/>
    <mergeCell ref="ADE3:AEH3"/>
    <mergeCell ref="AEI3:AFL3"/>
    <mergeCell ref="AFM3:AGP3"/>
    <mergeCell ref="AGQ3:AHT3"/>
    <mergeCell ref="AHU3:AIX3"/>
    <mergeCell ref="AIY3:AKB3"/>
    <mergeCell ref="AKC3:ALF3"/>
    <mergeCell ref="ALG3:AMJ3"/>
    <mergeCell ref="E4:G4"/>
    <mergeCell ref="H4:J4"/>
    <mergeCell ref="K4:M4"/>
    <mergeCell ref="N4:P4"/>
    <mergeCell ref="Q4:S4"/>
    <mergeCell ref="T4:V4"/>
    <mergeCell ref="W4:Y4"/>
    <mergeCell ref="Z4:AB4"/>
    <mergeCell ref="AC4:AE4"/>
    <mergeCell ref="AF4:AH4"/>
    <mergeCell ref="AI4:AK4"/>
    <mergeCell ref="AL4:AN4"/>
    <mergeCell ref="AO4:AQ4"/>
    <mergeCell ref="AR4:AT4"/>
    <mergeCell ref="AU4:AW4"/>
    <mergeCell ref="AX4:AZ4"/>
    <mergeCell ref="BA4:BC4"/>
    <mergeCell ref="BD4:BF4"/>
    <mergeCell ref="BG4:BI4"/>
    <mergeCell ref="BJ4:BL4"/>
    <mergeCell ref="BM4:BO4"/>
    <mergeCell ref="BP4:BR4"/>
    <mergeCell ref="BS4:BU4"/>
    <mergeCell ref="BV4:BX4"/>
    <mergeCell ref="BY4:CA4"/>
    <mergeCell ref="CB4:CD4"/>
    <mergeCell ref="CE4:CG4"/>
    <mergeCell ref="CH4:CJ4"/>
    <mergeCell ref="CK4:CM4"/>
    <mergeCell ref="CN4:CP4"/>
    <mergeCell ref="CQ4:CS4"/>
    <mergeCell ref="CT4:CV4"/>
    <mergeCell ref="CW4:CY4"/>
    <mergeCell ref="CZ4:DB4"/>
    <mergeCell ref="DC4:DE4"/>
    <mergeCell ref="DF4:DH4"/>
    <mergeCell ref="DI4:DK4"/>
    <mergeCell ref="DL4:DN4"/>
    <mergeCell ref="DO4:DQ4"/>
    <mergeCell ref="DR4:DT4"/>
    <mergeCell ref="DU4:DW4"/>
    <mergeCell ref="DX4:DZ4"/>
    <mergeCell ref="EA4:EC4"/>
    <mergeCell ref="ED4:EF4"/>
    <mergeCell ref="EG4:EI4"/>
    <mergeCell ref="EJ4:EL4"/>
    <mergeCell ref="EM4:EO4"/>
    <mergeCell ref="EP4:ER4"/>
    <mergeCell ref="ES4:EU4"/>
    <mergeCell ref="EV4:EX4"/>
    <mergeCell ref="EY4:FA4"/>
    <mergeCell ref="FB4:FD4"/>
    <mergeCell ref="FE4:FG4"/>
    <mergeCell ref="FH4:FJ4"/>
    <mergeCell ref="FK4:FM4"/>
    <mergeCell ref="FN4:FP4"/>
    <mergeCell ref="FQ4:FS4"/>
    <mergeCell ref="FT4:FV4"/>
    <mergeCell ref="FW4:FY4"/>
    <mergeCell ref="FZ4:GB4"/>
    <mergeCell ref="GC4:GE4"/>
    <mergeCell ref="GF4:GH4"/>
    <mergeCell ref="GI4:GK4"/>
    <mergeCell ref="GL4:GN4"/>
    <mergeCell ref="GO4:GQ4"/>
    <mergeCell ref="GR4:GT4"/>
    <mergeCell ref="GU4:GW4"/>
    <mergeCell ref="GX4:GZ4"/>
    <mergeCell ref="HA4:HC4"/>
    <mergeCell ref="HD4:HF4"/>
    <mergeCell ref="HG4:HI4"/>
    <mergeCell ref="HJ4:HL4"/>
    <mergeCell ref="HM4:HO4"/>
    <mergeCell ref="HP4:HR4"/>
    <mergeCell ref="HS4:HU4"/>
    <mergeCell ref="HV4:HX4"/>
    <mergeCell ref="HY4:IA4"/>
    <mergeCell ref="IB4:ID4"/>
    <mergeCell ref="IE4:IG4"/>
    <mergeCell ref="IH4:IJ4"/>
    <mergeCell ref="IK4:IM4"/>
    <mergeCell ref="IN4:IP4"/>
    <mergeCell ref="IQ4:IS4"/>
    <mergeCell ref="IT4:IV4"/>
    <mergeCell ref="IW4:IY4"/>
    <mergeCell ref="IZ4:JB4"/>
    <mergeCell ref="JC4:JE4"/>
    <mergeCell ref="JF4:JH4"/>
    <mergeCell ref="JI4:JK4"/>
    <mergeCell ref="JL4:JN4"/>
    <mergeCell ref="JO4:JQ4"/>
    <mergeCell ref="JR4:JT4"/>
    <mergeCell ref="JU4:JW4"/>
    <mergeCell ref="JX4:JZ4"/>
    <mergeCell ref="KA4:KC4"/>
    <mergeCell ref="KD4:KF4"/>
    <mergeCell ref="KG4:KI4"/>
    <mergeCell ref="KJ4:KL4"/>
    <mergeCell ref="KM4:KO4"/>
    <mergeCell ref="KP4:KR4"/>
    <mergeCell ref="KS4:KU4"/>
    <mergeCell ref="KV4:KX4"/>
    <mergeCell ref="KY4:LA4"/>
    <mergeCell ref="LB4:LD4"/>
    <mergeCell ref="LE4:LG4"/>
    <mergeCell ref="LH4:LJ4"/>
    <mergeCell ref="LK4:LM4"/>
    <mergeCell ref="LN4:LP4"/>
    <mergeCell ref="LQ4:LS4"/>
    <mergeCell ref="LT4:LV4"/>
    <mergeCell ref="LW4:LY4"/>
    <mergeCell ref="LZ4:MB4"/>
    <mergeCell ref="MC4:ME4"/>
    <mergeCell ref="MF4:MH4"/>
    <mergeCell ref="MI4:MK4"/>
    <mergeCell ref="ML4:MN4"/>
    <mergeCell ref="MO4:MQ4"/>
    <mergeCell ref="MR4:MT4"/>
    <mergeCell ref="MU4:MW4"/>
    <mergeCell ref="MX4:MZ4"/>
    <mergeCell ref="NA4:NC4"/>
    <mergeCell ref="ND4:NF4"/>
    <mergeCell ref="NG4:NI4"/>
    <mergeCell ref="NJ4:NL4"/>
    <mergeCell ref="NM4:NO4"/>
    <mergeCell ref="NP4:NR4"/>
    <mergeCell ref="NS4:NU4"/>
    <mergeCell ref="NV4:NX4"/>
    <mergeCell ref="NY4:OA4"/>
    <mergeCell ref="OB4:OD4"/>
    <mergeCell ref="OE4:OG4"/>
    <mergeCell ref="OH4:OJ4"/>
    <mergeCell ref="OK4:OM4"/>
    <mergeCell ref="ON4:OP4"/>
    <mergeCell ref="OQ4:OS4"/>
    <mergeCell ref="OT4:OV4"/>
    <mergeCell ref="OW4:OY4"/>
    <mergeCell ref="OZ4:PB4"/>
    <mergeCell ref="PC4:PE4"/>
    <mergeCell ref="PF4:PH4"/>
    <mergeCell ref="PI4:PK4"/>
    <mergeCell ref="PL4:PN4"/>
    <mergeCell ref="PO4:PQ4"/>
    <mergeCell ref="PR4:PT4"/>
    <mergeCell ref="PU4:PW4"/>
    <mergeCell ref="PX4:PZ4"/>
    <mergeCell ref="QA4:QC4"/>
    <mergeCell ref="QD4:QF4"/>
    <mergeCell ref="QG4:QI4"/>
    <mergeCell ref="QJ4:QL4"/>
    <mergeCell ref="QM4:QO4"/>
    <mergeCell ref="QP4:QR4"/>
    <mergeCell ref="QS4:QU4"/>
    <mergeCell ref="QV4:QX4"/>
    <mergeCell ref="QY4:RA4"/>
    <mergeCell ref="RB4:RD4"/>
    <mergeCell ref="RE4:RG4"/>
    <mergeCell ref="RH4:RJ4"/>
    <mergeCell ref="RK4:RM4"/>
    <mergeCell ref="RN4:RP4"/>
    <mergeCell ref="RQ4:RS4"/>
    <mergeCell ref="RT4:RV4"/>
    <mergeCell ref="RW4:RY4"/>
    <mergeCell ref="RZ4:SB4"/>
    <mergeCell ref="SC4:SE4"/>
    <mergeCell ref="SF4:SH4"/>
    <mergeCell ref="SI4:SK4"/>
    <mergeCell ref="SL4:SN4"/>
    <mergeCell ref="SO4:SQ4"/>
    <mergeCell ref="SR4:ST4"/>
    <mergeCell ref="SU4:SW4"/>
    <mergeCell ref="SX4:SZ4"/>
    <mergeCell ref="TA4:TC4"/>
    <mergeCell ref="TD4:TF4"/>
    <mergeCell ref="TG4:TI4"/>
    <mergeCell ref="TJ4:TL4"/>
    <mergeCell ref="TM4:TO4"/>
    <mergeCell ref="TP4:TR4"/>
    <mergeCell ref="TS4:TU4"/>
    <mergeCell ref="TV4:TX4"/>
    <mergeCell ref="TY4:UA4"/>
    <mergeCell ref="UB4:UD4"/>
    <mergeCell ref="UE4:UG4"/>
    <mergeCell ref="UH4:UJ4"/>
    <mergeCell ref="UK4:UM4"/>
    <mergeCell ref="UN4:UP4"/>
    <mergeCell ref="UQ4:US4"/>
    <mergeCell ref="UT4:UV4"/>
    <mergeCell ref="UW4:UY4"/>
    <mergeCell ref="UZ4:VB4"/>
    <mergeCell ref="VC4:VE4"/>
    <mergeCell ref="VF4:VH4"/>
    <mergeCell ref="VI4:VK4"/>
    <mergeCell ref="VL4:VN4"/>
    <mergeCell ref="VO4:VQ4"/>
    <mergeCell ref="VR4:VT4"/>
    <mergeCell ref="VU4:VW4"/>
    <mergeCell ref="VX4:VZ4"/>
    <mergeCell ref="WA4:WC4"/>
    <mergeCell ref="WD4:WF4"/>
    <mergeCell ref="WG4:WI4"/>
    <mergeCell ref="WJ4:WL4"/>
    <mergeCell ref="WM4:WO4"/>
    <mergeCell ref="WP4:WR4"/>
    <mergeCell ref="WS4:WU4"/>
    <mergeCell ref="WV4:WX4"/>
    <mergeCell ref="WY4:XA4"/>
    <mergeCell ref="XB4:XD4"/>
    <mergeCell ref="XE4:XG4"/>
    <mergeCell ref="XH4:XJ4"/>
    <mergeCell ref="XK4:XM4"/>
    <mergeCell ref="XN4:XP4"/>
    <mergeCell ref="XQ4:XS4"/>
    <mergeCell ref="XT4:XV4"/>
    <mergeCell ref="XW4:XY4"/>
    <mergeCell ref="XZ4:YB4"/>
    <mergeCell ref="YC4:YE4"/>
    <mergeCell ref="YF4:YH4"/>
    <mergeCell ref="YI4:YK4"/>
    <mergeCell ref="YL4:YN4"/>
    <mergeCell ref="YO4:YQ4"/>
    <mergeCell ref="YR4:YT4"/>
    <mergeCell ref="YU4:YW4"/>
    <mergeCell ref="YX4:YZ4"/>
    <mergeCell ref="ZA4:ZC4"/>
    <mergeCell ref="ZD4:ZF4"/>
    <mergeCell ref="ZG4:ZI4"/>
    <mergeCell ref="ZJ4:ZL4"/>
    <mergeCell ref="ZM4:ZO4"/>
    <mergeCell ref="ZP4:ZR4"/>
    <mergeCell ref="ZS4:ZU4"/>
    <mergeCell ref="ZV4:ZX4"/>
    <mergeCell ref="ZY4:AAA4"/>
    <mergeCell ref="AAB4:AAD4"/>
    <mergeCell ref="AAE4:AAG4"/>
    <mergeCell ref="AAH4:AAJ4"/>
    <mergeCell ref="AAK4:AAM4"/>
    <mergeCell ref="AAN4:AAP4"/>
    <mergeCell ref="AAQ4:AAS4"/>
    <mergeCell ref="AAT4:AAV4"/>
    <mergeCell ref="AAW4:AAY4"/>
    <mergeCell ref="AAZ4:ABB4"/>
    <mergeCell ref="ABC4:ABE4"/>
    <mergeCell ref="ABF4:ABH4"/>
    <mergeCell ref="ABI4:ABK4"/>
    <mergeCell ref="ABL4:ABN4"/>
    <mergeCell ref="ABO4:ABQ4"/>
    <mergeCell ref="ABR4:ABT4"/>
    <mergeCell ref="ABU4:ABW4"/>
    <mergeCell ref="ABX4:ABZ4"/>
    <mergeCell ref="ACA4:ACC4"/>
    <mergeCell ref="ACD4:ACF4"/>
    <mergeCell ref="ACG4:ACI4"/>
    <mergeCell ref="ACJ4:ACL4"/>
    <mergeCell ref="ACM4:ACO4"/>
    <mergeCell ref="ACP4:ACR4"/>
    <mergeCell ref="ACS4:ACU4"/>
    <mergeCell ref="ACV4:ACX4"/>
    <mergeCell ref="ACY4:ADA4"/>
    <mergeCell ref="ADB4:ADD4"/>
    <mergeCell ref="ADE4:ADG4"/>
    <mergeCell ref="ADH4:ADJ4"/>
    <mergeCell ref="ADK4:ADM4"/>
    <mergeCell ref="ADN4:ADP4"/>
    <mergeCell ref="ADQ4:ADS4"/>
    <mergeCell ref="ADT4:ADV4"/>
    <mergeCell ref="ADW4:ADY4"/>
    <mergeCell ref="ADZ4:AEB4"/>
    <mergeCell ref="AEC4:AEE4"/>
    <mergeCell ref="AEF4:AEH4"/>
    <mergeCell ref="AEI4:AEK4"/>
    <mergeCell ref="AEL4:AEN4"/>
    <mergeCell ref="AEO4:AEQ4"/>
    <mergeCell ref="AER4:AET4"/>
    <mergeCell ref="AEU4:AEW4"/>
    <mergeCell ref="AEX4:AEZ4"/>
    <mergeCell ref="AFA4:AFC4"/>
    <mergeCell ref="AFD4:AFF4"/>
    <mergeCell ref="AFG4:AFI4"/>
    <mergeCell ref="AFJ4:AFL4"/>
    <mergeCell ref="AFM4:AFO4"/>
    <mergeCell ref="AFP4:AFR4"/>
    <mergeCell ref="AFS4:AFU4"/>
    <mergeCell ref="AFV4:AFX4"/>
    <mergeCell ref="AFY4:AGA4"/>
    <mergeCell ref="AGB4:AGD4"/>
    <mergeCell ref="AGE4:AGG4"/>
    <mergeCell ref="AGH4:AGJ4"/>
    <mergeCell ref="AGK4:AGM4"/>
    <mergeCell ref="AGN4:AGP4"/>
    <mergeCell ref="AGQ4:AGS4"/>
    <mergeCell ref="AGT4:AGV4"/>
    <mergeCell ref="AGW4:AGY4"/>
    <mergeCell ref="AGZ4:AHB4"/>
    <mergeCell ref="AHC4:AHE4"/>
    <mergeCell ref="AHF4:AHH4"/>
    <mergeCell ref="AHI4:AHK4"/>
    <mergeCell ref="AHL4:AHN4"/>
    <mergeCell ref="AHO4:AHQ4"/>
    <mergeCell ref="AHR4:AHT4"/>
    <mergeCell ref="AHU4:AHW4"/>
    <mergeCell ref="AHX4:AHZ4"/>
    <mergeCell ref="AIA4:AIC4"/>
    <mergeCell ref="AID4:AIF4"/>
    <mergeCell ref="AIG4:AII4"/>
    <mergeCell ref="AIJ4:AIL4"/>
    <mergeCell ref="AIM4:AIO4"/>
    <mergeCell ref="AIP4:AIR4"/>
    <mergeCell ref="AIS4:AIU4"/>
    <mergeCell ref="AIV4:AIX4"/>
    <mergeCell ref="AIY4:AJA4"/>
    <mergeCell ref="AJB4:AJD4"/>
    <mergeCell ref="AJE4:AJG4"/>
    <mergeCell ref="AJH4:AJJ4"/>
    <mergeCell ref="AJK4:AJM4"/>
    <mergeCell ref="AJN4:AJP4"/>
    <mergeCell ref="AJQ4:AJS4"/>
    <mergeCell ref="AJT4:AJV4"/>
    <mergeCell ref="AJW4:AJY4"/>
    <mergeCell ref="AJZ4:AKB4"/>
    <mergeCell ref="AKC4:AKE4"/>
    <mergeCell ref="AKF4:AKH4"/>
    <mergeCell ref="AKI4:AKK4"/>
    <mergeCell ref="AKL4:AKN4"/>
    <mergeCell ref="AKO4:AKQ4"/>
    <mergeCell ref="AKR4:AKT4"/>
    <mergeCell ref="AKU4:AKW4"/>
    <mergeCell ref="AKX4:AKZ4"/>
    <mergeCell ref="ALA4:ALC4"/>
    <mergeCell ref="ALD4:ALF4"/>
    <mergeCell ref="ALG4:ALI4"/>
    <mergeCell ref="ALJ4:ALL4"/>
    <mergeCell ref="ALM4:ALO4"/>
    <mergeCell ref="ALP4:ALR4"/>
    <mergeCell ref="ALS4:ALU4"/>
    <mergeCell ref="ALV4:ALX4"/>
    <mergeCell ref="ALY4:AMA4"/>
    <mergeCell ref="AMB4:AMD4"/>
    <mergeCell ref="AME4:AMG4"/>
    <mergeCell ref="AMH4:AMJ4"/>
    <mergeCell ref="E5:AH5"/>
    <mergeCell ref="AI5:BL5"/>
    <mergeCell ref="BM5:CP5"/>
    <mergeCell ref="CQ5:DT5"/>
    <mergeCell ref="DU5:EX5"/>
    <mergeCell ref="EY5:GB5"/>
    <mergeCell ref="GC5:HF5"/>
    <mergeCell ref="HG5:IJ5"/>
    <mergeCell ref="IK5:JN5"/>
    <mergeCell ref="JO5:KR5"/>
    <mergeCell ref="KS5:LV5"/>
    <mergeCell ref="LW5:MZ5"/>
    <mergeCell ref="NA5:OD5"/>
    <mergeCell ref="OE5:PH5"/>
    <mergeCell ref="PI5:QL5"/>
    <mergeCell ref="QM5:RP5"/>
    <mergeCell ref="RQ5:ST5"/>
    <mergeCell ref="SU5:TX5"/>
    <mergeCell ref="TY5:VB5"/>
    <mergeCell ref="VC5:WF5"/>
    <mergeCell ref="WG5:XJ5"/>
    <mergeCell ref="XK5:YN5"/>
    <mergeCell ref="YO5:ZR5"/>
    <mergeCell ref="ZS5:AAV5"/>
    <mergeCell ref="AAW5:ABZ5"/>
    <mergeCell ref="ACA5:ADD5"/>
    <mergeCell ref="ADE5:AEH5"/>
    <mergeCell ref="AEI5:AFL5"/>
    <mergeCell ref="AFM5:AGP5"/>
    <mergeCell ref="AGQ5:AHT5"/>
    <mergeCell ref="AHU5:AIX5"/>
    <mergeCell ref="AIY5:AKB5"/>
    <mergeCell ref="AKC5:ALF5"/>
    <mergeCell ref="ALG5:AMJ5"/>
    <mergeCell ref="E6:G6"/>
    <mergeCell ref="H6:J6"/>
    <mergeCell ref="K6:M6"/>
    <mergeCell ref="N6:P6"/>
    <mergeCell ref="Q6:S6"/>
    <mergeCell ref="T6:V6"/>
    <mergeCell ref="W6:Y6"/>
    <mergeCell ref="Z6:AB6"/>
    <mergeCell ref="AC6:AE6"/>
    <mergeCell ref="AF6:AH6"/>
    <mergeCell ref="AI6:AK6"/>
    <mergeCell ref="AL6:AN6"/>
    <mergeCell ref="AO6:AQ6"/>
    <mergeCell ref="AR6:AT6"/>
    <mergeCell ref="AU6:AW6"/>
    <mergeCell ref="AX6:AZ6"/>
    <mergeCell ref="BA6:BC6"/>
    <mergeCell ref="BD6:BF6"/>
    <mergeCell ref="BG6:BI6"/>
    <mergeCell ref="BJ6:BL6"/>
    <mergeCell ref="BM6:BO6"/>
    <mergeCell ref="BP6:BR6"/>
    <mergeCell ref="BS6:BU6"/>
    <mergeCell ref="BV6:BX6"/>
    <mergeCell ref="BY6:CA6"/>
    <mergeCell ref="CB6:CD6"/>
    <mergeCell ref="CE6:CG6"/>
    <mergeCell ref="CH6:CJ6"/>
    <mergeCell ref="CK6:CM6"/>
    <mergeCell ref="CN6:CP6"/>
    <mergeCell ref="CQ6:CS6"/>
    <mergeCell ref="CT6:CV6"/>
    <mergeCell ref="CW6:CY6"/>
    <mergeCell ref="CZ6:DB6"/>
    <mergeCell ref="DC6:DE6"/>
    <mergeCell ref="DF6:DH6"/>
    <mergeCell ref="DI6:DK6"/>
    <mergeCell ref="DL6:DN6"/>
    <mergeCell ref="DO6:DQ6"/>
    <mergeCell ref="DR6:DT6"/>
    <mergeCell ref="DU6:DW6"/>
    <mergeCell ref="DX6:DZ6"/>
    <mergeCell ref="EA6:EC6"/>
    <mergeCell ref="ED6:EF6"/>
    <mergeCell ref="EG6:EI6"/>
    <mergeCell ref="EJ6:EL6"/>
    <mergeCell ref="EM6:EO6"/>
    <mergeCell ref="EP6:ER6"/>
    <mergeCell ref="ES6:EU6"/>
    <mergeCell ref="EV6:EX6"/>
    <mergeCell ref="EY6:FA6"/>
    <mergeCell ref="FB6:FD6"/>
    <mergeCell ref="FE6:FG6"/>
    <mergeCell ref="FH6:FJ6"/>
    <mergeCell ref="FK6:FM6"/>
    <mergeCell ref="FN6:FP6"/>
    <mergeCell ref="FQ6:FS6"/>
    <mergeCell ref="FT6:FV6"/>
    <mergeCell ref="FW6:FY6"/>
    <mergeCell ref="FZ6:GB6"/>
    <mergeCell ref="GC6:GE6"/>
    <mergeCell ref="GF6:GH6"/>
    <mergeCell ref="GI6:GK6"/>
    <mergeCell ref="GL6:GN6"/>
    <mergeCell ref="GO6:GQ6"/>
    <mergeCell ref="GR6:GT6"/>
    <mergeCell ref="GU6:GW6"/>
    <mergeCell ref="GX6:GZ6"/>
    <mergeCell ref="HA6:HC6"/>
    <mergeCell ref="HD6:HF6"/>
    <mergeCell ref="HG6:HI6"/>
    <mergeCell ref="HJ6:HL6"/>
    <mergeCell ref="HM6:HO6"/>
    <mergeCell ref="HP6:HR6"/>
    <mergeCell ref="HS6:HU6"/>
    <mergeCell ref="HV6:HX6"/>
    <mergeCell ref="HY6:IA6"/>
    <mergeCell ref="IB6:ID6"/>
    <mergeCell ref="IE6:IG6"/>
    <mergeCell ref="IH6:IJ6"/>
    <mergeCell ref="IK6:IM6"/>
    <mergeCell ref="IN6:IP6"/>
    <mergeCell ref="IQ6:IS6"/>
    <mergeCell ref="IT6:IV6"/>
    <mergeCell ref="IW6:IY6"/>
    <mergeCell ref="IZ6:JB6"/>
    <mergeCell ref="JC6:JE6"/>
    <mergeCell ref="JF6:JH6"/>
    <mergeCell ref="JI6:JK6"/>
    <mergeCell ref="JL6:JN6"/>
    <mergeCell ref="JO6:JQ6"/>
    <mergeCell ref="JR6:JT6"/>
    <mergeCell ref="JU6:JW6"/>
    <mergeCell ref="JX6:JZ6"/>
    <mergeCell ref="KA6:KC6"/>
    <mergeCell ref="KD6:KF6"/>
    <mergeCell ref="KG6:KI6"/>
    <mergeCell ref="KJ6:KL6"/>
    <mergeCell ref="KM6:KO6"/>
    <mergeCell ref="KP6:KR6"/>
    <mergeCell ref="KS6:KU6"/>
    <mergeCell ref="KV6:KX6"/>
    <mergeCell ref="KY6:LA6"/>
    <mergeCell ref="LB6:LD6"/>
    <mergeCell ref="LE6:LG6"/>
    <mergeCell ref="LH6:LJ6"/>
    <mergeCell ref="LK6:LM6"/>
    <mergeCell ref="LN6:LP6"/>
    <mergeCell ref="LQ6:LS6"/>
    <mergeCell ref="LT6:LV6"/>
    <mergeCell ref="LW6:LY6"/>
    <mergeCell ref="LZ6:MB6"/>
    <mergeCell ref="MC6:ME6"/>
    <mergeCell ref="MF6:MH6"/>
    <mergeCell ref="MI6:MK6"/>
    <mergeCell ref="ML6:MN6"/>
    <mergeCell ref="MO6:MQ6"/>
    <mergeCell ref="MR6:MT6"/>
    <mergeCell ref="MU6:MW6"/>
    <mergeCell ref="MX6:MZ6"/>
    <mergeCell ref="NA6:NC6"/>
    <mergeCell ref="ND6:NF6"/>
    <mergeCell ref="NG6:NI6"/>
    <mergeCell ref="NJ6:NL6"/>
    <mergeCell ref="NM6:NO6"/>
    <mergeCell ref="NP6:NR6"/>
    <mergeCell ref="NS6:NU6"/>
    <mergeCell ref="NV6:NX6"/>
    <mergeCell ref="NY6:OA6"/>
    <mergeCell ref="OB6:OD6"/>
    <mergeCell ref="OE6:OG6"/>
    <mergeCell ref="OH6:OJ6"/>
    <mergeCell ref="OK6:OM6"/>
    <mergeCell ref="ON6:OP6"/>
    <mergeCell ref="OQ6:OS6"/>
    <mergeCell ref="OT6:OV6"/>
    <mergeCell ref="OW6:OY6"/>
    <mergeCell ref="OZ6:PB6"/>
    <mergeCell ref="PC6:PE6"/>
    <mergeCell ref="PF6:PH6"/>
    <mergeCell ref="PI6:PK6"/>
    <mergeCell ref="PL6:PN6"/>
    <mergeCell ref="PO6:PQ6"/>
    <mergeCell ref="PR6:PT6"/>
    <mergeCell ref="PU6:PW6"/>
    <mergeCell ref="PX6:PZ6"/>
    <mergeCell ref="QA6:QC6"/>
    <mergeCell ref="QD6:QF6"/>
    <mergeCell ref="QG6:QI6"/>
    <mergeCell ref="QJ6:QL6"/>
    <mergeCell ref="QM6:QO6"/>
    <mergeCell ref="QP6:QR6"/>
    <mergeCell ref="QS6:QU6"/>
    <mergeCell ref="QV6:QX6"/>
    <mergeCell ref="QY6:RA6"/>
    <mergeCell ref="RB6:RD6"/>
    <mergeCell ref="RE6:RG6"/>
    <mergeCell ref="RH6:RJ6"/>
    <mergeCell ref="RK6:RM6"/>
    <mergeCell ref="RN6:RP6"/>
    <mergeCell ref="RQ6:RS6"/>
    <mergeCell ref="RT6:RV6"/>
    <mergeCell ref="RW6:RY6"/>
    <mergeCell ref="RZ6:SB6"/>
    <mergeCell ref="SC6:SE6"/>
    <mergeCell ref="SF6:SH6"/>
    <mergeCell ref="SI6:SK6"/>
    <mergeCell ref="SL6:SN6"/>
    <mergeCell ref="SO6:SQ6"/>
    <mergeCell ref="SR6:ST6"/>
    <mergeCell ref="SU6:SW6"/>
    <mergeCell ref="SX6:SZ6"/>
    <mergeCell ref="TA6:TC6"/>
    <mergeCell ref="TD6:TF6"/>
    <mergeCell ref="TG6:TI6"/>
    <mergeCell ref="TJ6:TL6"/>
    <mergeCell ref="TM6:TO6"/>
    <mergeCell ref="TP6:TR6"/>
    <mergeCell ref="TS6:TU6"/>
    <mergeCell ref="TV6:TX6"/>
    <mergeCell ref="TY6:UA6"/>
    <mergeCell ref="UB6:UD6"/>
    <mergeCell ref="UE6:UG6"/>
    <mergeCell ref="UH6:UJ6"/>
    <mergeCell ref="UK6:UM6"/>
    <mergeCell ref="UN6:UP6"/>
    <mergeCell ref="UQ6:US6"/>
    <mergeCell ref="UT6:UV6"/>
    <mergeCell ref="UW6:UY6"/>
    <mergeCell ref="UZ6:VB6"/>
    <mergeCell ref="VC6:VE6"/>
    <mergeCell ref="VF6:VH6"/>
    <mergeCell ref="VI6:VK6"/>
    <mergeCell ref="VL6:VN6"/>
    <mergeCell ref="VO6:VQ6"/>
    <mergeCell ref="VR6:VT6"/>
    <mergeCell ref="VU6:VW6"/>
    <mergeCell ref="VX6:VZ6"/>
    <mergeCell ref="WA6:WC6"/>
    <mergeCell ref="WD6:WF6"/>
    <mergeCell ref="WG6:WI6"/>
    <mergeCell ref="WJ6:WL6"/>
    <mergeCell ref="WM6:WO6"/>
    <mergeCell ref="WP6:WR6"/>
    <mergeCell ref="WS6:WU6"/>
    <mergeCell ref="WV6:WX6"/>
    <mergeCell ref="WY6:XA6"/>
    <mergeCell ref="XB6:XD6"/>
    <mergeCell ref="XE6:XG6"/>
    <mergeCell ref="XH6:XJ6"/>
    <mergeCell ref="XK6:XM6"/>
    <mergeCell ref="XN6:XP6"/>
    <mergeCell ref="XQ6:XS6"/>
    <mergeCell ref="XT6:XV6"/>
    <mergeCell ref="XW6:XY6"/>
    <mergeCell ref="XZ6:YB6"/>
    <mergeCell ref="YC6:YE6"/>
    <mergeCell ref="YF6:YH6"/>
    <mergeCell ref="YI6:YK6"/>
    <mergeCell ref="YL6:YN6"/>
    <mergeCell ref="YO6:YQ6"/>
    <mergeCell ref="YR6:YT6"/>
    <mergeCell ref="YU6:YW6"/>
    <mergeCell ref="YX6:YZ6"/>
    <mergeCell ref="ZA6:ZC6"/>
    <mergeCell ref="ZD6:ZF6"/>
    <mergeCell ref="ZG6:ZI6"/>
    <mergeCell ref="ZJ6:ZL6"/>
    <mergeCell ref="ZM6:ZO6"/>
    <mergeCell ref="ZP6:ZR6"/>
    <mergeCell ref="ZS6:ZU6"/>
    <mergeCell ref="ZV6:ZX6"/>
    <mergeCell ref="ZY6:AAA6"/>
    <mergeCell ref="AAB6:AAD6"/>
    <mergeCell ref="AAE6:AAG6"/>
    <mergeCell ref="AAH6:AAJ6"/>
    <mergeCell ref="AAK6:AAM6"/>
    <mergeCell ref="AAN6:AAP6"/>
    <mergeCell ref="AAQ6:AAS6"/>
    <mergeCell ref="AAT6:AAV6"/>
    <mergeCell ref="AAW6:AAY6"/>
    <mergeCell ref="AAZ6:ABB6"/>
    <mergeCell ref="ABC6:ABE6"/>
    <mergeCell ref="ABF6:ABH6"/>
    <mergeCell ref="ABI6:ABK6"/>
    <mergeCell ref="ABL6:ABN6"/>
    <mergeCell ref="ABO6:ABQ6"/>
    <mergeCell ref="ABR6:ABT6"/>
    <mergeCell ref="ABU6:ABW6"/>
    <mergeCell ref="ABX6:ABZ6"/>
    <mergeCell ref="ACA6:ACC6"/>
    <mergeCell ref="ACD6:ACF6"/>
    <mergeCell ref="ACG6:ACI6"/>
    <mergeCell ref="ACJ6:ACL6"/>
    <mergeCell ref="ACM6:ACO6"/>
    <mergeCell ref="ACP6:ACR6"/>
    <mergeCell ref="ACS6:ACU6"/>
    <mergeCell ref="ACV6:ACX6"/>
    <mergeCell ref="ACY6:ADA6"/>
    <mergeCell ref="ADB6:ADD6"/>
    <mergeCell ref="ADE6:ADG6"/>
    <mergeCell ref="ADH6:ADJ6"/>
    <mergeCell ref="ADK6:ADM6"/>
    <mergeCell ref="ADN6:ADP6"/>
    <mergeCell ref="ADQ6:ADS6"/>
    <mergeCell ref="ADT6:ADV6"/>
    <mergeCell ref="ADW6:ADY6"/>
    <mergeCell ref="ADZ6:AEB6"/>
    <mergeCell ref="AEC6:AEE6"/>
    <mergeCell ref="AEF6:AEH6"/>
    <mergeCell ref="AEI6:AEK6"/>
    <mergeCell ref="AEL6:AEN6"/>
    <mergeCell ref="AEO6:AEQ6"/>
    <mergeCell ref="AER6:AET6"/>
    <mergeCell ref="AEU6:AEW6"/>
    <mergeCell ref="AEX6:AEZ6"/>
    <mergeCell ref="AFA6:AFC6"/>
    <mergeCell ref="AFD6:AFF6"/>
    <mergeCell ref="AFG6:AFI6"/>
    <mergeCell ref="AFJ6:AFL6"/>
    <mergeCell ref="AFM6:AFO6"/>
    <mergeCell ref="AFP6:AFR6"/>
    <mergeCell ref="AFS6:AFU6"/>
    <mergeCell ref="AFV6:AFX6"/>
    <mergeCell ref="AFY6:AGA6"/>
    <mergeCell ref="AGB6:AGD6"/>
    <mergeCell ref="AGE6:AGG6"/>
    <mergeCell ref="AGH6:AGJ6"/>
    <mergeCell ref="AGK6:AGM6"/>
    <mergeCell ref="AGN6:AGP6"/>
    <mergeCell ref="AGQ6:AGS6"/>
    <mergeCell ref="AGT6:AGV6"/>
    <mergeCell ref="AGW6:AGY6"/>
    <mergeCell ref="AGZ6:AHB6"/>
    <mergeCell ref="AHC6:AHE6"/>
    <mergeCell ref="AHF6:AHH6"/>
    <mergeCell ref="AHI6:AHK6"/>
    <mergeCell ref="AHL6:AHN6"/>
    <mergeCell ref="AHO6:AHQ6"/>
    <mergeCell ref="AHR6:AHT6"/>
    <mergeCell ref="AHU6:AHW6"/>
    <mergeCell ref="AHX6:AHZ6"/>
    <mergeCell ref="AIA6:AIC6"/>
    <mergeCell ref="AID6:AIF6"/>
    <mergeCell ref="AIG6:AII6"/>
    <mergeCell ref="AIJ6:AIL6"/>
    <mergeCell ref="AIM6:AIO6"/>
    <mergeCell ref="AIP6:AIR6"/>
    <mergeCell ref="AIS6:AIU6"/>
    <mergeCell ref="AIV6:AIX6"/>
    <mergeCell ref="AIY6:AJA6"/>
    <mergeCell ref="AJB6:AJD6"/>
    <mergeCell ref="AJE6:AJG6"/>
    <mergeCell ref="AJH6:AJJ6"/>
    <mergeCell ref="AJK6:AJM6"/>
    <mergeCell ref="AJN6:AJP6"/>
    <mergeCell ref="AJQ6:AJS6"/>
    <mergeCell ref="AJT6:AJV6"/>
    <mergeCell ref="AJW6:AJY6"/>
    <mergeCell ref="AJZ6:AKB6"/>
    <mergeCell ref="AKC6:AKE6"/>
    <mergeCell ref="AKF6:AKH6"/>
    <mergeCell ref="AKI6:AKK6"/>
    <mergeCell ref="AKL6:AKN6"/>
    <mergeCell ref="AKO6:AKQ6"/>
    <mergeCell ref="AKR6:AKT6"/>
    <mergeCell ref="AKU6:AKW6"/>
    <mergeCell ref="AKX6:AKZ6"/>
    <mergeCell ref="ALA6:ALC6"/>
    <mergeCell ref="ALD6:ALF6"/>
    <mergeCell ref="ALG6:ALI6"/>
    <mergeCell ref="ALJ6:ALL6"/>
    <mergeCell ref="ALM6:ALO6"/>
    <mergeCell ref="ALP6:ALR6"/>
    <mergeCell ref="ALS6:ALU6"/>
    <mergeCell ref="ALV6:ALX6"/>
    <mergeCell ref="ALY6:AMA6"/>
    <mergeCell ref="AMB6:AMD6"/>
    <mergeCell ref="AME6:AMG6"/>
    <mergeCell ref="AMH6:AMJ6"/>
    <mergeCell ref="E7:AH7"/>
    <mergeCell ref="AI7:BL7"/>
    <mergeCell ref="BM7:CP7"/>
    <mergeCell ref="CQ7:DT7"/>
    <mergeCell ref="DU7:EX7"/>
    <mergeCell ref="EY7:GB7"/>
    <mergeCell ref="GC7:HF7"/>
    <mergeCell ref="HG7:IJ7"/>
    <mergeCell ref="IK7:JN7"/>
    <mergeCell ref="JO7:KR7"/>
    <mergeCell ref="KS7:LV7"/>
    <mergeCell ref="LW7:MZ7"/>
    <mergeCell ref="NA7:OD7"/>
    <mergeCell ref="OE7:PH7"/>
    <mergeCell ref="PI7:QL7"/>
    <mergeCell ref="QM7:RP7"/>
    <mergeCell ref="RQ7:ST7"/>
    <mergeCell ref="SU7:TX7"/>
    <mergeCell ref="TY7:VB7"/>
    <mergeCell ref="VC7:WF7"/>
    <mergeCell ref="WG7:XJ7"/>
    <mergeCell ref="XK7:YN7"/>
    <mergeCell ref="YO7:ZR7"/>
    <mergeCell ref="ZS7:AAV7"/>
    <mergeCell ref="AAW7:ABZ7"/>
    <mergeCell ref="ACA7:ADD7"/>
    <mergeCell ref="ADE7:AEH7"/>
    <mergeCell ref="AEI7:AFL7"/>
    <mergeCell ref="AFM7:AGP7"/>
    <mergeCell ref="AGQ7:AHT7"/>
    <mergeCell ref="AHU7:AIX7"/>
    <mergeCell ref="AIY7:AKB7"/>
    <mergeCell ref="AKC7:ALF7"/>
    <mergeCell ref="ALG7:AMJ7"/>
    <mergeCell ref="E8:G8"/>
    <mergeCell ref="H8:J8"/>
    <mergeCell ref="K8:M8"/>
    <mergeCell ref="N8:P8"/>
    <mergeCell ref="Q8:S8"/>
    <mergeCell ref="T8:V8"/>
    <mergeCell ref="W8:Y8"/>
    <mergeCell ref="Z8:AB8"/>
    <mergeCell ref="AC8:AE8"/>
    <mergeCell ref="AF8:AH8"/>
    <mergeCell ref="AI8:AK8"/>
    <mergeCell ref="AL8:AN8"/>
    <mergeCell ref="AO8:AQ8"/>
    <mergeCell ref="AR8:AT8"/>
    <mergeCell ref="AU8:AW8"/>
    <mergeCell ref="AX8:AZ8"/>
    <mergeCell ref="BA8:BC8"/>
    <mergeCell ref="BD8:BF8"/>
    <mergeCell ref="BG8:BI8"/>
    <mergeCell ref="BJ8:BL8"/>
    <mergeCell ref="BM8:BO8"/>
    <mergeCell ref="BP8:BR8"/>
    <mergeCell ref="BS8:BU8"/>
    <mergeCell ref="BV8:BX8"/>
    <mergeCell ref="BY8:CA8"/>
    <mergeCell ref="CB8:CD8"/>
    <mergeCell ref="CE8:CG8"/>
    <mergeCell ref="CH8:CJ8"/>
    <mergeCell ref="CK8:CM8"/>
    <mergeCell ref="CN8:CP8"/>
    <mergeCell ref="CQ8:CS8"/>
    <mergeCell ref="CT8:CV8"/>
    <mergeCell ref="CW8:CY8"/>
    <mergeCell ref="CZ8:DB8"/>
    <mergeCell ref="DC8:DE8"/>
    <mergeCell ref="DF8:DH8"/>
    <mergeCell ref="DI8:DK8"/>
    <mergeCell ref="DL8:DN8"/>
    <mergeCell ref="DO8:DQ8"/>
    <mergeCell ref="DR8:DT8"/>
    <mergeCell ref="DU8:DW8"/>
    <mergeCell ref="DX8:DZ8"/>
    <mergeCell ref="EA8:EC8"/>
    <mergeCell ref="ED8:EF8"/>
    <mergeCell ref="EG8:EI8"/>
    <mergeCell ref="EJ8:EL8"/>
    <mergeCell ref="EM8:EO8"/>
    <mergeCell ref="EP8:ER8"/>
    <mergeCell ref="ES8:EU8"/>
    <mergeCell ref="EV8:EX8"/>
    <mergeCell ref="EY8:FA8"/>
    <mergeCell ref="FB8:FD8"/>
    <mergeCell ref="FE8:FG8"/>
    <mergeCell ref="FH8:FJ8"/>
    <mergeCell ref="FK8:FM8"/>
    <mergeCell ref="FN8:FP8"/>
    <mergeCell ref="FQ8:FS8"/>
    <mergeCell ref="FT8:FV8"/>
    <mergeCell ref="FW8:FY8"/>
    <mergeCell ref="FZ8:GB8"/>
    <mergeCell ref="GC8:GE8"/>
    <mergeCell ref="GF8:GH8"/>
    <mergeCell ref="GI8:GK8"/>
    <mergeCell ref="GL8:GN8"/>
    <mergeCell ref="GO8:GQ8"/>
    <mergeCell ref="GR8:GT8"/>
    <mergeCell ref="GU8:GW8"/>
    <mergeCell ref="GX8:GZ8"/>
    <mergeCell ref="HA8:HC8"/>
    <mergeCell ref="HD8:HF8"/>
    <mergeCell ref="HG8:HI8"/>
    <mergeCell ref="HJ8:HL8"/>
    <mergeCell ref="HM8:HO8"/>
    <mergeCell ref="HP8:HR8"/>
    <mergeCell ref="HS8:HU8"/>
    <mergeCell ref="HV8:HX8"/>
    <mergeCell ref="HY8:IA8"/>
    <mergeCell ref="IB8:ID8"/>
    <mergeCell ref="IE8:IG8"/>
    <mergeCell ref="IH8:IJ8"/>
    <mergeCell ref="IK8:IM8"/>
    <mergeCell ref="IN8:IP8"/>
    <mergeCell ref="IQ8:IS8"/>
    <mergeCell ref="IT8:IV8"/>
    <mergeCell ref="IW8:IY8"/>
    <mergeCell ref="IZ8:JB8"/>
    <mergeCell ref="JC8:JE8"/>
    <mergeCell ref="JF8:JH8"/>
    <mergeCell ref="JI8:JK8"/>
    <mergeCell ref="JL8:JN8"/>
    <mergeCell ref="JO8:JQ8"/>
    <mergeCell ref="JR8:JT8"/>
    <mergeCell ref="JU8:JW8"/>
    <mergeCell ref="JX8:JZ8"/>
    <mergeCell ref="KA8:KC8"/>
    <mergeCell ref="KD8:KF8"/>
    <mergeCell ref="KG8:KI8"/>
    <mergeCell ref="KJ8:KL8"/>
    <mergeCell ref="KM8:KO8"/>
    <mergeCell ref="KP8:KR8"/>
    <mergeCell ref="KS8:KU8"/>
    <mergeCell ref="KV8:KX8"/>
    <mergeCell ref="KY8:LA8"/>
    <mergeCell ref="LB8:LD8"/>
    <mergeCell ref="LE8:LG8"/>
    <mergeCell ref="LH8:LJ8"/>
    <mergeCell ref="LK8:LM8"/>
    <mergeCell ref="LN8:LP8"/>
    <mergeCell ref="LQ8:LS8"/>
    <mergeCell ref="LT8:LV8"/>
    <mergeCell ref="LW8:LY8"/>
    <mergeCell ref="LZ8:MB8"/>
    <mergeCell ref="MC8:ME8"/>
    <mergeCell ref="MF8:MH8"/>
    <mergeCell ref="MI8:MK8"/>
    <mergeCell ref="ML8:MN8"/>
    <mergeCell ref="MO8:MQ8"/>
    <mergeCell ref="MR8:MT8"/>
    <mergeCell ref="MU8:MW8"/>
    <mergeCell ref="MX8:MZ8"/>
    <mergeCell ref="NA8:NC8"/>
    <mergeCell ref="ND8:NF8"/>
    <mergeCell ref="NG8:NI8"/>
    <mergeCell ref="NJ8:NL8"/>
    <mergeCell ref="NM8:NO8"/>
    <mergeCell ref="NP8:NR8"/>
    <mergeCell ref="NS8:NU8"/>
    <mergeCell ref="NV8:NX8"/>
    <mergeCell ref="NY8:OA8"/>
    <mergeCell ref="OB8:OD8"/>
    <mergeCell ref="OE8:OG8"/>
    <mergeCell ref="OH8:OJ8"/>
    <mergeCell ref="OK8:OM8"/>
    <mergeCell ref="ON8:OP8"/>
    <mergeCell ref="OQ8:OS8"/>
    <mergeCell ref="OT8:OV8"/>
    <mergeCell ref="OW8:OY8"/>
    <mergeCell ref="OZ8:PB8"/>
    <mergeCell ref="PC8:PE8"/>
    <mergeCell ref="PF8:PH8"/>
    <mergeCell ref="PI8:PK8"/>
    <mergeCell ref="PL8:PN8"/>
    <mergeCell ref="PO8:PQ8"/>
    <mergeCell ref="PR8:PT8"/>
    <mergeCell ref="PU8:PW8"/>
    <mergeCell ref="PX8:PZ8"/>
    <mergeCell ref="QA8:QC8"/>
    <mergeCell ref="QD8:QF8"/>
    <mergeCell ref="QG8:QI8"/>
    <mergeCell ref="QJ8:QL8"/>
    <mergeCell ref="QM8:QO8"/>
    <mergeCell ref="QP8:QR8"/>
    <mergeCell ref="QS8:QU8"/>
    <mergeCell ref="QV8:QX8"/>
    <mergeCell ref="QY8:RA8"/>
    <mergeCell ref="RB8:RD8"/>
    <mergeCell ref="RE8:RG8"/>
    <mergeCell ref="RH8:RJ8"/>
    <mergeCell ref="RK8:RM8"/>
    <mergeCell ref="RN8:RP8"/>
    <mergeCell ref="RQ8:RS8"/>
    <mergeCell ref="RT8:RV8"/>
    <mergeCell ref="RW8:RY8"/>
    <mergeCell ref="RZ8:SB8"/>
    <mergeCell ref="SC8:SE8"/>
    <mergeCell ref="SF8:SH8"/>
    <mergeCell ref="SI8:SK8"/>
    <mergeCell ref="SL8:SN8"/>
    <mergeCell ref="SO8:SQ8"/>
    <mergeCell ref="SR8:ST8"/>
    <mergeCell ref="SU8:SW8"/>
    <mergeCell ref="SX8:SZ8"/>
    <mergeCell ref="TA8:TC8"/>
    <mergeCell ref="TD8:TF8"/>
    <mergeCell ref="TG8:TI8"/>
    <mergeCell ref="TJ8:TL8"/>
    <mergeCell ref="TM8:TO8"/>
    <mergeCell ref="TP8:TR8"/>
    <mergeCell ref="TS8:TU8"/>
    <mergeCell ref="TV8:TX8"/>
    <mergeCell ref="TY8:UA8"/>
    <mergeCell ref="UB8:UD8"/>
    <mergeCell ref="UE8:UG8"/>
    <mergeCell ref="UH8:UJ8"/>
    <mergeCell ref="UK8:UM8"/>
    <mergeCell ref="UN8:UP8"/>
    <mergeCell ref="UQ8:US8"/>
    <mergeCell ref="UT8:UV8"/>
    <mergeCell ref="UW8:UY8"/>
    <mergeCell ref="UZ8:VB8"/>
    <mergeCell ref="VC8:VE8"/>
    <mergeCell ref="VF8:VH8"/>
    <mergeCell ref="VI8:VK8"/>
    <mergeCell ref="VL8:VN8"/>
    <mergeCell ref="VO8:VQ8"/>
    <mergeCell ref="VR8:VT8"/>
    <mergeCell ref="VU8:VW8"/>
    <mergeCell ref="VX8:VZ8"/>
    <mergeCell ref="WA8:WC8"/>
    <mergeCell ref="WD8:WF8"/>
    <mergeCell ref="WG8:WI8"/>
    <mergeCell ref="WJ8:WL8"/>
    <mergeCell ref="WM8:WO8"/>
    <mergeCell ref="WP8:WR8"/>
    <mergeCell ref="WS8:WU8"/>
    <mergeCell ref="WV8:WX8"/>
    <mergeCell ref="WY8:XA8"/>
    <mergeCell ref="XB8:XD8"/>
    <mergeCell ref="XE8:XG8"/>
    <mergeCell ref="XH8:XJ8"/>
    <mergeCell ref="XK8:XM8"/>
    <mergeCell ref="XN8:XP8"/>
    <mergeCell ref="XQ8:XS8"/>
    <mergeCell ref="XT8:XV8"/>
    <mergeCell ref="XW8:XY8"/>
    <mergeCell ref="XZ8:YB8"/>
    <mergeCell ref="YC8:YE8"/>
    <mergeCell ref="YF8:YH8"/>
    <mergeCell ref="YI8:YK8"/>
    <mergeCell ref="YL8:YN8"/>
    <mergeCell ref="YO8:YQ8"/>
    <mergeCell ref="YR8:YT8"/>
    <mergeCell ref="YU8:YW8"/>
    <mergeCell ref="YX8:YZ8"/>
    <mergeCell ref="ZA8:ZC8"/>
    <mergeCell ref="ZD8:ZF8"/>
    <mergeCell ref="ZG8:ZI8"/>
    <mergeCell ref="ZJ8:ZL8"/>
    <mergeCell ref="ZM8:ZO8"/>
    <mergeCell ref="ZP8:ZR8"/>
    <mergeCell ref="ZS8:ZU8"/>
    <mergeCell ref="ZV8:ZX8"/>
    <mergeCell ref="ZY8:AAA8"/>
    <mergeCell ref="AAB8:AAD8"/>
    <mergeCell ref="AAE8:AAG8"/>
    <mergeCell ref="AAH8:AAJ8"/>
    <mergeCell ref="AAK8:AAM8"/>
    <mergeCell ref="AAN8:AAP8"/>
    <mergeCell ref="AAQ8:AAS8"/>
    <mergeCell ref="AAT8:AAV8"/>
    <mergeCell ref="AAW8:AAY8"/>
    <mergeCell ref="AAZ8:ABB8"/>
    <mergeCell ref="ABC8:ABE8"/>
    <mergeCell ref="ABF8:ABH8"/>
    <mergeCell ref="ABI8:ABK8"/>
    <mergeCell ref="ABL8:ABN8"/>
    <mergeCell ref="ABO8:ABQ8"/>
    <mergeCell ref="ABR8:ABT8"/>
    <mergeCell ref="ABU8:ABW8"/>
    <mergeCell ref="ABX8:ABZ8"/>
    <mergeCell ref="ACA8:ACC8"/>
    <mergeCell ref="ACD8:ACF8"/>
    <mergeCell ref="ACG8:ACI8"/>
    <mergeCell ref="ACJ8:ACL8"/>
    <mergeCell ref="ACM8:ACO8"/>
    <mergeCell ref="ACP8:ACR8"/>
    <mergeCell ref="ACS8:ACU8"/>
    <mergeCell ref="ACV8:ACX8"/>
    <mergeCell ref="ACY8:ADA8"/>
    <mergeCell ref="ADB8:ADD8"/>
    <mergeCell ref="ADE8:ADG8"/>
    <mergeCell ref="ADH8:ADJ8"/>
    <mergeCell ref="ADK8:ADM8"/>
    <mergeCell ref="ADN8:ADP8"/>
    <mergeCell ref="ADQ8:ADS8"/>
    <mergeCell ref="ADT8:ADV8"/>
    <mergeCell ref="ADW8:ADY8"/>
    <mergeCell ref="ADZ8:AEB8"/>
    <mergeCell ref="AEC8:AEE8"/>
    <mergeCell ref="AEF8:AEH8"/>
    <mergeCell ref="AEI8:AEK8"/>
    <mergeCell ref="AEL8:AEN8"/>
    <mergeCell ref="AEO8:AEQ8"/>
    <mergeCell ref="AER8:AET8"/>
    <mergeCell ref="AEU8:AEW8"/>
    <mergeCell ref="AEX8:AEZ8"/>
    <mergeCell ref="AFA8:AFC8"/>
    <mergeCell ref="AFD8:AFF8"/>
    <mergeCell ref="AFG8:AFI8"/>
    <mergeCell ref="AFJ8:AFL8"/>
    <mergeCell ref="AFM8:AFO8"/>
    <mergeCell ref="AFP8:AFR8"/>
    <mergeCell ref="AFS8:AFU8"/>
    <mergeCell ref="AFV8:AFX8"/>
    <mergeCell ref="AFY8:AGA8"/>
    <mergeCell ref="AGB8:AGD8"/>
    <mergeCell ref="AGE8:AGG8"/>
    <mergeCell ref="AGH8:AGJ8"/>
    <mergeCell ref="AGK8:AGM8"/>
    <mergeCell ref="AGN8:AGP8"/>
    <mergeCell ref="AGQ8:AGS8"/>
    <mergeCell ref="AGT8:AGV8"/>
    <mergeCell ref="AGW8:AGY8"/>
    <mergeCell ref="AGZ8:AHB8"/>
    <mergeCell ref="AHC8:AHE8"/>
    <mergeCell ref="AHF8:AHH8"/>
    <mergeCell ref="AHI8:AHK8"/>
    <mergeCell ref="AHL8:AHN8"/>
    <mergeCell ref="AHO8:AHQ8"/>
    <mergeCell ref="AHR8:AHT8"/>
    <mergeCell ref="AHU8:AHW8"/>
    <mergeCell ref="AHX8:AHZ8"/>
    <mergeCell ref="AIA8:AIC8"/>
    <mergeCell ref="AID8:AIF8"/>
    <mergeCell ref="AIG8:AII8"/>
    <mergeCell ref="AIJ8:AIL8"/>
    <mergeCell ref="AIM8:AIO8"/>
    <mergeCell ref="AIP8:AIR8"/>
    <mergeCell ref="AIS8:AIU8"/>
    <mergeCell ref="AIV8:AIX8"/>
    <mergeCell ref="AIY8:AJA8"/>
    <mergeCell ref="AJB8:AJD8"/>
    <mergeCell ref="AJE8:AJG8"/>
    <mergeCell ref="AJH8:AJJ8"/>
    <mergeCell ref="AJK8:AJM8"/>
    <mergeCell ref="AJN8:AJP8"/>
    <mergeCell ref="AJQ8:AJS8"/>
    <mergeCell ref="AJT8:AJV8"/>
    <mergeCell ref="AJW8:AJY8"/>
    <mergeCell ref="AJZ8:AKB8"/>
    <mergeCell ref="AKC8:AKE8"/>
    <mergeCell ref="AKF8:AKH8"/>
    <mergeCell ref="AKI8:AKK8"/>
    <mergeCell ref="AKL8:AKN8"/>
    <mergeCell ref="AKO8:AKQ8"/>
    <mergeCell ref="AKR8:AKT8"/>
    <mergeCell ref="AKU8:AKW8"/>
    <mergeCell ref="AKX8:AKZ8"/>
    <mergeCell ref="ALA8:ALC8"/>
    <mergeCell ref="ALD8:ALF8"/>
    <mergeCell ref="ALG8:ALI8"/>
    <mergeCell ref="ALJ8:ALL8"/>
    <mergeCell ref="ALM8:ALO8"/>
    <mergeCell ref="ALP8:ALR8"/>
    <mergeCell ref="ALS8:ALU8"/>
    <mergeCell ref="ALV8:ALX8"/>
    <mergeCell ref="ALY8:AMA8"/>
    <mergeCell ref="AMB8:AMD8"/>
    <mergeCell ref="AME8:AMG8"/>
    <mergeCell ref="AMH8:AMJ8"/>
    <mergeCell ref="A10:D10"/>
  </mergeCells>
  <conditionalFormatting sqref="E10:AMJ38">
    <cfRule type="cellIs" priority="2" operator="notEqual" aboveAverage="0" equalAverage="0" bottom="0" percent="0" rank="0" text="" dxfId="5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2015-06-06T06:19:00Z</dcterms:created>
  <dc:creator>Admin</dc:creator>
  <dc:description/>
  <dc:language>uk-UA</dc:language>
  <cp:lastModifiedBy/>
  <cp:lastPrinted>2025-03-26T01:32:00Z</cp:lastPrinted>
  <dcterms:modified xsi:type="dcterms:W3CDTF">2025-03-29T23:33:21Z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DB53516003109F66C8AAE767327AE724_42</vt:lpwstr>
  </property>
  <property fmtid="{D5CDD505-2E9C-101B-9397-08002B2CF9AE}" pid="3" name="KSOProductBuildVer">
    <vt:lpwstr>1033-6.10.1.8197</vt:lpwstr>
  </property>
</Properties>
</file>